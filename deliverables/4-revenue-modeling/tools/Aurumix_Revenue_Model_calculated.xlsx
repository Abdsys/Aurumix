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Assumptions!$B$56</definedName>
    <definedName function="false" hidden="false" name="act_india" vbProcedure="false">Assumptions!$B$57</definedName>
    <definedName function="false" hidden="false" name="act_referral" vbProcedure="false">Assumptions!$B$55</definedName>
    <definedName function="false" hidden="false" name="act_s0" vbProcedure="false">Assumptions!$B$49</definedName>
    <definedName function="false" hidden="false" name="act_s1a" vbProcedure="false">Assumptions!$B$47</definedName>
    <definedName function="false" hidden="false" name="act_s1b" vbProcedure="false">Assumptions!$B$48</definedName>
    <definedName function="false" hidden="false" name="act_s2" vbProcedure="false">Assumptions!$B$51</definedName>
    <definedName function="false" hidden="false" name="act_s3" vbProcedure="false">Assumptions!$B$50</definedName>
    <definedName function="false" hidden="false" name="act_s4" vbProcedure="false">Assumptions!$B$52</definedName>
    <definedName function="false" hidden="false" name="act_s5" vbProcedure="false">Assumptions!$B$53</definedName>
    <definedName function="false" hidden="false" name="act_s6" vbProcedure="false">Assumptions!$B$54</definedName>
    <definedName function="false" hidden="false" name="aed_usd" vbProcedure="false">Assumptions!$B$7</definedName>
    <definedName function="false" hidden="false" name="agentshare_gulf" vbProcedure="false">Assumptions!$B$115</definedName>
    <definedName function="false" hidden="false" name="agentshare_india" vbProcedure="false">Assumptions!$B$116</definedName>
    <definedName function="false" hidden="false" name="agentshare_uae" vbProcedure="false">Assumptions!$B$114</definedName>
    <definedName function="false" hidden="false" name="agents_y1" vbProcedure="false">Assumptions!$B$93</definedName>
    <definedName function="false" hidden="false" name="agents_y2" vbProcedure="false">Assumptions!$B$94</definedName>
    <definedName function="false" hidden="false" name="agents_y3" vbProcedure="false">Assumptions!$B$95</definedName>
    <definedName function="false" hidden="false" name="agents_y4" vbProcedure="false">Assumptions!$B$96</definedName>
    <definedName function="false" hidden="false" name="agents_y5" vbProcedure="false">Assumptions!$B$97</definedName>
    <definedName function="false" hidden="false" name="agents_y6" vbProcedure="false">Assumptions!$B$98</definedName>
    <definedName function="false" hidden="false" name="agents_y7" vbProcedure="false">Assumptions!$B$99</definedName>
    <definedName function="false" hidden="false" name="agent_productivity" vbProcedure="false">'Scenario Parameters'!$B$16</definedName>
    <definedName function="false" hidden="false" name="atmm_a1500" vbProcedure="false">'Scenario Parameters'!$B$55</definedName>
    <definedName function="false" hidden="false" name="atmm_a3000" vbProcedure="false">'Scenario Parameters'!$B$56</definedName>
    <definedName function="false" hidden="false" name="atmm_a3000p" vbProcedure="false">'Scenario Parameters'!$B$57</definedName>
    <definedName function="false" hidden="false" name="atmm_a500" vbProcedure="false">'Scenario Parameters'!$B$54</definedName>
    <definedName function="false" hidden="false" name="atm_a1500" vbProcedure="false">'Scenario Parameters'!$B$51</definedName>
    <definedName function="false" hidden="false" name="atm_a3000" vbProcedure="false">'Scenario Parameters'!$B$52</definedName>
    <definedName function="false" hidden="false" name="atm_a3000p" vbProcedure="false">'Scenario Parameters'!$B$53</definedName>
    <definedName function="false" hidden="false" name="atm_a500" vbProcedure="false">'Scenario Parameters'!$B$50</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Parameters'!$B$75</definedName>
    <definedName function="false" hidden="false" name="aum_per_partner_user" vbProcedure="false">'Scenario Parameters'!$B$74</definedName>
    <definedName function="false" hidden="false" name="b2b_fee" vbProcedure="false">Assumptions!$B$26</definedName>
    <definedName function="false" hidden="false" name="bar_grams" vbProcedure="false">Assumptions!$B$10</definedName>
    <definedName function="false" hidden="false" name="cac_gulf" vbProcedure="false">'Scenario Parameters'!$B$18</definedName>
    <definedName function="false" hidden="false" name="cac_india" vbProcedure="false">'Scenario Parameters'!$B$19</definedName>
    <definedName function="false" hidden="false" name="cac_uae" vbProcedure="false">'Scenario Parameters'!$B$17</definedName>
    <definedName function="false" hidden="false" name="card_activation" vbProcedure="false">'Scenario Parameters'!$B$45</definedName>
    <definedName function="false" hidden="false" name="card_txns_per_draw" vbProcedure="false">'Scenario Parameters'!$B$46</definedName>
    <definedName function="false" hidden="false" name="ceil_gulf" vbProcedure="false">Assumptions!$B$85</definedName>
    <definedName function="false" hidden="false" name="ceil_india" vbProcedure="false">Assumptions!$B$86</definedName>
    <definedName function="false" hidden="false" name="ceil_total" vbProcedure="false">Assumptions!$B$87</definedName>
    <definedName function="false" hidden="false" name="ceil_uae" vbProcedure="false">Assumptions!$B$84</definedName>
    <definedName function="false" hidden="false" name="decline_uplift" vbProcedure="false">Assumptions!$B$16</definedName>
    <definedName function="false" hidden="false" name="drawn_share" vbProcedure="false">'Scenario Parameters'!$B$61</definedName>
    <definedName function="false" hidden="false" name="draw_events" vbProcedure="false">'Scenario Parameters'!$B$63</definedName>
    <definedName function="false" hidden="false" name="entry_fee" vbProcedure="false">Assumptions!$B$8</definedName>
    <definedName function="false" hidden="false" name="ever_qualify" vbProcedure="false">'Scenario Parameters'!$B$30</definedName>
    <definedName function="false" hidden="false" name="fab_premium" vbProcedure="false">Assumptions!$B$9</definedName>
    <definedName function="false" hidden="false" name="facility_turnover" vbProcedure="false">'Scenario Parameters'!$B$62</definedName>
    <definedName function="false" hidden="false" name="family_attach" vbProcedure="false">'Scenario Parameters'!$B$64</definedName>
    <definedName function="false" hidden="false" name="family_price" vbProcedure="false">Assumptions!$B$25</definedName>
    <definedName function="false" hidden="false" name="foreign_spend_share" vbProcedure="false">'Scenario Parameters'!$B$47</definedName>
    <definedName function="false" hidden="false" name="fx_margin" vbProcedure="false">Assumptions!$B$17</definedName>
    <definedName function="false" hidden="false" name="gate_run" vbProcedure="false">Assumptions!$B$42</definedName>
    <definedName function="false" hidden="false" name="gold_cagr" vbProcedure="false">'Scenario Parameters'!$B$10</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Parameters'!$B$48</definedName>
    <definedName function="false" hidden="false" name="issuance_fee" vbProcedure="false">Assumptions!$B$20</definedName>
    <definedName function="false" hidden="false" name="lapsed_redemption_mult" vbProcedure="false">'Scenario Parameters'!$B$37</definedName>
    <definedName function="false" hidden="false" name="ltv_gold" vbProcedure="false">Assumptions!$B$31</definedName>
    <definedName function="false" hidden="false" name="mktg_y1" vbProcedure="false">Assumptions!$B$100</definedName>
    <definedName function="false" hidden="false" name="mktg_y2" vbProcedure="false">Assumptions!$B$101</definedName>
    <definedName function="false" hidden="false" name="mktg_y3" vbProcedure="false">Assumptions!$B$102</definedName>
    <definedName function="false" hidden="false" name="mktg_y4" vbProcedure="false">Assumptions!$B$103</definedName>
    <definedName function="false" hidden="false" name="mktg_y5" vbProcedure="false">Assumptions!$B$104</definedName>
    <definedName function="false" hidden="false" name="mktg_y6" vbProcedure="false">Assumptions!$B$105</definedName>
    <definedName function="false" hidden="false" name="mktg_y7" vbProcedure="false">Assumptions!$B$106</definedName>
    <definedName function="false" hidden="false" name="mktshare_gulf" vbProcedure="false">'Scenario Parameters'!$B$21</definedName>
    <definedName function="false" hidden="false" name="mktshare_india" vbProcedure="false">'Scenario Parameters'!$B$22</definedName>
    <definedName function="false" hidden="false" name="mktshare_uae" vbProcedure="false">'Scenario Parameters'!$B$20</definedName>
    <definedName function="false" hidden="false" name="monthly_churn" vbProcedure="false">'Scenario Parameters'!$B$15</definedName>
    <definedName function="false" hidden="false" name="months_to_qualify" vbProcedure="false">'Scenario Parameters'!$B$31</definedName>
    <definedName function="false" hidden="false" name="organic_share" vbProcedure="false">'Scenario Parameters'!$B$25</definedName>
    <definedName function="false" hidden="false" name="origination_gross" vbProcedure="false">Assumptions!$B$27</definedName>
    <definedName function="false" hidden="false" name="origination_share" vbProcedure="false">Assumptions!$B$28</definedName>
    <definedName function="false" hidden="false" name="partners_y1" vbProcedure="false">'Scenario Parameters'!$B$65</definedName>
    <definedName function="false" hidden="false" name="partners_y2" vbProcedure="false">'Scenario Parameters'!$B$66</definedName>
    <definedName function="false" hidden="false" name="partners_y3" vbProcedure="false">'Scenario Parameters'!$B$67</definedName>
    <definedName function="false" hidden="false" name="partners_y4" vbProcedure="false">'Scenario Parameters'!$B$68</definedName>
    <definedName function="false" hidden="false" name="partners_y5" vbProcedure="false">'Scenario Parameters'!$B$69</definedName>
    <definedName function="false" hidden="false" name="partners_y6" vbProcedure="false">'Scenario Parameters'!$B$70</definedName>
    <definedName function="false" hidden="false" name="partners_y7" vbProcedure="false">'Scenario Parameters'!$B$71</definedName>
    <definedName function="false" hidden="false" name="partner_adoption" vbProcedure="false">'Scenario Parameters'!$B$73</definedName>
    <definedName function="false" hidden="false" name="partner_users" vbProcedure="false">'Scenario Parameters'!$B$72</definedName>
    <definedName function="false" hidden="false" name="persistency_m13" vbProcedure="false">'Scenario Parameters'!$B$14</definedName>
    <definedName function="false" hidden="false" name="pm_share" vbProcedure="false">'Scenario Parameters'!$B$44</definedName>
    <definedName function="false" hidden="false" name="ramp_y1" vbProcedure="false">Assumptions!$B$107</definedName>
    <definedName function="false" hidden="false" name="ramp_y2" vbProcedure="false">Assumptions!$B$108</definedName>
    <definedName function="false" hidden="false" name="ramp_y3" vbProcedure="false">Assumptions!$B$109</definedName>
    <definedName function="false" hidden="false" name="ramp_y4" vbProcedure="false">Assumptions!$B$110</definedName>
    <definedName function="false" hidden="false" name="ramp_y5" vbProcedure="false">Assumptions!$B$111</definedName>
    <definedName function="false" hidden="false" name="ramp_y6" vbProcedure="false">Assumptions!$B$112</definedName>
    <definedName function="false" hidden="false" name="ramp_y7" vbProcedure="false">Assumptions!$B$113</definedName>
    <definedName function="false" hidden="false" name="redemption_cost" vbProcedure="false">Assumptions!$B$43</definedName>
    <definedName function="false" hidden="false" name="redemption_rate" vbProcedure="false">'Scenario Parameters'!$B$36</definedName>
    <definedName function="false" hidden="false" name="referral_conversion" vbProcedure="false">'Scenario Parameters'!$B$24</definedName>
    <definedName function="false" hidden="false" name="referral_rate" vbProcedure="false">'Scenario Parameters'!$B$23</definedName>
    <definedName function="false" hidden="false" name="replacement_events" vbProcedure="false">'Scenario Parameters'!$B$49</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Parameters'!$B$26</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Parameters'!$B$35</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Assumptions!$B$41</definedName>
    <definedName function="false" hidden="false" name="spotattach_gulf" vbProcedure="false">Assumptions!$B$36</definedName>
    <definedName function="false" hidden="false" name="spotattach_india" vbProcedure="false">Assumptions!$B$37</definedName>
    <definedName function="false" hidden="false" name="spotattach_uae" vbProcedure="false">Assumptions!$B$35</definedName>
    <definedName function="false" hidden="false" name="spotticket_gulf" vbProcedure="false">Assumptions!$B$33</definedName>
    <definedName function="false" hidden="false" name="spotticket_india" vbProcedure="false">Assumptions!$B$34</definedName>
    <definedName function="false" hidden="false" name="spotticket_uae" vbProcedure="false">Assumptions!$B$32</definedName>
    <definedName function="false" hidden="false" name="spot_attach_mult" vbProcedure="false">'Scenario Parameters'!$B$38</definedName>
    <definedName function="false" hidden="false" name="spot_frequency" vbProcedure="false">'Scenario Parameters'!$B$40</definedName>
    <definedName function="false" hidden="false" name="spot_ticket_mult" vbProcedure="false">'Scenario Parameters'!$B$39</definedName>
    <definedName function="false" hidden="false" name="sw_lapsed_keeps_card" vbProcedure="false">'Scenario Parameters'!$B$86</definedName>
    <definedName function="false" hidden="false" name="sw_prepaid_vs_credit" vbProcedure="false">'Scenario Parameters'!$B$85</definedName>
    <definedName function="false" hidden="false" name="ticket_gulf" vbProcedure="false">'Scenario Parameters'!$B$80</definedName>
    <definedName function="false" hidden="false" name="ticket_india" vbProcedure="false">'Scenario Parameters'!$B$81</definedName>
    <definedName function="false" hidden="false" name="ticket_uae" vbProcedure="false">'Scenario Parameters'!$B$79</definedName>
    <definedName function="false" hidden="false" name="txn_fee" vbProcedure="false">Assumptions!$B$15</definedName>
    <definedName function="false" hidden="false" name="xchk_uae_obs" vbProcedure="false">Assumptions!$B$89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<sst xmlns="http://schemas.openxmlformats.org/spreadsheetml/2006/main" count="1168" uniqueCount="560">
  <si>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</si>
  <si>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</si>
  <si>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</si>
  <si>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</si>
  <si>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</si>
  <si>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</si>
  <si>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</si>
  <si>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</si>
  <si>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</si>
  <si>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</si>
  <si>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</si>
  <si>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</si>
  <si>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</si>
  <si>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</si>
  <si>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</si>
  <si>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</si>
  <si>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</si>
  <si>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</si>
  <si>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</si>
  <si>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</si>
  <si>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</si>
  <si>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</si>
  <si>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</si>
  <si>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</si>
  <si>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</si>
  <si>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</si>
  <si>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</si>
  <si>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</si>
  <si>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</si>
  <si>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</si>
  <si>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</si>
  <si>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</si>
  <si>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</si>
  <si>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</si>
  <si>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at M1</t>
  </si>
  <si>
    <t xml:space="preserve">USD/g</t>
  </si>
  <si>
    <t xml:space="preserve">USD 4,400/oz verified 2026-08-17. THE STARTING PRICE - it no longer holds for the whole horizon; see the appreciation rate below and the live 'Gold price (this period)' row on the Model.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</si>
  <si>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</si>
  <si>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</si>
  <si>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</si>
  <si>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</si>
  <si>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</si>
  <si>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</si>
  <si>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</si>
  <si>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</si>
  <si>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</si>
  <si>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</si>
  <si>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</si>
  <si>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</si>
  <si>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</si>
  <si>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</si>
  <si>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</si>
  <si>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</si>
  <si>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</si>
  <si>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</si>
  <si>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</si>
  <si>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</si>
  <si>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</si>
  <si>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</si>
  <si>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</si>
  <si>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</si>
  <si>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</si>
  <si>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</si>
  <si>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</si>
  <si>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</si>
  <si>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</si>
  <si>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</si>
  <si>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</si>
  <si>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</si>
  <si>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</si>
  <si>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</si>
  <si>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</si>
  <si>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</si>
  <si>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</si>
  <si>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</si>
  <si>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</si>
  <si>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</si>
  <si>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Price is ours; the cost floor is verified. ASSUMPTION.</t>
  </si>
  <si>
    <t xml:space="preserve">B2B platform fee</t>
  </si>
  <si>
    <t xml:space="preserve">% of partner AUM/yr</t>
  </si>
  <si>
    <t xml:space="preserve">Placeholder in the 0.5-0.75% band, coupled to the partner set. ASSUMPTION.</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</si>
  <si>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</si>
  <si>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</si>
  <si>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</si>
  <si>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</si>
  <si>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</si>
  <si>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</si>
  <si>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</si>
  <si>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</si>
  <si>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</si>
  <si>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</si>
  <si>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</si>
  <si>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</si>
  <si>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</si>
  <si>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</si>
  <si>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</si>
  <si>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</si>
  <si>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</si>
  <si>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 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</si>
  <si>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</si>
  <si>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</si>
  <si>
    <t xml:space="preserve">Spot attach rate - UAE</t>
  </si>
  <si>
    <t xml:space="preserve">% of customers/yr</t>
  </si>
  <si>
    <t xml:space="preserve">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</si>
  <si>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 xml:space="preserve">Spot attach rate - Oman and Bahrain</t>
  </si>
  <si>
    <t xml:space="preserve">Spot attach rate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</si>
  <si>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</si>
  <si>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</si>
  <si>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</si>
  <si>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</si>
  <si>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</si>
  <si>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</si>
  <si>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</si>
  <si>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</si>
  <si>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</si>
  <si>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</si>
  <si>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</si>
  <si>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</si>
  <si>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</si>
  <si>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</si>
  <si>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</si>
  <si>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</si>
  <si>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</si>
  <si>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</si>
  <si>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</si>
  <si>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</si>
  <si>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</si>
  <si>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</si>
  <si>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</si>
  <si>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</si>
  <si>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</si>
  <si>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</si>
  <si>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</si>
  <si>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</si>
  <si>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</si>
  <si>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</si>
  <si>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</si>
  <si>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</si>
  <si>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</si>
  <si>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</si>
  <si>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</si>
  <si>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</si>
  <si>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</si>
  <si>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</si>
  <si>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</si>
  <si>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</si>
  <si>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</si>
  <si>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</si>
  <si>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</si>
  <si>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</si>
  <si>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</si>
  <si>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</si>
  <si>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</si>
  <si>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</si>
  <si>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</si>
  <si>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</si>
  <si>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</si>
  <si>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</si>
  <si>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</si>
  <si>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</si>
  <si>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</si>
  <si>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</si>
  <si>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</si>
  <si>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</si>
  <si>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</si>
  <si>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</si>
  <si>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</si>
  <si>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</si>
  <si>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</si>
  <si>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</si>
  <si>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</si>
  <si>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</si>
  <si>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</si>
  <si>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</si>
  <si>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</si>
  <si>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</si>
  <si>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</si>
  <si>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</si>
  <si>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</si>
  <si>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</si>
  <si>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</si>
  <si>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</si>
  <si>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</si>
  <si>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</si>
  <si>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</si>
  <si>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</si>
  <si>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</si>
  <si>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</si>
  <si>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</si>
  <si>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</si>
  <si>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</si>
  <si>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</si>
  <si>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</si>
  <si>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</si>
  <si>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</si>
  <si>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</si>
  <si>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</si>
  <si>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</si>
  <si>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CROSS-CHECK vs observed market evidence (memo - feeds nothing)</t>
  </si>
  <si>
    <t xml:space="preserve">  O Gold active users, UAE (observed)</t>
  </si>
  <si>
    <t xml:space="preserve">users</t>
  </si>
  <si>
    <t xml:space="preserve">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</si>
  <si>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</si>
  <si>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 xml:space="preserve">x observed</t>
  </si>
  <si>
    <t xml:space="preserve">⚠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</si>
  <si>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</si>
  <si>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 xml:space="preserve">n/a</t>
  </si>
  <si>
    <t xml:space="preserve">-</t>
  </si>
  <si>
    <t xml:space="preserve">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</si>
  <si>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 xml:space="preserve">Active agents - Y1</t>
  </si>
  <si>
    <t xml:space="preserve">agents</t>
  </si>
  <si>
    <t xml:space="preserve">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</si>
  <si>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</si>
  <si>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</si>
  <si>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</si>
  <si>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</si>
  <si>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</si>
  <si>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</si>
  <si>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</si>
  <si>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</si>
  <si>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</si>
  <si>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</si>
  <si>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</si>
  <si>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</si>
  <si>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</si>
  <si>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</si>
  <si>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</si>
  <si>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</si>
  <si>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</si>
  <si>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</si>
  <si>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</si>
  <si>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</si>
  <si>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</si>
  <si>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</si>
  <si>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</si>
  <si>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</si>
  <si>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</si>
  <si>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</si>
  <si>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</si>
  <si>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</si>
  <si>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</si>
  <si>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Gold price appreciation</t>
  </si>
  <si>
    <t xml:space="preserve">%/yr</t>
  </si>
  <si>
    <t xml:space="preserve">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</si>
  <si>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</si>
  <si>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</si>
  <si>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</si>
  <si>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</si>
  <si>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</si>
  <si>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</si>
  <si>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</si>
  <si>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</si>
  <si>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</si>
  <si>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</si>
  <si>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</si>
  <si>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</si>
  <si>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</si>
  <si>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</si>
  <si>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</si>
  <si>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</si>
  <si>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</si>
  <si>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</si>
  <si>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</si>
  <si>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</si>
  <si>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</si>
  <si>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 IT IS STILL AN ASSUMPTION WITH NO EXTERNAL ANCHOR, and it compounds: referrals feed the paying base, which feeds more referrals. That loop is the reason this parameter is more load-bearing than its size suggests. ASSUMPTION.</t>
  </si>
  <si>
    <t xml:space="preserve">Referral conversion</t>
  </si>
  <si>
    <t xml:space="preserve">The M7 survival of the referred cohort, uplifted ~1.1x. DERIVED.</t>
  </si>
  <si>
    <t xml:space="preserve">Organic share of direct</t>
  </si>
  <si>
    <t xml:space="preserve">% of direct</t>
  </si>
  <si>
    <t xml:space="preserve">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 NO EXTERNAL ANCHOR AT EITHER LEVEL, and it is arithmetically identical to a 12% CAC reduction - so raising this AND cutting CAC in the same pass is close to taking the same benefit twice.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</si>
  <si>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</si>
  <si>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</si>
  <si>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</si>
  <si>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</si>
  <si>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</si>
  <si>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</si>
  <si>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</si>
  <si>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</si>
  <si>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</si>
  <si>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</si>
  <si>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</si>
  <si>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HALVED 2026-08-21 from 0.12, client instruction. ⚠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</si>
  <si>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</si>
  <si>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</si>
  <si>
    <t xml:space="preserve">Holder redemption multiplier</t>
  </si>
  <si>
    <t xml:space="preserve">x the paying rate</t>
  </si>
  <si>
    <t xml:space="preserve">LOWERED 2026-08-21 from 2.2, client instruction. ⚠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</si>
  <si>
    <t xml:space="preserve">Spot attach scenario multiplier</t>
  </si>
  <si>
    <t xml:space="preserve">x the regional attach</t>
  </si>
  <si>
    <t xml:space="preserve">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</si>
  <si>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</si>
  <si>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</si>
  <si>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</si>
  <si>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</si>
  <si>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</si>
  <si>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</si>
  <si>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</si>
  <si>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</si>
  <si>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</si>
  <si>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</si>
  <si>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</si>
  <si>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</si>
  <si>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</si>
  <si>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</si>
  <si>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</si>
  <si>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</si>
  <si>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</si>
  <si>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</si>
  <si>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</si>
  <si>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</si>
  <si>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</si>
  <si>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</si>
  <si>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</si>
  <si>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</si>
  <si>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</si>
  <si>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</si>
  <si>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</si>
  <si>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</si>
  <si>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</si>
  <si>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</si>
  <si>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</si>
  <si>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</si>
  <si>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</si>
  <si>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</si>
  <si>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</si>
  <si>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</si>
  <si>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</si>
  <si>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</si>
  <si>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</si>
  <si>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</si>
  <si>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</si>
  <si>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NOTHING IS STATED ANYWHERE IN THE CORPUS. Pure assumption. Scales stream 3 linearly.</t>
  </si>
  <si>
    <t xml:space="preserve">B2B partners - Y1</t>
  </si>
  <si>
    <t xml:space="preserve">partners</t>
  </si>
  <si>
    <t xml:space="preserve">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</si>
  <si>
    <t xml:space="preserve">B2B partners - Y2</t>
  </si>
  <si>
    <t xml:space="preserve">B2B partners - Y3</t>
  </si>
  <si>
    <t xml:space="preserve">B2B partners - Y4</t>
  </si>
  <si>
    <t xml:space="preserve">B2B partners - Y5</t>
  </si>
  <si>
    <t xml:space="preserve">B2B partners - Y6</t>
  </si>
  <si>
    <t xml:space="preserve">B2B partners - Y7</t>
  </si>
  <si>
    <t xml:space="preserve">Average partner user base</t>
  </si>
  <si>
    <t xml:space="preserve">active users</t>
  </si>
  <si>
    <t xml:space="preserve">THE MIX, NOT THE BIGGEST. A realistic six-partner Gulf book is roughly one Botim-scale (1.7m ACTIVE fintech users, of 8.2-8.5m app users), two at e&amp; money scale (~1.5m subscribers), and three small wallets at a few hundred thousand - which averages near 900k. ⚠ USE ACTIVE USERS, NOT REGISTERED: Botim's own numbers separate 8.5m app users, 3m KYC'd and 1.7m active fintech users, and adopting the headline would overstate this by 5x. CITED for the two largest, ASSUMPTION for the tail.</t>
  </si>
  <si>
    <t xml:space="preserve">Partner users adopting gold (mature)</t>
  </si>
  <si>
    <t xml:space="preserve">% of partner users</t>
  </si>
  <si>
    <t xml:space="preserve">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 THE 4.4% IS THE ONLY OBSERVED GOLD-ADOPTION RATE FOR A GULF WALLET THAT EXISTS. TRIANGULATED.</t>
  </si>
  <si>
    <t xml:space="preserve">AUM per adopting partner user</t>
  </si>
  <si>
    <t xml:space="preserve">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</si>
  <si>
    <t xml:space="preserve">AUM per partner (derived)</t>
  </si>
  <si>
    <t xml:space="preserve">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</si>
  <si>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</si>
  <si>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</si>
  <si>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</si>
  <si>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</si>
  <si>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</si>
  <si>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</si>
  <si>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</si>
  <si>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</si>
  <si>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</si>
  <si>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</si>
  <si>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</si>
  <si>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</si>
  <si>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</si>
  <si>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</si>
  <si>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</si>
  <si>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</si>
  <si>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A0: THE METAL</t>
  </si>
  <si>
    <t xml:space="preserve">Active Value</t>
  </si>
  <si>
    <t xml:space="preserve">Aggressive</t>
  </si>
  <si>
    <t xml:space="preserve">Conservative</t>
  </si>
  <si>
    <t xml:space="preserve">GROUP A: CUSTOMERS AND CHURN</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</si>
  <si>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</si>
  <si>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</si>
  <si>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</si>
  <si>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</si>
  <si>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</si>
  <si>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</si>
  <si>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</si>
  <si>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</si>
  <si>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</si>
  <si>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</si>
  <si>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</si>
  <si>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</si>
  <si>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</si>
  <si>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</si>
  <si>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</si>
  <si>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</si>
  <si>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</si>
  <si>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</si>
  <si>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</si>
  <si>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</si>
  <si>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</si>
  <si>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</si>
  <si>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</si>
  <si>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</si>
  <si>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</si>
  <si>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</si>
  <si>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</si>
  <si>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</si>
  <si>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</si>
  <si>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</si>
  <si>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</si>
  <si>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</si>
  <si>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</si>
  <si>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</si>
  <si>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</si>
  <si>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</si>
  <si>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</si>
  <si>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</si>
  <si>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</si>
  <si>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</si>
  <si>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</si>
  <si>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</si>
  <si>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</si>
  <si>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</si>
  <si>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</si>
  <si>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</si>
  <si>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</si>
  <si>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</si>
  <si>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</si>
  <si>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</si>
  <si>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</si>
  <si>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</si>
  <si>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</si>
  <si>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</si>
  <si>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</si>
  <si>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</si>
  <si>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</si>
  <si>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</si>
  <si>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</si>
  <si>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</si>
  <si>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</si>
  <si>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</si>
  <si>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</si>
  <si>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</si>
  <si>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</si>
  <si>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</si>
  <si>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</si>
  <si>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</si>
  <si>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Gold price (this period)</t>
  </si>
  <si>
    <t xml:space="preserve">⚠ 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</si>
  <si>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</si>
  <si>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</si>
  <si>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</si>
  <si>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</si>
  <si>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</si>
  <si>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</si>
  <si>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</si>
  <si>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</si>
  <si>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</si>
  <si>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</si>
  <si>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</si>
  <si>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</si>
  <si>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</si>
  <si>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</si>
  <si>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</si>
  <si>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</si>
  <si>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</si>
  <si>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Redemption-only decay rate (metal actually leaving)</t>
  </si>
  <si>
    <t xml:space="preserve">  Grams held (collateral-eligible)</t>
  </si>
  <si>
    <t xml:space="preserve">  Grams under custody (vaulted, incl. self-custodied)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</si>
  <si>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</si>
  <si>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</si>
  <si>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</si>
  <si>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</si>
  <si>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</si>
  <si>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</si>
  <si>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</si>
  <si>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</si>
  <si>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</si>
  <si>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</si>
  <si>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</si>
  <si>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</si>
  <si>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</si>
  <si>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</si>
  <si>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</si>
  <si>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</si>
  <si>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</si>
  <si>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</si>
  <si>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</si>
  <si>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</si>
  <si>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</si>
  <si>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</si>
  <si>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</si>
  <si>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</si>
  <si>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</si>
  <si>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</si>
  <si>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</si>
  <si>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</si>
  <si>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</si>
  <si>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</si>
  <si>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</si>
  <si>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</si>
  <si>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</si>
  <si>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</si>
  <si>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</si>
  <si>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</si>
  <si>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</si>
  <si>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UNDER CUSTODY</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</si>
  <si>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</si>
  <si>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</si>
  <si>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</si>
  <si>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</si>
  <si>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</si>
  <si>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</si>
  <si>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GOLD UNDER CUSTODY (comparable headline)</t>
  </si>
  <si>
    <t xml:space="preserve">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 COMPARE IN GRAMS, NOT DOLLARS: every published USD figure carries the gold price of its own vintage, so a comparison in dollars is really a comparison of gold prices. Comtech Gold, the closest comparable - Dubai, DMCC-licensed, tokenised gold - holds ~141,000 g.</t>
  </si>
  <si>
    <t xml:space="preserve">  Gold under custody at the CONSTANT M1 price (memo)</t>
  </si>
  <si>
    <t xml:space="preserve">  of which is the metal moving, not the business</t>
  </si>
  <si>
    <t xml:space="preserve">THE HONEST SERIES FOR JUDGING EXECUTION is the constant-price row: it strips the gold price out and leaves grams accumulated, which is the part Aurumix controls. The headline above will grow even if the business does not. ⚠ SET GOLD APPRECIATION TO THE CONSERVATIVE SCENARIO (0.0%) TO RECOVER THE ORIGINAL FLAT-PRICE MODEL, under which these two rows are identical by construction.</t>
  </si>
  <si>
    <t xml:space="preserve">CHECK: paying + holders = cumulative ever acquired</t>
  </si>
  <si>
    <t xml:space="preserve">delta</t>
  </si>
  <si>
    <t xml:space="preserve">CHECK: custody &gt;= collateral-eligible (must be &gt;= 0)</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</si>
  <si>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</si>
  <si>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</si>
  <si>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</si>
  <si>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</si>
  <si>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</si>
  <si>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</si>
  <si>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</si>
  <si>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</si>
  <si>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</si>
  <si>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</si>
  <si>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</si>
  <si>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</si>
  <si>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</si>
  <si>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</si>
  <si>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</si>
  <si>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</si>
  <si>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</si>
  <si>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</si>
  <si>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</si>
  <si>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</si>
  <si>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</si>
  <si>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</si>
  <si>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</si>
  <si>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</si>
  <si>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</si>
  <si>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</si>
  <si>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</si>
  <si>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</si>
  <si>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</si>
  <si>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</si>
  <si>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</si>
  <si>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</si>
  <si>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</si>
  <si>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</si>
  <si>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</si>
  <si>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</si>
  <si>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</si>
  <si>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</si>
  <si>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</si>
  <si>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</si>
  <si>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under custody</t>
  </si>
  <si>
    <t xml:space="preserve">Gold under custody (comparable headline)</t>
  </si>
  <si>
    <t xml:space="preserve">Grams held (collateral-eligible)</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</si>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</sst>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x"/>
    <numFmt numFmtId="173" formatCode="#,##0.000"/>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120</v>
      </c>
      <c r="C25" s="0" t="s">
        <v>76</v>
      </c>
      <c r="D25" s="0" t="s">
        <v>77</v>
      </c>
    </row>
    <row r="26" customFormat="false" ht="15" hidden="false" customHeight="false" outlineLevel="0" collapsed="false">
      <c r="A26" s="0" t="s">
        <v>78</v>
      </c>
      <c r="B26" s="16" t="n">
        <v>0.00625</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20" t="n">
        <v>190</v>
      </c>
      <c r="C32" s="0" t="s">
        <v>95</v>
      </c>
      <c r="D32" s="0" t="s">
        <v>96</v>
      </c>
    </row>
    <row r="33" customFormat="false" ht="15" hidden="false" customHeight="false" outlineLevel="0" collapsed="false">
      <c r="A33" s="0" t="s">
        <v>97</v>
      </c>
      <c r="B33" s="20" t="n">
        <v>145</v>
      </c>
      <c r="C33" s="0" t="s">
        <v>95</v>
      </c>
      <c r="D33" s="0" t="s">
        <v>98</v>
      </c>
    </row>
    <row r="34" customFormat="false" ht="15" hidden="false" customHeight="false" outlineLevel="0" collapsed="false">
      <c r="A34" s="0" t="s">
        <v>99</v>
      </c>
      <c r="B34" s="20" t="n">
        <v>40</v>
      </c>
      <c r="C34" s="0" t="s">
        <v>95</v>
      </c>
      <c r="D34" s="0" t="s">
        <v>100</v>
      </c>
    </row>
    <row r="35" customFormat="false" ht="15" hidden="false" customHeight="false" outlineLevel="0" collapsed="false">
      <c r="A35" s="0" t="s">
        <v>101</v>
      </c>
      <c r="B35" s="19" t="n">
        <v>0.12</v>
      </c>
      <c r="C35" s="0" t="s">
        <v>102</v>
      </c>
      <c r="D35" s="0" t="s">
        <v>103</v>
      </c>
    </row>
    <row r="36" customFormat="false" ht="15" hidden="false" customHeight="false" outlineLevel="0" collapsed="false">
      <c r="A36" s="0" t="s">
        <v>104</v>
      </c>
      <c r="B36" s="19" t="n">
        <v>0.1</v>
      </c>
      <c r="C36" s="0" t="s">
        <v>102</v>
      </c>
      <c r="D36" s="0" t="s">
        <v>103</v>
      </c>
    </row>
    <row r="37" customFormat="false" ht="15" hidden="false" customHeight="false" outlineLevel="0" collapsed="false">
      <c r="A37" s="0" t="s">
        <v>105</v>
      </c>
      <c r="B37" s="19" t="n">
        <v>0.35</v>
      </c>
      <c r="C37" s="0" t="s">
        <v>102</v>
      </c>
      <c r="D37" s="0" t="s">
        <v>103</v>
      </c>
    </row>
    <row r="39" customFormat="false" ht="18" hidden="false" customHeight="true" outlineLevel="0" collapsed="false">
      <c r="A39" s="12" t="s">
        <v>106</v>
      </c>
      <c r="B39" s="13"/>
      <c r="C39" s="13"/>
      <c r="D39" s="13"/>
    </row>
    <row r="40" customFormat="false" ht="15" hidden="false" customHeight="false" outlineLevel="0" collapsed="false">
      <c r="A40" s="14" t="s">
        <v>30</v>
      </c>
      <c r="B40" s="14" t="s">
        <v>31</v>
      </c>
      <c r="C40" s="14" t="s">
        <v>32</v>
      </c>
      <c r="D40" s="14" t="s">
        <v>33</v>
      </c>
    </row>
    <row r="41" customFormat="false" ht="15" hidden="false" customHeight="false" outlineLevel="0" collapsed="false">
      <c r="A41" s="0" t="s">
        <v>107</v>
      </c>
      <c r="B41" s="18" t="n">
        <v>20</v>
      </c>
      <c r="C41" s="0" t="s">
        <v>108</v>
      </c>
      <c r="D41" s="0" t="s">
        <v>109</v>
      </c>
    </row>
    <row r="42" customFormat="false" ht="15" hidden="false" customHeight="false" outlineLevel="0" collapsed="false">
      <c r="A42" s="0" t="s">
        <v>110</v>
      </c>
      <c r="B42" s="17" t="n">
        <v>6</v>
      </c>
      <c r="C42" s="0" t="s">
        <v>111</v>
      </c>
      <c r="D42" s="0" t="s">
        <v>112</v>
      </c>
    </row>
    <row r="43" customFormat="false" ht="15" hidden="false" customHeight="false" outlineLevel="0" collapsed="false">
      <c r="A43" s="0" t="s">
        <v>113</v>
      </c>
      <c r="B43" s="18" t="n">
        <v>3.2</v>
      </c>
      <c r="C43" s="0" t="s">
        <v>114</v>
      </c>
      <c r="D43" s="0" t="s">
        <v>115</v>
      </c>
    </row>
    <row r="45" customFormat="false" ht="18" hidden="false" customHeight="true" outlineLevel="0" collapsed="false">
      <c r="A45" s="12" t="s">
        <v>116</v>
      </c>
      <c r="B45" s="13"/>
      <c r="C45" s="13"/>
      <c r="D45" s="13"/>
    </row>
    <row r="46" customFormat="false" ht="15" hidden="false" customHeight="false" outlineLevel="0" collapsed="false">
      <c r="A46" s="14" t="s">
        <v>30</v>
      </c>
      <c r="B46" s="14" t="s">
        <v>31</v>
      </c>
      <c r="C46" s="14" t="s">
        <v>32</v>
      </c>
      <c r="D46" s="14" t="s">
        <v>33</v>
      </c>
    </row>
    <row r="47" customFormat="false" ht="15" hidden="false" customHeight="false" outlineLevel="0" collapsed="false">
      <c r="A47" s="0" t="s">
        <v>117</v>
      </c>
      <c r="B47" s="17" t="n">
        <v>1</v>
      </c>
      <c r="C47" s="0" t="s">
        <v>118</v>
      </c>
      <c r="D47" s="0" t="s">
        <v>119</v>
      </c>
    </row>
    <row r="48" customFormat="false" ht="15" hidden="false" customHeight="false" outlineLevel="0" collapsed="false">
      <c r="A48" s="0" t="s">
        <v>120</v>
      </c>
      <c r="B48" s="17" t="n">
        <v>1</v>
      </c>
      <c r="C48" s="0" t="s">
        <v>118</v>
      </c>
      <c r="D48" s="0" t="s">
        <v>121</v>
      </c>
    </row>
    <row r="49" customFormat="false" ht="15" hidden="false" customHeight="false" outlineLevel="0" collapsed="false">
      <c r="A49" s="0" t="s">
        <v>122</v>
      </c>
      <c r="B49" s="17" t="n">
        <v>1</v>
      </c>
      <c r="C49" s="0" t="s">
        <v>118</v>
      </c>
      <c r="D49" s="0" t="s">
        <v>123</v>
      </c>
    </row>
    <row r="50" customFormat="false" ht="15" hidden="false" customHeight="false" outlineLevel="0" collapsed="false">
      <c r="A50" s="0" t="s">
        <v>124</v>
      </c>
      <c r="B50" s="17" t="n">
        <v>7</v>
      </c>
      <c r="C50" s="0" t="s">
        <v>118</v>
      </c>
      <c r="D50" s="0" t="s">
        <v>125</v>
      </c>
    </row>
    <row r="51" customFormat="false" ht="15" hidden="false" customHeight="false" outlineLevel="0" collapsed="false">
      <c r="A51" s="0" t="s">
        <v>126</v>
      </c>
      <c r="B51" s="17" t="n">
        <v>13</v>
      </c>
      <c r="C51" s="0" t="s">
        <v>118</v>
      </c>
      <c r="D51" s="0" t="s">
        <v>127</v>
      </c>
    </row>
    <row r="52" customFormat="false" ht="15" hidden="false" customHeight="false" outlineLevel="0" collapsed="false">
      <c r="A52" s="0" t="s">
        <v>128</v>
      </c>
      <c r="B52" s="17" t="n">
        <v>13</v>
      </c>
      <c r="C52" s="0" t="s">
        <v>118</v>
      </c>
      <c r="D52" s="0" t="s">
        <v>129</v>
      </c>
    </row>
    <row r="53" customFormat="false" ht="15" hidden="false" customHeight="false" outlineLevel="0" collapsed="false">
      <c r="A53" s="0" t="s">
        <v>130</v>
      </c>
      <c r="B53" s="17" t="n">
        <v>13</v>
      </c>
      <c r="C53" s="0" t="s">
        <v>118</v>
      </c>
      <c r="D53" s="0" t="s">
        <v>131</v>
      </c>
    </row>
    <row r="54" customFormat="false" ht="15" hidden="false" customHeight="false" outlineLevel="0" collapsed="false">
      <c r="A54" s="0" t="s">
        <v>132</v>
      </c>
      <c r="B54" s="17" t="n">
        <v>13</v>
      </c>
      <c r="C54" s="0" t="s">
        <v>118</v>
      </c>
      <c r="D54" s="0" t="s">
        <v>133</v>
      </c>
    </row>
    <row r="55" customFormat="false" ht="15" hidden="false" customHeight="false" outlineLevel="0" collapsed="false">
      <c r="A55" s="0" t="s">
        <v>134</v>
      </c>
      <c r="B55" s="17" t="n">
        <v>13</v>
      </c>
      <c r="C55" s="0" t="s">
        <v>118</v>
      </c>
      <c r="D55" s="0" t="s">
        <v>135</v>
      </c>
    </row>
    <row r="56" customFormat="false" ht="15" hidden="false" customHeight="false" outlineLevel="0" collapsed="false">
      <c r="A56" s="0" t="s">
        <v>136</v>
      </c>
      <c r="B56" s="17" t="n">
        <v>13</v>
      </c>
      <c r="C56" s="0" t="s">
        <v>118</v>
      </c>
      <c r="D56" s="0" t="s">
        <v>137</v>
      </c>
    </row>
    <row r="57" customFormat="false" ht="15" hidden="false" customHeight="false" outlineLevel="0" collapsed="false">
      <c r="A57" s="0" t="s">
        <v>138</v>
      </c>
      <c r="B57" s="17" t="n">
        <v>1</v>
      </c>
      <c r="C57" s="0" t="s">
        <v>118</v>
      </c>
      <c r="D57" s="0" t="s">
        <v>139</v>
      </c>
    </row>
    <row r="59" customFormat="false" ht="18" hidden="false" customHeight="true" outlineLevel="0" collapsed="false">
      <c r="A59" s="12" t="s">
        <v>140</v>
      </c>
      <c r="B59" s="13"/>
      <c r="C59" s="13"/>
      <c r="D59" s="13"/>
    </row>
    <row r="60" customFormat="false" ht="15" hidden="false" customHeight="false" outlineLevel="0" collapsed="false">
      <c r="A60" s="0" t="s">
        <v>141</v>
      </c>
      <c r="F60" s="21" t="s">
        <v>142</v>
      </c>
      <c r="G60" s="21" t="s">
        <v>143</v>
      </c>
      <c r="H60" s="21" t="s">
        <v>144</v>
      </c>
      <c r="I60" s="21" t="s">
        <v>145</v>
      </c>
      <c r="J60" s="21" t="s">
        <v>146</v>
      </c>
      <c r="K60" s="21" t="s">
        <v>147</v>
      </c>
      <c r="L60" s="21" t="s">
        <v>148</v>
      </c>
      <c r="M60" s="21" t="s">
        <v>149</v>
      </c>
      <c r="N60" s="21" t="s">
        <v>150</v>
      </c>
      <c r="O60" s="21" t="s">
        <v>151</v>
      </c>
      <c r="P60" s="21" t="s">
        <v>152</v>
      </c>
      <c r="Q60" s="21" t="s">
        <v>153</v>
      </c>
    </row>
    <row r="61" customFormat="false" ht="15" hidden="false" customHeight="false" outlineLevel="0" collapsed="false">
      <c r="A61" s="0" t="s">
        <v>154</v>
      </c>
      <c r="D61" s="0" t="s">
        <v>155</v>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ustomFormat="false" ht="15" hidden="false" customHeight="false" outlineLevel="0" collapsed="false">
      <c r="A62" s="0" t="s">
        <v>156</v>
      </c>
      <c r="D62" s="0" t="s">
        <v>157</v>
      </c>
      <c r="F62" s="22" t="n">
        <v>1.1</v>
      </c>
      <c r="G62" s="22" t="n">
        <v>1</v>
      </c>
      <c r="H62" s="22" t="n">
        <v>0.98</v>
      </c>
      <c r="I62" s="22" t="n">
        <v>0.98</v>
      </c>
      <c r="J62" s="22" t="n">
        <v>1</v>
      </c>
      <c r="K62" s="22" t="n">
        <v>0.95</v>
      </c>
      <c r="L62" s="22" t="n">
        <v>0.88</v>
      </c>
      <c r="M62" s="22" t="n">
        <v>0.9</v>
      </c>
      <c r="N62" s="22" t="n">
        <v>1</v>
      </c>
      <c r="O62" s="22" t="n">
        <v>1.02</v>
      </c>
      <c r="P62" s="22" t="n">
        <v>1.05</v>
      </c>
      <c r="Q62" s="22" t="n">
        <v>1.14</v>
      </c>
    </row>
    <row r="63" customFormat="false" ht="15" hidden="false" customHeight="false" outlineLevel="0" collapsed="false">
      <c r="A63" s="0" t="s">
        <v>158</v>
      </c>
      <c r="D63" s="0" t="s">
        <v>159</v>
      </c>
      <c r="F63" s="22" t="n">
        <v>30</v>
      </c>
      <c r="G63" s="22" t="n">
        <v>30</v>
      </c>
      <c r="H63" s="22" t="n">
        <v>30</v>
      </c>
      <c r="I63" s="22" t="n">
        <v>32</v>
      </c>
      <c r="J63" s="22" t="n">
        <v>34</v>
      </c>
      <c r="K63" s="22" t="n">
        <v>55</v>
      </c>
      <c r="L63" s="22" t="n">
        <v>60</v>
      </c>
      <c r="M63" s="22" t="n">
        <v>56</v>
      </c>
      <c r="N63" s="22" t="n">
        <v>36</v>
      </c>
      <c r="O63" s="22" t="n">
        <v>42</v>
      </c>
      <c r="P63" s="22" t="n">
        <v>40</v>
      </c>
      <c r="Q63" s="22" t="n">
        <v>32</v>
      </c>
    </row>
    <row r="65" customFormat="false" ht="18" hidden="false" customHeight="true" outlineLevel="0" collapsed="false">
      <c r="A65" s="12" t="s">
        <v>160</v>
      </c>
      <c r="B65" s="13"/>
      <c r="C65" s="13"/>
      <c r="D65" s="13"/>
    </row>
    <row r="66" customFormat="false" ht="15" hidden="false" customHeight="false" outlineLevel="0" collapsed="false">
      <c r="A66" s="14" t="s">
        <v>30</v>
      </c>
      <c r="B66" s="14" t="s">
        <v>31</v>
      </c>
      <c r="C66" s="14" t="s">
        <v>32</v>
      </c>
      <c r="D66" s="14" t="s">
        <v>33</v>
      </c>
    </row>
    <row r="67" customFormat="false" ht="15" hidden="false" customHeight="false" outlineLevel="0" collapsed="false">
      <c r="A67" s="3" t="s">
        <v>161</v>
      </c>
      <c r="B67" s="23" t="s">
        <v>162</v>
      </c>
      <c r="D67" s="0" t="s">
        <v>163</v>
      </c>
    </row>
    <row r="68" customFormat="false" ht="15" hidden="false" customHeight="false" outlineLevel="0" collapsed="false">
      <c r="A68" s="3" t="s">
        <v>164</v>
      </c>
      <c r="B68" s="23" t="s">
        <v>165</v>
      </c>
      <c r="D68" s="0" t="s">
        <v>166</v>
      </c>
    </row>
    <row r="69" customFormat="false" ht="15" hidden="false" customHeight="false" outlineLevel="0" collapsed="false">
      <c r="A69" s="3" t="s">
        <v>167</v>
      </c>
      <c r="B69" s="23" t="s">
        <v>162</v>
      </c>
      <c r="D69" s="0" t="s">
        <v>168</v>
      </c>
    </row>
    <row r="71" customFormat="false" ht="18" hidden="false" customHeight="true" outlineLevel="0" collapsed="false">
      <c r="A71" s="12" t="s">
        <v>169</v>
      </c>
      <c r="B71" s="13"/>
      <c r="C71" s="13"/>
      <c r="D71" s="13"/>
    </row>
    <row r="72" customFormat="false" ht="23.85" hidden="false" customHeight="false" outlineLevel="0" collapsed="false">
      <c r="A72" s="24" t="s">
        <v>170</v>
      </c>
      <c r="F72" s="25" t="s">
        <v>171</v>
      </c>
      <c r="G72" s="25" t="s">
        <v>172</v>
      </c>
      <c r="H72" s="25" t="s">
        <v>164</v>
      </c>
      <c r="I72" s="25" t="s">
        <v>167</v>
      </c>
    </row>
    <row r="73" customFormat="false" ht="15" hidden="false" customHeight="false" outlineLevel="0" collapsed="false">
      <c r="A73" s="0" t="s">
        <v>173</v>
      </c>
      <c r="D73" s="0" t="s">
        <v>174</v>
      </c>
      <c r="F73" s="26" t="n">
        <v>4360000</v>
      </c>
      <c r="G73" s="26" t="n">
        <v>3460000</v>
      </c>
      <c r="H73" s="26" t="n">
        <v>2630000</v>
      </c>
      <c r="I73" s="26" t="n">
        <v>12500000</v>
      </c>
    </row>
    <row r="74" customFormat="false" ht="15" hidden="false" customHeight="false" outlineLevel="0" collapsed="false">
      <c r="A74" s="0" t="s">
        <v>175</v>
      </c>
      <c r="D74" s="0" t="s">
        <v>176</v>
      </c>
      <c r="F74" s="27" t="n">
        <v>0.8</v>
      </c>
      <c r="G74" s="27" t="n">
        <v>0.8</v>
      </c>
      <c r="H74" s="27" t="n">
        <v>1</v>
      </c>
      <c r="I74" s="27" t="n">
        <v>1</v>
      </c>
    </row>
    <row r="75" customFormat="false" ht="15" hidden="false" customHeight="false" outlineLevel="0" collapsed="false">
      <c r="A75" s="0" t="s">
        <v>177</v>
      </c>
      <c r="D75" s="0" t="s">
        <v>178</v>
      </c>
      <c r="F75" s="27" t="n">
        <v>0.57</v>
      </c>
      <c r="G75" s="27" t="n">
        <v>0.57</v>
      </c>
      <c r="H75" s="27" t="n">
        <v>0.57</v>
      </c>
      <c r="I75" s="27" t="n">
        <v>1</v>
      </c>
    </row>
    <row r="76" customFormat="false" ht="15" hidden="false" customHeight="false" outlineLevel="0" collapsed="false">
      <c r="A76" s="0" t="s">
        <v>179</v>
      </c>
      <c r="D76" s="0" t="s">
        <v>180</v>
      </c>
      <c r="F76" s="27" t="n">
        <v>0.4</v>
      </c>
      <c r="G76" s="27" t="n">
        <v>0.4</v>
      </c>
      <c r="H76" s="27" t="n">
        <v>0.4</v>
      </c>
      <c r="I76" s="27" t="n">
        <v>1</v>
      </c>
    </row>
    <row r="77" customFormat="false" ht="15" hidden="false" customHeight="false" outlineLevel="0" collapsed="false">
      <c r="A77" s="0" t="s">
        <v>181</v>
      </c>
      <c r="D77" s="0" t="s">
        <v>182</v>
      </c>
      <c r="F77" s="28" t="n">
        <f aca="false">F73*F74*F75*F76</f>
        <v>795264</v>
      </c>
      <c r="G77" s="28" t="n">
        <f aca="false">G73*G74*G75*G76</f>
        <v>631104</v>
      </c>
      <c r="H77" s="28" t="n">
        <f aca="false">H73*H74*H75*H76</f>
        <v>599640</v>
      </c>
      <c r="I77" s="28" t="n">
        <f aca="false">I73*I74*I75*I76</f>
        <v>12500000</v>
      </c>
    </row>
    <row r="78" customFormat="false" ht="15" hidden="false" customHeight="false" outlineLevel="0" collapsed="false">
      <c r="A78" s="0" t="s">
        <v>183</v>
      </c>
      <c r="D78" s="0" t="s">
        <v>184</v>
      </c>
      <c r="F78" s="29" t="n">
        <v>0.1</v>
      </c>
      <c r="G78" s="29" t="n">
        <v>0.1</v>
      </c>
      <c r="H78" s="29" t="n">
        <v>0.06</v>
      </c>
      <c r="I78" s="29" t="n">
        <v>0.01</v>
      </c>
    </row>
    <row r="79" customFormat="false" ht="15" hidden="false" customHeight="false" outlineLevel="0" collapsed="false">
      <c r="A79" s="0" t="s">
        <v>185</v>
      </c>
      <c r="D79" s="0" t="s">
        <v>186</v>
      </c>
      <c r="F79" s="28" t="n">
        <f aca="false">F77*F78</f>
        <v>79526.4</v>
      </c>
      <c r="G79" s="28" t="n">
        <f aca="false">G77*G78</f>
        <v>63110.4</v>
      </c>
      <c r="H79" s="28" t="n">
        <f aca="false">H77*H78</f>
        <v>35978.4</v>
      </c>
      <c r="I79" s="28" t="n">
        <f aca="false">I77*I78</f>
        <v>125000</v>
      </c>
    </row>
    <row r="80" customFormat="false" ht="15" hidden="false" customHeight="false" outlineLevel="0" collapsed="false">
      <c r="A80" s="0" t="s">
        <v>187</v>
      </c>
      <c r="F80" s="30" t="s">
        <v>161</v>
      </c>
      <c r="G80" s="30" t="s">
        <v>161</v>
      </c>
      <c r="H80" s="30" t="s">
        <v>164</v>
      </c>
      <c r="I80" s="30" t="s">
        <v>167</v>
      </c>
    </row>
    <row r="82" customFormat="false" ht="18" hidden="false" customHeight="true" outlineLevel="0" collapsed="false">
      <c r="A82" s="12" t="s">
        <v>188</v>
      </c>
      <c r="B82" s="13"/>
      <c r="C82" s="13"/>
      <c r="D82" s="13"/>
    </row>
    <row r="83" customFormat="false" ht="15" hidden="false" customHeight="false" outlineLevel="0" collapsed="false">
      <c r="A83" s="14" t="s">
        <v>30</v>
      </c>
      <c r="B83" s="14" t="s">
        <v>31</v>
      </c>
      <c r="C83" s="14" t="s">
        <v>32</v>
      </c>
      <c r="D83" s="14" t="s">
        <v>33</v>
      </c>
    </row>
    <row r="84" customFormat="false" ht="15" hidden="false" customHeight="false" outlineLevel="0" collapsed="false">
      <c r="A84" s="0" t="s">
        <v>189</v>
      </c>
      <c r="B84" s="31" t="n">
        <f aca="false">F79+G79</f>
        <v>142636.8</v>
      </c>
      <c r="C84" s="0" t="s">
        <v>190</v>
      </c>
      <c r="D84" s="0" t="s">
        <v>191</v>
      </c>
    </row>
    <row r="85" customFormat="false" ht="15" hidden="false" customHeight="false" outlineLevel="0" collapsed="false">
      <c r="A85" s="0" t="s">
        <v>192</v>
      </c>
      <c r="B85" s="31" t="n">
        <f aca="false">H79</f>
        <v>35978.4</v>
      </c>
      <c r="C85" s="0" t="s">
        <v>190</v>
      </c>
      <c r="D85" s="0" t="s">
        <v>193</v>
      </c>
    </row>
    <row r="86" customFormat="false" ht="15" hidden="false" customHeight="false" outlineLevel="0" collapsed="false">
      <c r="A86" s="0" t="s">
        <v>194</v>
      </c>
      <c r="B86" s="31" t="n">
        <f aca="false">I79</f>
        <v>125000</v>
      </c>
      <c r="C86" s="0" t="s">
        <v>190</v>
      </c>
      <c r="D86" s="0" t="s">
        <v>195</v>
      </c>
    </row>
    <row r="87" customFormat="false" ht="15" hidden="false" customHeight="false" outlineLevel="0" collapsed="false">
      <c r="A87" s="3" t="s">
        <v>196</v>
      </c>
      <c r="B87" s="31" t="n">
        <f aca="false">$B$84+$B$85+$B$86</f>
        <v>303615.2</v>
      </c>
      <c r="C87" s="0" t="s">
        <v>190</v>
      </c>
      <c r="D87" s="0" t="s">
        <v>197</v>
      </c>
    </row>
    <row r="88" customFormat="false" ht="15" hidden="false" customHeight="false" outlineLevel="0" collapsed="false">
      <c r="A88" s="3" t="s">
        <v>198</v>
      </c>
    </row>
    <row r="89" customFormat="false" ht="15" hidden="false" customHeight="false" outlineLevel="0" collapsed="false">
      <c r="A89" s="0" t="s">
        <v>199</v>
      </c>
      <c r="B89" s="17" t="n">
        <v>75000</v>
      </c>
      <c r="C89" s="0" t="s">
        <v>200</v>
      </c>
      <c r="D89" s="0" t="s">
        <v>201</v>
      </c>
    </row>
    <row r="90" customFormat="false" ht="15" hidden="false" customHeight="false" outlineLevel="0" collapsed="false">
      <c r="A90" s="0" t="s">
        <v>202</v>
      </c>
      <c r="B90" s="32" t="n">
        <f aca="false">$B$84/$B$89</f>
        <v>1.901824</v>
      </c>
      <c r="C90" s="0" t="s">
        <v>203</v>
      </c>
      <c r="D90" s="0" t="s">
        <v>204</v>
      </c>
    </row>
    <row r="91" customFormat="false" ht="15" hidden="false" customHeight="false" outlineLevel="0" collapsed="false">
      <c r="A91" s="0" t="s">
        <v>205</v>
      </c>
      <c r="B91" s="23" t="s">
        <v>206</v>
      </c>
      <c r="C91" s="0" t="s">
        <v>207</v>
      </c>
      <c r="D91" s="0" t="s">
        <v>208</v>
      </c>
    </row>
    <row r="93" customFormat="false" ht="15" hidden="false" customHeight="false" outlineLevel="0" collapsed="false">
      <c r="A93" s="0" t="s">
        <v>209</v>
      </c>
      <c r="B93" s="17" t="n">
        <v>8</v>
      </c>
      <c r="C93" s="0" t="s">
        <v>210</v>
      </c>
      <c r="D93" s="0" t="s">
        <v>211</v>
      </c>
    </row>
    <row r="94" customFormat="false" ht="15" hidden="false" customHeight="false" outlineLevel="0" collapsed="false">
      <c r="A94" s="0" t="s">
        <v>212</v>
      </c>
      <c r="B94" s="17" t="n">
        <v>23</v>
      </c>
      <c r="C94" s="0" t="s">
        <v>210</v>
      </c>
      <c r="D94" s="0" t="s">
        <v>211</v>
      </c>
    </row>
    <row r="95" customFormat="false" ht="15" hidden="false" customHeight="false" outlineLevel="0" collapsed="false">
      <c r="A95" s="0" t="s">
        <v>213</v>
      </c>
      <c r="B95" s="17" t="n">
        <v>60</v>
      </c>
      <c r="C95" s="0" t="s">
        <v>210</v>
      </c>
      <c r="D95" s="0" t="s">
        <v>211</v>
      </c>
    </row>
    <row r="96" customFormat="false" ht="15" hidden="false" customHeight="false" outlineLevel="0" collapsed="false">
      <c r="A96" s="0" t="s">
        <v>214</v>
      </c>
      <c r="B96" s="17" t="n">
        <v>90</v>
      </c>
      <c r="C96" s="0" t="s">
        <v>210</v>
      </c>
      <c r="D96" s="0" t="s">
        <v>211</v>
      </c>
    </row>
    <row r="97" customFormat="false" ht="15" hidden="false" customHeight="false" outlineLevel="0" collapsed="false">
      <c r="A97" s="0" t="s">
        <v>215</v>
      </c>
      <c r="B97" s="17" t="n">
        <v>135</v>
      </c>
      <c r="C97" s="0" t="s">
        <v>210</v>
      </c>
      <c r="D97" s="0" t="s">
        <v>211</v>
      </c>
    </row>
    <row r="98" customFormat="false" ht="15" hidden="false" customHeight="false" outlineLevel="0" collapsed="false">
      <c r="A98" s="0" t="s">
        <v>216</v>
      </c>
      <c r="B98" s="17" t="n">
        <v>159</v>
      </c>
      <c r="C98" s="0" t="s">
        <v>210</v>
      </c>
      <c r="D98" s="0" t="s">
        <v>211</v>
      </c>
    </row>
    <row r="99" customFormat="false" ht="15" hidden="false" customHeight="false" outlineLevel="0" collapsed="false">
      <c r="A99" s="0" t="s">
        <v>217</v>
      </c>
      <c r="B99" s="17" t="n">
        <v>186</v>
      </c>
      <c r="C99" s="0" t="s">
        <v>210</v>
      </c>
      <c r="D99" s="0" t="s">
        <v>211</v>
      </c>
    </row>
    <row r="100" customFormat="false" ht="15" hidden="false" customHeight="false" outlineLevel="0" collapsed="false">
      <c r="A100" s="0" t="s">
        <v>218</v>
      </c>
      <c r="B100" s="20" t="n">
        <v>90000</v>
      </c>
      <c r="C100" s="0" t="s">
        <v>76</v>
      </c>
      <c r="D100" s="0" t="s">
        <v>219</v>
      </c>
    </row>
    <row r="101" customFormat="false" ht="15" hidden="false" customHeight="false" outlineLevel="0" collapsed="false">
      <c r="A101" s="0" t="s">
        <v>220</v>
      </c>
      <c r="B101" s="20" t="n">
        <v>270000</v>
      </c>
      <c r="C101" s="0" t="s">
        <v>76</v>
      </c>
      <c r="D101" s="0" t="s">
        <v>219</v>
      </c>
    </row>
    <row r="102" customFormat="false" ht="15" hidden="false" customHeight="false" outlineLevel="0" collapsed="false">
      <c r="A102" s="0" t="s">
        <v>221</v>
      </c>
      <c r="B102" s="20" t="n">
        <v>375000</v>
      </c>
      <c r="C102" s="0" t="s">
        <v>76</v>
      </c>
      <c r="D102" s="0" t="s">
        <v>219</v>
      </c>
    </row>
    <row r="103" customFormat="false" ht="15" hidden="false" customHeight="false" outlineLevel="0" collapsed="false">
      <c r="A103" s="0" t="s">
        <v>222</v>
      </c>
      <c r="B103" s="20" t="n">
        <v>600000</v>
      </c>
      <c r="C103" s="0" t="s">
        <v>76</v>
      </c>
      <c r="D103" s="0" t="s">
        <v>219</v>
      </c>
    </row>
    <row r="104" customFormat="false" ht="15" hidden="false" customHeight="false" outlineLevel="0" collapsed="false">
      <c r="A104" s="0" t="s">
        <v>223</v>
      </c>
      <c r="B104" s="20" t="n">
        <v>900000</v>
      </c>
      <c r="C104" s="0" t="s">
        <v>76</v>
      </c>
      <c r="D104" s="0" t="s">
        <v>219</v>
      </c>
    </row>
    <row r="105" customFormat="false" ht="15" hidden="false" customHeight="false" outlineLevel="0" collapsed="false">
      <c r="A105" s="0" t="s">
        <v>224</v>
      </c>
      <c r="B105" s="20" t="n">
        <v>1275000</v>
      </c>
      <c r="C105" s="0" t="s">
        <v>76</v>
      </c>
      <c r="D105" s="0" t="s">
        <v>219</v>
      </c>
    </row>
    <row r="106" customFormat="false" ht="15" hidden="false" customHeight="false" outlineLevel="0" collapsed="false">
      <c r="A106" s="0" t="s">
        <v>225</v>
      </c>
      <c r="B106" s="20" t="n">
        <v>1650000</v>
      </c>
      <c r="C106" s="0" t="s">
        <v>76</v>
      </c>
      <c r="D106" s="0" t="s">
        <v>219</v>
      </c>
    </row>
    <row r="107" customFormat="false" ht="15" hidden="false" customHeight="false" outlineLevel="0" collapsed="false">
      <c r="A107" s="0" t="s">
        <v>226</v>
      </c>
      <c r="B107" s="15" t="n">
        <v>0.6</v>
      </c>
      <c r="C107" s="0" t="s">
        <v>227</v>
      </c>
      <c r="D107" s="0" t="s">
        <v>228</v>
      </c>
    </row>
    <row r="108" customFormat="false" ht="15" hidden="false" customHeight="false" outlineLevel="0" collapsed="false">
      <c r="A108" s="0" t="s">
        <v>229</v>
      </c>
      <c r="B108" s="15" t="n">
        <v>0.85</v>
      </c>
      <c r="C108" s="0" t="s">
        <v>227</v>
      </c>
      <c r="D108" s="0" t="s">
        <v>228</v>
      </c>
    </row>
    <row r="109" customFormat="false" ht="15" hidden="false" customHeight="false" outlineLevel="0" collapsed="false">
      <c r="A109" s="0" t="s">
        <v>230</v>
      </c>
      <c r="B109" s="15" t="n">
        <v>1</v>
      </c>
      <c r="C109" s="0" t="s">
        <v>227</v>
      </c>
      <c r="D109" s="0" t="s">
        <v>228</v>
      </c>
    </row>
    <row r="110" customFormat="false" ht="15" hidden="false" customHeight="false" outlineLevel="0" collapsed="false">
      <c r="A110" s="0" t="s">
        <v>231</v>
      </c>
      <c r="B110" s="15" t="n">
        <v>1</v>
      </c>
      <c r="C110" s="0" t="s">
        <v>227</v>
      </c>
      <c r="D110" s="0" t="s">
        <v>228</v>
      </c>
    </row>
    <row r="111" customFormat="false" ht="15" hidden="false" customHeight="false" outlineLevel="0" collapsed="false">
      <c r="A111" s="0" t="s">
        <v>232</v>
      </c>
      <c r="B111" s="15" t="n">
        <v>1</v>
      </c>
      <c r="C111" s="0" t="s">
        <v>227</v>
      </c>
      <c r="D111" s="0" t="s">
        <v>228</v>
      </c>
    </row>
    <row r="112" customFormat="false" ht="15" hidden="false" customHeight="false" outlineLevel="0" collapsed="false">
      <c r="A112" s="0" t="s">
        <v>233</v>
      </c>
      <c r="B112" s="15" t="n">
        <v>1</v>
      </c>
      <c r="C112" s="0" t="s">
        <v>227</v>
      </c>
      <c r="D112" s="0" t="s">
        <v>228</v>
      </c>
    </row>
    <row r="113" customFormat="false" ht="15" hidden="false" customHeight="false" outlineLevel="0" collapsed="false">
      <c r="A113" s="0" t="s">
        <v>234</v>
      </c>
      <c r="B113" s="15" t="n">
        <v>1</v>
      </c>
      <c r="C113" s="0" t="s">
        <v>227</v>
      </c>
      <c r="D113" s="0" t="s">
        <v>228</v>
      </c>
    </row>
    <row r="114" customFormat="false" ht="15" hidden="false" customHeight="false" outlineLevel="0" collapsed="false">
      <c r="A114" s="0" t="s">
        <v>235</v>
      </c>
      <c r="B114" s="19" t="n">
        <v>0.45</v>
      </c>
      <c r="C114" s="0" t="s">
        <v>236</v>
      </c>
      <c r="D114" s="0" t="s">
        <v>237</v>
      </c>
    </row>
    <row r="115" customFormat="false" ht="15" hidden="false" customHeight="false" outlineLevel="0" collapsed="false">
      <c r="A115" s="0" t="s">
        <v>238</v>
      </c>
      <c r="B115" s="19" t="n">
        <v>0.1</v>
      </c>
      <c r="C115" s="0" t="s">
        <v>236</v>
      </c>
      <c r="D115" s="0" t="s">
        <v>237</v>
      </c>
    </row>
    <row r="116" customFormat="false" ht="15" hidden="false" customHeight="false" outlineLevel="0" collapsed="false">
      <c r="A116" s="0" t="s">
        <v>239</v>
      </c>
      <c r="B116" s="19" t="n">
        <v>0.45</v>
      </c>
      <c r="C116" s="0" t="s">
        <v>236</v>
      </c>
      <c r="D116" s="0" t="s">
        <v>237</v>
      </c>
    </row>
    <row r="118" customFormat="false" ht="18" hidden="false" customHeight="true" outlineLevel="0" collapsed="false">
      <c r="A118" s="12" t="s">
        <v>240</v>
      </c>
      <c r="B118" s="13"/>
      <c r="C118" s="13"/>
      <c r="D118" s="13"/>
    </row>
    <row r="119" customFormat="false" ht="15" hidden="false" customHeight="false" outlineLevel="0" collapsed="false">
      <c r="A119" s="14" t="s">
        <v>30</v>
      </c>
      <c r="B119" s="14" t="s">
        <v>31</v>
      </c>
      <c r="C119" s="14" t="s">
        <v>32</v>
      </c>
      <c r="D119" s="14" t="s">
        <v>33</v>
      </c>
    </row>
    <row r="120" customFormat="false" ht="15" hidden="false" customHeight="false" outlineLevel="0" collapsed="false">
      <c r="A120" s="0" t="s">
        <v>241</v>
      </c>
      <c r="B120" s="33" t="n">
        <f aca="false">'Scenario Parameters'!$B$10</f>
        <v>0.081</v>
      </c>
      <c r="C120" s="0" t="s">
        <v>242</v>
      </c>
      <c r="D120" s="0" t="s">
        <v>243</v>
      </c>
    </row>
    <row r="121" customFormat="false" ht="15" hidden="false" customHeight="false" outlineLevel="0" collapsed="false">
      <c r="A121" s="0" t="s">
        <v>244</v>
      </c>
      <c r="B121" s="34" t="n">
        <f aca="false">'Scenario Parameters'!$B$14</f>
        <v>0.55</v>
      </c>
      <c r="C121" s="0" t="s">
        <v>245</v>
      </c>
      <c r="D121" s="0" t="s">
        <v>246</v>
      </c>
    </row>
    <row r="122" customFormat="false" ht="15" hidden="false" customHeight="false" outlineLevel="0" collapsed="false">
      <c r="A122" s="0" t="s">
        <v>247</v>
      </c>
      <c r="B122" s="33" t="n">
        <f aca="false">'Scenario Parameters'!$B$15</f>
        <v>0.0485991010017477</v>
      </c>
      <c r="C122" s="0" t="s">
        <v>248</v>
      </c>
      <c r="D122" s="0" t="s">
        <v>249</v>
      </c>
    </row>
    <row r="123" customFormat="false" ht="15" hidden="false" customHeight="false" outlineLevel="0" collapsed="false">
      <c r="A123" s="0" t="s">
        <v>250</v>
      </c>
      <c r="B123" s="35" t="n">
        <f aca="false">'Scenario Parameters'!$B$16</f>
        <v>6</v>
      </c>
      <c r="C123" s="0" t="s">
        <v>251</v>
      </c>
      <c r="D123" s="0" t="s">
        <v>252</v>
      </c>
    </row>
    <row r="124" customFormat="false" ht="15" hidden="false" customHeight="false" outlineLevel="0" collapsed="false">
      <c r="A124" s="0" t="s">
        <v>253</v>
      </c>
      <c r="B124" s="36" t="n">
        <f aca="false">'Scenario Parameters'!$B$17</f>
        <v>85</v>
      </c>
      <c r="C124" s="0" t="s">
        <v>254</v>
      </c>
      <c r="D124" s="0" t="s">
        <v>255</v>
      </c>
    </row>
    <row r="125" customFormat="false" ht="15" hidden="false" customHeight="false" outlineLevel="0" collapsed="false">
      <c r="A125" s="0" t="s">
        <v>256</v>
      </c>
      <c r="B125" s="36" t="n">
        <f aca="false">'Scenario Parameters'!$B$18</f>
        <v>75</v>
      </c>
      <c r="C125" s="0" t="s">
        <v>254</v>
      </c>
      <c r="D125" s="0" t="s">
        <v>255</v>
      </c>
    </row>
    <row r="126" customFormat="false" ht="15" hidden="false" customHeight="false" outlineLevel="0" collapsed="false">
      <c r="A126" s="0" t="s">
        <v>257</v>
      </c>
      <c r="B126" s="36" t="n">
        <f aca="false">'Scenario Parameters'!$B$19</f>
        <v>15</v>
      </c>
      <c r="C126" s="0" t="s">
        <v>254</v>
      </c>
      <c r="D126" s="0" t="s">
        <v>255</v>
      </c>
    </row>
    <row r="127" customFormat="false" ht="15" hidden="false" customHeight="false" outlineLevel="0" collapsed="false">
      <c r="A127" s="0" t="s">
        <v>258</v>
      </c>
      <c r="B127" s="34" t="n">
        <f aca="false">'Scenario Parameters'!$B$20</f>
        <v>0.58</v>
      </c>
      <c r="C127" s="0" t="s">
        <v>259</v>
      </c>
      <c r="D127" s="0" t="s">
        <v>260</v>
      </c>
    </row>
    <row r="128" customFormat="false" ht="15" hidden="false" customHeight="false" outlineLevel="0" collapsed="false">
      <c r="A128" s="0" t="s">
        <v>261</v>
      </c>
      <c r="B128" s="34" t="n">
        <f aca="false">'Scenario Parameters'!$B$21</f>
        <v>0.16</v>
      </c>
      <c r="C128" s="0" t="s">
        <v>259</v>
      </c>
      <c r="D128" s="0" t="s">
        <v>260</v>
      </c>
    </row>
    <row r="129" customFormat="false" ht="15" hidden="false" customHeight="false" outlineLevel="0" collapsed="false">
      <c r="A129" s="0" t="s">
        <v>262</v>
      </c>
      <c r="B129" s="34" t="n">
        <f aca="false">'Scenario Parameters'!$B$22</f>
        <v>0.26</v>
      </c>
      <c r="C129" s="0" t="s">
        <v>259</v>
      </c>
      <c r="D129" s="0" t="s">
        <v>260</v>
      </c>
    </row>
    <row r="130" customFormat="false" ht="15" hidden="false" customHeight="false" outlineLevel="0" collapsed="false">
      <c r="A130" s="0" t="s">
        <v>263</v>
      </c>
      <c r="B130" s="35" t="n">
        <f aca="false">'Scenario Parameters'!$B$23</f>
        <v>0.6</v>
      </c>
      <c r="C130" s="0" t="s">
        <v>264</v>
      </c>
      <c r="D130" s="0" t="s">
        <v>265</v>
      </c>
    </row>
    <row r="131" customFormat="false" ht="15" hidden="false" customHeight="false" outlineLevel="0" collapsed="false">
      <c r="A131" s="0" t="s">
        <v>266</v>
      </c>
      <c r="B131" s="34" t="n">
        <f aca="false">'Scenario Parameters'!$B$24</f>
        <v>0.62</v>
      </c>
      <c r="C131" s="0" t="s">
        <v>245</v>
      </c>
      <c r="D131" s="0" t="s">
        <v>267</v>
      </c>
    </row>
    <row r="132" customFormat="false" ht="15" hidden="false" customHeight="false" outlineLevel="0" collapsed="false">
      <c r="A132" s="0" t="s">
        <v>268</v>
      </c>
      <c r="B132" s="34" t="n">
        <f aca="false">'Scenario Parameters'!$B$25</f>
        <v>0.25</v>
      </c>
      <c r="C132" s="0" t="s">
        <v>269</v>
      </c>
      <c r="D132" s="0" t="s">
        <v>270</v>
      </c>
    </row>
    <row r="133" customFormat="false" ht="15" hidden="false" customHeight="false" outlineLevel="0" collapsed="false">
      <c r="A133" s="0" t="s">
        <v>271</v>
      </c>
      <c r="B133" s="35" t="n">
        <f aca="false">'Scenario Parameters'!$B$26</f>
        <v>1</v>
      </c>
      <c r="C133" s="0" t="s">
        <v>272</v>
      </c>
      <c r="D133" s="0" t="s">
        <v>273</v>
      </c>
    </row>
    <row r="134" customFormat="false" ht="15" hidden="false" customHeight="false" outlineLevel="0" collapsed="false">
      <c r="A134" s="0" t="s">
        <v>274</v>
      </c>
      <c r="B134" s="34" t="n">
        <f aca="false">'Scenario Parameters'!$B$30</f>
        <v>0.55</v>
      </c>
      <c r="C134" s="0" t="s">
        <v>275</v>
      </c>
      <c r="D134" s="0" t="s">
        <v>276</v>
      </c>
    </row>
    <row r="135" customFormat="false" ht="15" hidden="false" customHeight="false" outlineLevel="0" collapsed="false">
      <c r="A135" s="0" t="s">
        <v>277</v>
      </c>
      <c r="B135" s="37" t="n">
        <f aca="false">'Scenario Parameters'!$B$31</f>
        <v>8</v>
      </c>
      <c r="C135" s="0" t="s">
        <v>278</v>
      </c>
      <c r="D135" s="0" t="s">
        <v>279</v>
      </c>
    </row>
    <row r="136" customFormat="false" ht="15" hidden="false" customHeight="false" outlineLevel="0" collapsed="false">
      <c r="A136" s="0" t="s">
        <v>280</v>
      </c>
      <c r="B136" s="34" t="n">
        <f aca="false">'Scenario Parameters'!$B$35</f>
        <v>0.06</v>
      </c>
      <c r="C136" s="0" t="s">
        <v>281</v>
      </c>
      <c r="D136" s="0" t="s">
        <v>282</v>
      </c>
    </row>
    <row r="137" customFormat="false" ht="15" hidden="false" customHeight="false" outlineLevel="0" collapsed="false">
      <c r="A137" s="0" t="s">
        <v>283</v>
      </c>
      <c r="B137" s="34" t="n">
        <f aca="false">'Scenario Parameters'!$B$36</f>
        <v>0.06</v>
      </c>
      <c r="C137" s="0" t="s">
        <v>281</v>
      </c>
      <c r="D137" s="0" t="s">
        <v>284</v>
      </c>
    </row>
    <row r="138" customFormat="false" ht="15" hidden="false" customHeight="false" outlineLevel="0" collapsed="false">
      <c r="A138" s="0" t="s">
        <v>285</v>
      </c>
      <c r="B138" s="35" t="n">
        <f aca="false">'Scenario Parameters'!$B$37</f>
        <v>1.6</v>
      </c>
      <c r="C138" s="0" t="s">
        <v>286</v>
      </c>
      <c r="D138" s="0" t="s">
        <v>287</v>
      </c>
    </row>
    <row r="139" customFormat="false" ht="15" hidden="false" customHeight="false" outlineLevel="0" collapsed="false">
      <c r="A139" s="0" t="s">
        <v>288</v>
      </c>
      <c r="B139" s="35" t="n">
        <f aca="false">'Scenario Parameters'!$B$38</f>
        <v>1</v>
      </c>
      <c r="C139" s="0" t="s">
        <v>289</v>
      </c>
      <c r="D139" s="0" t="s">
        <v>290</v>
      </c>
    </row>
    <row r="140" customFormat="false" ht="15" hidden="false" customHeight="false" outlineLevel="0" collapsed="false">
      <c r="A140" s="0" t="s">
        <v>291</v>
      </c>
      <c r="B140" s="35" t="n">
        <f aca="false">'Scenario Parameters'!$B$39</f>
        <v>1</v>
      </c>
      <c r="C140" s="0" t="s">
        <v>292</v>
      </c>
      <c r="D140" s="0" t="s">
        <v>293</v>
      </c>
    </row>
    <row r="141" customFormat="false" ht="15" hidden="false" customHeight="false" outlineLevel="0" collapsed="false">
      <c r="A141" s="0" t="s">
        <v>294</v>
      </c>
      <c r="B141" s="35" t="n">
        <f aca="false">'Scenario Parameters'!$B$40</f>
        <v>1.7</v>
      </c>
      <c r="C141" s="0" t="s">
        <v>295</v>
      </c>
      <c r="D141" s="0" t="s">
        <v>296</v>
      </c>
    </row>
    <row r="142" customFormat="false" ht="15" hidden="false" customHeight="false" outlineLevel="0" collapsed="false">
      <c r="A142" s="0" t="s">
        <v>297</v>
      </c>
      <c r="B142" s="34" t="n">
        <f aca="false">'Scenario Parameters'!$B$44</f>
        <v>0.72</v>
      </c>
      <c r="C142" s="0" t="s">
        <v>245</v>
      </c>
      <c r="D142" s="0" t="s">
        <v>298</v>
      </c>
    </row>
    <row r="143" customFormat="false" ht="15" hidden="false" customHeight="false" outlineLevel="0" collapsed="false">
      <c r="A143" s="0" t="s">
        <v>299</v>
      </c>
      <c r="B143" s="34" t="n">
        <f aca="false">'Scenario Parameters'!$B$45</f>
        <v>0.18</v>
      </c>
      <c r="C143" s="0" t="s">
        <v>300</v>
      </c>
      <c r="D143" s="0" t="s">
        <v>301</v>
      </c>
    </row>
    <row r="144" customFormat="false" ht="15" hidden="false" customHeight="false" outlineLevel="0" collapsed="false">
      <c r="A144" s="0" t="s">
        <v>302</v>
      </c>
      <c r="B144" s="37" t="n">
        <f aca="false">'Scenario Parameters'!$B$46</f>
        <v>4</v>
      </c>
      <c r="C144" s="0" t="s">
        <v>303</v>
      </c>
      <c r="D144" s="0" t="s">
        <v>304</v>
      </c>
    </row>
    <row r="145" customFormat="false" ht="15" hidden="false" customHeight="false" outlineLevel="0" collapsed="false">
      <c r="A145" s="0" t="s">
        <v>305</v>
      </c>
      <c r="B145" s="34" t="n">
        <f aca="false">'Scenario Parameters'!$B$47</f>
        <v>0.34</v>
      </c>
      <c r="C145" s="0" t="s">
        <v>306</v>
      </c>
      <c r="D145" s="0" t="s">
        <v>307</v>
      </c>
    </row>
    <row r="146" customFormat="false" ht="15" hidden="false" customHeight="false" outlineLevel="0" collapsed="false">
      <c r="A146" s="0" t="s">
        <v>308</v>
      </c>
      <c r="B146" s="35" t="n">
        <f aca="false">'Scenario Parameters'!$B$48</f>
        <v>1.06</v>
      </c>
      <c r="C146" s="0" t="s">
        <v>309</v>
      </c>
      <c r="D146" s="0" t="s">
        <v>310</v>
      </c>
    </row>
    <row r="147" customFormat="false" ht="15" hidden="false" customHeight="false" outlineLevel="0" collapsed="false">
      <c r="A147" s="0" t="s">
        <v>311</v>
      </c>
      <c r="B147" s="35" t="n">
        <f aca="false">'Scenario Parameters'!$B$49</f>
        <v>0.11</v>
      </c>
      <c r="C147" s="0" t="s">
        <v>309</v>
      </c>
      <c r="D147" s="0" t="s">
        <v>312</v>
      </c>
    </row>
    <row r="148" customFormat="false" ht="15" hidden="false" customHeight="false" outlineLevel="0" collapsed="false">
      <c r="A148" s="0" t="s">
        <v>313</v>
      </c>
      <c r="B148" s="34" t="n">
        <f aca="false">'Scenario Parameters'!$B$50</f>
        <v>0.6</v>
      </c>
      <c r="C148" s="0" t="s">
        <v>245</v>
      </c>
      <c r="D148" s="0" t="s">
        <v>314</v>
      </c>
    </row>
    <row r="149" customFormat="false" ht="15" hidden="false" customHeight="false" outlineLevel="0" collapsed="false">
      <c r="A149" s="0" t="s">
        <v>315</v>
      </c>
      <c r="B149" s="34" t="n">
        <f aca="false">'Scenario Parameters'!$B$51</f>
        <v>0.25</v>
      </c>
      <c r="C149" s="0" t="s">
        <v>245</v>
      </c>
      <c r="D149" s="0" t="s">
        <v>314</v>
      </c>
    </row>
    <row r="150" customFormat="false" ht="15" hidden="false" customHeight="false" outlineLevel="0" collapsed="false">
      <c r="A150" s="0" t="s">
        <v>316</v>
      </c>
      <c r="B150" s="34" t="n">
        <f aca="false">'Scenario Parameters'!$B$52</f>
        <v>0.12</v>
      </c>
      <c r="C150" s="0" t="s">
        <v>245</v>
      </c>
      <c r="D150" s="0" t="s">
        <v>314</v>
      </c>
    </row>
    <row r="151" customFormat="false" ht="15" hidden="false" customHeight="false" outlineLevel="0" collapsed="false">
      <c r="A151" s="0" t="s">
        <v>317</v>
      </c>
      <c r="B151" s="34" t="n">
        <f aca="false">'Scenario Parameters'!$B$53</f>
        <v>0.03</v>
      </c>
      <c r="C151" s="0" t="s">
        <v>245</v>
      </c>
      <c r="D151" s="0" t="s">
        <v>314</v>
      </c>
    </row>
    <row r="152" customFormat="false" ht="15" hidden="false" customHeight="false" outlineLevel="0" collapsed="false">
      <c r="A152" s="0" t="s">
        <v>318</v>
      </c>
      <c r="B152" s="37" t="n">
        <f aca="false">'Scenario Parameters'!$B$54</f>
        <v>250</v>
      </c>
      <c r="C152" s="0" t="s">
        <v>63</v>
      </c>
      <c r="D152" s="0" t="s">
        <v>319</v>
      </c>
    </row>
    <row r="153" customFormat="false" ht="15" hidden="false" customHeight="false" outlineLevel="0" collapsed="false">
      <c r="A153" s="0" t="s">
        <v>320</v>
      </c>
      <c r="B153" s="37" t="n">
        <f aca="false">'Scenario Parameters'!$B$55</f>
        <v>1000</v>
      </c>
      <c r="C153" s="0" t="s">
        <v>63</v>
      </c>
      <c r="D153" s="0" t="s">
        <v>319</v>
      </c>
    </row>
    <row r="154" customFormat="false" ht="15" hidden="false" customHeight="false" outlineLevel="0" collapsed="false">
      <c r="A154" s="0" t="s">
        <v>321</v>
      </c>
      <c r="B154" s="37" t="n">
        <f aca="false">'Scenario Parameters'!$B$56</f>
        <v>2250</v>
      </c>
      <c r="C154" s="0" t="s">
        <v>63</v>
      </c>
      <c r="D154" s="0" t="s">
        <v>319</v>
      </c>
    </row>
    <row r="155" customFormat="false" ht="15" hidden="false" customHeight="false" outlineLevel="0" collapsed="false">
      <c r="A155" s="0" t="s">
        <v>322</v>
      </c>
      <c r="B155" s="37" t="n">
        <f aca="false">'Scenario Parameters'!$B$57</f>
        <v>4000</v>
      </c>
      <c r="C155" s="0" t="s">
        <v>63</v>
      </c>
      <c r="D155" s="0" t="s">
        <v>319</v>
      </c>
    </row>
    <row r="156" customFormat="false" ht="15" hidden="false" customHeight="false" outlineLevel="0" collapsed="false">
      <c r="A156" s="0" t="s">
        <v>323</v>
      </c>
      <c r="B156" s="34" t="n">
        <f aca="false">'Scenario Parameters'!$B$61</f>
        <v>0.5</v>
      </c>
      <c r="C156" s="0" t="s">
        <v>245</v>
      </c>
      <c r="D156" s="0" t="s">
        <v>324</v>
      </c>
    </row>
    <row r="157" customFormat="false" ht="15" hidden="false" customHeight="false" outlineLevel="0" collapsed="false">
      <c r="A157" s="0" t="s">
        <v>325</v>
      </c>
      <c r="B157" s="35" t="n">
        <f aca="false">'Scenario Parameters'!$B$62</f>
        <v>0.42</v>
      </c>
      <c r="C157" s="0" t="s">
        <v>326</v>
      </c>
      <c r="D157" s="0" t="s">
        <v>327</v>
      </c>
    </row>
    <row r="158" customFormat="false" ht="15" hidden="false" customHeight="false" outlineLevel="0" collapsed="false">
      <c r="A158" s="0" t="s">
        <v>328</v>
      </c>
      <c r="B158" s="35" t="n">
        <f aca="false">'Scenario Parameters'!$B$63</f>
        <v>2.1</v>
      </c>
      <c r="C158" s="0" t="s">
        <v>329</v>
      </c>
      <c r="D158" s="0" t="s">
        <v>330</v>
      </c>
    </row>
    <row r="159" customFormat="false" ht="15" hidden="false" customHeight="false" outlineLevel="0" collapsed="false">
      <c r="A159" s="0" t="s">
        <v>331</v>
      </c>
      <c r="B159" s="34" t="n">
        <f aca="false">'Scenario Parameters'!$B$64</f>
        <v>0.2</v>
      </c>
      <c r="C159" s="0" t="s">
        <v>275</v>
      </c>
      <c r="D159" s="0" t="s">
        <v>332</v>
      </c>
    </row>
    <row r="160" customFormat="false" ht="15" hidden="false" customHeight="false" outlineLevel="0" collapsed="false">
      <c r="A160" s="0" t="s">
        <v>333</v>
      </c>
      <c r="B160" s="37" t="n">
        <f aca="false">'Scenario Parameters'!$B$65</f>
        <v>0</v>
      </c>
      <c r="C160" s="0" t="s">
        <v>334</v>
      </c>
      <c r="D160" s="0" t="s">
        <v>335</v>
      </c>
    </row>
    <row r="161" customFormat="false" ht="15" hidden="false" customHeight="false" outlineLevel="0" collapsed="false">
      <c r="A161" s="0" t="s">
        <v>336</v>
      </c>
      <c r="B161" s="37" t="n">
        <f aca="false">'Scenario Parameters'!$B$66</f>
        <v>1</v>
      </c>
      <c r="C161" s="0" t="s">
        <v>334</v>
      </c>
      <c r="D161" s="0" t="s">
        <v>335</v>
      </c>
    </row>
    <row r="162" customFormat="false" ht="15" hidden="false" customHeight="false" outlineLevel="0" collapsed="false">
      <c r="A162" s="0" t="s">
        <v>337</v>
      </c>
      <c r="B162" s="37" t="n">
        <f aca="false">'Scenario Parameters'!$B$67</f>
        <v>3</v>
      </c>
      <c r="C162" s="0" t="s">
        <v>334</v>
      </c>
      <c r="D162" s="0" t="s">
        <v>335</v>
      </c>
    </row>
    <row r="163" customFormat="false" ht="15" hidden="false" customHeight="false" outlineLevel="0" collapsed="false">
      <c r="A163" s="0" t="s">
        <v>338</v>
      </c>
      <c r="B163" s="37" t="n">
        <f aca="false">'Scenario Parameters'!$B$68</f>
        <v>5</v>
      </c>
      <c r="C163" s="0" t="s">
        <v>334</v>
      </c>
      <c r="D163" s="0" t="s">
        <v>335</v>
      </c>
    </row>
    <row r="164" customFormat="false" ht="15" hidden="false" customHeight="false" outlineLevel="0" collapsed="false">
      <c r="A164" s="0" t="s">
        <v>339</v>
      </c>
      <c r="B164" s="37" t="n">
        <f aca="false">'Scenario Parameters'!$B$69</f>
        <v>7</v>
      </c>
      <c r="C164" s="0" t="s">
        <v>334</v>
      </c>
      <c r="D164" s="0" t="s">
        <v>335</v>
      </c>
    </row>
    <row r="165" customFormat="false" ht="15" hidden="false" customHeight="false" outlineLevel="0" collapsed="false">
      <c r="A165" s="0" t="s">
        <v>340</v>
      </c>
      <c r="B165" s="37" t="n">
        <f aca="false">'Scenario Parameters'!$B$70</f>
        <v>9</v>
      </c>
      <c r="C165" s="0" t="s">
        <v>334</v>
      </c>
      <c r="D165" s="0" t="s">
        <v>335</v>
      </c>
    </row>
    <row r="166" customFormat="false" ht="15" hidden="false" customHeight="false" outlineLevel="0" collapsed="false">
      <c r="A166" s="0" t="s">
        <v>341</v>
      </c>
      <c r="B166" s="37" t="n">
        <f aca="false">'Scenario Parameters'!$B$71</f>
        <v>11</v>
      </c>
      <c r="C166" s="0" t="s">
        <v>334</v>
      </c>
      <c r="D166" s="0" t="s">
        <v>335</v>
      </c>
    </row>
    <row r="167" customFormat="false" ht="15" hidden="false" customHeight="false" outlineLevel="0" collapsed="false">
      <c r="A167" s="0" t="s">
        <v>342</v>
      </c>
      <c r="B167" s="37" t="n">
        <f aca="false">'Scenario Parameters'!$B$72</f>
        <v>900000</v>
      </c>
      <c r="C167" s="0" t="s">
        <v>343</v>
      </c>
      <c r="D167" s="0" t="s">
        <v>344</v>
      </c>
    </row>
    <row r="168" customFormat="false" ht="15" hidden="false" customHeight="false" outlineLevel="0" collapsed="false">
      <c r="A168" s="0" t="s">
        <v>345</v>
      </c>
      <c r="B168" s="34" t="n">
        <f aca="false">'Scenario Parameters'!$B$73</f>
        <v>0.06</v>
      </c>
      <c r="C168" s="0" t="s">
        <v>346</v>
      </c>
      <c r="D168" s="0" t="s">
        <v>347</v>
      </c>
    </row>
    <row r="169" customFormat="false" ht="15" hidden="false" customHeight="false" outlineLevel="0" collapsed="false">
      <c r="A169" s="0" t="s">
        <v>348</v>
      </c>
      <c r="B169" s="36" t="n">
        <f aca="false">'Scenario Parameters'!$B$74</f>
        <v>350</v>
      </c>
      <c r="C169" s="0" t="s">
        <v>114</v>
      </c>
      <c r="D169" s="0" t="s">
        <v>349</v>
      </c>
    </row>
    <row r="170" customFormat="false" ht="15" hidden="false" customHeight="false" outlineLevel="0" collapsed="false">
      <c r="A170" s="0" t="s">
        <v>350</v>
      </c>
      <c r="B170" s="36" t="n">
        <f aca="false">'Scenario Parameters'!$B$75</f>
        <v>18900000</v>
      </c>
      <c r="C170" s="0" t="s">
        <v>114</v>
      </c>
      <c r="D170" s="0" t="s">
        <v>351</v>
      </c>
    </row>
    <row r="171" customFormat="false" ht="15" hidden="false" customHeight="false" outlineLevel="0" collapsed="false">
      <c r="A171" s="0" t="s">
        <v>352</v>
      </c>
      <c r="B171" s="36" t="n">
        <f aca="false">'Scenario Parameters'!$B$79</f>
        <v>33.6</v>
      </c>
      <c r="C171" s="0" t="s">
        <v>108</v>
      </c>
      <c r="D171" s="0" t="s">
        <v>353</v>
      </c>
    </row>
    <row r="172" customFormat="false" ht="15" hidden="false" customHeight="false" outlineLevel="0" collapsed="false">
      <c r="A172" s="0" t="s">
        <v>354</v>
      </c>
      <c r="B172" s="36" t="n">
        <f aca="false">'Scenario Parameters'!$B$80</f>
        <v>26</v>
      </c>
      <c r="C172" s="0" t="s">
        <v>108</v>
      </c>
      <c r="D172" s="0" t="s">
        <v>353</v>
      </c>
    </row>
    <row r="173" customFormat="false" ht="15" hidden="false" customHeight="false" outlineLevel="0" collapsed="false">
      <c r="A173" s="0" t="s">
        <v>355</v>
      </c>
      <c r="B173" s="36" t="n">
        <f aca="false">'Scenario Parameters'!$B$81</f>
        <v>30</v>
      </c>
      <c r="C173" s="0" t="s">
        <v>108</v>
      </c>
      <c r="D173" s="0" t="s">
        <v>353</v>
      </c>
    </row>
    <row r="174" customFormat="false" ht="15" hidden="false" customHeight="false" outlineLevel="0" collapsed="false">
      <c r="A174" s="0" t="s">
        <v>356</v>
      </c>
      <c r="B174" s="37" t="n">
        <f aca="false">'Scenario Parameters'!$B$85</f>
        <v>0</v>
      </c>
      <c r="C174" s="0" t="s">
        <v>357</v>
      </c>
      <c r="D174" s="0" t="s">
        <v>358</v>
      </c>
    </row>
    <row r="175" customFormat="false" ht="15" hidden="false" customHeight="false" outlineLevel="0" collapsed="false">
      <c r="A175" s="0" t="s">
        <v>359</v>
      </c>
      <c r="B175" s="37" t="n">
        <f aca="false">'Scenario Parameters'!$B$86</f>
        <v>1</v>
      </c>
      <c r="C175" s="0" t="s">
        <v>357</v>
      </c>
      <c r="D175" s="0" t="s">
        <v>360</v>
      </c>
    </row>
    <row r="176" customFormat="false" ht="15" hidden="false" customHeight="false" outlineLevel="0" collapsed="false">
      <c r="A176" s="9" t="s">
        <v>361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362</v>
      </c>
    </row>
    <row r="4" customFormat="false" ht="18" hidden="false" customHeight="true" outlineLevel="0" collapsed="false">
      <c r="A4" s="12" t="s">
        <v>363</v>
      </c>
      <c r="B4" s="13"/>
      <c r="C4" s="13"/>
      <c r="D4" s="13"/>
      <c r="E4" s="13"/>
    </row>
    <row r="6" customFormat="false" ht="15" hidden="false" customHeight="false" outlineLevel="0" collapsed="false">
      <c r="A6" s="3" t="s">
        <v>364</v>
      </c>
      <c r="B6" s="38" t="s">
        <v>365</v>
      </c>
      <c r="C6" s="0" t="n">
        <f aca="false">IF($B$6="Base",1,IF($B$6="Aggressive",2,3))</f>
        <v>1</v>
      </c>
      <c r="D6" s="23" t="s">
        <v>366</v>
      </c>
      <c r="G6" s="9" t="s">
        <v>367</v>
      </c>
    </row>
    <row r="8" customFormat="false" ht="18" hidden="false" customHeight="true" outlineLevel="0" collapsed="false">
      <c r="A8" s="12" t="s">
        <v>368</v>
      </c>
      <c r="B8" s="13"/>
      <c r="C8" s="13"/>
      <c r="D8" s="13"/>
      <c r="E8" s="13"/>
    </row>
    <row r="9" customFormat="false" ht="15" hidden="false" customHeight="false" outlineLevel="0" collapsed="false">
      <c r="A9" s="14" t="s">
        <v>30</v>
      </c>
      <c r="B9" s="14" t="s">
        <v>369</v>
      </c>
      <c r="C9" s="14" t="s">
        <v>365</v>
      </c>
      <c r="D9" s="14" t="s">
        <v>370</v>
      </c>
      <c r="E9" s="14" t="s">
        <v>371</v>
      </c>
      <c r="F9" s="14" t="s">
        <v>32</v>
      </c>
    </row>
    <row r="10" customFormat="false" ht="15" hidden="false" customHeight="false" outlineLevel="0" collapsed="false">
      <c r="A10" s="0" t="s">
        <v>241</v>
      </c>
      <c r="B10" s="39" t="n">
        <f aca="false">CHOOSE($C$6,C10,D10,E10)</f>
        <v>0.081</v>
      </c>
      <c r="C10" s="16" t="n">
        <v>0.081</v>
      </c>
      <c r="D10" s="16" t="n">
        <v>0.12</v>
      </c>
      <c r="E10" s="16" t="n">
        <v>0</v>
      </c>
      <c r="F10" s="23" t="s">
        <v>242</v>
      </c>
      <c r="G10" s="9" t="s">
        <v>243</v>
      </c>
    </row>
    <row r="12" customFormat="false" ht="18" hidden="false" customHeight="true" outlineLevel="0" collapsed="false">
      <c r="A12" s="12" t="s">
        <v>372</v>
      </c>
      <c r="B12" s="13"/>
      <c r="C12" s="13"/>
      <c r="D12" s="13"/>
      <c r="E12" s="13"/>
    </row>
    <row r="13" customFormat="false" ht="15" hidden="false" customHeight="false" outlineLevel="0" collapsed="false">
      <c r="A13" s="14" t="s">
        <v>30</v>
      </c>
      <c r="B13" s="14" t="s">
        <v>369</v>
      </c>
      <c r="C13" s="14" t="s">
        <v>365</v>
      </c>
      <c r="D13" s="14" t="s">
        <v>370</v>
      </c>
      <c r="E13" s="14" t="s">
        <v>371</v>
      </c>
      <c r="F13" s="14" t="s">
        <v>32</v>
      </c>
    </row>
    <row r="14" customFormat="false" ht="15" hidden="false" customHeight="false" outlineLevel="0" collapsed="false">
      <c r="A14" s="0" t="s">
        <v>244</v>
      </c>
      <c r="B14" s="40" t="n">
        <f aca="false">CHOOSE($C$6,C14,D14,E14)</f>
        <v>0.55</v>
      </c>
      <c r="C14" s="19" t="n">
        <v>0.55</v>
      </c>
      <c r="D14" s="19" t="n">
        <v>0.65</v>
      </c>
      <c r="E14" s="19" t="n">
        <v>0.45</v>
      </c>
      <c r="F14" s="23" t="s">
        <v>245</v>
      </c>
      <c r="G14" s="9" t="s">
        <v>246</v>
      </c>
    </row>
    <row r="15" customFormat="false" ht="15" hidden="false" customHeight="false" outlineLevel="0" collapsed="false">
      <c r="A15" s="0" t="s">
        <v>247</v>
      </c>
      <c r="B15" s="39" t="n">
        <f aca="false">1-'Scenario Parameters'!$B$14^(1/12)</f>
        <v>0.0485991010017477</v>
      </c>
      <c r="F15" s="23" t="s">
        <v>248</v>
      </c>
      <c r="G15" s="9" t="s">
        <v>249</v>
      </c>
    </row>
    <row r="16" customFormat="false" ht="15" hidden="false" customHeight="false" outlineLevel="0" collapsed="false">
      <c r="A16" s="0" t="s">
        <v>250</v>
      </c>
      <c r="B16" s="41" t="n">
        <f aca="false">CHOOSE($C$6,C16,D16,E16)</f>
        <v>6</v>
      </c>
      <c r="C16" s="15" t="n">
        <v>6</v>
      </c>
      <c r="D16" s="15" t="n">
        <v>8</v>
      </c>
      <c r="E16" s="15" t="n">
        <v>3</v>
      </c>
      <c r="F16" s="23" t="s">
        <v>251</v>
      </c>
      <c r="G16" s="9" t="s">
        <v>252</v>
      </c>
    </row>
    <row r="17" customFormat="false" ht="15" hidden="false" customHeight="false" outlineLevel="0" collapsed="false">
      <c r="A17" s="0" t="s">
        <v>253</v>
      </c>
      <c r="B17" s="42" t="n">
        <f aca="false">CHOOSE($C$6,C17,D17,E17)</f>
        <v>85</v>
      </c>
      <c r="C17" s="20" t="n">
        <v>85</v>
      </c>
      <c r="D17" s="20" t="n">
        <v>55</v>
      </c>
      <c r="E17" s="20" t="n">
        <v>140</v>
      </c>
      <c r="F17" s="23" t="s">
        <v>254</v>
      </c>
      <c r="G17" s="9" t="s">
        <v>255</v>
      </c>
    </row>
    <row r="18" customFormat="false" ht="15" hidden="false" customHeight="false" outlineLevel="0" collapsed="false">
      <c r="A18" s="0" t="s">
        <v>256</v>
      </c>
      <c r="B18" s="42" t="n">
        <f aca="false">CHOOSE($C$6,C18,D18,E18)</f>
        <v>75</v>
      </c>
      <c r="C18" s="20" t="n">
        <v>75</v>
      </c>
      <c r="D18" s="20" t="n">
        <v>50</v>
      </c>
      <c r="E18" s="20" t="n">
        <v>125</v>
      </c>
      <c r="F18" s="23" t="s">
        <v>254</v>
      </c>
      <c r="G18" s="9" t="s">
        <v>255</v>
      </c>
    </row>
    <row r="19" customFormat="false" ht="15" hidden="false" customHeight="false" outlineLevel="0" collapsed="false">
      <c r="A19" s="0" t="s">
        <v>257</v>
      </c>
      <c r="B19" s="42" t="n">
        <f aca="false">CHOOSE($C$6,C19,D19,E19)</f>
        <v>15</v>
      </c>
      <c r="C19" s="20" t="n">
        <v>15</v>
      </c>
      <c r="D19" s="20" t="n">
        <v>9</v>
      </c>
      <c r="E19" s="20" t="n">
        <v>26</v>
      </c>
      <c r="F19" s="23" t="s">
        <v>254</v>
      </c>
      <c r="G19" s="9" t="s">
        <v>255</v>
      </c>
    </row>
    <row r="20" customFormat="false" ht="15" hidden="false" customHeight="false" outlineLevel="0" collapsed="false">
      <c r="A20" s="0" t="s">
        <v>258</v>
      </c>
      <c r="B20" s="40" t="n">
        <f aca="false">CHOOSE($C$6,C20,D20,E20)</f>
        <v>0.58</v>
      </c>
      <c r="C20" s="19" t="n">
        <v>0.58</v>
      </c>
      <c r="D20" s="19" t="n">
        <v>0.58</v>
      </c>
      <c r="E20" s="19" t="n">
        <v>0.58</v>
      </c>
      <c r="F20" s="23" t="s">
        <v>259</v>
      </c>
      <c r="G20" s="9" t="s">
        <v>260</v>
      </c>
    </row>
    <row r="21" customFormat="false" ht="15" hidden="false" customHeight="false" outlineLevel="0" collapsed="false">
      <c r="A21" s="0" t="s">
        <v>261</v>
      </c>
      <c r="B21" s="40" t="n">
        <f aca="false">CHOOSE($C$6,C21,D21,E21)</f>
        <v>0.16</v>
      </c>
      <c r="C21" s="19" t="n">
        <v>0.16</v>
      </c>
      <c r="D21" s="19" t="n">
        <v>0.16</v>
      </c>
      <c r="E21" s="19" t="n">
        <v>0.16</v>
      </c>
      <c r="F21" s="23" t="s">
        <v>259</v>
      </c>
      <c r="G21" s="9" t="s">
        <v>260</v>
      </c>
    </row>
    <row r="22" customFormat="false" ht="15" hidden="false" customHeight="false" outlineLevel="0" collapsed="false">
      <c r="A22" s="0" t="s">
        <v>262</v>
      </c>
      <c r="B22" s="40" t="n">
        <f aca="false">CHOOSE($C$6,C22,D22,E22)</f>
        <v>0.26</v>
      </c>
      <c r="C22" s="19" t="n">
        <v>0.26</v>
      </c>
      <c r="D22" s="19" t="n">
        <v>0.26</v>
      </c>
      <c r="E22" s="19" t="n">
        <v>0.26</v>
      </c>
      <c r="F22" s="23" t="s">
        <v>259</v>
      </c>
      <c r="G22" s="9" t="s">
        <v>260</v>
      </c>
    </row>
    <row r="23" customFormat="false" ht="15" hidden="false" customHeight="false" outlineLevel="0" collapsed="false">
      <c r="A23" s="0" t="s">
        <v>263</v>
      </c>
      <c r="B23" s="41" t="n">
        <f aca="false">CHOOSE($C$6,C23,D23,E23)</f>
        <v>0.6</v>
      </c>
      <c r="C23" s="15" t="n">
        <v>0.6</v>
      </c>
      <c r="D23" s="15" t="n">
        <v>1.1</v>
      </c>
      <c r="E23" s="15" t="n">
        <v>0.25</v>
      </c>
      <c r="F23" s="23" t="s">
        <v>264</v>
      </c>
      <c r="G23" s="9" t="s">
        <v>265</v>
      </c>
    </row>
    <row r="24" customFormat="false" ht="15" hidden="false" customHeight="false" outlineLevel="0" collapsed="false">
      <c r="A24" s="0" t="s">
        <v>266</v>
      </c>
      <c r="B24" s="40" t="n">
        <f aca="false">CHOOSE($C$6,C24,D24,E24)</f>
        <v>0.62</v>
      </c>
      <c r="C24" s="19" t="n">
        <v>0.62</v>
      </c>
      <c r="D24" s="19" t="n">
        <v>0.72</v>
      </c>
      <c r="E24" s="19" t="n">
        <v>0.48</v>
      </c>
      <c r="F24" s="23" t="s">
        <v>245</v>
      </c>
      <c r="G24" s="9" t="s">
        <v>267</v>
      </c>
    </row>
    <row r="25" customFormat="false" ht="15" hidden="false" customHeight="false" outlineLevel="0" collapsed="false">
      <c r="A25" s="0" t="s">
        <v>268</v>
      </c>
      <c r="B25" s="40" t="n">
        <f aca="false">CHOOSE($C$6,C25,D25,E25)</f>
        <v>0.25</v>
      </c>
      <c r="C25" s="19" t="n">
        <v>0.25</v>
      </c>
      <c r="D25" s="19" t="n">
        <v>0.4</v>
      </c>
      <c r="E25" s="19" t="n">
        <v>0.1</v>
      </c>
      <c r="F25" s="23" t="s">
        <v>269</v>
      </c>
      <c r="G25" s="9" t="s">
        <v>270</v>
      </c>
    </row>
    <row r="26" customFormat="false" ht="15" hidden="false" customHeight="false" outlineLevel="0" collapsed="false">
      <c r="A26" s="0" t="s">
        <v>271</v>
      </c>
      <c r="B26" s="41" t="n">
        <f aca="false">CHOOSE($C$6,C26,D26,E26)</f>
        <v>1</v>
      </c>
      <c r="C26" s="15" t="n">
        <v>1</v>
      </c>
      <c r="D26" s="15" t="n">
        <v>1.4</v>
      </c>
      <c r="E26" s="15" t="n">
        <v>0.6</v>
      </c>
      <c r="F26" s="23" t="s">
        <v>272</v>
      </c>
      <c r="G26" s="9" t="s">
        <v>273</v>
      </c>
    </row>
    <row r="28" customFormat="false" ht="18" hidden="false" customHeight="true" outlineLevel="0" collapsed="false">
      <c r="A28" s="12" t="s">
        <v>373</v>
      </c>
      <c r="B28" s="13"/>
      <c r="C28" s="13"/>
      <c r="D28" s="13"/>
      <c r="E28" s="13"/>
    </row>
    <row r="29" customFormat="false" ht="15" hidden="false" customHeight="false" outlineLevel="0" collapsed="false">
      <c r="A29" s="14" t="s">
        <v>30</v>
      </c>
      <c r="B29" s="14" t="s">
        <v>369</v>
      </c>
      <c r="C29" s="14" t="s">
        <v>365</v>
      </c>
      <c r="D29" s="14" t="s">
        <v>370</v>
      </c>
      <c r="E29" s="14" t="s">
        <v>371</v>
      </c>
      <c r="F29" s="14" t="s">
        <v>32</v>
      </c>
    </row>
    <row r="30" customFormat="false" ht="15" hidden="false" customHeight="false" outlineLevel="0" collapsed="false">
      <c r="A30" s="0" t="s">
        <v>274</v>
      </c>
      <c r="B30" s="40" t="n">
        <f aca="false">CHOOSE($C$6,C30,D30,E30)</f>
        <v>0.55</v>
      </c>
      <c r="C30" s="19" t="n">
        <v>0.55</v>
      </c>
      <c r="D30" s="19" t="n">
        <v>0.65</v>
      </c>
      <c r="E30" s="19" t="n">
        <v>0.45</v>
      </c>
      <c r="F30" s="23" t="s">
        <v>275</v>
      </c>
      <c r="G30" s="9" t="s">
        <v>276</v>
      </c>
    </row>
    <row r="31" customFormat="false" ht="15" hidden="false" customHeight="false" outlineLevel="0" collapsed="false">
      <c r="A31" s="0" t="s">
        <v>277</v>
      </c>
      <c r="B31" s="31" t="n">
        <f aca="false">CHOOSE($C$6,C31,D31,E31)</f>
        <v>8</v>
      </c>
      <c r="C31" s="17" t="n">
        <v>8</v>
      </c>
      <c r="D31" s="17" t="n">
        <v>6</v>
      </c>
      <c r="E31" s="17" t="n">
        <v>11</v>
      </c>
      <c r="F31" s="23" t="s">
        <v>278</v>
      </c>
      <c r="G31" s="9" t="s">
        <v>279</v>
      </c>
    </row>
    <row r="33" customFormat="false" ht="18" hidden="false" customHeight="true" outlineLevel="0" collapsed="false">
      <c r="A33" s="12" t="s">
        <v>374</v>
      </c>
      <c r="B33" s="13"/>
      <c r="C33" s="13"/>
      <c r="D33" s="13"/>
      <c r="E33" s="13"/>
    </row>
    <row r="34" customFormat="false" ht="15" hidden="false" customHeight="false" outlineLevel="0" collapsed="false">
      <c r="A34" s="14" t="s">
        <v>30</v>
      </c>
      <c r="B34" s="14" t="s">
        <v>369</v>
      </c>
      <c r="C34" s="14" t="s">
        <v>365</v>
      </c>
      <c r="D34" s="14" t="s">
        <v>370</v>
      </c>
      <c r="E34" s="14" t="s">
        <v>371</v>
      </c>
      <c r="F34" s="14" t="s">
        <v>32</v>
      </c>
    </row>
    <row r="35" customFormat="false" ht="15" hidden="false" customHeight="false" outlineLevel="0" collapsed="false">
      <c r="A35" s="0" t="s">
        <v>280</v>
      </c>
      <c r="B35" s="40" t="n">
        <f aca="false">CHOOSE($C$6,C35,D35,E35)</f>
        <v>0.06</v>
      </c>
      <c r="C35" s="19" t="n">
        <v>0.06</v>
      </c>
      <c r="D35" s="19" t="n">
        <v>0.03</v>
      </c>
      <c r="E35" s="19" t="n">
        <v>0.18</v>
      </c>
      <c r="F35" s="23" t="s">
        <v>281</v>
      </c>
      <c r="G35" s="9" t="s">
        <v>282</v>
      </c>
    </row>
    <row r="36" customFormat="false" ht="15" hidden="false" customHeight="false" outlineLevel="0" collapsed="false">
      <c r="A36" s="0" t="s">
        <v>283</v>
      </c>
      <c r="B36" s="40" t="n">
        <f aca="false">CHOOSE($C$6,C36,D36,E36)</f>
        <v>0.06</v>
      </c>
      <c r="C36" s="19" t="n">
        <v>0.06</v>
      </c>
      <c r="D36" s="19" t="n">
        <v>0.035</v>
      </c>
      <c r="E36" s="19" t="n">
        <v>0.12</v>
      </c>
      <c r="F36" s="23" t="s">
        <v>281</v>
      </c>
      <c r="G36" s="9" t="s">
        <v>284</v>
      </c>
    </row>
    <row r="37" customFormat="false" ht="15" hidden="false" customHeight="false" outlineLevel="0" collapsed="false">
      <c r="A37" s="0" t="s">
        <v>285</v>
      </c>
      <c r="B37" s="41" t="n">
        <f aca="false">CHOOSE($C$6,C37,D37,E37)</f>
        <v>1.6</v>
      </c>
      <c r="C37" s="15" t="n">
        <v>1.6</v>
      </c>
      <c r="D37" s="15" t="n">
        <v>1.3</v>
      </c>
      <c r="E37" s="15" t="n">
        <v>2.8</v>
      </c>
      <c r="F37" s="23" t="s">
        <v>286</v>
      </c>
      <c r="G37" s="9" t="s">
        <v>287</v>
      </c>
    </row>
    <row r="38" customFormat="false" ht="15" hidden="false" customHeight="false" outlineLevel="0" collapsed="false">
      <c r="A38" s="0" t="s">
        <v>288</v>
      </c>
      <c r="B38" s="41" t="n">
        <f aca="false">CHOOSE($C$6,C38,D38,E38)</f>
        <v>1</v>
      </c>
      <c r="C38" s="15" t="n">
        <v>1</v>
      </c>
      <c r="D38" s="15" t="n">
        <v>1.7</v>
      </c>
      <c r="E38" s="15" t="n">
        <v>0.5</v>
      </c>
      <c r="F38" s="23" t="s">
        <v>289</v>
      </c>
      <c r="G38" s="9" t="s">
        <v>290</v>
      </c>
    </row>
    <row r="39" customFormat="false" ht="15" hidden="false" customHeight="false" outlineLevel="0" collapsed="false">
      <c r="A39" s="0" t="s">
        <v>291</v>
      </c>
      <c r="B39" s="41" t="n">
        <f aca="false">CHOOSE($C$6,C39,D39,E39)</f>
        <v>1</v>
      </c>
      <c r="C39" s="15" t="n">
        <v>1</v>
      </c>
      <c r="D39" s="15" t="n">
        <v>1.35</v>
      </c>
      <c r="E39" s="15" t="n">
        <v>0.7</v>
      </c>
      <c r="F39" s="23" t="s">
        <v>292</v>
      </c>
      <c r="G39" s="9" t="s">
        <v>293</v>
      </c>
    </row>
    <row r="40" customFormat="false" ht="15" hidden="false" customHeight="false" outlineLevel="0" collapsed="false">
      <c r="A40" s="0" t="s">
        <v>294</v>
      </c>
      <c r="B40" s="41" t="n">
        <f aca="false">CHOOSE($C$6,C40,D40,E40)</f>
        <v>1.7</v>
      </c>
      <c r="C40" s="15" t="n">
        <v>1.7</v>
      </c>
      <c r="D40" s="15" t="n">
        <v>2.4</v>
      </c>
      <c r="E40" s="15" t="n">
        <v>1.2</v>
      </c>
      <c r="F40" s="23" t="s">
        <v>295</v>
      </c>
      <c r="G40" s="9" t="s">
        <v>296</v>
      </c>
    </row>
    <row r="42" customFormat="false" ht="18" hidden="false" customHeight="true" outlineLevel="0" collapsed="false">
      <c r="A42" s="12" t="s">
        <v>375</v>
      </c>
      <c r="B42" s="13"/>
      <c r="C42" s="13"/>
      <c r="D42" s="13"/>
      <c r="E42" s="13"/>
    </row>
    <row r="43" customFormat="false" ht="15" hidden="false" customHeight="false" outlineLevel="0" collapsed="false">
      <c r="A43" s="14" t="s">
        <v>30</v>
      </c>
      <c r="B43" s="14" t="s">
        <v>369</v>
      </c>
      <c r="C43" s="14" t="s">
        <v>365</v>
      </c>
      <c r="D43" s="14" t="s">
        <v>370</v>
      </c>
      <c r="E43" s="14" t="s">
        <v>371</v>
      </c>
      <c r="F43" s="14" t="s">
        <v>32</v>
      </c>
    </row>
    <row r="44" customFormat="false" ht="15" hidden="false" customHeight="false" outlineLevel="0" collapsed="false">
      <c r="A44" s="0" t="s">
        <v>297</v>
      </c>
      <c r="B44" s="40" t="n">
        <f aca="false">CHOOSE($C$6,C44,D44,E44)</f>
        <v>0.72</v>
      </c>
      <c r="C44" s="19" t="n">
        <v>0.72</v>
      </c>
      <c r="D44" s="19" t="n">
        <v>0.85</v>
      </c>
      <c r="E44" s="19" t="n">
        <v>0.55</v>
      </c>
      <c r="F44" s="23" t="s">
        <v>245</v>
      </c>
      <c r="G44" s="9" t="s">
        <v>298</v>
      </c>
    </row>
    <row r="45" customFormat="false" ht="15" hidden="false" customHeight="false" outlineLevel="0" collapsed="false">
      <c r="A45" s="0" t="s">
        <v>299</v>
      </c>
      <c r="B45" s="40" t="n">
        <f aca="false">CHOOSE($C$6,C45,D45,E45)</f>
        <v>0.18</v>
      </c>
      <c r="C45" s="19" t="n">
        <v>0.18</v>
      </c>
      <c r="D45" s="19" t="n">
        <v>0.3</v>
      </c>
      <c r="E45" s="19" t="n">
        <v>0.08</v>
      </c>
      <c r="F45" s="23" t="s">
        <v>300</v>
      </c>
      <c r="G45" s="9" t="s">
        <v>301</v>
      </c>
    </row>
    <row r="46" customFormat="false" ht="15" hidden="false" customHeight="false" outlineLevel="0" collapsed="false">
      <c r="A46" s="0" t="s">
        <v>302</v>
      </c>
      <c r="B46" s="31" t="n">
        <f aca="false">CHOOSE($C$6,C46,D46,E46)</f>
        <v>4</v>
      </c>
      <c r="C46" s="17" t="n">
        <v>4</v>
      </c>
      <c r="D46" s="17" t="n">
        <v>6</v>
      </c>
      <c r="E46" s="17" t="n">
        <v>2</v>
      </c>
      <c r="F46" s="23" t="s">
        <v>303</v>
      </c>
      <c r="G46" s="9" t="s">
        <v>304</v>
      </c>
    </row>
    <row r="47" customFormat="false" ht="15" hidden="false" customHeight="false" outlineLevel="0" collapsed="false">
      <c r="A47" s="0" t="s">
        <v>305</v>
      </c>
      <c r="B47" s="40" t="n">
        <f aca="false">CHOOSE($C$6,C47,D47,E47)</f>
        <v>0.34</v>
      </c>
      <c r="C47" s="19" t="n">
        <v>0.34</v>
      </c>
      <c r="D47" s="19" t="n">
        <v>0.45</v>
      </c>
      <c r="E47" s="19" t="n">
        <v>0.24</v>
      </c>
      <c r="F47" s="23" t="s">
        <v>306</v>
      </c>
      <c r="G47" s="9" t="s">
        <v>307</v>
      </c>
    </row>
    <row r="48" customFormat="false" ht="15" hidden="false" customHeight="false" outlineLevel="0" collapsed="false">
      <c r="A48" s="0" t="s">
        <v>308</v>
      </c>
      <c r="B48" s="41" t="n">
        <f aca="false">CHOOSE($C$6,C48,D48,E48)</f>
        <v>1.06</v>
      </c>
      <c r="C48" s="15" t="n">
        <v>1.06</v>
      </c>
      <c r="D48" s="15" t="n">
        <v>1.04</v>
      </c>
      <c r="E48" s="15" t="n">
        <v>1.1</v>
      </c>
      <c r="F48" s="23" t="s">
        <v>309</v>
      </c>
      <c r="G48" s="9" t="s">
        <v>310</v>
      </c>
    </row>
    <row r="49" customFormat="false" ht="15" hidden="false" customHeight="false" outlineLevel="0" collapsed="false">
      <c r="A49" s="0" t="s">
        <v>311</v>
      </c>
      <c r="B49" s="41" t="n">
        <f aca="false">CHOOSE($C$6,C49,D49,E49)</f>
        <v>0.11</v>
      </c>
      <c r="C49" s="15" t="n">
        <v>0.11</v>
      </c>
      <c r="D49" s="15" t="n">
        <v>0.07</v>
      </c>
      <c r="E49" s="15" t="n">
        <v>0.18</v>
      </c>
      <c r="F49" s="23" t="s">
        <v>309</v>
      </c>
      <c r="G49" s="9" t="s">
        <v>312</v>
      </c>
    </row>
    <row r="50" customFormat="false" ht="15" hidden="false" customHeight="false" outlineLevel="0" collapsed="false">
      <c r="A50" s="0" t="s">
        <v>313</v>
      </c>
      <c r="B50" s="40" t="n">
        <f aca="false">CHOOSE($C$6,C50,D50,E50)</f>
        <v>0.6</v>
      </c>
      <c r="C50" s="19" t="n">
        <v>0.6</v>
      </c>
      <c r="D50" s="19" t="n">
        <v>0.42</v>
      </c>
      <c r="E50" s="19" t="n">
        <v>0.74</v>
      </c>
      <c r="F50" s="23" t="s">
        <v>245</v>
      </c>
      <c r="G50" s="9" t="s">
        <v>314</v>
      </c>
    </row>
    <row r="51" customFormat="false" ht="15" hidden="false" customHeight="false" outlineLevel="0" collapsed="false">
      <c r="A51" s="0" t="s">
        <v>315</v>
      </c>
      <c r="B51" s="40" t="n">
        <f aca="false">CHOOSE($C$6,C51,D51,E51)</f>
        <v>0.25</v>
      </c>
      <c r="C51" s="19" t="n">
        <v>0.25</v>
      </c>
      <c r="D51" s="19" t="n">
        <v>0.3</v>
      </c>
      <c r="E51" s="19" t="n">
        <v>0.18</v>
      </c>
      <c r="F51" s="23" t="s">
        <v>245</v>
      </c>
      <c r="G51" s="9" t="s">
        <v>314</v>
      </c>
    </row>
    <row r="52" customFormat="false" ht="15" hidden="false" customHeight="false" outlineLevel="0" collapsed="false">
      <c r="A52" s="0" t="s">
        <v>316</v>
      </c>
      <c r="B52" s="40" t="n">
        <f aca="false">CHOOSE($C$6,C52,D52,E52)</f>
        <v>0.12</v>
      </c>
      <c r="C52" s="19" t="n">
        <v>0.12</v>
      </c>
      <c r="D52" s="19" t="n">
        <v>0.2</v>
      </c>
      <c r="E52" s="19" t="n">
        <v>0.06</v>
      </c>
      <c r="F52" s="23" t="s">
        <v>245</v>
      </c>
      <c r="G52" s="9" t="s">
        <v>314</v>
      </c>
    </row>
    <row r="53" customFormat="false" ht="15" hidden="false" customHeight="false" outlineLevel="0" collapsed="false">
      <c r="A53" s="0" t="s">
        <v>317</v>
      </c>
      <c r="B53" s="40" t="n">
        <f aca="false">CHOOSE($C$6,C53,D53,E53)</f>
        <v>0.03</v>
      </c>
      <c r="C53" s="19" t="n">
        <v>0.03</v>
      </c>
      <c r="D53" s="19" t="n">
        <v>0.08</v>
      </c>
      <c r="E53" s="19" t="n">
        <v>0.02</v>
      </c>
      <c r="F53" s="23" t="s">
        <v>245</v>
      </c>
      <c r="G53" s="9" t="s">
        <v>314</v>
      </c>
    </row>
    <row r="54" customFormat="false" ht="15" hidden="false" customHeight="false" outlineLevel="0" collapsed="false">
      <c r="A54" s="0" t="s">
        <v>318</v>
      </c>
      <c r="B54" s="31" t="n">
        <f aca="false">CHOOSE($C$6,C54,D54,E54)</f>
        <v>250</v>
      </c>
      <c r="C54" s="17" t="n">
        <v>250</v>
      </c>
      <c r="D54" s="17" t="n">
        <v>300</v>
      </c>
      <c r="E54" s="17" t="n">
        <v>200</v>
      </c>
      <c r="F54" s="23" t="s">
        <v>63</v>
      </c>
      <c r="G54" s="9" t="s">
        <v>319</v>
      </c>
    </row>
    <row r="55" customFormat="false" ht="15" hidden="false" customHeight="false" outlineLevel="0" collapsed="false">
      <c r="A55" s="0" t="s">
        <v>320</v>
      </c>
      <c r="B55" s="31" t="n">
        <f aca="false">CHOOSE($C$6,C55,D55,E55)</f>
        <v>1000</v>
      </c>
      <c r="C55" s="17" t="n">
        <v>1000</v>
      </c>
      <c r="D55" s="17" t="n">
        <v>1100</v>
      </c>
      <c r="E55" s="17" t="n">
        <v>900</v>
      </c>
      <c r="F55" s="23" t="s">
        <v>63</v>
      </c>
      <c r="G55" s="9" t="s">
        <v>319</v>
      </c>
    </row>
    <row r="56" customFormat="false" ht="15" hidden="false" customHeight="false" outlineLevel="0" collapsed="false">
      <c r="A56" s="0" t="s">
        <v>321</v>
      </c>
      <c r="B56" s="31" t="n">
        <f aca="false">CHOOSE($C$6,C56,D56,E56)</f>
        <v>2250</v>
      </c>
      <c r="C56" s="17" t="n">
        <v>2250</v>
      </c>
      <c r="D56" s="17" t="n">
        <v>2400</v>
      </c>
      <c r="E56" s="17" t="n">
        <v>2100</v>
      </c>
      <c r="F56" s="23" t="s">
        <v>63</v>
      </c>
      <c r="G56" s="9" t="s">
        <v>319</v>
      </c>
    </row>
    <row r="57" customFormat="false" ht="15" hidden="false" customHeight="false" outlineLevel="0" collapsed="false">
      <c r="A57" s="0" t="s">
        <v>322</v>
      </c>
      <c r="B57" s="31" t="n">
        <f aca="false">CHOOSE($C$6,C57,D57,E57)</f>
        <v>4000</v>
      </c>
      <c r="C57" s="17" t="n">
        <v>4000</v>
      </c>
      <c r="D57" s="17" t="n">
        <v>4500</v>
      </c>
      <c r="E57" s="17" t="n">
        <v>3600</v>
      </c>
      <c r="F57" s="23" t="s">
        <v>63</v>
      </c>
      <c r="G57" s="9" t="s">
        <v>319</v>
      </c>
    </row>
    <row r="59" customFormat="false" ht="18" hidden="false" customHeight="true" outlineLevel="0" collapsed="false">
      <c r="A59" s="12" t="s">
        <v>376</v>
      </c>
      <c r="B59" s="13"/>
      <c r="C59" s="13"/>
      <c r="D59" s="13"/>
      <c r="E59" s="13"/>
    </row>
    <row r="60" customFormat="false" ht="15" hidden="false" customHeight="false" outlineLevel="0" collapsed="false">
      <c r="A60" s="14" t="s">
        <v>30</v>
      </c>
      <c r="B60" s="14" t="s">
        <v>369</v>
      </c>
      <c r="C60" s="14" t="s">
        <v>365</v>
      </c>
      <c r="D60" s="14" t="s">
        <v>370</v>
      </c>
      <c r="E60" s="14" t="s">
        <v>371</v>
      </c>
      <c r="F60" s="14" t="s">
        <v>32</v>
      </c>
    </row>
    <row r="61" customFormat="false" ht="15" hidden="false" customHeight="false" outlineLevel="0" collapsed="false">
      <c r="A61" s="0" t="s">
        <v>323</v>
      </c>
      <c r="B61" s="40" t="n">
        <f aca="false">CHOOSE($C$6,C61,D61,E61)</f>
        <v>0.5</v>
      </c>
      <c r="C61" s="19" t="n">
        <v>0.5</v>
      </c>
      <c r="D61" s="19" t="n">
        <v>0.7</v>
      </c>
      <c r="E61" s="19" t="n">
        <v>0.3</v>
      </c>
      <c r="F61" s="23" t="s">
        <v>245</v>
      </c>
      <c r="G61" s="9" t="s">
        <v>324</v>
      </c>
    </row>
    <row r="62" customFormat="false" ht="15" hidden="false" customHeight="false" outlineLevel="0" collapsed="false">
      <c r="A62" s="0" t="s">
        <v>325</v>
      </c>
      <c r="B62" s="41" t="n">
        <f aca="false">CHOOSE($C$6,C62,D62,E62)</f>
        <v>0.42</v>
      </c>
      <c r="C62" s="15" t="n">
        <v>0.42</v>
      </c>
      <c r="D62" s="15" t="n">
        <v>0.55</v>
      </c>
      <c r="E62" s="15" t="n">
        <v>0.3</v>
      </c>
      <c r="F62" s="23" t="s">
        <v>326</v>
      </c>
      <c r="G62" s="9" t="s">
        <v>327</v>
      </c>
    </row>
    <row r="63" customFormat="false" ht="15" hidden="false" customHeight="false" outlineLevel="0" collapsed="false">
      <c r="A63" s="0" t="s">
        <v>328</v>
      </c>
      <c r="B63" s="41" t="n">
        <f aca="false">CHOOSE($C$6,C63,D63,E63)</f>
        <v>2.1</v>
      </c>
      <c r="C63" s="15" t="n">
        <v>2.1</v>
      </c>
      <c r="D63" s="15" t="n">
        <v>3.2</v>
      </c>
      <c r="E63" s="15" t="n">
        <v>1.3</v>
      </c>
      <c r="F63" s="23" t="s">
        <v>329</v>
      </c>
      <c r="G63" s="9" t="s">
        <v>330</v>
      </c>
    </row>
    <row r="64" customFormat="false" ht="15" hidden="false" customHeight="false" outlineLevel="0" collapsed="false">
      <c r="A64" s="0" t="s">
        <v>331</v>
      </c>
      <c r="B64" s="40" t="n">
        <f aca="false">CHOOSE($C$6,C64,D64,E64)</f>
        <v>0.2</v>
      </c>
      <c r="C64" s="19" t="n">
        <v>0.2</v>
      </c>
      <c r="D64" s="19" t="n">
        <v>0.35</v>
      </c>
      <c r="E64" s="19" t="n">
        <v>0.1</v>
      </c>
      <c r="F64" s="23" t="s">
        <v>275</v>
      </c>
      <c r="G64" s="9" t="s">
        <v>332</v>
      </c>
    </row>
    <row r="65" customFormat="false" ht="15" hidden="false" customHeight="false" outlineLevel="0" collapsed="false">
      <c r="A65" s="0" t="s">
        <v>333</v>
      </c>
      <c r="B65" s="31" t="n">
        <f aca="false">CHOOSE($C$6,C65,D65,E65)</f>
        <v>0</v>
      </c>
      <c r="C65" s="17" t="n">
        <v>0</v>
      </c>
      <c r="D65" s="17" t="n">
        <v>0</v>
      </c>
      <c r="E65" s="17" t="n">
        <v>0</v>
      </c>
      <c r="F65" s="23" t="s">
        <v>334</v>
      </c>
      <c r="G65" s="9" t="s">
        <v>335</v>
      </c>
    </row>
    <row r="66" customFormat="false" ht="15" hidden="false" customHeight="false" outlineLevel="0" collapsed="false">
      <c r="A66" s="0" t="s">
        <v>336</v>
      </c>
      <c r="B66" s="31" t="n">
        <f aca="false">CHOOSE($C$6,C66,D66,E66)</f>
        <v>1</v>
      </c>
      <c r="C66" s="17" t="n">
        <v>1</v>
      </c>
      <c r="D66" s="17" t="n">
        <v>2</v>
      </c>
      <c r="E66" s="17" t="n">
        <v>1</v>
      </c>
      <c r="F66" s="23" t="s">
        <v>334</v>
      </c>
      <c r="G66" s="9" t="s">
        <v>335</v>
      </c>
    </row>
    <row r="67" customFormat="false" ht="15" hidden="false" customHeight="false" outlineLevel="0" collapsed="false">
      <c r="A67" s="0" t="s">
        <v>337</v>
      </c>
      <c r="B67" s="31" t="n">
        <f aca="false">CHOOSE($C$6,C67,D67,E67)</f>
        <v>3</v>
      </c>
      <c r="C67" s="17" t="n">
        <v>3</v>
      </c>
      <c r="D67" s="17" t="n">
        <v>5</v>
      </c>
      <c r="E67" s="17" t="n">
        <v>1</v>
      </c>
      <c r="F67" s="23" t="s">
        <v>334</v>
      </c>
      <c r="G67" s="9" t="s">
        <v>335</v>
      </c>
    </row>
    <row r="68" customFormat="false" ht="15" hidden="false" customHeight="false" outlineLevel="0" collapsed="false">
      <c r="A68" s="0" t="s">
        <v>338</v>
      </c>
      <c r="B68" s="31" t="n">
        <f aca="false">CHOOSE($C$6,C68,D68,E68)</f>
        <v>5</v>
      </c>
      <c r="C68" s="17" t="n">
        <v>5</v>
      </c>
      <c r="D68" s="17" t="n">
        <v>8</v>
      </c>
      <c r="E68" s="17" t="n">
        <v>2</v>
      </c>
      <c r="F68" s="23" t="s">
        <v>334</v>
      </c>
      <c r="G68" s="9" t="s">
        <v>335</v>
      </c>
    </row>
    <row r="69" customFormat="false" ht="15" hidden="false" customHeight="false" outlineLevel="0" collapsed="false">
      <c r="A69" s="0" t="s">
        <v>339</v>
      </c>
      <c r="B69" s="31" t="n">
        <f aca="false">CHOOSE($C$6,C69,D69,E69)</f>
        <v>7</v>
      </c>
      <c r="C69" s="17" t="n">
        <v>7</v>
      </c>
      <c r="D69" s="17" t="n">
        <v>11</v>
      </c>
      <c r="E69" s="17" t="n">
        <v>3</v>
      </c>
      <c r="F69" s="23" t="s">
        <v>334</v>
      </c>
      <c r="G69" s="9" t="s">
        <v>335</v>
      </c>
    </row>
    <row r="70" customFormat="false" ht="15" hidden="false" customHeight="false" outlineLevel="0" collapsed="false">
      <c r="A70" s="0" t="s">
        <v>340</v>
      </c>
      <c r="B70" s="31" t="n">
        <f aca="false">CHOOSE($C$6,C70,D70,E70)</f>
        <v>9</v>
      </c>
      <c r="C70" s="17" t="n">
        <v>9</v>
      </c>
      <c r="D70" s="17" t="n">
        <v>14</v>
      </c>
      <c r="E70" s="17" t="n">
        <v>4</v>
      </c>
      <c r="F70" s="23" t="s">
        <v>334</v>
      </c>
      <c r="G70" s="9" t="s">
        <v>335</v>
      </c>
    </row>
    <row r="71" customFormat="false" ht="15" hidden="false" customHeight="false" outlineLevel="0" collapsed="false">
      <c r="A71" s="0" t="s">
        <v>341</v>
      </c>
      <c r="B71" s="31" t="n">
        <f aca="false">CHOOSE($C$6,C71,D71,E71)</f>
        <v>11</v>
      </c>
      <c r="C71" s="17" t="n">
        <v>11</v>
      </c>
      <c r="D71" s="17" t="n">
        <v>17</v>
      </c>
      <c r="E71" s="17" t="n">
        <v>5</v>
      </c>
      <c r="F71" s="23" t="s">
        <v>334</v>
      </c>
      <c r="G71" s="9" t="s">
        <v>335</v>
      </c>
    </row>
    <row r="72" customFormat="false" ht="15" hidden="false" customHeight="false" outlineLevel="0" collapsed="false">
      <c r="A72" s="0" t="s">
        <v>342</v>
      </c>
      <c r="B72" s="31" t="n">
        <f aca="false">CHOOSE($C$6,C72,D72,E72)</f>
        <v>900000</v>
      </c>
      <c r="C72" s="17" t="n">
        <v>900000</v>
      </c>
      <c r="D72" s="17" t="n">
        <v>1400000</v>
      </c>
      <c r="E72" s="17" t="n">
        <v>500000</v>
      </c>
      <c r="F72" s="23" t="s">
        <v>343</v>
      </c>
      <c r="G72" s="9" t="s">
        <v>344</v>
      </c>
    </row>
    <row r="73" customFormat="false" ht="15" hidden="false" customHeight="false" outlineLevel="0" collapsed="false">
      <c r="A73" s="0" t="s">
        <v>345</v>
      </c>
      <c r="B73" s="40" t="n">
        <f aca="false">CHOOSE($C$6,C73,D73,E73)</f>
        <v>0.06</v>
      </c>
      <c r="C73" s="19" t="n">
        <v>0.06</v>
      </c>
      <c r="D73" s="19" t="n">
        <v>0.1</v>
      </c>
      <c r="E73" s="19" t="n">
        <v>0.03</v>
      </c>
      <c r="F73" s="23" t="s">
        <v>346</v>
      </c>
      <c r="G73" s="9" t="s">
        <v>347</v>
      </c>
    </row>
    <row r="74" customFormat="false" ht="15" hidden="false" customHeight="false" outlineLevel="0" collapsed="false">
      <c r="A74" s="0" t="s">
        <v>348</v>
      </c>
      <c r="B74" s="42" t="n">
        <f aca="false">CHOOSE($C$6,C74,D74,E74)</f>
        <v>350</v>
      </c>
      <c r="C74" s="20" t="n">
        <v>350</v>
      </c>
      <c r="D74" s="20" t="n">
        <v>500</v>
      </c>
      <c r="E74" s="20" t="n">
        <v>220</v>
      </c>
      <c r="F74" s="23" t="s">
        <v>114</v>
      </c>
      <c r="G74" s="9" t="s">
        <v>349</v>
      </c>
    </row>
    <row r="75" customFormat="false" ht="15" hidden="false" customHeight="false" outlineLevel="0" collapsed="false">
      <c r="A75" s="0" t="s">
        <v>350</v>
      </c>
      <c r="B75" s="42" t="n">
        <f aca="false">'Scenario Parameters'!$B$72*'Scenario Parameters'!$B$73*'Scenario Parameters'!$B$74</f>
        <v>18900000</v>
      </c>
      <c r="F75" s="23" t="s">
        <v>114</v>
      </c>
      <c r="G75" s="9" t="s">
        <v>351</v>
      </c>
    </row>
    <row r="77" customFormat="false" ht="18" hidden="false" customHeight="true" outlineLevel="0" collapsed="false">
      <c r="A77" s="12" t="s">
        <v>377</v>
      </c>
      <c r="B77" s="13"/>
      <c r="C77" s="13"/>
      <c r="D77" s="13"/>
      <c r="E77" s="13"/>
    </row>
    <row r="78" customFormat="false" ht="15" hidden="false" customHeight="false" outlineLevel="0" collapsed="false">
      <c r="A78" s="14" t="s">
        <v>30</v>
      </c>
      <c r="B78" s="14" t="s">
        <v>369</v>
      </c>
      <c r="C78" s="14" t="s">
        <v>365</v>
      </c>
      <c r="D78" s="14" t="s">
        <v>370</v>
      </c>
      <c r="E78" s="14" t="s">
        <v>371</v>
      </c>
      <c r="F78" s="14" t="s">
        <v>32</v>
      </c>
    </row>
    <row r="79" customFormat="false" ht="15" hidden="false" customHeight="false" outlineLevel="0" collapsed="false">
      <c r="A79" s="0" t="s">
        <v>352</v>
      </c>
      <c r="B79" s="42" t="n">
        <f aca="false">CHOOSE($C$6,C79,D79,E79)</f>
        <v>33.6</v>
      </c>
      <c r="C79" s="20" t="n">
        <v>33.6</v>
      </c>
      <c r="D79" s="20" t="n">
        <v>41</v>
      </c>
      <c r="E79" s="20" t="n">
        <v>26.5</v>
      </c>
      <c r="F79" s="23" t="s">
        <v>108</v>
      </c>
      <c r="G79" s="9" t="s">
        <v>353</v>
      </c>
    </row>
    <row r="80" customFormat="false" ht="15" hidden="false" customHeight="false" outlineLevel="0" collapsed="false">
      <c r="A80" s="0" t="s">
        <v>354</v>
      </c>
      <c r="B80" s="42" t="n">
        <f aca="false">CHOOSE($C$6,C80,D80,E80)</f>
        <v>26</v>
      </c>
      <c r="C80" s="20" t="n">
        <v>26</v>
      </c>
      <c r="D80" s="20" t="n">
        <v>32</v>
      </c>
      <c r="E80" s="20" t="n">
        <v>21</v>
      </c>
      <c r="F80" s="23" t="s">
        <v>108</v>
      </c>
      <c r="G80" s="9" t="s">
        <v>353</v>
      </c>
    </row>
    <row r="81" customFormat="false" ht="15" hidden="false" customHeight="false" outlineLevel="0" collapsed="false">
      <c r="A81" s="0" t="s">
        <v>355</v>
      </c>
      <c r="B81" s="42" t="n">
        <f aca="false">CHOOSE($C$6,C81,D81,E81)</f>
        <v>30</v>
      </c>
      <c r="C81" s="20" t="n">
        <v>30</v>
      </c>
      <c r="D81" s="20" t="n">
        <v>36</v>
      </c>
      <c r="E81" s="20" t="n">
        <v>24</v>
      </c>
      <c r="F81" s="23" t="s">
        <v>108</v>
      </c>
      <c r="G81" s="9" t="s">
        <v>353</v>
      </c>
    </row>
    <row r="83" customFormat="false" ht="18" hidden="false" customHeight="true" outlineLevel="0" collapsed="false">
      <c r="A83" s="12" t="s">
        <v>378</v>
      </c>
      <c r="B83" s="13"/>
      <c r="C83" s="13"/>
      <c r="D83" s="13"/>
      <c r="E83" s="13"/>
    </row>
    <row r="84" customFormat="false" ht="15" hidden="false" customHeight="false" outlineLevel="0" collapsed="false">
      <c r="A84" s="14" t="s">
        <v>379</v>
      </c>
      <c r="B84" s="14" t="s">
        <v>380</v>
      </c>
      <c r="C84" s="14" t="s">
        <v>381</v>
      </c>
      <c r="D84" s="14" t="s">
        <v>382</v>
      </c>
    </row>
    <row r="85" customFormat="false" ht="15" hidden="false" customHeight="false" outlineLevel="0" collapsed="false">
      <c r="A85" s="0" t="s">
        <v>356</v>
      </c>
      <c r="B85" s="31" t="n">
        <f aca="false">IF($C$85="Prepaid",1,0)</f>
        <v>0</v>
      </c>
      <c r="C85" s="38" t="s">
        <v>383</v>
      </c>
      <c r="D85" s="23" t="s">
        <v>384</v>
      </c>
      <c r="G85" s="9" t="s">
        <v>358</v>
      </c>
    </row>
    <row r="86" customFormat="false" ht="15" hidden="false" customHeight="false" outlineLevel="0" collapsed="false">
      <c r="A86" s="0" t="s">
        <v>359</v>
      </c>
      <c r="B86" s="31" t="n">
        <f aca="false">IF($C$86="ON",1,0)</f>
        <v>1</v>
      </c>
      <c r="C86" s="38" t="s">
        <v>385</v>
      </c>
      <c r="D86" s="23" t="s">
        <v>385</v>
      </c>
      <c r="G86" s="9" t="s">
        <v>360</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85" type="list">
      <formula1>"Credit,Prepaid"</formula1>
      <formula2>0</formula2>
    </dataValidation>
    <dataValidation allowBlank="false" errorStyle="stop" operator="between" showDropDown="false" showErrorMessage="false" showInputMessage="false" sqref="C86"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386</v>
      </c>
      <c r="B2" s="23" t="s">
        <v>387</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388</v>
      </c>
      <c r="B3" s="23" t="s">
        <v>207</v>
      </c>
      <c r="C3" s="43" t="s">
        <v>389</v>
      </c>
      <c r="D3" s="43" t="s">
        <v>390</v>
      </c>
      <c r="E3" s="43" t="s">
        <v>391</v>
      </c>
      <c r="F3" s="43" t="s">
        <v>392</v>
      </c>
      <c r="G3" s="43" t="s">
        <v>393</v>
      </c>
      <c r="H3" s="43" t="s">
        <v>394</v>
      </c>
      <c r="I3" s="43" t="s">
        <v>395</v>
      </c>
      <c r="J3" s="43" t="s">
        <v>396</v>
      </c>
      <c r="K3" s="43" t="s">
        <v>397</v>
      </c>
      <c r="L3" s="43" t="s">
        <v>398</v>
      </c>
      <c r="M3" s="43" t="s">
        <v>399</v>
      </c>
      <c r="N3" s="43" t="s">
        <v>400</v>
      </c>
      <c r="O3" s="43" t="s">
        <v>401</v>
      </c>
      <c r="P3" s="43" t="s">
        <v>402</v>
      </c>
      <c r="Q3" s="43" t="s">
        <v>403</v>
      </c>
      <c r="R3" s="43" t="s">
        <v>404</v>
      </c>
      <c r="S3" s="43" t="s">
        <v>405</v>
      </c>
      <c r="T3" s="43" t="s">
        <v>406</v>
      </c>
      <c r="U3" s="43" t="s">
        <v>407</v>
      </c>
      <c r="V3" s="43" t="s">
        <v>408</v>
      </c>
      <c r="W3" s="43" t="s">
        <v>409</v>
      </c>
      <c r="X3" s="43" t="s">
        <v>410</v>
      </c>
      <c r="Y3" s="43" t="s">
        <v>411</v>
      </c>
      <c r="Z3" s="43" t="s">
        <v>412</v>
      </c>
      <c r="AA3" s="43" t="s">
        <v>413</v>
      </c>
      <c r="AB3" s="43" t="s">
        <v>414</v>
      </c>
      <c r="AC3" s="43" t="s">
        <v>415</v>
      </c>
      <c r="AD3" s="43" t="s">
        <v>416</v>
      </c>
      <c r="AE3" s="43" t="s">
        <v>417</v>
      </c>
    </row>
    <row r="4" customFormat="false" ht="15" hidden="false" customHeight="false" outlineLevel="0" collapsed="false">
      <c r="A4" s="6" t="s">
        <v>418</v>
      </c>
      <c r="B4" s="23" t="s">
        <v>207</v>
      </c>
      <c r="C4" s="44" t="s">
        <v>419</v>
      </c>
      <c r="D4" s="44" t="s">
        <v>419</v>
      </c>
      <c r="E4" s="44" t="s">
        <v>419</v>
      </c>
      <c r="F4" s="44" t="s">
        <v>419</v>
      </c>
      <c r="G4" s="44" t="s">
        <v>419</v>
      </c>
      <c r="H4" s="44" t="s">
        <v>419</v>
      </c>
      <c r="I4" s="44" t="s">
        <v>419</v>
      </c>
      <c r="J4" s="44" t="s">
        <v>419</v>
      </c>
      <c r="K4" s="44" t="s">
        <v>419</v>
      </c>
      <c r="L4" s="44" t="s">
        <v>419</v>
      </c>
      <c r="M4" s="44" t="s">
        <v>419</v>
      </c>
      <c r="N4" s="44" t="s">
        <v>419</v>
      </c>
      <c r="O4" s="44" t="s">
        <v>419</v>
      </c>
      <c r="P4" s="44" t="s">
        <v>419</v>
      </c>
      <c r="Q4" s="44" t="s">
        <v>419</v>
      </c>
      <c r="R4" s="44" t="s">
        <v>419</v>
      </c>
      <c r="S4" s="44" t="s">
        <v>419</v>
      </c>
      <c r="T4" s="44" t="s">
        <v>419</v>
      </c>
      <c r="U4" s="44" t="s">
        <v>419</v>
      </c>
      <c r="V4" s="44" t="s">
        <v>419</v>
      </c>
      <c r="W4" s="44" t="s">
        <v>419</v>
      </c>
      <c r="X4" s="44" t="s">
        <v>419</v>
      </c>
      <c r="Y4" s="44" t="s">
        <v>419</v>
      </c>
      <c r="Z4" s="44" t="s">
        <v>419</v>
      </c>
      <c r="AA4" s="44" t="s">
        <v>420</v>
      </c>
      <c r="AB4" s="44" t="s">
        <v>420</v>
      </c>
      <c r="AC4" s="44" t="s">
        <v>420</v>
      </c>
      <c r="AD4" s="44" t="s">
        <v>420</v>
      </c>
      <c r="AE4" s="44" t="s">
        <v>420</v>
      </c>
    </row>
    <row r="5" customFormat="false" ht="15" hidden="false" customHeight="false" outlineLevel="0" collapsed="false">
      <c r="A5" s="6" t="s">
        <v>421</v>
      </c>
      <c r="B5" s="23" t="s">
        <v>422</v>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ustomFormat="false" ht="15" hidden="false" customHeight="false" outlineLevel="0" collapsed="false">
      <c r="A6" s="6" t="s">
        <v>423</v>
      </c>
      <c r="B6" s="23" t="s">
        <v>424</v>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ustomFormat="false" ht="15" hidden="false" customHeight="false" outlineLevel="0" collapsed="false">
      <c r="A7" s="6" t="s">
        <v>425</v>
      </c>
      <c r="B7" s="23" t="s">
        <v>278</v>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ustomFormat="false" ht="15" hidden="false" customHeight="false" outlineLevel="0" collapsed="false">
      <c r="A8" s="6" t="s">
        <v>426</v>
      </c>
      <c r="B8" s="23" t="s">
        <v>427</v>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ustomFormat="false" ht="15" hidden="false" customHeight="false" outlineLevel="0" collapsed="false">
      <c r="A10" s="46" t="s">
        <v>428</v>
      </c>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row>
    <row r="11" customFormat="false" ht="15" hidden="false" customHeight="false" outlineLevel="0" collapsed="false">
      <c r="A11" s="0" t="s">
        <v>429</v>
      </c>
      <c r="B11" s="23" t="s">
        <v>430</v>
      </c>
      <c r="C11" s="48" t="n">
        <f aca="false">(1+(Assumptions!$F$61-1)*Assumptions!$B$133)*12/SUMPRODUCT(1+(Assumptions!$F$61:$Q$61-1)*Assumptions!$B$133)</f>
        <v>1.01</v>
      </c>
      <c r="D11" s="48" t="n">
        <f aca="false">(1+(Assumptions!$G$61-1)*Assumptions!$B$133)*12/SUMPRODUCT(1+(Assumptions!$F$61:$Q$61-1)*Assumptions!$B$133)</f>
        <v>0.96</v>
      </c>
      <c r="E11" s="48" t="n">
        <f aca="false">(1+(Assumptions!$H$61-1)*Assumptions!$B$133)*12/SUMPRODUCT(1+(Assumptions!$F$61:$Q$61-1)*Assumptions!$B$133)</f>
        <v>0.92</v>
      </c>
      <c r="F11" s="48" t="n">
        <f aca="false">(1+(Assumptions!$I$61-1)*Assumptions!$B$133)*12/SUMPRODUCT(1+(Assumptions!$F$61:$Q$61-1)*Assumptions!$B$133)</f>
        <v>1.15</v>
      </c>
      <c r="G11" s="48" t="n">
        <f aca="false">(1+(Assumptions!$J$61-1)*Assumptions!$B$133)*12/SUMPRODUCT(1+(Assumptions!$F$61:$Q$61-1)*Assumptions!$B$133)</f>
        <v>1.04</v>
      </c>
      <c r="H11" s="48" t="n">
        <f aca="false">(1+(Assumptions!$K$61-1)*Assumptions!$B$133)*12/SUMPRODUCT(1+(Assumptions!$F$61:$Q$61-1)*Assumptions!$B$133)</f>
        <v>0.88</v>
      </c>
      <c r="I11" s="48" t="n">
        <f aca="false">(1+(Assumptions!$L$61-1)*Assumptions!$B$133)*12/SUMPRODUCT(1+(Assumptions!$F$61:$Q$61-1)*Assumptions!$B$133)</f>
        <v>0.85</v>
      </c>
      <c r="J11" s="48" t="n">
        <f aca="false">(1+(Assumptions!$M$61-1)*Assumptions!$B$133)*12/SUMPRODUCT(1+(Assumptions!$F$61:$Q$61-1)*Assumptions!$B$133)</f>
        <v>0.85</v>
      </c>
      <c r="K11" s="48" t="n">
        <f aca="false">(1+(Assumptions!$N$61-1)*Assumptions!$B$133)*12/SUMPRODUCT(1+(Assumptions!$F$61:$Q$61-1)*Assumptions!$B$133)</f>
        <v>0.93</v>
      </c>
      <c r="L11" s="48" t="n">
        <f aca="false">(1+(Assumptions!$O$61-1)*Assumptions!$B$133)*12/SUMPRODUCT(1+(Assumptions!$F$61:$Q$61-1)*Assumptions!$B$133)</f>
        <v>1.25</v>
      </c>
      <c r="M11" s="48" t="n">
        <f aca="false">(1+(Assumptions!$P$61-1)*Assumptions!$B$133)*12/SUMPRODUCT(1+(Assumptions!$F$61:$Q$61-1)*Assumptions!$B$133)</f>
        <v>1.15</v>
      </c>
      <c r="N11" s="48" t="n">
        <f aca="false">(1+(Assumptions!$Q$61-1)*Assumptions!$B$133)*12/SUMPRODUCT(1+(Assumptions!$F$61:$Q$61-1)*Assumptions!$B$133)</f>
        <v>1.01</v>
      </c>
    </row>
    <row r="12" customFormat="false" ht="15" hidden="false" customHeight="false" outlineLevel="0" collapsed="false">
      <c r="A12" s="0" t="s">
        <v>431</v>
      </c>
      <c r="B12" s="23" t="s">
        <v>430</v>
      </c>
      <c r="C12" s="48" t="n">
        <f aca="false">(1+(Assumptions!$F$62-1)*Assumptions!$B$133)*12/SUMPRODUCT(1+(Assumptions!$F$62:$Q$62-1)*Assumptions!$B$133)</f>
        <v>1.1</v>
      </c>
      <c r="D12" s="48" t="n">
        <f aca="false">(1+(Assumptions!$G$62-1)*Assumptions!$B$133)*12/SUMPRODUCT(1+(Assumptions!$F$62:$Q$62-1)*Assumptions!$B$133)</f>
        <v>1</v>
      </c>
      <c r="E12" s="48" t="n">
        <f aca="false">(1+(Assumptions!$H$62-1)*Assumptions!$B$133)*12/SUMPRODUCT(1+(Assumptions!$F$62:$Q$62-1)*Assumptions!$B$133)</f>
        <v>0.98</v>
      </c>
      <c r="F12" s="48" t="n">
        <f aca="false">(1+(Assumptions!$I$62-1)*Assumptions!$B$133)*12/SUMPRODUCT(1+(Assumptions!$F$62:$Q$62-1)*Assumptions!$B$133)</f>
        <v>0.98</v>
      </c>
      <c r="G12" s="48" t="n">
        <f aca="false">(1+(Assumptions!$J$62-1)*Assumptions!$B$133)*12/SUMPRODUCT(1+(Assumptions!$F$62:$Q$62-1)*Assumptions!$B$133)</f>
        <v>1</v>
      </c>
      <c r="H12" s="48" t="n">
        <f aca="false">(1+(Assumptions!$K$62-1)*Assumptions!$B$133)*12/SUMPRODUCT(1+(Assumptions!$F$62:$Q$62-1)*Assumptions!$B$133)</f>
        <v>0.95</v>
      </c>
      <c r="I12" s="48" t="n">
        <f aca="false">(1+(Assumptions!$L$62-1)*Assumptions!$B$133)*12/SUMPRODUCT(1+(Assumptions!$F$62:$Q$62-1)*Assumptions!$B$133)</f>
        <v>0.88</v>
      </c>
      <c r="J12" s="48" t="n">
        <f aca="false">(1+(Assumptions!$M$62-1)*Assumptions!$B$133)*12/SUMPRODUCT(1+(Assumptions!$F$62:$Q$62-1)*Assumptions!$B$133)</f>
        <v>0.9</v>
      </c>
      <c r="K12" s="48" t="n">
        <f aca="false">(1+(Assumptions!$N$62-1)*Assumptions!$B$133)*12/SUMPRODUCT(1+(Assumptions!$F$62:$Q$62-1)*Assumptions!$B$133)</f>
        <v>1</v>
      </c>
      <c r="L12" s="48" t="n">
        <f aca="false">(1+(Assumptions!$O$62-1)*Assumptions!$B$133)*12/SUMPRODUCT(1+(Assumptions!$F$62:$Q$62-1)*Assumptions!$B$133)</f>
        <v>1.02</v>
      </c>
      <c r="M12" s="48" t="n">
        <f aca="false">(1+(Assumptions!$P$62-1)*Assumptions!$B$133)*12/SUMPRODUCT(1+(Assumptions!$F$62:$Q$62-1)*Assumptions!$B$133)</f>
        <v>1.05</v>
      </c>
      <c r="N12" s="48" t="n">
        <f aca="false">(1+(Assumptions!$Q$62-1)*Assumptions!$B$133)*12/SUMPRODUCT(1+(Assumptions!$F$62:$Q$62-1)*Assumptions!$B$133)</f>
        <v>1.14</v>
      </c>
    </row>
    <row r="13" customFormat="false" ht="15" hidden="false" customHeight="false" outlineLevel="0" collapsed="false">
      <c r="A13" s="0" t="s">
        <v>432</v>
      </c>
      <c r="B13" s="23" t="s">
        <v>430</v>
      </c>
      <c r="C13" s="49" t="n">
        <f aca="false">Assumptions!$F$63/AVERAGE(Assumptions!$F$63:$Q$63)*Assumptions!$B$145</f>
        <v>0.256603773584906</v>
      </c>
      <c r="D13" s="49" t="n">
        <f aca="false">Assumptions!$G$63/AVERAGE(Assumptions!$F$63:$Q$63)*Assumptions!$B$145</f>
        <v>0.256603773584906</v>
      </c>
      <c r="E13" s="49" t="n">
        <f aca="false">Assumptions!$H$63/AVERAGE(Assumptions!$F$63:$Q$63)*Assumptions!$B$145</f>
        <v>0.256603773584906</v>
      </c>
      <c r="F13" s="49" t="n">
        <f aca="false">Assumptions!$I$63/AVERAGE(Assumptions!$F$63:$Q$63)*Assumptions!$B$145</f>
        <v>0.273710691823899</v>
      </c>
      <c r="G13" s="49" t="n">
        <f aca="false">Assumptions!$J$63/AVERAGE(Assumptions!$F$63:$Q$63)*Assumptions!$B$145</f>
        <v>0.290817610062893</v>
      </c>
      <c r="H13" s="49" t="n">
        <f aca="false">Assumptions!$K$63/AVERAGE(Assumptions!$F$63:$Q$63)*Assumptions!$B$145</f>
        <v>0.470440251572327</v>
      </c>
      <c r="I13" s="49" t="n">
        <f aca="false">Assumptions!$L$63/AVERAGE(Assumptions!$F$63:$Q$63)*Assumptions!$B$145</f>
        <v>0.513207547169811</v>
      </c>
      <c r="J13" s="49" t="n">
        <f aca="false">Assumptions!$M$63/AVERAGE(Assumptions!$F$63:$Q$63)*Assumptions!$B$145</f>
        <v>0.478993710691824</v>
      </c>
      <c r="K13" s="49" t="n">
        <f aca="false">Assumptions!$N$63/AVERAGE(Assumptions!$F$63:$Q$63)*Assumptions!$B$145</f>
        <v>0.307924528301887</v>
      </c>
      <c r="L13" s="49" t="n">
        <f aca="false">Assumptions!$O$63/AVERAGE(Assumptions!$F$63:$Q$63)*Assumptions!$B$145</f>
        <v>0.359245283018868</v>
      </c>
      <c r="M13" s="49" t="n">
        <f aca="false">Assumptions!$P$63/AVERAGE(Assumptions!$F$63:$Q$63)*Assumptions!$B$145</f>
        <v>0.342138364779874</v>
      </c>
      <c r="N13" s="49" t="n">
        <f aca="false">Assumptions!$Q$63/AVERAGE(Assumptions!$F$63:$Q$63)*Assumptions!$B$145</f>
        <v>0.273710691823899</v>
      </c>
    </row>
    <row r="14" customFormat="false" ht="15" hidden="false" customHeight="false" outlineLevel="0" collapsed="false">
      <c r="A14" s="3" t="s">
        <v>433</v>
      </c>
      <c r="B14" s="23" t="s">
        <v>434</v>
      </c>
      <c r="C14" s="50" t="n">
        <f aca="false">SUM($C$11:$N$11)</f>
        <v>12</v>
      </c>
      <c r="D14" s="50" t="n">
        <f aca="false">SUM($C$12:$N$12)</f>
        <v>12</v>
      </c>
    </row>
    <row r="15" customFormat="false" ht="15" hidden="false" customHeight="false" outlineLevel="0" collapsed="false">
      <c r="A15" s="6" t="s">
        <v>435</v>
      </c>
      <c r="B15" s="23" t="s">
        <v>436</v>
      </c>
      <c r="C15" s="51" t="n">
        <f aca="false">IF(C7=1,INDEX($C$11:$N$11,1,C6),1)</f>
        <v>1.01</v>
      </c>
      <c r="D15" s="51" t="n">
        <f aca="false">IF(D7=1,INDEX($C$11:$N$11,1,D6),1)</f>
        <v>0.96</v>
      </c>
      <c r="E15" s="51" t="n">
        <f aca="false">IF(E7=1,INDEX($C$11:$N$11,1,E6),1)</f>
        <v>0.92</v>
      </c>
      <c r="F15" s="51" t="n">
        <f aca="false">IF(F7=1,INDEX($C$11:$N$11,1,F6),1)</f>
        <v>1.15</v>
      </c>
      <c r="G15" s="51" t="n">
        <f aca="false">IF(G7=1,INDEX($C$11:$N$11,1,G6),1)</f>
        <v>1.04</v>
      </c>
      <c r="H15" s="51" t="n">
        <f aca="false">IF(H7=1,INDEX($C$11:$N$11,1,H6),1)</f>
        <v>0.88</v>
      </c>
      <c r="I15" s="51" t="n">
        <f aca="false">IF(I7=1,INDEX($C$11:$N$11,1,I6),1)</f>
        <v>0.85</v>
      </c>
      <c r="J15" s="51" t="n">
        <f aca="false">IF(J7=1,INDEX($C$11:$N$11,1,J6),1)</f>
        <v>0.85</v>
      </c>
      <c r="K15" s="51" t="n">
        <f aca="false">IF(K7=1,INDEX($C$11:$N$11,1,K6),1)</f>
        <v>0.93</v>
      </c>
      <c r="L15" s="51" t="n">
        <f aca="false">IF(L7=1,INDEX($C$11:$N$11,1,L6),1)</f>
        <v>1.25</v>
      </c>
      <c r="M15" s="51" t="n">
        <f aca="false">IF(M7=1,INDEX($C$11:$N$11,1,M6),1)</f>
        <v>1.15</v>
      </c>
      <c r="N15" s="51" t="n">
        <f aca="false">IF(N7=1,INDEX($C$11:$N$11,1,N6),1)</f>
        <v>1.01</v>
      </c>
      <c r="O15" s="51" t="n">
        <f aca="false">IF(O7=1,INDEX($C$11:$N$11,1,O6),1)</f>
        <v>1.01</v>
      </c>
      <c r="P15" s="51" t="n">
        <f aca="false">IF(P7=1,INDEX($C$11:$N$11,1,P6),1)</f>
        <v>0.96</v>
      </c>
      <c r="Q15" s="51" t="n">
        <f aca="false">IF(Q7=1,INDEX($C$11:$N$11,1,Q6),1)</f>
        <v>0.92</v>
      </c>
      <c r="R15" s="51" t="n">
        <f aca="false">IF(R7=1,INDEX($C$11:$N$11,1,R6),1)</f>
        <v>1.15</v>
      </c>
      <c r="S15" s="51" t="n">
        <f aca="false">IF(S7=1,INDEX($C$11:$N$11,1,S6),1)</f>
        <v>1.04</v>
      </c>
      <c r="T15" s="51" t="n">
        <f aca="false">IF(T7=1,INDEX($C$11:$N$11,1,T6),1)</f>
        <v>0.88</v>
      </c>
      <c r="U15" s="51" t="n">
        <f aca="false">IF(U7=1,INDEX($C$11:$N$11,1,U6),1)</f>
        <v>0.85</v>
      </c>
      <c r="V15" s="51" t="n">
        <f aca="false">IF(V7=1,INDEX($C$11:$N$11,1,V6),1)</f>
        <v>0.85</v>
      </c>
      <c r="W15" s="51" t="n">
        <f aca="false">IF(W7=1,INDEX($C$11:$N$11,1,W6),1)</f>
        <v>0.93</v>
      </c>
      <c r="X15" s="51" t="n">
        <f aca="false">IF(X7=1,INDEX($C$11:$N$11,1,X6),1)</f>
        <v>1.25</v>
      </c>
      <c r="Y15" s="51" t="n">
        <f aca="false">IF(Y7=1,INDEX($C$11:$N$11,1,Y6),1)</f>
        <v>1.15</v>
      </c>
      <c r="Z15" s="51" t="n">
        <f aca="false">IF(Z7=1,INDEX($C$11:$N$11,1,Z6),1)</f>
        <v>1.01</v>
      </c>
      <c r="AA15" s="51" t="n">
        <f aca="false">IF(AA7=1,INDEX($C$11:$N$11,1,AA6),1)</f>
        <v>1</v>
      </c>
      <c r="AB15" s="51" t="n">
        <f aca="false">IF(AB7=1,INDEX($C$11:$N$11,1,AB6),1)</f>
        <v>1</v>
      </c>
      <c r="AC15" s="51" t="n">
        <f aca="false">IF(AC7=1,INDEX($C$11:$N$11,1,AC6),1)</f>
        <v>1</v>
      </c>
      <c r="AD15" s="51" t="n">
        <f aca="false">IF(AD7=1,INDEX($C$11:$N$11,1,AD6),1)</f>
        <v>1</v>
      </c>
      <c r="AE15" s="51" t="n">
        <f aca="false">IF(AE7=1,INDEX($C$11:$N$11,1,AE6),1)</f>
        <v>1</v>
      </c>
    </row>
    <row r="16" customFormat="false" ht="15" hidden="false" customHeight="false" outlineLevel="0" collapsed="false">
      <c r="A16" s="6" t="s">
        <v>437</v>
      </c>
      <c r="B16" s="23" t="s">
        <v>436</v>
      </c>
      <c r="C16" s="51" t="n">
        <f aca="false">IF(C7=1,INDEX($C$12:$N$12,1,C6),1)</f>
        <v>1.1</v>
      </c>
      <c r="D16" s="51" t="n">
        <f aca="false">IF(D7=1,INDEX($C$12:$N$12,1,D6),1)</f>
        <v>1</v>
      </c>
      <c r="E16" s="51" t="n">
        <f aca="false">IF(E7=1,INDEX($C$12:$N$12,1,E6),1)</f>
        <v>0.98</v>
      </c>
      <c r="F16" s="51" t="n">
        <f aca="false">IF(F7=1,INDEX($C$12:$N$12,1,F6),1)</f>
        <v>0.98</v>
      </c>
      <c r="G16" s="51" t="n">
        <f aca="false">IF(G7=1,INDEX($C$12:$N$12,1,G6),1)</f>
        <v>1</v>
      </c>
      <c r="H16" s="51" t="n">
        <f aca="false">IF(H7=1,INDEX($C$12:$N$12,1,H6),1)</f>
        <v>0.95</v>
      </c>
      <c r="I16" s="51" t="n">
        <f aca="false">IF(I7=1,INDEX($C$12:$N$12,1,I6),1)</f>
        <v>0.88</v>
      </c>
      <c r="J16" s="51" t="n">
        <f aca="false">IF(J7=1,INDEX($C$12:$N$12,1,J6),1)</f>
        <v>0.9</v>
      </c>
      <c r="K16" s="51" t="n">
        <f aca="false">IF(K7=1,INDEX($C$12:$N$12,1,K6),1)</f>
        <v>1</v>
      </c>
      <c r="L16" s="51" t="n">
        <f aca="false">IF(L7=1,INDEX($C$12:$N$12,1,L6),1)</f>
        <v>1.02</v>
      </c>
      <c r="M16" s="51" t="n">
        <f aca="false">IF(M7=1,INDEX($C$12:$N$12,1,M6),1)</f>
        <v>1.05</v>
      </c>
      <c r="N16" s="51" t="n">
        <f aca="false">IF(N7=1,INDEX($C$12:$N$12,1,N6),1)</f>
        <v>1.14</v>
      </c>
      <c r="O16" s="51" t="n">
        <f aca="false">IF(O7=1,INDEX($C$12:$N$12,1,O6),1)</f>
        <v>1.1</v>
      </c>
      <c r="P16" s="51" t="n">
        <f aca="false">IF(P7=1,INDEX($C$12:$N$12,1,P6),1)</f>
        <v>1</v>
      </c>
      <c r="Q16" s="51" t="n">
        <f aca="false">IF(Q7=1,INDEX($C$12:$N$12,1,Q6),1)</f>
        <v>0.98</v>
      </c>
      <c r="R16" s="51" t="n">
        <f aca="false">IF(R7=1,INDEX($C$12:$N$12,1,R6),1)</f>
        <v>0.98</v>
      </c>
      <c r="S16" s="51" t="n">
        <f aca="false">IF(S7=1,INDEX($C$12:$N$12,1,S6),1)</f>
        <v>1</v>
      </c>
      <c r="T16" s="51" t="n">
        <f aca="false">IF(T7=1,INDEX($C$12:$N$12,1,T6),1)</f>
        <v>0.95</v>
      </c>
      <c r="U16" s="51" t="n">
        <f aca="false">IF(U7=1,INDEX($C$12:$N$12,1,U6),1)</f>
        <v>0.88</v>
      </c>
      <c r="V16" s="51" t="n">
        <f aca="false">IF(V7=1,INDEX($C$12:$N$12,1,V6),1)</f>
        <v>0.9</v>
      </c>
      <c r="W16" s="51" t="n">
        <f aca="false">IF(W7=1,INDEX($C$12:$N$12,1,W6),1)</f>
        <v>1</v>
      </c>
      <c r="X16" s="51" t="n">
        <f aca="false">IF(X7=1,INDEX($C$12:$N$12,1,X6),1)</f>
        <v>1.02</v>
      </c>
      <c r="Y16" s="51" t="n">
        <f aca="false">IF(Y7=1,INDEX($C$12:$N$12,1,Y6),1)</f>
        <v>1.05</v>
      </c>
      <c r="Z16" s="51" t="n">
        <f aca="false">IF(Z7=1,INDEX($C$12:$N$12,1,Z6),1)</f>
        <v>1.14</v>
      </c>
      <c r="AA16" s="51" t="n">
        <f aca="false">IF(AA7=1,INDEX($C$12:$N$12,1,AA6),1)</f>
        <v>1</v>
      </c>
      <c r="AB16" s="51" t="n">
        <f aca="false">IF(AB7=1,INDEX($C$12:$N$12,1,AB6),1)</f>
        <v>1</v>
      </c>
      <c r="AC16" s="51" t="n">
        <f aca="false">IF(AC7=1,INDEX($C$12:$N$12,1,AC6),1)</f>
        <v>1</v>
      </c>
      <c r="AD16" s="51" t="n">
        <f aca="false">IF(AD7=1,INDEX($C$12:$N$12,1,AD6),1)</f>
        <v>1</v>
      </c>
      <c r="AE16" s="51" t="n">
        <f aca="false">IF(AE7=1,INDEX($C$12:$N$12,1,AE6),1)</f>
        <v>1</v>
      </c>
    </row>
    <row r="17" customFormat="false" ht="15" hidden="false" customHeight="false" outlineLevel="0" collapsed="false">
      <c r="A17" s="6" t="s">
        <v>438</v>
      </c>
      <c r="B17" s="23" t="s">
        <v>245</v>
      </c>
      <c r="C17" s="52" t="n">
        <f aca="false">IF(C7=1,INDEX($C$13:$N$13,1,C6),AVERAGE($C$13:$N$13))</f>
        <v>0.256603773584906</v>
      </c>
      <c r="D17" s="52" t="n">
        <f aca="false">IF(D7=1,INDEX($C$13:$N$13,1,D6),AVERAGE($C$13:$N$13))</f>
        <v>0.256603773584906</v>
      </c>
      <c r="E17" s="52" t="n">
        <f aca="false">IF(E7=1,INDEX($C$13:$N$13,1,E6),AVERAGE($C$13:$N$13))</f>
        <v>0.256603773584906</v>
      </c>
      <c r="F17" s="52" t="n">
        <f aca="false">IF(F7=1,INDEX($C$13:$N$13,1,F6),AVERAGE($C$13:$N$13))</f>
        <v>0.273710691823899</v>
      </c>
      <c r="G17" s="52" t="n">
        <f aca="false">IF(G7=1,INDEX($C$13:$N$13,1,G6),AVERAGE($C$13:$N$13))</f>
        <v>0.290817610062893</v>
      </c>
      <c r="H17" s="52" t="n">
        <f aca="false">IF(H7=1,INDEX($C$13:$N$13,1,H6),AVERAGE($C$13:$N$13))</f>
        <v>0.470440251572327</v>
      </c>
      <c r="I17" s="52" t="n">
        <f aca="false">IF(I7=1,INDEX($C$13:$N$13,1,I6),AVERAGE($C$13:$N$13))</f>
        <v>0.513207547169811</v>
      </c>
      <c r="J17" s="52" t="n">
        <f aca="false">IF(J7=1,INDEX($C$13:$N$13,1,J6),AVERAGE($C$13:$N$13))</f>
        <v>0.478993710691824</v>
      </c>
      <c r="K17" s="52" t="n">
        <f aca="false">IF(K7=1,INDEX($C$13:$N$13,1,K6),AVERAGE($C$13:$N$13))</f>
        <v>0.307924528301887</v>
      </c>
      <c r="L17" s="52" t="n">
        <f aca="false">IF(L7=1,INDEX($C$13:$N$13,1,L6),AVERAGE($C$13:$N$13))</f>
        <v>0.359245283018868</v>
      </c>
      <c r="M17" s="52" t="n">
        <f aca="false">IF(M7=1,INDEX($C$13:$N$13,1,M6),AVERAGE($C$13:$N$13))</f>
        <v>0.342138364779874</v>
      </c>
      <c r="N17" s="52" t="n">
        <f aca="false">IF(N7=1,INDEX($C$13:$N$13,1,N6),AVERAGE($C$13:$N$13))</f>
        <v>0.273710691823899</v>
      </c>
      <c r="O17" s="52" t="n">
        <f aca="false">IF(O7=1,INDEX($C$13:$N$13,1,O6),AVERAGE($C$13:$N$13))</f>
        <v>0.256603773584906</v>
      </c>
      <c r="P17" s="52" t="n">
        <f aca="false">IF(P7=1,INDEX($C$13:$N$13,1,P6),AVERAGE($C$13:$N$13))</f>
        <v>0.256603773584906</v>
      </c>
      <c r="Q17" s="52" t="n">
        <f aca="false">IF(Q7=1,INDEX($C$13:$N$13,1,Q6),AVERAGE($C$13:$N$13))</f>
        <v>0.256603773584906</v>
      </c>
      <c r="R17" s="52" t="n">
        <f aca="false">IF(R7=1,INDEX($C$13:$N$13,1,R6),AVERAGE($C$13:$N$13))</f>
        <v>0.273710691823899</v>
      </c>
      <c r="S17" s="52" t="n">
        <f aca="false">IF(S7=1,INDEX($C$13:$N$13,1,S6),AVERAGE($C$13:$N$13))</f>
        <v>0.290817610062893</v>
      </c>
      <c r="T17" s="52" t="n">
        <f aca="false">IF(T7=1,INDEX($C$13:$N$13,1,T6),AVERAGE($C$13:$N$13))</f>
        <v>0.470440251572327</v>
      </c>
      <c r="U17" s="52" t="n">
        <f aca="false">IF(U7=1,INDEX($C$13:$N$13,1,U6),AVERAGE($C$13:$N$13))</f>
        <v>0.513207547169811</v>
      </c>
      <c r="V17" s="52" t="n">
        <f aca="false">IF(V7=1,INDEX($C$13:$N$13,1,V6),AVERAGE($C$13:$N$13))</f>
        <v>0.478993710691824</v>
      </c>
      <c r="W17" s="52" t="n">
        <f aca="false">IF(W7=1,INDEX($C$13:$N$13,1,W6),AVERAGE($C$13:$N$13))</f>
        <v>0.307924528301887</v>
      </c>
      <c r="X17" s="52" t="n">
        <f aca="false">IF(X7=1,INDEX($C$13:$N$13,1,X6),AVERAGE($C$13:$N$13))</f>
        <v>0.359245283018868</v>
      </c>
      <c r="Y17" s="52" t="n">
        <f aca="false">IF(Y7=1,INDEX($C$13:$N$13,1,Y6),AVERAGE($C$13:$N$13))</f>
        <v>0.342138364779874</v>
      </c>
      <c r="Z17" s="52" t="n">
        <f aca="false">IF(Z7=1,INDEX($C$13:$N$13,1,Z6),AVERAGE($C$13:$N$13))</f>
        <v>0.273710691823899</v>
      </c>
      <c r="AA17" s="52" t="n">
        <f aca="false">IF(AA7=1,INDEX($C$13:$N$13,1,AA6),AVERAGE($C$13:$N$13))</f>
        <v>0.34</v>
      </c>
      <c r="AB17" s="52" t="n">
        <f aca="false">IF(AB7=1,INDEX($C$13:$N$13,1,AB6),AVERAGE($C$13:$N$13))</f>
        <v>0.34</v>
      </c>
      <c r="AC17" s="52" t="n">
        <f aca="false">IF(AC7=1,INDEX($C$13:$N$13,1,AC6),AVERAGE($C$13:$N$13))</f>
        <v>0.34</v>
      </c>
      <c r="AD17" s="52" t="n">
        <f aca="false">IF(AD7=1,INDEX($C$13:$N$13,1,AD6),AVERAGE($C$13:$N$13))</f>
        <v>0.34</v>
      </c>
      <c r="AE17" s="52" t="n">
        <f aca="false">IF(AE7=1,INDEX($C$13:$N$13,1,AE6),AVERAGE($C$13:$N$13))</f>
        <v>0.34</v>
      </c>
    </row>
    <row r="19" customFormat="false" ht="15" hidden="false" customHeight="false" outlineLevel="0" collapsed="false">
      <c r="A19" s="46" t="s">
        <v>439</v>
      </c>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row>
    <row r="20" customFormat="false" ht="15" hidden="false" customHeight="false" outlineLevel="0" collapsed="false">
      <c r="A20" s="0" t="s">
        <v>440</v>
      </c>
      <c r="B20" s="23" t="s">
        <v>190</v>
      </c>
      <c r="C20" s="53" t="n">
        <f aca="false">INDEX(Assumptions!$B$93:$B$99,C5)*Assumptions!$B$123*INDEX(Assumptions!$B$107:$B$113,C5)*C7</f>
        <v>28.8</v>
      </c>
      <c r="D20" s="53" t="n">
        <f aca="false">INDEX(Assumptions!$B$93:$B$99,D5)*Assumptions!$B$123*INDEX(Assumptions!$B$107:$B$113,D5)*D7</f>
        <v>28.8</v>
      </c>
      <c r="E20" s="53" t="n">
        <f aca="false">INDEX(Assumptions!$B$93:$B$99,E5)*Assumptions!$B$123*INDEX(Assumptions!$B$107:$B$113,E5)*E7</f>
        <v>28.8</v>
      </c>
      <c r="F20" s="53" t="n">
        <f aca="false">INDEX(Assumptions!$B$93:$B$99,F5)*Assumptions!$B$123*INDEX(Assumptions!$B$107:$B$113,F5)*F7</f>
        <v>28.8</v>
      </c>
      <c r="G20" s="53" t="n">
        <f aca="false">INDEX(Assumptions!$B$93:$B$99,G5)*Assumptions!$B$123*INDEX(Assumptions!$B$107:$B$113,G5)*G7</f>
        <v>28.8</v>
      </c>
      <c r="H20" s="53" t="n">
        <f aca="false">INDEX(Assumptions!$B$93:$B$99,H5)*Assumptions!$B$123*INDEX(Assumptions!$B$107:$B$113,H5)*H7</f>
        <v>28.8</v>
      </c>
      <c r="I20" s="53" t="n">
        <f aca="false">INDEX(Assumptions!$B$93:$B$99,I5)*Assumptions!$B$123*INDEX(Assumptions!$B$107:$B$113,I5)*I7</f>
        <v>28.8</v>
      </c>
      <c r="J20" s="53" t="n">
        <f aca="false">INDEX(Assumptions!$B$93:$B$99,J5)*Assumptions!$B$123*INDEX(Assumptions!$B$107:$B$113,J5)*J7</f>
        <v>28.8</v>
      </c>
      <c r="K20" s="53" t="n">
        <f aca="false">INDEX(Assumptions!$B$93:$B$99,K5)*Assumptions!$B$123*INDEX(Assumptions!$B$107:$B$113,K5)*K7</f>
        <v>28.8</v>
      </c>
      <c r="L20" s="53" t="n">
        <f aca="false">INDEX(Assumptions!$B$93:$B$99,L5)*Assumptions!$B$123*INDEX(Assumptions!$B$107:$B$113,L5)*L7</f>
        <v>28.8</v>
      </c>
      <c r="M20" s="53" t="n">
        <f aca="false">INDEX(Assumptions!$B$93:$B$99,M5)*Assumptions!$B$123*INDEX(Assumptions!$B$107:$B$113,M5)*M7</f>
        <v>28.8</v>
      </c>
      <c r="N20" s="53" t="n">
        <f aca="false">INDEX(Assumptions!$B$93:$B$99,N5)*Assumptions!$B$123*INDEX(Assumptions!$B$107:$B$113,N5)*N7</f>
        <v>28.8</v>
      </c>
      <c r="O20" s="53" t="n">
        <f aca="false">INDEX(Assumptions!$B$93:$B$99,O5)*Assumptions!$B$123*INDEX(Assumptions!$B$107:$B$113,O5)*O7</f>
        <v>117.3</v>
      </c>
      <c r="P20" s="53" t="n">
        <f aca="false">INDEX(Assumptions!$B$93:$B$99,P5)*Assumptions!$B$123*INDEX(Assumptions!$B$107:$B$113,P5)*P7</f>
        <v>117.3</v>
      </c>
      <c r="Q20" s="53" t="n">
        <f aca="false">INDEX(Assumptions!$B$93:$B$99,Q5)*Assumptions!$B$123*INDEX(Assumptions!$B$107:$B$113,Q5)*Q7</f>
        <v>117.3</v>
      </c>
      <c r="R20" s="53" t="n">
        <f aca="false">INDEX(Assumptions!$B$93:$B$99,R5)*Assumptions!$B$123*INDEX(Assumptions!$B$107:$B$113,R5)*R7</f>
        <v>117.3</v>
      </c>
      <c r="S20" s="53" t="n">
        <f aca="false">INDEX(Assumptions!$B$93:$B$99,S5)*Assumptions!$B$123*INDEX(Assumptions!$B$107:$B$113,S5)*S7</f>
        <v>117.3</v>
      </c>
      <c r="T20" s="53" t="n">
        <f aca="false">INDEX(Assumptions!$B$93:$B$99,T5)*Assumptions!$B$123*INDEX(Assumptions!$B$107:$B$113,T5)*T7</f>
        <v>117.3</v>
      </c>
      <c r="U20" s="53" t="n">
        <f aca="false">INDEX(Assumptions!$B$93:$B$99,U5)*Assumptions!$B$123*INDEX(Assumptions!$B$107:$B$113,U5)*U7</f>
        <v>117.3</v>
      </c>
      <c r="V20" s="53" t="n">
        <f aca="false">INDEX(Assumptions!$B$93:$B$99,V5)*Assumptions!$B$123*INDEX(Assumptions!$B$107:$B$113,V5)*V7</f>
        <v>117.3</v>
      </c>
      <c r="W20" s="53" t="n">
        <f aca="false">INDEX(Assumptions!$B$93:$B$99,W5)*Assumptions!$B$123*INDEX(Assumptions!$B$107:$B$113,W5)*W7</f>
        <v>117.3</v>
      </c>
      <c r="X20" s="53" t="n">
        <f aca="false">INDEX(Assumptions!$B$93:$B$99,X5)*Assumptions!$B$123*INDEX(Assumptions!$B$107:$B$113,X5)*X7</f>
        <v>117.3</v>
      </c>
      <c r="Y20" s="53" t="n">
        <f aca="false">INDEX(Assumptions!$B$93:$B$99,Y5)*Assumptions!$B$123*INDEX(Assumptions!$B$107:$B$113,Y5)*Y7</f>
        <v>117.3</v>
      </c>
      <c r="Z20" s="53" t="n">
        <f aca="false">INDEX(Assumptions!$B$93:$B$99,Z5)*Assumptions!$B$123*INDEX(Assumptions!$B$107:$B$113,Z5)*Z7</f>
        <v>117.3</v>
      </c>
      <c r="AA20" s="53" t="n">
        <f aca="false">INDEX(Assumptions!$B$93:$B$99,AA5)*Assumptions!$B$123*INDEX(Assumptions!$B$107:$B$113,AA5)*AA7</f>
        <v>4320</v>
      </c>
      <c r="AB20" s="53" t="n">
        <f aca="false">INDEX(Assumptions!$B$93:$B$99,AB5)*Assumptions!$B$123*INDEX(Assumptions!$B$107:$B$113,AB5)*AB7</f>
        <v>6480</v>
      </c>
      <c r="AC20" s="53" t="n">
        <f aca="false">INDEX(Assumptions!$B$93:$B$99,AC5)*Assumptions!$B$123*INDEX(Assumptions!$B$107:$B$113,AC5)*AC7</f>
        <v>9720</v>
      </c>
      <c r="AD20" s="53" t="n">
        <f aca="false">INDEX(Assumptions!$B$93:$B$99,AD5)*Assumptions!$B$123*INDEX(Assumptions!$B$107:$B$113,AD5)*AD7</f>
        <v>11448</v>
      </c>
      <c r="AE20" s="53" t="n">
        <f aca="false">INDEX(Assumptions!$B$93:$B$99,AE5)*Assumptions!$B$123*INDEX(Assumptions!$B$107:$B$113,AE5)*AE7</f>
        <v>13392</v>
      </c>
    </row>
    <row r="21" customFormat="false" ht="15" hidden="false" customHeight="false" outlineLevel="0" collapsed="false">
      <c r="A21" s="6" t="s">
        <v>441</v>
      </c>
      <c r="B21" s="23" t="s">
        <v>35</v>
      </c>
      <c r="C21" s="53" t="n">
        <f aca="false">Assumptions!$B$6*(1+Assumptions!$B$120)^(C5-1)</f>
        <v>141.46</v>
      </c>
      <c r="D21" s="53" t="n">
        <f aca="false">Assumptions!$B$6*(1+Assumptions!$B$120)^(D5-1)</f>
        <v>141.46</v>
      </c>
      <c r="E21" s="53" t="n">
        <f aca="false">Assumptions!$B$6*(1+Assumptions!$B$120)^(E5-1)</f>
        <v>141.46</v>
      </c>
      <c r="F21" s="53" t="n">
        <f aca="false">Assumptions!$B$6*(1+Assumptions!$B$120)^(F5-1)</f>
        <v>141.46</v>
      </c>
      <c r="G21" s="53" t="n">
        <f aca="false">Assumptions!$B$6*(1+Assumptions!$B$120)^(G5-1)</f>
        <v>141.46</v>
      </c>
      <c r="H21" s="53" t="n">
        <f aca="false">Assumptions!$B$6*(1+Assumptions!$B$120)^(H5-1)</f>
        <v>141.46</v>
      </c>
      <c r="I21" s="53" t="n">
        <f aca="false">Assumptions!$B$6*(1+Assumptions!$B$120)^(I5-1)</f>
        <v>141.46</v>
      </c>
      <c r="J21" s="53" t="n">
        <f aca="false">Assumptions!$B$6*(1+Assumptions!$B$120)^(J5-1)</f>
        <v>141.46</v>
      </c>
      <c r="K21" s="53" t="n">
        <f aca="false">Assumptions!$B$6*(1+Assumptions!$B$120)^(K5-1)</f>
        <v>141.46</v>
      </c>
      <c r="L21" s="53" t="n">
        <f aca="false">Assumptions!$B$6*(1+Assumptions!$B$120)^(L5-1)</f>
        <v>141.46</v>
      </c>
      <c r="M21" s="53" t="n">
        <f aca="false">Assumptions!$B$6*(1+Assumptions!$B$120)^(M5-1)</f>
        <v>141.46</v>
      </c>
      <c r="N21" s="53" t="n">
        <f aca="false">Assumptions!$B$6*(1+Assumptions!$B$120)^(N5-1)</f>
        <v>141.46</v>
      </c>
      <c r="O21" s="53" t="n">
        <f aca="false">Assumptions!$B$6*(1+Assumptions!$B$120)^(O5-1)</f>
        <v>152.91826</v>
      </c>
      <c r="P21" s="53" t="n">
        <f aca="false">Assumptions!$B$6*(1+Assumptions!$B$120)^(P5-1)</f>
        <v>152.91826</v>
      </c>
      <c r="Q21" s="53" t="n">
        <f aca="false">Assumptions!$B$6*(1+Assumptions!$B$120)^(Q5-1)</f>
        <v>152.91826</v>
      </c>
      <c r="R21" s="53" t="n">
        <f aca="false">Assumptions!$B$6*(1+Assumptions!$B$120)^(R5-1)</f>
        <v>152.91826</v>
      </c>
      <c r="S21" s="53" t="n">
        <f aca="false">Assumptions!$B$6*(1+Assumptions!$B$120)^(S5-1)</f>
        <v>152.91826</v>
      </c>
      <c r="T21" s="53" t="n">
        <f aca="false">Assumptions!$B$6*(1+Assumptions!$B$120)^(T5-1)</f>
        <v>152.91826</v>
      </c>
      <c r="U21" s="53" t="n">
        <f aca="false">Assumptions!$B$6*(1+Assumptions!$B$120)^(U5-1)</f>
        <v>152.91826</v>
      </c>
      <c r="V21" s="53" t="n">
        <f aca="false">Assumptions!$B$6*(1+Assumptions!$B$120)^(V5-1)</f>
        <v>152.91826</v>
      </c>
      <c r="W21" s="53" t="n">
        <f aca="false">Assumptions!$B$6*(1+Assumptions!$B$120)^(W5-1)</f>
        <v>152.91826</v>
      </c>
      <c r="X21" s="53" t="n">
        <f aca="false">Assumptions!$B$6*(1+Assumptions!$B$120)^(X5-1)</f>
        <v>152.91826</v>
      </c>
      <c r="Y21" s="53" t="n">
        <f aca="false">Assumptions!$B$6*(1+Assumptions!$B$120)^(Y5-1)</f>
        <v>152.91826</v>
      </c>
      <c r="Z21" s="53" t="n">
        <f aca="false">Assumptions!$B$6*(1+Assumptions!$B$120)^(Z5-1)</f>
        <v>152.91826</v>
      </c>
      <c r="AA21" s="53" t="n">
        <f aca="false">Assumptions!$B$6*(1+Assumptions!$B$120)^(AA5-1)</f>
        <v>165.30463906</v>
      </c>
      <c r="AB21" s="53" t="n">
        <f aca="false">Assumptions!$B$6*(1+Assumptions!$B$120)^(AB5-1)</f>
        <v>178.69431482386</v>
      </c>
      <c r="AC21" s="53" t="n">
        <f aca="false">Assumptions!$B$6*(1+Assumptions!$B$120)^(AC5-1)</f>
        <v>193.168554324593</v>
      </c>
      <c r="AD21" s="53" t="n">
        <f aca="false">Assumptions!$B$6*(1+Assumptions!$B$120)^(AD5-1)</f>
        <v>208.815207224885</v>
      </c>
      <c r="AE21" s="53" t="n">
        <f aca="false">Assumptions!$B$6*(1+Assumptions!$B$120)^(AE5-1)</f>
        <v>225.7292390101</v>
      </c>
    </row>
    <row r="22" customFormat="false" ht="15" hidden="false" customHeight="false" outlineLevel="0" collapsed="false">
      <c r="A22" s="9" t="s">
        <v>442</v>
      </c>
    </row>
    <row r="23" customFormat="false" ht="15" hidden="false" customHeight="false" outlineLevel="0" collapsed="false">
      <c r="A23" s="6" t="s">
        <v>443</v>
      </c>
      <c r="B23" s="23" t="s">
        <v>444</v>
      </c>
      <c r="C23" s="48" t="n">
        <f aca="false">Assumptions!$B$114*1+Assumptions!$B$115*IF(C2&gt;=Assumptions!$B$56,1,0)+Assumptions!$B$116*IF(C2&gt;=Assumptions!$B$57,1,0)</f>
        <v>0.9</v>
      </c>
      <c r="D23" s="48" t="n">
        <f aca="false">Assumptions!$B$114*1+Assumptions!$B$115*IF(D2&gt;=Assumptions!$B$56,1,0)+Assumptions!$B$116*IF(D2&gt;=Assumptions!$B$57,1,0)</f>
        <v>0.9</v>
      </c>
      <c r="E23" s="48" t="n">
        <f aca="false">Assumptions!$B$114*1+Assumptions!$B$115*IF(E2&gt;=Assumptions!$B$56,1,0)+Assumptions!$B$116*IF(E2&gt;=Assumptions!$B$57,1,0)</f>
        <v>0.9</v>
      </c>
      <c r="F23" s="48" t="n">
        <f aca="false">Assumptions!$B$114*1+Assumptions!$B$115*IF(F2&gt;=Assumptions!$B$56,1,0)+Assumptions!$B$116*IF(F2&gt;=Assumptions!$B$57,1,0)</f>
        <v>0.9</v>
      </c>
      <c r="G23" s="48" t="n">
        <f aca="false">Assumptions!$B$114*1+Assumptions!$B$115*IF(G2&gt;=Assumptions!$B$56,1,0)+Assumptions!$B$116*IF(G2&gt;=Assumptions!$B$57,1,0)</f>
        <v>0.9</v>
      </c>
      <c r="H23" s="48" t="n">
        <f aca="false">Assumptions!$B$114*1+Assumptions!$B$115*IF(H2&gt;=Assumptions!$B$56,1,0)+Assumptions!$B$116*IF(H2&gt;=Assumptions!$B$57,1,0)</f>
        <v>0.9</v>
      </c>
      <c r="I23" s="48" t="n">
        <f aca="false">Assumptions!$B$114*1+Assumptions!$B$115*IF(I2&gt;=Assumptions!$B$56,1,0)+Assumptions!$B$116*IF(I2&gt;=Assumptions!$B$57,1,0)</f>
        <v>0.9</v>
      </c>
      <c r="J23" s="48" t="n">
        <f aca="false">Assumptions!$B$114*1+Assumptions!$B$115*IF(J2&gt;=Assumptions!$B$56,1,0)+Assumptions!$B$116*IF(J2&gt;=Assumptions!$B$57,1,0)</f>
        <v>0.9</v>
      </c>
      <c r="K23" s="48" t="n">
        <f aca="false">Assumptions!$B$114*1+Assumptions!$B$115*IF(K2&gt;=Assumptions!$B$56,1,0)+Assumptions!$B$116*IF(K2&gt;=Assumptions!$B$57,1,0)</f>
        <v>0.9</v>
      </c>
      <c r="L23" s="48" t="n">
        <f aca="false">Assumptions!$B$114*1+Assumptions!$B$115*IF(L2&gt;=Assumptions!$B$56,1,0)+Assumptions!$B$116*IF(L2&gt;=Assumptions!$B$57,1,0)</f>
        <v>0.9</v>
      </c>
      <c r="M23" s="48" t="n">
        <f aca="false">Assumptions!$B$114*1+Assumptions!$B$115*IF(M2&gt;=Assumptions!$B$56,1,0)+Assumptions!$B$116*IF(M2&gt;=Assumptions!$B$57,1,0)</f>
        <v>0.9</v>
      </c>
      <c r="N23" s="48" t="n">
        <f aca="false">Assumptions!$B$114*1+Assumptions!$B$115*IF(N2&gt;=Assumptions!$B$56,1,0)+Assumptions!$B$116*IF(N2&gt;=Assumptions!$B$57,1,0)</f>
        <v>0.9</v>
      </c>
      <c r="O23" s="48" t="n">
        <f aca="false">Assumptions!$B$114*1+Assumptions!$B$115*IF(O2&gt;=Assumptions!$B$56,1,0)+Assumptions!$B$116*IF(O2&gt;=Assumptions!$B$57,1,0)</f>
        <v>1</v>
      </c>
      <c r="P23" s="48" t="n">
        <f aca="false">Assumptions!$B$114*1+Assumptions!$B$115*IF(P2&gt;=Assumptions!$B$56,1,0)+Assumptions!$B$116*IF(P2&gt;=Assumptions!$B$57,1,0)</f>
        <v>1</v>
      </c>
      <c r="Q23" s="48" t="n">
        <f aca="false">Assumptions!$B$114*1+Assumptions!$B$115*IF(Q2&gt;=Assumptions!$B$56,1,0)+Assumptions!$B$116*IF(Q2&gt;=Assumptions!$B$57,1,0)</f>
        <v>1</v>
      </c>
      <c r="R23" s="48" t="n">
        <f aca="false">Assumptions!$B$114*1+Assumptions!$B$115*IF(R2&gt;=Assumptions!$B$56,1,0)+Assumptions!$B$116*IF(R2&gt;=Assumptions!$B$57,1,0)</f>
        <v>1</v>
      </c>
      <c r="S23" s="48" t="n">
        <f aca="false">Assumptions!$B$114*1+Assumptions!$B$115*IF(S2&gt;=Assumptions!$B$56,1,0)+Assumptions!$B$116*IF(S2&gt;=Assumptions!$B$57,1,0)</f>
        <v>1</v>
      </c>
      <c r="T23" s="48" t="n">
        <f aca="false">Assumptions!$B$114*1+Assumptions!$B$115*IF(T2&gt;=Assumptions!$B$56,1,0)+Assumptions!$B$116*IF(T2&gt;=Assumptions!$B$57,1,0)</f>
        <v>1</v>
      </c>
      <c r="U23" s="48" t="n">
        <f aca="false">Assumptions!$B$114*1+Assumptions!$B$115*IF(U2&gt;=Assumptions!$B$56,1,0)+Assumptions!$B$116*IF(U2&gt;=Assumptions!$B$57,1,0)</f>
        <v>1</v>
      </c>
      <c r="V23" s="48" t="n">
        <f aca="false">Assumptions!$B$114*1+Assumptions!$B$115*IF(V2&gt;=Assumptions!$B$56,1,0)+Assumptions!$B$116*IF(V2&gt;=Assumptions!$B$57,1,0)</f>
        <v>1</v>
      </c>
      <c r="W23" s="48" t="n">
        <f aca="false">Assumptions!$B$114*1+Assumptions!$B$115*IF(W2&gt;=Assumptions!$B$56,1,0)+Assumptions!$B$116*IF(W2&gt;=Assumptions!$B$57,1,0)</f>
        <v>1</v>
      </c>
      <c r="X23" s="48" t="n">
        <f aca="false">Assumptions!$B$114*1+Assumptions!$B$115*IF(X2&gt;=Assumptions!$B$56,1,0)+Assumptions!$B$116*IF(X2&gt;=Assumptions!$B$57,1,0)</f>
        <v>1</v>
      </c>
      <c r="Y23" s="48" t="n">
        <f aca="false">Assumptions!$B$114*1+Assumptions!$B$115*IF(Y2&gt;=Assumptions!$B$56,1,0)+Assumptions!$B$116*IF(Y2&gt;=Assumptions!$B$57,1,0)</f>
        <v>1</v>
      </c>
      <c r="Z23" s="48" t="n">
        <f aca="false">Assumptions!$B$114*1+Assumptions!$B$115*IF(Z2&gt;=Assumptions!$B$56,1,0)+Assumptions!$B$116*IF(Z2&gt;=Assumptions!$B$57,1,0)</f>
        <v>1</v>
      </c>
      <c r="AA23" s="48" t="n">
        <f aca="false">Assumptions!$B$114*1+Assumptions!$B$115*IF(AA2&gt;=Assumptions!$B$56,1,0)+Assumptions!$B$116*IF(AA2&gt;=Assumptions!$B$57,1,0)</f>
        <v>1</v>
      </c>
      <c r="AB23" s="48" t="n">
        <f aca="false">Assumptions!$B$114*1+Assumptions!$B$115*IF(AB2&gt;=Assumptions!$B$56,1,0)+Assumptions!$B$116*IF(AB2&gt;=Assumptions!$B$57,1,0)</f>
        <v>1</v>
      </c>
      <c r="AC23" s="48" t="n">
        <f aca="false">Assumptions!$B$114*1+Assumptions!$B$115*IF(AC2&gt;=Assumptions!$B$56,1,0)+Assumptions!$B$116*IF(AC2&gt;=Assumptions!$B$57,1,0)</f>
        <v>1</v>
      </c>
      <c r="AD23" s="48" t="n">
        <f aca="false">Assumptions!$B$114*1+Assumptions!$B$115*IF(AD2&gt;=Assumptions!$B$56,1,0)+Assumptions!$B$116*IF(AD2&gt;=Assumptions!$B$57,1,0)</f>
        <v>1</v>
      </c>
      <c r="AE23" s="48" t="n">
        <f aca="false">Assumptions!$B$114*1+Assumptions!$B$115*IF(AE2&gt;=Assumptions!$B$56,1,0)+Assumptions!$B$116*IF(AE2&gt;=Assumptions!$B$57,1,0)</f>
        <v>1</v>
      </c>
    </row>
    <row r="25" customFormat="false" ht="15" hidden="false" customHeight="false" outlineLevel="0" collapsed="false">
      <c r="A25" s="46" t="s">
        <v>445</v>
      </c>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row>
    <row r="26" customFormat="false" ht="15" hidden="false" customHeight="false" outlineLevel="0" collapsed="false">
      <c r="A26" s="6" t="s">
        <v>446</v>
      </c>
      <c r="B26" s="23" t="s">
        <v>190</v>
      </c>
      <c r="C26" s="53" t="n">
        <f aca="false">INDEX(Assumptions!$B$100:$B$106,C5)*Assumptions!$B$127/12*C7/Assumptions!$B$124*(1+Assumptions!$B$132)*1</f>
        <v>63.9705882352941</v>
      </c>
      <c r="D26" s="53" t="n">
        <f aca="false">INDEX(Assumptions!$B$100:$B$106,D5)*Assumptions!$B$127/12*D7/Assumptions!$B$124*(1+Assumptions!$B$132)*1</f>
        <v>63.9705882352941</v>
      </c>
      <c r="E26" s="53" t="n">
        <f aca="false">INDEX(Assumptions!$B$100:$B$106,E5)*Assumptions!$B$127/12*E7/Assumptions!$B$124*(1+Assumptions!$B$132)*1</f>
        <v>63.9705882352941</v>
      </c>
      <c r="F26" s="53" t="n">
        <f aca="false">INDEX(Assumptions!$B$100:$B$106,F5)*Assumptions!$B$127/12*F7/Assumptions!$B$124*(1+Assumptions!$B$132)*1</f>
        <v>63.9705882352941</v>
      </c>
      <c r="G26" s="53" t="n">
        <f aca="false">INDEX(Assumptions!$B$100:$B$106,G5)*Assumptions!$B$127/12*G7/Assumptions!$B$124*(1+Assumptions!$B$132)*1</f>
        <v>63.9705882352941</v>
      </c>
      <c r="H26" s="53" t="n">
        <f aca="false">INDEX(Assumptions!$B$100:$B$106,H5)*Assumptions!$B$127/12*H7/Assumptions!$B$124*(1+Assumptions!$B$132)*1</f>
        <v>63.9705882352941</v>
      </c>
      <c r="I26" s="53" t="n">
        <f aca="false">INDEX(Assumptions!$B$100:$B$106,I5)*Assumptions!$B$127/12*I7/Assumptions!$B$124*(1+Assumptions!$B$132)*1</f>
        <v>63.9705882352941</v>
      </c>
      <c r="J26" s="53" t="n">
        <f aca="false">INDEX(Assumptions!$B$100:$B$106,J5)*Assumptions!$B$127/12*J7/Assumptions!$B$124*(1+Assumptions!$B$132)*1</f>
        <v>63.9705882352941</v>
      </c>
      <c r="K26" s="53" t="n">
        <f aca="false">INDEX(Assumptions!$B$100:$B$106,K5)*Assumptions!$B$127/12*K7/Assumptions!$B$124*(1+Assumptions!$B$132)*1</f>
        <v>63.9705882352941</v>
      </c>
      <c r="L26" s="53" t="n">
        <f aca="false">INDEX(Assumptions!$B$100:$B$106,L5)*Assumptions!$B$127/12*L7/Assumptions!$B$124*(1+Assumptions!$B$132)*1</f>
        <v>63.9705882352941</v>
      </c>
      <c r="M26" s="53" t="n">
        <f aca="false">INDEX(Assumptions!$B$100:$B$106,M5)*Assumptions!$B$127/12*M7/Assumptions!$B$124*(1+Assumptions!$B$132)*1</f>
        <v>63.9705882352941</v>
      </c>
      <c r="N26" s="53" t="n">
        <f aca="false">INDEX(Assumptions!$B$100:$B$106,N5)*Assumptions!$B$127/12*N7/Assumptions!$B$124*(1+Assumptions!$B$132)*1</f>
        <v>63.9705882352941</v>
      </c>
      <c r="O26" s="53" t="n">
        <f aca="false">INDEX(Assumptions!$B$100:$B$106,O5)*Assumptions!$B$127/12*O7/Assumptions!$B$124*(1+Assumptions!$B$132)*1</f>
        <v>191.911764705882</v>
      </c>
      <c r="P26" s="53" t="n">
        <f aca="false">INDEX(Assumptions!$B$100:$B$106,P5)*Assumptions!$B$127/12*P7/Assumptions!$B$124*(1+Assumptions!$B$132)*1</f>
        <v>191.911764705882</v>
      </c>
      <c r="Q26" s="53" t="n">
        <f aca="false">INDEX(Assumptions!$B$100:$B$106,Q5)*Assumptions!$B$127/12*Q7/Assumptions!$B$124*(1+Assumptions!$B$132)*1</f>
        <v>191.911764705882</v>
      </c>
      <c r="R26" s="53" t="n">
        <f aca="false">INDEX(Assumptions!$B$100:$B$106,R5)*Assumptions!$B$127/12*R7/Assumptions!$B$124*(1+Assumptions!$B$132)*1</f>
        <v>191.911764705882</v>
      </c>
      <c r="S26" s="53" t="n">
        <f aca="false">INDEX(Assumptions!$B$100:$B$106,S5)*Assumptions!$B$127/12*S7/Assumptions!$B$124*(1+Assumptions!$B$132)*1</f>
        <v>191.911764705882</v>
      </c>
      <c r="T26" s="53" t="n">
        <f aca="false">INDEX(Assumptions!$B$100:$B$106,T5)*Assumptions!$B$127/12*T7/Assumptions!$B$124*(1+Assumptions!$B$132)*1</f>
        <v>191.911764705882</v>
      </c>
      <c r="U26" s="53" t="n">
        <f aca="false">INDEX(Assumptions!$B$100:$B$106,U5)*Assumptions!$B$127/12*U7/Assumptions!$B$124*(1+Assumptions!$B$132)*1</f>
        <v>191.911764705882</v>
      </c>
      <c r="V26" s="53" t="n">
        <f aca="false">INDEX(Assumptions!$B$100:$B$106,V5)*Assumptions!$B$127/12*V7/Assumptions!$B$124*(1+Assumptions!$B$132)*1</f>
        <v>191.911764705882</v>
      </c>
      <c r="W26" s="53" t="n">
        <f aca="false">INDEX(Assumptions!$B$100:$B$106,W5)*Assumptions!$B$127/12*W7/Assumptions!$B$124*(1+Assumptions!$B$132)*1</f>
        <v>191.911764705882</v>
      </c>
      <c r="X26" s="53" t="n">
        <f aca="false">INDEX(Assumptions!$B$100:$B$106,X5)*Assumptions!$B$127/12*X7/Assumptions!$B$124*(1+Assumptions!$B$132)*1</f>
        <v>191.911764705882</v>
      </c>
      <c r="Y26" s="53" t="n">
        <f aca="false">INDEX(Assumptions!$B$100:$B$106,Y5)*Assumptions!$B$127/12*Y7/Assumptions!$B$124*(1+Assumptions!$B$132)*1</f>
        <v>191.911764705882</v>
      </c>
      <c r="Z26" s="53" t="n">
        <f aca="false">INDEX(Assumptions!$B$100:$B$106,Z5)*Assumptions!$B$127/12*Z7/Assumptions!$B$124*(1+Assumptions!$B$132)*1</f>
        <v>191.911764705882</v>
      </c>
      <c r="AA26" s="53" t="n">
        <f aca="false">INDEX(Assumptions!$B$100:$B$106,AA5)*Assumptions!$B$127/12*AA7/Assumptions!$B$124*(1+Assumptions!$B$132)*1</f>
        <v>3198.52941176471</v>
      </c>
      <c r="AB26" s="53" t="n">
        <f aca="false">INDEX(Assumptions!$B$100:$B$106,AB5)*Assumptions!$B$127/12*AB7/Assumptions!$B$124*(1+Assumptions!$B$132)*1</f>
        <v>5117.64705882353</v>
      </c>
      <c r="AC26" s="53" t="n">
        <f aca="false">INDEX(Assumptions!$B$100:$B$106,AC5)*Assumptions!$B$127/12*AC7/Assumptions!$B$124*(1+Assumptions!$B$132)*1</f>
        <v>7676.47058823529</v>
      </c>
      <c r="AD26" s="53" t="n">
        <f aca="false">INDEX(Assumptions!$B$100:$B$106,AD5)*Assumptions!$B$127/12*AD7/Assumptions!$B$124*(1+Assumptions!$B$132)*1</f>
        <v>10875</v>
      </c>
      <c r="AE26" s="53" t="n">
        <f aca="false">INDEX(Assumptions!$B$100:$B$106,AE5)*Assumptions!$B$127/12*AE7/Assumptions!$B$124*(1+Assumptions!$B$132)*1</f>
        <v>14073.5294117647</v>
      </c>
    </row>
    <row r="27" customFormat="false" ht="15" hidden="false" customHeight="false" outlineLevel="0" collapsed="false">
      <c r="A27" s="6" t="s">
        <v>447</v>
      </c>
      <c r="B27" s="23" t="s">
        <v>190</v>
      </c>
      <c r="C27" s="54" t="n">
        <v>0</v>
      </c>
      <c r="D27" s="54" t="n">
        <f aca="false">IF(D2&gt;=Assumptions!$B$55,C31*Assumptions!$B$130/12*Assumptions!$B$131*D7,0)</f>
        <v>0</v>
      </c>
      <c r="E27" s="54" t="n">
        <f aca="false">IF(E2&gt;=Assumptions!$B$55,D31*Assumptions!$B$130/12*Assumptions!$B$131*E7,0)</f>
        <v>0</v>
      </c>
      <c r="F27" s="54" t="n">
        <f aca="false">IF(F2&gt;=Assumptions!$B$55,E31*Assumptions!$B$130/12*Assumptions!$B$131*F7,0)</f>
        <v>0</v>
      </c>
      <c r="G27" s="54" t="n">
        <f aca="false">IF(G2&gt;=Assumptions!$B$55,F31*Assumptions!$B$130/12*Assumptions!$B$131*G7,0)</f>
        <v>0</v>
      </c>
      <c r="H27" s="54" t="n">
        <f aca="false">IF(H2&gt;=Assumptions!$B$55,G31*Assumptions!$B$130/12*Assumptions!$B$131*H7,0)</f>
        <v>0</v>
      </c>
      <c r="I27" s="54" t="n">
        <f aca="false">IF(I2&gt;=Assumptions!$B$55,H31*Assumptions!$B$130/12*Assumptions!$B$131*I7,0)</f>
        <v>0</v>
      </c>
      <c r="J27" s="54" t="n">
        <f aca="false">IF(J2&gt;=Assumptions!$B$55,I31*Assumptions!$B$130/12*Assumptions!$B$131*J7,0)</f>
        <v>0</v>
      </c>
      <c r="K27" s="54" t="n">
        <f aca="false">IF(K2&gt;=Assumptions!$B$55,J31*Assumptions!$B$130/12*Assumptions!$B$131*K7,0)</f>
        <v>0</v>
      </c>
      <c r="L27" s="54" t="n">
        <f aca="false">IF(L2&gt;=Assumptions!$B$55,K31*Assumptions!$B$130/12*Assumptions!$B$131*L7,0)</f>
        <v>0</v>
      </c>
      <c r="M27" s="54" t="n">
        <f aca="false">IF(M2&gt;=Assumptions!$B$55,L31*Assumptions!$B$130/12*Assumptions!$B$131*M7,0)</f>
        <v>0</v>
      </c>
      <c r="N27" s="54" t="n">
        <f aca="false">IF(N2&gt;=Assumptions!$B$55,M31*Assumptions!$B$130/12*Assumptions!$B$131*N7,0)</f>
        <v>0</v>
      </c>
      <c r="O27" s="54" t="n">
        <f aca="false">IF(O2&gt;=Assumptions!$B$55,N31*Assumptions!$B$130/12*Assumptions!$B$131*O7,0)</f>
        <v>21.9851818672777</v>
      </c>
      <c r="P27" s="54" t="n">
        <f aca="false">IF(P2&gt;=Assumptions!$B$55,O31*Assumptions!$B$130/12*Assumptions!$B$131*P7,0)</f>
        <v>29.0075733017705</v>
      </c>
      <c r="Q27" s="54" t="n">
        <f aca="false">IF(Q2&gt;=Assumptions!$B$55,P31*Assumptions!$B$130/12*Assumptions!$B$131*Q7,0)</f>
        <v>35.4757460723334</v>
      </c>
      <c r="R27" s="54" t="n">
        <f aca="false">IF(R2&gt;=Assumptions!$B$55,Q31*Assumptions!$B$130/12*Assumptions!$B$131*R7,0)</f>
        <v>41.4655023838771</v>
      </c>
      <c r="S27" s="54" t="n">
        <f aca="false">IF(S2&gt;=Assumptions!$B$55,R31*Assumptions!$B$130/12*Assumptions!$B$131*S7,0)</f>
        <v>49.2809673304171</v>
      </c>
      <c r="T27" s="54" t="n">
        <f aca="false">IF(T2&gt;=Assumptions!$B$55,S31*Assumptions!$B$130/12*Assumptions!$B$131*T7,0)</f>
        <v>55.9980193705661</v>
      </c>
      <c r="U27" s="54" t="n">
        <f aca="false">IF(U2&gt;=Assumptions!$B$55,T31*Assumptions!$B$130/12*Assumptions!$B$131*U7,0)</f>
        <v>61.14603808328</v>
      </c>
      <c r="V27" s="54" t="n">
        <f aca="false">IF(V2&gt;=Assumptions!$B$55,U31*Assumptions!$B$130/12*Assumptions!$B$131*V7,0)</f>
        <v>65.8913831339577</v>
      </c>
      <c r="W27" s="54" t="n">
        <f aca="false">IF(W2&gt;=Assumptions!$B$55,V31*Assumptions!$B$130/12*Assumptions!$B$131*W7,0)</f>
        <v>70.5115596178181</v>
      </c>
      <c r="X27" s="54" t="n">
        <f aca="false">IF(X2&gt;=Assumptions!$B$55,W31*Assumptions!$B$130/12*Assumptions!$B$131*X7,0)</f>
        <v>75.7546677775739</v>
      </c>
      <c r="Y27" s="54" t="n">
        <f aca="false">IF(Y2&gt;=Assumptions!$B$55,X31*Assumptions!$B$130/12*Assumptions!$B$131*Y7,0)</f>
        <v>83.895646901683</v>
      </c>
      <c r="Z27" s="54" t="n">
        <f aca="false">IF(Z2&gt;=Assumptions!$B$55,Y31*Assumptions!$B$130/12*Assumptions!$B$131*Z7,0)</f>
        <v>90.9401752565236</v>
      </c>
      <c r="AA27" s="54" t="n">
        <f aca="false">IF(AA2&gt;=Assumptions!$B$55,Z31*Assumptions!$B$130/12*Assumptions!$B$131*AA7,0)</f>
        <v>1157.65638192442</v>
      </c>
      <c r="AB27" s="54" t="n">
        <f aca="false">IF(AB2&gt;=Assumptions!$B$55,AA31*Assumptions!$B$130/12*Assumptions!$B$131*AB7,0)</f>
        <v>2320.03490405234</v>
      </c>
      <c r="AC27" s="54" t="n">
        <f aca="false">IF(AC2&gt;=Assumptions!$B$55,AB31*Assumptions!$B$130/12*Assumptions!$B$131*AC7,0)</f>
        <v>3920.19343114825</v>
      </c>
      <c r="AD27" s="54" t="n">
        <f aca="false">IF(AD2&gt;=Assumptions!$B$55,AC31*Assumptions!$B$130/12*Assumptions!$B$131*AD7,0)</f>
        <v>5938.71195816293</v>
      </c>
      <c r="AE27" s="54" t="n">
        <f aca="false">IF(AE2&gt;=Assumptions!$B$55,AD31*Assumptions!$B$130/12*Assumptions!$B$131*AE7,0)</f>
        <v>7886.21094067088</v>
      </c>
    </row>
    <row r="28" customFormat="false" ht="15" hidden="false" customHeight="false" outlineLevel="0" collapsed="false">
      <c r="A28" s="6" t="s">
        <v>448</v>
      </c>
      <c r="B28" s="23" t="s">
        <v>190</v>
      </c>
      <c r="C28" s="54" t="n">
        <f aca="false">C26+C27+IF(C23=0,0,C20*Assumptions!$B$114/C23*1)</f>
        <v>78.3705882352941</v>
      </c>
      <c r="D28" s="54" t="n">
        <f aca="false">D26+D27+IF(D23=0,0,D20*Assumptions!$B$114/D23*1)</f>
        <v>78.3705882352941</v>
      </c>
      <c r="E28" s="54" t="n">
        <f aca="false">E26+E27+IF(E23=0,0,E20*Assumptions!$B$114/E23*1)</f>
        <v>78.3705882352941</v>
      </c>
      <c r="F28" s="54" t="n">
        <f aca="false">F26+F27+IF(F23=0,0,F20*Assumptions!$B$114/F23*1)</f>
        <v>78.3705882352941</v>
      </c>
      <c r="G28" s="54" t="n">
        <f aca="false">G26+G27+IF(G23=0,0,G20*Assumptions!$B$114/G23*1)</f>
        <v>78.3705882352941</v>
      </c>
      <c r="H28" s="54" t="n">
        <f aca="false">H26+H27+IF(H23=0,0,H20*Assumptions!$B$114/H23*1)</f>
        <v>78.3705882352941</v>
      </c>
      <c r="I28" s="54" t="n">
        <f aca="false">I26+I27+IF(I23=0,0,I20*Assumptions!$B$114/I23*1)</f>
        <v>78.3705882352941</v>
      </c>
      <c r="J28" s="54" t="n">
        <f aca="false">J26+J27+IF(J23=0,0,J20*Assumptions!$B$114/J23*1)</f>
        <v>78.3705882352941</v>
      </c>
      <c r="K28" s="54" t="n">
        <f aca="false">K26+K27+IF(K23=0,0,K20*Assumptions!$B$114/K23*1)</f>
        <v>78.3705882352941</v>
      </c>
      <c r="L28" s="54" t="n">
        <f aca="false">L26+L27+IF(L23=0,0,L20*Assumptions!$B$114/L23*1)</f>
        <v>78.3705882352941</v>
      </c>
      <c r="M28" s="54" t="n">
        <f aca="false">M26+M27+IF(M23=0,0,M20*Assumptions!$B$114/M23*1)</f>
        <v>78.3705882352941</v>
      </c>
      <c r="N28" s="54" t="n">
        <f aca="false">N26+N27+IF(N23=0,0,N20*Assumptions!$B$114/N23*1)</f>
        <v>78.3705882352941</v>
      </c>
      <c r="O28" s="54" t="n">
        <f aca="false">O26+O27+IF(O23=0,0,O20*Assumptions!$B$114/O23*1)</f>
        <v>266.68194657316</v>
      </c>
      <c r="P28" s="54" t="n">
        <f aca="false">P26+P27+IF(P23=0,0,P20*Assumptions!$B$114/P23*1)</f>
        <v>273.704338007653</v>
      </c>
      <c r="Q28" s="54" t="n">
        <f aca="false">Q26+Q27+IF(Q23=0,0,Q20*Assumptions!$B$114/Q23*1)</f>
        <v>280.172510778216</v>
      </c>
      <c r="R28" s="54" t="n">
        <f aca="false">R26+R27+IF(R23=0,0,R20*Assumptions!$B$114/R23*1)</f>
        <v>286.162267089759</v>
      </c>
      <c r="S28" s="54" t="n">
        <f aca="false">S26+S27+IF(S23=0,0,S20*Assumptions!$B$114/S23*1)</f>
        <v>293.977732036299</v>
      </c>
      <c r="T28" s="54" t="n">
        <f aca="false">T26+T27+IF(T23=0,0,T20*Assumptions!$B$114/T23*1)</f>
        <v>300.694784076448</v>
      </c>
      <c r="U28" s="54" t="n">
        <f aca="false">U26+U27+IF(U23=0,0,U20*Assumptions!$B$114/U23*1)</f>
        <v>305.842802789162</v>
      </c>
      <c r="V28" s="54" t="n">
        <f aca="false">V26+V27+IF(V23=0,0,V20*Assumptions!$B$114/V23*1)</f>
        <v>310.58814783984</v>
      </c>
      <c r="W28" s="54" t="n">
        <f aca="false">W26+W27+IF(W23=0,0,W20*Assumptions!$B$114/W23*1)</f>
        <v>315.208324323701</v>
      </c>
      <c r="X28" s="54" t="n">
        <f aca="false">X26+X27+IF(X23=0,0,X20*Assumptions!$B$114/X23*1)</f>
        <v>320.451432483456</v>
      </c>
      <c r="Y28" s="54" t="n">
        <f aca="false">Y26+Y27+IF(Y23=0,0,Y20*Assumptions!$B$114/Y23*1)</f>
        <v>328.592411607565</v>
      </c>
      <c r="Z28" s="54" t="n">
        <f aca="false">Z26+Z27+IF(Z23=0,0,Z20*Assumptions!$B$114/Z23*1)</f>
        <v>335.636939962406</v>
      </c>
      <c r="AA28" s="54" t="n">
        <f aca="false">AA26+AA27+IF(AA23=0,0,AA20*Assumptions!$B$114/AA23*1)</f>
        <v>6300.18579368912</v>
      </c>
      <c r="AB28" s="54" t="n">
        <f aca="false">AB26+AB27+IF(AB23=0,0,AB20*Assumptions!$B$114/AB23*1)</f>
        <v>10353.6819628759</v>
      </c>
      <c r="AC28" s="54" t="n">
        <f aca="false">AC26+AC27+IF(AC23=0,0,AC20*Assumptions!$B$114/AC23*1)</f>
        <v>15970.6640193835</v>
      </c>
      <c r="AD28" s="54" t="n">
        <f aca="false">AD26+AD27+IF(AD23=0,0,AD20*Assumptions!$B$114/AD23*1)</f>
        <v>21965.3119581629</v>
      </c>
      <c r="AE28" s="54" t="n">
        <f aca="false">AE26+AE27+IF(AE23=0,0,AE20*Assumptions!$B$114/AE23*1)</f>
        <v>27986.1403524356</v>
      </c>
    </row>
    <row r="29" customFormat="false" ht="15" hidden="false" customHeight="false" outlineLevel="0" collapsed="false">
      <c r="A29" s="6" t="s">
        <v>449</v>
      </c>
      <c r="B29" s="23" t="s">
        <v>444</v>
      </c>
      <c r="C29" s="51" t="n">
        <v>1</v>
      </c>
      <c r="D29" s="51" t="n">
        <f aca="false">MAX(0,1-C34/Assumptions!$B$84)</f>
        <v>0.999445064007902</v>
      </c>
      <c r="E29" s="51" t="n">
        <f aca="false">MAX(0,1-D34/Assumptions!$B$84)</f>
        <v>0.998917892803331</v>
      </c>
      <c r="F29" s="51" t="n">
        <f aca="false">MAX(0,1-E34/Assumptions!$B$84)</f>
        <v>0.998412953543413</v>
      </c>
      <c r="G29" s="51" t="n">
        <f aca="false">MAX(0,1-F34/Assumptions!$B$84)</f>
        <v>0.997782098518331</v>
      </c>
      <c r="H29" s="51" t="n">
        <f aca="false">MAX(0,1-G34/Assumptions!$B$84)</f>
        <v>0.997211946630521</v>
      </c>
      <c r="I29" s="51" t="n">
        <f aca="false">MAX(0,1-H34/Assumptions!$B$84)</f>
        <v>0.996729786091092</v>
      </c>
      <c r="J29" s="51" t="n">
        <f aca="false">MAX(0,1-I34/Assumptions!$B$84)</f>
        <v>0.996264288023971</v>
      </c>
      <c r="K29" s="51" t="n">
        <f aca="false">MAX(0,1-J34/Assumptions!$B$84)</f>
        <v>0.995799007356242</v>
      </c>
      <c r="L29" s="51" t="n">
        <f aca="false">MAX(0,1-K34/Assumptions!$B$84)</f>
        <v>0.99529017331627</v>
      </c>
      <c r="M29" s="51" t="n">
        <f aca="false">MAX(0,1-L34/Assumptions!$B$84)</f>
        <v>0.994606606064098</v>
      </c>
      <c r="N29" s="51" t="n">
        <f aca="false">MAX(0,1-M34/Assumptions!$B$84)</f>
        <v>0.993978156109409</v>
      </c>
      <c r="O29" s="51" t="n">
        <f aca="false">MAX(0,1-N34/Assumptions!$B$84)</f>
        <v>0.993426561855225</v>
      </c>
      <c r="P29" s="51" t="n">
        <f aca="false">MAX(0,1-O34/Assumptions!$B$84)</f>
        <v>0.991550620873754</v>
      </c>
      <c r="Q29" s="51" t="n">
        <f aca="false">MAX(0,1-P34/Assumptions!$B$84)</f>
        <v>0.989724051306603</v>
      </c>
      <c r="R29" s="51" t="n">
        <f aca="false">MAX(0,1-Q34/Assumptions!$B$84)</f>
        <v>0.987935522717644</v>
      </c>
      <c r="S29" s="51" t="n">
        <f aca="false">MAX(0,1-R34/Assumptions!$B$84)</f>
        <v>0.985656192634122</v>
      </c>
      <c r="T29" s="51" t="n">
        <f aca="false">MAX(0,1-S34/Assumptions!$B$84)</f>
        <v>0.983543474100327</v>
      </c>
      <c r="U29" s="51" t="n">
        <f aca="false">MAX(0,1-T34/Assumptions!$B$84)</f>
        <v>0.981718862040427</v>
      </c>
      <c r="V29" s="51" t="n">
        <f aca="false">MAX(0,1-U34/Assumptions!$B$84)</f>
        <v>0.979929604982853</v>
      </c>
      <c r="W29" s="51" t="n">
        <f aca="false">MAX(0,1-V34/Assumptions!$B$84)</f>
        <v>0.978115898121291</v>
      </c>
      <c r="X29" s="51" t="n">
        <f aca="false">MAX(0,1-W34/Assumptions!$B$84)</f>
        <v>0.976105697709375</v>
      </c>
      <c r="Y29" s="51" t="n">
        <f aca="false">MAX(0,1-X34/Assumptions!$B$84)</f>
        <v>0.973364518109456</v>
      </c>
      <c r="Z29" s="51" t="n">
        <f aca="false">MAX(0,1-Y34/Assumptions!$B$84)</f>
        <v>0.970785827171804</v>
      </c>
      <c r="AA29" s="51" t="n">
        <f aca="false">MAX(0,1-Z34/Assumptions!$B$84)</f>
        <v>0.968478639263531</v>
      </c>
      <c r="AB29" s="51" t="n">
        <f aca="false">MAX(0,1-AA34/Assumptions!$B$84)</f>
        <v>0.925701492239906</v>
      </c>
      <c r="AC29" s="51" t="n">
        <f aca="false">MAX(0,1-AB34/Assumptions!$B$84)</f>
        <v>0.85850691942832</v>
      </c>
      <c r="AD29" s="51" t="n">
        <f aca="false">MAX(0,1-AC34/Assumptions!$B$84)</f>
        <v>0.762382177647057</v>
      </c>
      <c r="AE29" s="51" t="n">
        <f aca="false">MAX(0,1-AD34/Assumptions!$B$84)</f>
        <v>0.644979358996041</v>
      </c>
    </row>
    <row r="30" customFormat="false" ht="15" hidden="false" customHeight="false" outlineLevel="0" collapsed="false">
      <c r="A30" s="6" t="s">
        <v>450</v>
      </c>
      <c r="B30" s="23" t="s">
        <v>190</v>
      </c>
      <c r="C30" s="54" t="n">
        <f aca="false">C28*C29*C15</f>
        <v>79.1542941176471</v>
      </c>
      <c r="D30" s="54" t="n">
        <f aca="false">D28*D29*D15</f>
        <v>75.1940136721541</v>
      </c>
      <c r="E30" s="54" t="n">
        <f aca="false">E28*E29*E15</f>
        <v>72.0229202291369</v>
      </c>
      <c r="F30" s="54" t="n">
        <f aca="false">F28*F29*F15</f>
        <v>89.9831420415748</v>
      </c>
      <c r="G30" s="54" t="n">
        <f aca="false">G28*G29*G15</f>
        <v>81.3246407911889</v>
      </c>
      <c r="H30" s="54" t="n">
        <f aca="false">H28*H29*H15</f>
        <v>68.7738364303731</v>
      </c>
      <c r="I30" s="54" t="n">
        <f aca="false">I28*I29*I15</f>
        <v>66.3971547004581</v>
      </c>
      <c r="J30" s="54" t="n">
        <f aca="false">J28*J29*J15</f>
        <v>66.3661455467168</v>
      </c>
      <c r="K30" s="54" t="n">
        <f aca="false">K28*K29*K15</f>
        <v>72.5784591926865</v>
      </c>
      <c r="L30" s="54" t="n">
        <f aca="false">L28*L29*L15</f>
        <v>97.5018454345048</v>
      </c>
      <c r="M30" s="54" t="n">
        <f aca="false">M28*M29*M15</f>
        <v>89.6400904969458</v>
      </c>
      <c r="N30" s="54" t="n">
        <f aca="false">N28*N29*N15</f>
        <v>78.6776393152007</v>
      </c>
      <c r="O30" s="54" t="n">
        <f aca="false">O28*O29*O15</f>
        <v>267.578218585964</v>
      </c>
      <c r="P30" s="54" t="n">
        <f aca="false">P28*P29*P15</f>
        <v>260.536038035835</v>
      </c>
      <c r="Q30" s="54" t="n">
        <f aca="false">Q28*Q29*Q15</f>
        <v>255.109994637586</v>
      </c>
      <c r="R30" s="54" t="n">
        <f aca="false">R28*R29*R15</f>
        <v>325.116349257296</v>
      </c>
      <c r="S30" s="54" t="n">
        <f aca="false">S28*S29*S15</f>
        <v>301.351410961238</v>
      </c>
      <c r="T30" s="54" t="n">
        <f aca="false">T28*T29*T15</f>
        <v>260.25682546547</v>
      </c>
      <c r="U30" s="54" t="n">
        <f aca="false">U28*U29*U15</f>
        <v>255.213901069817</v>
      </c>
      <c r="V30" s="54" t="n">
        <f aca="false">V28*V29*V15</f>
        <v>258.701342871293</v>
      </c>
      <c r="W30" s="54" t="n">
        <f aca="false">W28*W29*W15</f>
        <v>286.728554114301</v>
      </c>
      <c r="X30" s="54" t="n">
        <f aca="false">X28*X29*X15</f>
        <v>390.993086357791</v>
      </c>
      <c r="Y30" s="54" t="n">
        <f aca="false">Y28*Y29*Y15</f>
        <v>367.816223535645</v>
      </c>
      <c r="Z30" s="54" t="n">
        <f aca="false">Z28*Z29*Z15</f>
        <v>329.089900234726</v>
      </c>
      <c r="AA30" s="54" t="n">
        <f aca="false">AA28*AA29*AA15</f>
        <v>6101.59536457947</v>
      </c>
      <c r="AB30" s="54" t="n">
        <f aca="false">AB28*AB29*AB15</f>
        <v>9584.41884321158</v>
      </c>
      <c r="AC30" s="54" t="n">
        <f aca="false">AC28*AC29*AC15</f>
        <v>13710.9255685057</v>
      </c>
      <c r="AD30" s="54" t="n">
        <f aca="false">AD28*AD29*AD15</f>
        <v>16745.9623633612</v>
      </c>
      <c r="AE30" s="54" t="n">
        <f aca="false">AE28*AE29*AE15</f>
        <v>18050.4828652871</v>
      </c>
    </row>
    <row r="31" customFormat="false" ht="15" hidden="false" customHeight="false" outlineLevel="0" collapsed="false">
      <c r="A31" s="6" t="s">
        <v>451</v>
      </c>
      <c r="B31" s="23" t="s">
        <v>190</v>
      </c>
      <c r="C31" s="28" t="n">
        <f aca="false">C30*(1-Assumptions!$B$122)^(C7/2)</f>
        <v>77.2069255907376</v>
      </c>
      <c r="D31" s="28" t="n">
        <f aca="false">C31*(1-Assumptions!$B$122)^D7+D30*(1-Assumptions!$B$122)^(D7/2)</f>
        <v>146.798815110308</v>
      </c>
      <c r="E31" s="28" t="n">
        <f aca="false">D31*(1-Assumptions!$B$122)^E7+E30*(1-Assumptions!$B$122)^(E7/2)</f>
        <v>209.915523744309</v>
      </c>
      <c r="F31" s="28" t="n">
        <f aca="false">E31*(1-Assumptions!$B$122)^F7+F30*(1-Assumptions!$B$122)^(F7/2)</f>
        <v>287.483178207008</v>
      </c>
      <c r="G31" s="28" t="n">
        <f aca="false">F31*(1-Assumptions!$B$122)^G7+G30*(1-Assumptions!$B$122)^(G7/2)</f>
        <v>352.835631188584</v>
      </c>
      <c r="H31" s="28" t="n">
        <f aca="false">G31*(1-Assumptions!$B$122)^H7+H30*(1-Assumptions!$B$122)^(H7/2)</f>
        <v>402.769986547369</v>
      </c>
      <c r="I31" s="28" t="n">
        <f aca="false">H31*(1-Assumptions!$B$122)^I7+I30*(1-Assumptions!$B$122)^(I7/2)</f>
        <v>447.959366958489</v>
      </c>
      <c r="J31" s="28" t="n">
        <f aca="false">I31*(1-Assumptions!$B$122)^J7+J30*(1-Assumptions!$B$122)^(J7/2)</f>
        <v>490.922337845974</v>
      </c>
      <c r="K31" s="28" t="n">
        <f aca="false">J31*(1-Assumptions!$B$122)^K7+K30*(1-Assumptions!$B$122)^(K7/2)</f>
        <v>537.856824133086</v>
      </c>
      <c r="L31" s="28" t="n">
        <f aca="false">K31*(1-Assumptions!$B$122)^L7+L30*(1-Assumptions!$B$122)^(L7/2)</f>
        <v>606.820553082392</v>
      </c>
      <c r="M31" s="28" t="n">
        <f aca="false">L31*(1-Assumptions!$B$122)^M7+M30*(1-Assumptions!$B$122)^(M7/2)</f>
        <v>664.764368208862</v>
      </c>
      <c r="N31" s="28" t="n">
        <f aca="false">M31*(1-Assumptions!$B$122)^N7+N30*(1-Assumptions!$B$122)^(N7/2)</f>
        <v>709.199415073474</v>
      </c>
      <c r="O31" s="28" t="n">
        <f aca="false">N31*(1-Assumptions!$B$122)^O7+O30*(1-Assumptions!$B$122)^(O7/2)</f>
        <v>935.728171024855</v>
      </c>
      <c r="P31" s="28" t="n">
        <f aca="false">O31*(1-Assumptions!$B$122)^P7+P30*(1-Assumptions!$B$122)^(P7/2)</f>
        <v>1144.37890555914</v>
      </c>
      <c r="Q31" s="28" t="n">
        <f aca="false">P31*(1-Assumptions!$B$122)^Q7+Q30*(1-Assumptions!$B$122)^(Q7/2)</f>
        <v>1337.59685109281</v>
      </c>
      <c r="R31" s="28" t="n">
        <f aca="false">Q31*(1-Assumptions!$B$122)^R7+R30*(1-Assumptions!$B$122)^(R7/2)</f>
        <v>1589.70862356184</v>
      </c>
      <c r="S31" s="28" t="n">
        <f aca="false">R31*(1-Assumptions!$B$122)^S7+S30*(1-Assumptions!$B$122)^(S7/2)</f>
        <v>1806.38772163117</v>
      </c>
      <c r="T31" s="28" t="n">
        <f aca="false">S31*(1-Assumptions!$B$122)^T7+T30*(1-Assumptions!$B$122)^(T7/2)</f>
        <v>1972.45284139613</v>
      </c>
      <c r="U31" s="28" t="n">
        <f aca="false">T31*(1-Assumptions!$B$122)^U7+U30*(1-Assumptions!$B$122)^(U7/2)</f>
        <v>2125.52848819218</v>
      </c>
      <c r="V31" s="28" t="n">
        <f aca="false">U31*(1-Assumptions!$B$122)^V7+V30*(1-Assumptions!$B$122)^(V7/2)</f>
        <v>2274.56643928445</v>
      </c>
      <c r="W31" s="28" t="n">
        <f aca="false">V31*(1-Assumptions!$B$122)^W7+W30*(1-Assumptions!$B$122)^(W7/2)</f>
        <v>2443.6989605669</v>
      </c>
      <c r="X31" s="28" t="n">
        <f aca="false">W31*(1-Assumptions!$B$122)^X7+X30*(1-Assumptions!$B$122)^(X7/2)</f>
        <v>2706.31119037687</v>
      </c>
      <c r="Y31" s="28" t="n">
        <f aca="false">X31*(1-Assumptions!$B$122)^Y7+Y30*(1-Assumptions!$B$122)^(Y7/2)</f>
        <v>2933.55404053302</v>
      </c>
      <c r="Z31" s="28" t="n">
        <f aca="false">Y31*(1-Assumptions!$B$122)^Z7+Z30*(1-Assumptions!$B$122)^(Z7/2)</f>
        <v>3111.9795213022</v>
      </c>
      <c r="AA31" s="28" t="n">
        <f aca="false">Z31*(1-Assumptions!$B$122)^AA7+AA30*(1-Assumptions!$B$122)^(AA7/2)</f>
        <v>6236.65296788263</v>
      </c>
      <c r="AB31" s="28" t="n">
        <f aca="false">AA31*(1-Assumptions!$B$122)^AB7+AB30*(1-Assumptions!$B$122)^(AB7/2)</f>
        <v>10538.1543848071</v>
      </c>
      <c r="AC31" s="28" t="n">
        <f aca="false">AB31*(1-Assumptions!$B$122)^AC7+AC30*(1-Assumptions!$B$122)^(AC7/2)</f>
        <v>15964.2794574272</v>
      </c>
      <c r="AD31" s="28" t="n">
        <f aca="false">AC31*(1-Assumptions!$B$122)^AD7+AD30*(1-Assumptions!$B$122)^(AD7/2)</f>
        <v>21199.491775997</v>
      </c>
      <c r="AE31" s="28" t="n">
        <f aca="false">AD31*(1-Assumptions!$B$122)^AE7+AE30*(1-Assumptions!$B$122)^(AE7/2)</f>
        <v>25046.3168484872</v>
      </c>
    </row>
    <row r="32" customFormat="false" ht="15" hidden="false" customHeight="false" outlineLevel="0" collapsed="false">
      <c r="A32" s="6" t="s">
        <v>452</v>
      </c>
      <c r="B32" s="23" t="s">
        <v>190</v>
      </c>
      <c r="C32" s="54" t="n">
        <f aca="false">C30-C31</f>
        <v>1.94736852690946</v>
      </c>
      <c r="D32" s="54" t="n">
        <f aca="false">C31+D30-D31</f>
        <v>5.60212415258405</v>
      </c>
      <c r="E32" s="54" t="n">
        <f aca="false">D31+E30-E31</f>
        <v>8.90621159513518</v>
      </c>
      <c r="F32" s="54" t="n">
        <f aca="false">E31+F30-F31</f>
        <v>12.4154875788761</v>
      </c>
      <c r="G32" s="54" t="n">
        <f aca="false">F31+G30-G31</f>
        <v>15.9721878096126</v>
      </c>
      <c r="H32" s="54" t="n">
        <f aca="false">G31+H30-H31</f>
        <v>18.8394810715882</v>
      </c>
      <c r="I32" s="54" t="n">
        <f aca="false">H31+I30-I31</f>
        <v>21.2077742893386</v>
      </c>
      <c r="J32" s="54" t="n">
        <f aca="false">I31+J30-J31</f>
        <v>23.4031746592317</v>
      </c>
      <c r="K32" s="54" t="n">
        <f aca="false">J31+K30-K31</f>
        <v>25.6439729055743</v>
      </c>
      <c r="L32" s="54" t="n">
        <f aca="false">K31+L30-L31</f>
        <v>28.5381164851993</v>
      </c>
      <c r="M32" s="54" t="n">
        <f aca="false">L31+M30-M31</f>
        <v>31.696275370476</v>
      </c>
      <c r="N32" s="54" t="n">
        <f aca="false">M31+N30-N31</f>
        <v>34.2425924505885</v>
      </c>
      <c r="O32" s="54" t="n">
        <f aca="false">N31+O30-O31</f>
        <v>41.0494626345818</v>
      </c>
      <c r="P32" s="54" t="n">
        <f aca="false">O31+P30-P31</f>
        <v>51.8853035015497</v>
      </c>
      <c r="Q32" s="54" t="n">
        <f aca="false">P31+Q30-Q31</f>
        <v>61.8920491039169</v>
      </c>
      <c r="R32" s="54" t="n">
        <f aca="false">Q31+R30-R31</f>
        <v>73.0045767882646</v>
      </c>
      <c r="S32" s="54" t="n">
        <f aca="false">R31+S30-S31</f>
        <v>84.6723128919127</v>
      </c>
      <c r="T32" s="54" t="n">
        <f aca="false">S31+T30-T31</f>
        <v>94.1917057005051</v>
      </c>
      <c r="U32" s="54" t="n">
        <f aca="false">T31+U30-U31</f>
        <v>102.138254273763</v>
      </c>
      <c r="V32" s="54" t="n">
        <f aca="false">U31+V30-V31</f>
        <v>109.663391779022</v>
      </c>
      <c r="W32" s="54" t="n">
        <f aca="false">V31+W30-W31</f>
        <v>117.596032831856</v>
      </c>
      <c r="X32" s="54" t="n">
        <f aca="false">W31+X30-X31</f>
        <v>128.380856547818</v>
      </c>
      <c r="Y32" s="54" t="n">
        <f aca="false">X31+Y30-Y31</f>
        <v>140.573373379497</v>
      </c>
      <c r="Z32" s="54" t="n">
        <f aca="false">Y31+Z30-Z31</f>
        <v>150.66441946555</v>
      </c>
      <c r="AA32" s="54" t="n">
        <f aca="false">Z31+AA30-AA31</f>
        <v>2976.92191799904</v>
      </c>
      <c r="AB32" s="54" t="n">
        <f aca="false">AA31+AB30-AB31</f>
        <v>5282.91742628708</v>
      </c>
      <c r="AC32" s="54" t="n">
        <f aca="false">AB31+AC30-AC31</f>
        <v>8284.80049588559</v>
      </c>
      <c r="AD32" s="54" t="n">
        <f aca="false">AC31+AD30-AD31</f>
        <v>11510.7500447914</v>
      </c>
      <c r="AE32" s="54" t="n">
        <f aca="false">AD31+AE30-AE31</f>
        <v>14203.6577927969</v>
      </c>
    </row>
    <row r="33" customFormat="false" ht="15" hidden="false" customHeight="false" outlineLevel="0" collapsed="false">
      <c r="A33" s="6" t="s">
        <v>453</v>
      </c>
      <c r="B33" s="23" t="s">
        <v>190</v>
      </c>
      <c r="C33" s="45" t="n">
        <f aca="false">C32</f>
        <v>1.94736852690946</v>
      </c>
      <c r="D33" s="45" t="n">
        <f aca="false">C33+D32</f>
        <v>7.54949267949351</v>
      </c>
      <c r="E33" s="45" t="n">
        <f aca="false">D33+E32</f>
        <v>16.4557042746287</v>
      </c>
      <c r="F33" s="45" t="n">
        <f aca="false">E33+F32</f>
        <v>28.8711918535048</v>
      </c>
      <c r="G33" s="45" t="n">
        <f aca="false">F33+G32</f>
        <v>44.8433796631174</v>
      </c>
      <c r="H33" s="45" t="n">
        <f aca="false">G33+H32</f>
        <v>63.6828607347056</v>
      </c>
      <c r="I33" s="45" t="n">
        <f aca="false">H33+I32</f>
        <v>84.8906350240442</v>
      </c>
      <c r="J33" s="45" t="n">
        <f aca="false">I33+J32</f>
        <v>108.293809683276</v>
      </c>
      <c r="K33" s="45" t="n">
        <f aca="false">J33+K32</f>
        <v>133.93778258885</v>
      </c>
      <c r="L33" s="45" t="n">
        <f aca="false">K33+L32</f>
        <v>162.47589907405</v>
      </c>
      <c r="M33" s="45" t="n">
        <f aca="false">L33+M32</f>
        <v>194.172174444526</v>
      </c>
      <c r="N33" s="45" t="n">
        <f aca="false">M33+N32</f>
        <v>228.414766895114</v>
      </c>
      <c r="O33" s="45" t="n">
        <f aca="false">N33+O32</f>
        <v>269.464229529696</v>
      </c>
      <c r="P33" s="45" t="n">
        <f aca="false">O33+P32</f>
        <v>321.349533031246</v>
      </c>
      <c r="Q33" s="45" t="n">
        <f aca="false">P33+Q32</f>
        <v>383.241582135162</v>
      </c>
      <c r="R33" s="45" t="n">
        <f aca="false">Q33+R32</f>
        <v>456.246158923427</v>
      </c>
      <c r="S33" s="45" t="n">
        <f aca="false">R33+S32</f>
        <v>540.91847181534</v>
      </c>
      <c r="T33" s="45" t="n">
        <f aca="false">S33+T32</f>
        <v>635.110177515845</v>
      </c>
      <c r="U33" s="45" t="n">
        <f aca="false">T33+U32</f>
        <v>737.248431789608</v>
      </c>
      <c r="V33" s="45" t="n">
        <f aca="false">U33+V32</f>
        <v>846.91182356863</v>
      </c>
      <c r="W33" s="45" t="n">
        <f aca="false">V33+W32</f>
        <v>964.507856400486</v>
      </c>
      <c r="X33" s="45" t="n">
        <f aca="false">W33+X32</f>
        <v>1092.8887129483</v>
      </c>
      <c r="Y33" s="45" t="n">
        <f aca="false">X33+Y32</f>
        <v>1233.4620863278</v>
      </c>
      <c r="Z33" s="45" t="n">
        <f aca="false">Y33+Z32</f>
        <v>1384.12650579335</v>
      </c>
      <c r="AA33" s="45" t="n">
        <f aca="false">Z33+AA32</f>
        <v>4361.04842379239</v>
      </c>
      <c r="AB33" s="45" t="n">
        <f aca="false">AA33+AB32</f>
        <v>9643.96585007947</v>
      </c>
      <c r="AC33" s="45" t="n">
        <f aca="false">AB33+AC32</f>
        <v>17928.7663459651</v>
      </c>
      <c r="AD33" s="45" t="n">
        <f aca="false">AC33+AD32</f>
        <v>29439.5163907565</v>
      </c>
      <c r="AE33" s="45" t="n">
        <f aca="false">AD33+AE32</f>
        <v>43643.1741835534</v>
      </c>
    </row>
    <row r="34" customFormat="false" ht="15" hidden="false" customHeight="false" outlineLevel="0" collapsed="false">
      <c r="A34" s="6" t="s">
        <v>454</v>
      </c>
      <c r="B34" s="23" t="s">
        <v>190</v>
      </c>
      <c r="C34" s="45" t="n">
        <f aca="false">C30</f>
        <v>79.1542941176471</v>
      </c>
      <c r="D34" s="45" t="n">
        <f aca="false">C34+D30</f>
        <v>154.348307789801</v>
      </c>
      <c r="E34" s="45" t="n">
        <f aca="false">D34+E30</f>
        <v>226.371228018938</v>
      </c>
      <c r="F34" s="45" t="n">
        <f aca="false">E34+F30</f>
        <v>316.354370060513</v>
      </c>
      <c r="G34" s="45" t="n">
        <f aca="false">F34+G30</f>
        <v>397.679010851702</v>
      </c>
      <c r="H34" s="45" t="n">
        <f aca="false">G34+H30</f>
        <v>466.452847282075</v>
      </c>
      <c r="I34" s="45" t="n">
        <f aca="false">H34+I30</f>
        <v>532.850001982533</v>
      </c>
      <c r="J34" s="45" t="n">
        <f aca="false">I34+J30</f>
        <v>599.21614752925</v>
      </c>
      <c r="K34" s="45" t="n">
        <f aca="false">J34+K30</f>
        <v>671.794606721936</v>
      </c>
      <c r="L34" s="45" t="n">
        <f aca="false">K34+L30</f>
        <v>769.296452156441</v>
      </c>
      <c r="M34" s="45" t="n">
        <f aca="false">L34+M30</f>
        <v>858.936542653387</v>
      </c>
      <c r="N34" s="45" t="n">
        <f aca="false">M34+N30</f>
        <v>937.614181968588</v>
      </c>
      <c r="O34" s="45" t="n">
        <f aca="false">N34+O30</f>
        <v>1205.19240055455</v>
      </c>
      <c r="P34" s="45" t="n">
        <f aca="false">O34+P30</f>
        <v>1465.72843859039</v>
      </c>
      <c r="Q34" s="45" t="n">
        <f aca="false">P34+Q30</f>
        <v>1720.83843322797</v>
      </c>
      <c r="R34" s="45" t="n">
        <f aca="false">Q34+R30</f>
        <v>2045.95478248527</v>
      </c>
      <c r="S34" s="45" t="n">
        <f aca="false">R34+S30</f>
        <v>2347.30619344651</v>
      </c>
      <c r="T34" s="45" t="n">
        <f aca="false">S34+T30</f>
        <v>2607.56301891198</v>
      </c>
      <c r="U34" s="45" t="n">
        <f aca="false">T34+U30</f>
        <v>2862.77691998179</v>
      </c>
      <c r="V34" s="45" t="n">
        <f aca="false">U34+V30</f>
        <v>3121.47826285308</v>
      </c>
      <c r="W34" s="45" t="n">
        <f aca="false">V34+W30</f>
        <v>3408.20681696739</v>
      </c>
      <c r="X34" s="45" t="n">
        <f aca="false">W34+X30</f>
        <v>3799.19990332518</v>
      </c>
      <c r="Y34" s="45" t="n">
        <f aca="false">X34+Y30</f>
        <v>4167.01612686082</v>
      </c>
      <c r="Z34" s="45" t="n">
        <f aca="false">Y34+Z30</f>
        <v>4496.10602709555</v>
      </c>
      <c r="AA34" s="45" t="n">
        <f aca="false">Z34+AA30</f>
        <v>10597.701391675</v>
      </c>
      <c r="AB34" s="45" t="n">
        <f aca="false">AA34+AB30</f>
        <v>20182.1202348866</v>
      </c>
      <c r="AC34" s="45" t="n">
        <f aca="false">AB34+AC30</f>
        <v>33893.0458033923</v>
      </c>
      <c r="AD34" s="45" t="n">
        <f aca="false">AC34+AD30</f>
        <v>50639.0081667535</v>
      </c>
      <c r="AE34" s="45" t="n">
        <f aca="false">AD34+AE30</f>
        <v>68689.4910320406</v>
      </c>
    </row>
    <row r="35" customFormat="false" ht="15" hidden="false" customHeight="false" outlineLevel="0" collapsed="false">
      <c r="A35" s="6" t="s">
        <v>455</v>
      </c>
      <c r="B35" s="23" t="s">
        <v>114</v>
      </c>
      <c r="C35" s="55" t="n">
        <f aca="false">IF(C2&gt;=Assumptions!$B$47,C31*Assumptions!$B$171*C7,0)</f>
        <v>2594.15269984878</v>
      </c>
      <c r="D35" s="55" t="n">
        <f aca="false">IF(D2&gt;=Assumptions!$B$47,D31*Assumptions!$B$171*D7,0)</f>
        <v>4932.44018770634</v>
      </c>
      <c r="E35" s="55" t="n">
        <f aca="false">IF(E2&gt;=Assumptions!$B$47,E31*Assumptions!$B$171*E7,0)</f>
        <v>7053.1615978088</v>
      </c>
      <c r="F35" s="55" t="n">
        <f aca="false">IF(F2&gt;=Assumptions!$B$47,F31*Assumptions!$B$171*F7,0)</f>
        <v>9659.43478775547</v>
      </c>
      <c r="G35" s="55" t="n">
        <f aca="false">IF(G2&gt;=Assumptions!$B$47,G31*Assumptions!$B$171*G7,0)</f>
        <v>11855.2772079364</v>
      </c>
      <c r="H35" s="55" t="n">
        <f aca="false">IF(H2&gt;=Assumptions!$B$47,H31*Assumptions!$B$171*H7,0)</f>
        <v>13533.0715479916</v>
      </c>
      <c r="I35" s="55" t="n">
        <f aca="false">IF(I2&gt;=Assumptions!$B$47,I31*Assumptions!$B$171*I7,0)</f>
        <v>15051.4347298052</v>
      </c>
      <c r="J35" s="55" t="n">
        <f aca="false">IF(J2&gt;=Assumptions!$B$47,J31*Assumptions!$B$171*J7,0)</f>
        <v>16494.9905516247</v>
      </c>
      <c r="K35" s="55" t="n">
        <f aca="false">IF(K2&gt;=Assumptions!$B$47,K31*Assumptions!$B$171*K7,0)</f>
        <v>18071.9892908717</v>
      </c>
      <c r="L35" s="55" t="n">
        <f aca="false">IF(L2&gt;=Assumptions!$B$47,L31*Assumptions!$B$171*L7,0)</f>
        <v>20389.1705835684</v>
      </c>
      <c r="M35" s="55" t="n">
        <f aca="false">IF(M2&gt;=Assumptions!$B$47,M31*Assumptions!$B$171*M7,0)</f>
        <v>22336.0827718177</v>
      </c>
      <c r="N35" s="55" t="n">
        <f aca="false">IF(N2&gt;=Assumptions!$B$47,N31*Assumptions!$B$171*N7,0)</f>
        <v>23829.1003464687</v>
      </c>
      <c r="O35" s="55" t="n">
        <f aca="false">IF(O2&gt;=Assumptions!$B$47,O31*Assumptions!$B$171*O7,0)</f>
        <v>31440.4665464351</v>
      </c>
      <c r="P35" s="55" t="n">
        <f aca="false">IF(P2&gt;=Assumptions!$B$47,P31*Assumptions!$B$171*P7,0)</f>
        <v>38451.1312267871</v>
      </c>
      <c r="Q35" s="55" t="n">
        <f aca="false">IF(Q2&gt;=Assumptions!$B$47,Q31*Assumptions!$B$171*Q7,0)</f>
        <v>44943.2541967184</v>
      </c>
      <c r="R35" s="55" t="n">
        <f aca="false">IF(R2&gt;=Assumptions!$B$47,R31*Assumptions!$B$171*R7,0)</f>
        <v>53414.2097516778</v>
      </c>
      <c r="S35" s="55" t="n">
        <f aca="false">IF(S2&gt;=Assumptions!$B$47,S31*Assumptions!$B$171*S7,0)</f>
        <v>60694.6274468072</v>
      </c>
      <c r="T35" s="55" t="n">
        <f aca="false">IF(T2&gt;=Assumptions!$B$47,T31*Assumptions!$B$171*T7,0)</f>
        <v>66274.41547091</v>
      </c>
      <c r="U35" s="55" t="n">
        <f aca="false">IF(U2&gt;=Assumptions!$B$47,U31*Assumptions!$B$171*U7,0)</f>
        <v>71417.7572032574</v>
      </c>
      <c r="V35" s="55" t="n">
        <f aca="false">IF(V2&gt;=Assumptions!$B$47,V31*Assumptions!$B$171*V7,0)</f>
        <v>76425.4323599577</v>
      </c>
      <c r="W35" s="55" t="n">
        <f aca="false">IF(W2&gt;=Assumptions!$B$47,W31*Assumptions!$B$171*W7,0)</f>
        <v>82108.2850750478</v>
      </c>
      <c r="X35" s="55" t="n">
        <f aca="false">IF(X2&gt;=Assumptions!$B$47,X31*Assumptions!$B$171*X7,0)</f>
        <v>90932.0559966629</v>
      </c>
      <c r="Y35" s="55" t="n">
        <f aca="false">IF(Y2&gt;=Assumptions!$B$47,Y31*Assumptions!$B$171*Y7,0)</f>
        <v>98567.4157619095</v>
      </c>
      <c r="Z35" s="55" t="n">
        <f aca="false">IF(Z2&gt;=Assumptions!$B$47,Z31*Assumptions!$B$171*Z7,0)</f>
        <v>104562.511915754</v>
      </c>
      <c r="AA35" s="55" t="n">
        <f aca="false">IF(AA2&gt;=Assumptions!$B$47,AA31*Assumptions!$B$171*AA7,0)</f>
        <v>2514618.47665027</v>
      </c>
      <c r="AB35" s="55" t="n">
        <f aca="false">IF(AB2&gt;=Assumptions!$B$47,AB31*Assumptions!$B$171*AB7,0)</f>
        <v>4248983.84795424</v>
      </c>
      <c r="AC35" s="55" t="n">
        <f aca="false">IF(AC2&gt;=Assumptions!$B$47,AC31*Assumptions!$B$171*AC7,0)</f>
        <v>6436797.47723466</v>
      </c>
      <c r="AD35" s="55" t="n">
        <f aca="false">IF(AD2&gt;=Assumptions!$B$47,AD31*Assumptions!$B$171*AD7,0)</f>
        <v>8547635.08408199</v>
      </c>
      <c r="AE35" s="55" t="n">
        <f aca="false">IF(AE2&gt;=Assumptions!$B$47,AE31*Assumptions!$B$171*AE7,0)</f>
        <v>10098674.95331</v>
      </c>
    </row>
    <row r="36" customFormat="false" ht="15" hidden="false" customHeight="false" outlineLevel="0" collapsed="false">
      <c r="A36" s="6" t="s">
        <v>456</v>
      </c>
      <c r="B36" s="23" t="s">
        <v>114</v>
      </c>
      <c r="C36" s="55" t="n">
        <f aca="false">IF(C2&gt;=Assumptions!$B$48,C31*Assumptions!$B$35*Assumptions!$B$139*Assumptions!$B$141*Assumptions!$B$32*Assumptions!$B$140/12*C7,0)</f>
        <v>249.378369658083</v>
      </c>
      <c r="D36" s="55" t="n">
        <f aca="false">IF(D2&gt;=Assumptions!$B$48,D31*Assumptions!$B$35*Assumptions!$B$139*Assumptions!$B$141*Assumptions!$B$32*Assumptions!$B$140/12*D7,0)</f>
        <v>474.160172806294</v>
      </c>
      <c r="E36" s="55" t="n">
        <f aca="false">IF(E2&gt;=Assumptions!$B$48,E31*Assumptions!$B$35*Assumptions!$B$139*Assumptions!$B$141*Assumptions!$B$32*Assumptions!$B$140/12*E7,0)</f>
        <v>678.027141694119</v>
      </c>
      <c r="F36" s="55" t="n">
        <f aca="false">IF(F2&gt;=Assumptions!$B$48,F31*Assumptions!$B$35*Assumptions!$B$139*Assumptions!$B$141*Assumptions!$B$32*Assumptions!$B$140/12*F7,0)</f>
        <v>928.570665608636</v>
      </c>
      <c r="G36" s="55" t="n">
        <f aca="false">IF(G2&gt;=Assumptions!$B$48,G31*Assumptions!$B$35*Assumptions!$B$139*Assumptions!$B$141*Assumptions!$B$32*Assumptions!$B$140/12*G7,0)</f>
        <v>1139.65908873913</v>
      </c>
      <c r="H36" s="55" t="n">
        <f aca="false">IF(H2&gt;=Assumptions!$B$48,H31*Assumptions!$B$35*Assumptions!$B$139*Assumptions!$B$141*Assumptions!$B$32*Assumptions!$B$140/12*H7,0)</f>
        <v>1300.947056548</v>
      </c>
      <c r="I36" s="55" t="n">
        <f aca="false">IF(I2&gt;=Assumptions!$B$48,I31*Assumptions!$B$35*Assumptions!$B$139*Assumptions!$B$141*Assumptions!$B$32*Assumptions!$B$140/12*I7,0)</f>
        <v>1446.90875527592</v>
      </c>
      <c r="J36" s="55" t="n">
        <f aca="false">IF(J2&gt;=Assumptions!$B$48,J31*Assumptions!$B$35*Assumptions!$B$139*Assumptions!$B$141*Assumptions!$B$32*Assumptions!$B$140/12*J7,0)</f>
        <v>1585.6791512425</v>
      </c>
      <c r="K36" s="55" t="n">
        <f aca="false">IF(K2&gt;=Assumptions!$B$48,K31*Assumptions!$B$35*Assumptions!$B$139*Assumptions!$B$141*Assumptions!$B$32*Assumptions!$B$140/12*K7,0)</f>
        <v>1737.27754194987</v>
      </c>
      <c r="L36" s="55" t="n">
        <f aca="false">IF(L2&gt;=Assumptions!$B$48,L31*Assumptions!$B$35*Assumptions!$B$139*Assumptions!$B$141*Assumptions!$B$32*Assumptions!$B$140/12*L7,0)</f>
        <v>1960.03038645613</v>
      </c>
      <c r="M36" s="55" t="n">
        <f aca="false">IF(M2&gt;=Assumptions!$B$48,M31*Assumptions!$B$35*Assumptions!$B$139*Assumptions!$B$141*Assumptions!$B$32*Assumptions!$B$140/12*M7,0)</f>
        <v>2147.18890931462</v>
      </c>
      <c r="N36" s="55" t="n">
        <f aca="false">IF(N2&gt;=Assumptions!$B$48,N31*Assumptions!$B$35*Assumptions!$B$139*Assumptions!$B$141*Assumptions!$B$32*Assumptions!$B$140/12*N7,0)</f>
        <v>2290.71411068732</v>
      </c>
      <c r="O36" s="55" t="n">
        <f aca="false">IF(O2&gt;=Assumptions!$B$48,O31*Assumptions!$B$35*Assumptions!$B$139*Assumptions!$B$141*Assumptions!$B$32*Assumptions!$B$140/12*O7,0)</f>
        <v>3022.40199241028</v>
      </c>
      <c r="P36" s="55" t="n">
        <f aca="false">IF(P2&gt;=Assumptions!$B$48,P31*Assumptions!$B$35*Assumptions!$B$139*Assumptions!$B$141*Assumptions!$B$32*Assumptions!$B$140/12*P7,0)</f>
        <v>3696.34386495602</v>
      </c>
      <c r="Q36" s="55" t="n">
        <f aca="false">IF(Q2&gt;=Assumptions!$B$48,Q31*Assumptions!$B$35*Assumptions!$B$139*Assumptions!$B$141*Assumptions!$B$32*Assumptions!$B$140/12*Q7,0)</f>
        <v>4320.43782902978</v>
      </c>
      <c r="R36" s="55" t="n">
        <f aca="false">IF(R2&gt;=Assumptions!$B$48,R31*Assumptions!$B$35*Assumptions!$B$139*Assumptions!$B$141*Assumptions!$B$32*Assumptions!$B$140/12*R7,0)</f>
        <v>5134.75885410474</v>
      </c>
      <c r="S36" s="55" t="n">
        <f aca="false">IF(S2&gt;=Assumptions!$B$48,S31*Assumptions!$B$35*Assumptions!$B$139*Assumptions!$B$141*Assumptions!$B$32*Assumptions!$B$140/12*S7,0)</f>
        <v>5834.63234086866</v>
      </c>
      <c r="T36" s="55" t="n">
        <f aca="false">IF(T2&gt;=Assumptions!$B$48,T31*Assumptions!$B$35*Assumptions!$B$139*Assumptions!$B$141*Assumptions!$B$32*Assumptions!$B$140/12*T7,0)</f>
        <v>6371.0226777095</v>
      </c>
      <c r="U36" s="55" t="n">
        <f aca="false">IF(U2&gt;=Assumptions!$B$48,U31*Assumptions!$B$35*Assumptions!$B$139*Assumptions!$B$141*Assumptions!$B$32*Assumptions!$B$140/12*U7,0)</f>
        <v>6865.45701686075</v>
      </c>
      <c r="V36" s="55" t="n">
        <f aca="false">IF(V2&gt;=Assumptions!$B$48,V31*Assumptions!$B$35*Assumptions!$B$139*Assumptions!$B$141*Assumptions!$B$32*Assumptions!$B$140/12*V7,0)</f>
        <v>7346.84959888879</v>
      </c>
      <c r="W36" s="55" t="n">
        <f aca="false">IF(W2&gt;=Assumptions!$B$48,W31*Assumptions!$B$35*Assumptions!$B$139*Assumptions!$B$141*Assumptions!$B$32*Assumptions!$B$140/12*W7,0)</f>
        <v>7893.14764263109</v>
      </c>
      <c r="X36" s="55" t="n">
        <f aca="false">IF(X2&gt;=Assumptions!$B$48,X31*Assumptions!$B$35*Assumptions!$B$139*Assumptions!$B$141*Assumptions!$B$32*Assumptions!$B$140/12*X7,0)</f>
        <v>8741.3851449173</v>
      </c>
      <c r="Y36" s="55" t="n">
        <f aca="false">IF(Y2&gt;=Assumptions!$B$48,Y31*Assumptions!$B$35*Assumptions!$B$139*Assumptions!$B$141*Assumptions!$B$32*Assumptions!$B$140/12*Y7,0)</f>
        <v>9475.37955092165</v>
      </c>
      <c r="Z36" s="55" t="n">
        <f aca="false">IF(Z2&gt;=Assumptions!$B$48,Z31*Assumptions!$B$35*Assumptions!$B$139*Assumptions!$B$141*Assumptions!$B$32*Assumptions!$B$140/12*Z7,0)</f>
        <v>10051.6938538061</v>
      </c>
      <c r="AA36" s="55" t="n">
        <f aca="false">IF(AA2&gt;=Assumptions!$B$48,AA31*Assumptions!$B$35*Assumptions!$B$139*Assumptions!$B$141*Assumptions!$B$32*Assumptions!$B$140/12*AA7,0)</f>
        <v>241732.669035131</v>
      </c>
      <c r="AB36" s="55" t="n">
        <f aca="false">IF(AB2&gt;=Assumptions!$B$48,AB31*Assumptions!$B$35*Assumptions!$B$139*Assumptions!$B$141*Assumptions!$B$32*Assumptions!$B$140/12*AB7,0)</f>
        <v>408458.863955125</v>
      </c>
      <c r="AC36" s="55" t="n">
        <f aca="false">IF(AC2&gt;=Assumptions!$B$48,AC31*Assumptions!$B$35*Assumptions!$B$139*Assumptions!$B$141*Assumptions!$B$32*Assumptions!$B$140/12*AC7,0)</f>
        <v>618775.471769879</v>
      </c>
      <c r="AD36" s="55" t="n">
        <f aca="false">IF(AD2&gt;=Assumptions!$B$48,AD31*Assumptions!$B$35*Assumptions!$B$139*Assumptions!$B$141*Assumptions!$B$32*Assumptions!$B$140/12*AD7,0)</f>
        <v>821692.301237643</v>
      </c>
      <c r="AE36" s="55" t="n">
        <f aca="false">IF(AE2&gt;=Assumptions!$B$48,AE31*Assumptions!$B$35*Assumptions!$B$139*Assumptions!$B$141*Assumptions!$B$32*Assumptions!$B$140/12*AE7,0)</f>
        <v>970795.241047364</v>
      </c>
    </row>
    <row r="37" customFormat="false" ht="15" hidden="false" customHeight="false" outlineLevel="0" collapsed="false">
      <c r="A37" s="6" t="s">
        <v>457</v>
      </c>
      <c r="B37" s="23" t="s">
        <v>47</v>
      </c>
      <c r="C37" s="54" t="n">
        <f aca="false">(C35+C36)*(1-Assumptions!$B$8)/C21/(1+Assumptions!$B$9)</f>
        <v>18.8140323817384</v>
      </c>
      <c r="D37" s="54" t="n">
        <f aca="false">(D35+D36)*(1-Assumptions!$B$8)/D21/(1+Assumptions!$B$9)</f>
        <v>35.7724082386916</v>
      </c>
      <c r="E37" s="54" t="n">
        <f aca="false">(E35+E36)*(1-Assumptions!$B$8)/E21/(1+Assumptions!$B$9)</f>
        <v>51.1528911549977</v>
      </c>
      <c r="F37" s="54" t="n">
        <f aca="false">(F35+F36)*(1-Assumptions!$B$8)/F21/(1+Assumptions!$B$9)</f>
        <v>70.0548271104917</v>
      </c>
      <c r="G37" s="54" t="n">
        <f aca="false">(G35+G36)*(1-Assumptions!$B$8)/G21/(1+Assumptions!$B$9)</f>
        <v>85.9801234127825</v>
      </c>
      <c r="H37" s="54" t="n">
        <f aca="false">(H35+H36)*(1-Assumptions!$B$8)/H21/(1+Assumptions!$B$9)</f>
        <v>98.1482880106241</v>
      </c>
      <c r="I37" s="54" t="n">
        <f aca="false">(I35+I36)*(1-Assumptions!$B$8)/I21/(1+Assumptions!$B$9)</f>
        <v>109.160181825335</v>
      </c>
      <c r="J37" s="54" t="n">
        <f aca="false">(J35+J36)*(1-Assumptions!$B$8)/J21/(1+Assumptions!$B$9)</f>
        <v>119.629536994035</v>
      </c>
      <c r="K37" s="54" t="n">
        <f aca="false">(K35+K36)*(1-Assumptions!$B$8)/K21/(1+Assumptions!$B$9)</f>
        <v>131.066683831183</v>
      </c>
      <c r="L37" s="54" t="n">
        <f aca="false">(L35+L36)*(1-Assumptions!$B$8)/L21/(1+Assumptions!$B$9)</f>
        <v>147.871987496497</v>
      </c>
      <c r="M37" s="54" t="n">
        <f aca="false">(M35+M36)*(1-Assumptions!$B$8)/M21/(1+Assumptions!$B$9)</f>
        <v>161.991923056289</v>
      </c>
      <c r="N37" s="54" t="n">
        <f aca="false">(N35+N36)*(1-Assumptions!$B$8)/N21/(1+Assumptions!$B$9)</f>
        <v>172.819998441992</v>
      </c>
      <c r="O37" s="54" t="n">
        <f aca="false">(O35+O36)*(1-Assumptions!$B$8)/O21/(1+Assumptions!$B$9)</f>
        <v>210.935481542602</v>
      </c>
      <c r="P37" s="54" t="n">
        <f aca="false">(P35+P36)*(1-Assumptions!$B$8)/P21/(1+Assumptions!$B$9)</f>
        <v>257.97034115894</v>
      </c>
      <c r="Q37" s="54" t="n">
        <f aca="false">(Q35+Q36)*(1-Assumptions!$B$8)/Q21/(1+Assumptions!$B$9)</f>
        <v>301.526281490605</v>
      </c>
      <c r="R37" s="54" t="n">
        <f aca="false">(R35+R36)*(1-Assumptions!$B$8)/R21/(1+Assumptions!$B$9)</f>
        <v>358.358297213793</v>
      </c>
      <c r="S37" s="54" t="n">
        <f aca="false">(S35+S36)*(1-Assumptions!$B$8)/S21/(1+Assumptions!$B$9)</f>
        <v>407.202941744919</v>
      </c>
      <c r="T37" s="54" t="n">
        <f aca="false">(T35+T36)*(1-Assumptions!$B$8)/T21/(1+Assumptions!$B$9)</f>
        <v>444.637986547179</v>
      </c>
      <c r="U37" s="54" t="n">
        <f aca="false">(U35+U36)*(1-Assumptions!$B$8)/U21/(1+Assumptions!$B$9)</f>
        <v>479.144893861946</v>
      </c>
      <c r="V37" s="54" t="n">
        <f aca="false">(V35+V36)*(1-Assumptions!$B$8)/V21/(1+Assumptions!$B$9)</f>
        <v>512.741608116406</v>
      </c>
      <c r="W37" s="54" t="n">
        <f aca="false">(W35+W36)*(1-Assumptions!$B$8)/W21/(1+Assumptions!$B$9)</f>
        <v>550.868118491906</v>
      </c>
      <c r="X37" s="54" t="n">
        <f aca="false">(X35+X36)*(1-Assumptions!$B$8)/X21/(1+Assumptions!$B$9)</f>
        <v>610.067188124781</v>
      </c>
      <c r="Y37" s="54" t="n">
        <f aca="false">(Y35+Y36)*(1-Assumptions!$B$8)/Y21/(1+Assumptions!$B$9)</f>
        <v>661.293154713242</v>
      </c>
      <c r="Z37" s="54" t="n">
        <f aca="false">(Z35+Z36)*(1-Assumptions!$B$8)/Z21/(1+Assumptions!$B$9)</f>
        <v>701.514520138518</v>
      </c>
      <c r="AA37" s="54" t="n">
        <f aca="false">(AA35+AA36)*(1-Assumptions!$B$8)/AA21/(1+Assumptions!$B$9)</f>
        <v>15606.555643907</v>
      </c>
      <c r="AB37" s="54" t="n">
        <f aca="false">(AB35+AB36)*(1-Assumptions!$B$8)/AB21/(1+Assumptions!$B$9)</f>
        <v>24394.6363828288</v>
      </c>
      <c r="AC37" s="54" t="n">
        <f aca="false">(AC35+AC36)*(1-Assumptions!$B$8)/AC21/(1+Assumptions!$B$9)</f>
        <v>34186.4039476926</v>
      </c>
      <c r="AD37" s="54" t="n">
        <f aca="false">(AD35+AD36)*(1-Assumptions!$B$8)/AD21/(1+Assumptions!$B$9)</f>
        <v>41995.60613724</v>
      </c>
      <c r="AE37" s="54" t="n">
        <f aca="false">(AE35+AE36)*(1-Assumptions!$B$8)/AE21/(1+Assumptions!$B$9)</f>
        <v>45898.2979434771</v>
      </c>
    </row>
    <row r="38" customFormat="false" ht="15" hidden="false" customHeight="false" outlineLevel="0" collapsed="false">
      <c r="A38" s="6" t="s">
        <v>458</v>
      </c>
      <c r="B38" s="23" t="s">
        <v>459</v>
      </c>
      <c r="C38" s="56" t="n">
        <f aca="false">(Assumptions!$B$136+Assumptions!$B$137*IF(C31+C33=0,1,(C31+C33*Assumptions!$B$138)/(C31+C33)))*C7/12</f>
        <v>0.0100738065527064</v>
      </c>
      <c r="D38" s="56" t="n">
        <f aca="false">(Assumptions!$B$136+Assumptions!$B$137*IF(D31+D33=0,1,(D31+D33*Assumptions!$B$138)/(D31+D33)))*D7/12</f>
        <v>0.0101467361603298</v>
      </c>
      <c r="E38" s="56" t="n">
        <f aca="false">(Assumptions!$B$136+Assumptions!$B$137*IF(E31+E33=0,1,(E31+E33*Assumptions!$B$138)/(E31+E33)))*E7/12</f>
        <v>0.0102180803331586</v>
      </c>
      <c r="F38" s="56" t="n">
        <f aca="false">(Assumptions!$B$136+Assumptions!$B$137*IF(F31+F33=0,1,(F31+F33*Assumptions!$B$138)/(F31+F33)))*F7/12</f>
        <v>0.0102737865626574</v>
      </c>
      <c r="G38" s="56" t="n">
        <f aca="false">(Assumptions!$B$136+Assumptions!$B$137*IF(G31+G33=0,1,(G31+G33*Assumptions!$B$138)/(G31+G33)))*G7/12</f>
        <v>0.0103382882559007</v>
      </c>
      <c r="H38" s="56" t="n">
        <f aca="false">(Assumptions!$B$136+Assumptions!$B$137*IF(H31+H33=0,1,(H31+H33*Assumptions!$B$138)/(H31+H33)))*H7/12</f>
        <v>0.0104095774810194</v>
      </c>
      <c r="I38" s="56" t="n">
        <f aca="false">(Assumptions!$B$136+Assumptions!$B$137*IF(I31+I33=0,1,(I31+I33*Assumptions!$B$138)/(I31+I33)))*I7/12</f>
        <v>0.0104779429560375</v>
      </c>
      <c r="J38" s="56" t="n">
        <f aca="false">(Assumptions!$B$136+Assumptions!$B$137*IF(J31+J33=0,1,(J31+J33*Assumptions!$B$138)/(J31+J33)))*J7/12</f>
        <v>0.0105421773601887</v>
      </c>
      <c r="K38" s="56" t="n">
        <f aca="false">(Assumptions!$B$136+Assumptions!$B$137*IF(K31+K33=0,1,(K31+K33*Assumptions!$B$138)/(K31+K33)))*K7/12</f>
        <v>0.0105981193414565</v>
      </c>
      <c r="L38" s="56" t="n">
        <f aca="false">(Assumptions!$B$136+Assumptions!$B$137*IF(L31+L33=0,1,(L31+L33*Assumptions!$B$138)/(L31+L33)))*L7/12</f>
        <v>0.010633601904514</v>
      </c>
      <c r="M38" s="56" t="n">
        <f aca="false">(Assumptions!$B$136+Assumptions!$B$137*IF(M31+M33=0,1,(M31+M33*Assumptions!$B$138)/(M31+M33)))*M7/12</f>
        <v>0.0106781834214831</v>
      </c>
      <c r="N38" s="56" t="n">
        <f aca="false">(Assumptions!$B$136+Assumptions!$B$137*IF(N31+N33=0,1,(N31+N33*Assumptions!$B$138)/(N31+N33)))*N7/12</f>
        <v>0.0107308382422785</v>
      </c>
      <c r="O38" s="56" t="n">
        <f aca="false">(Assumptions!$B$136+Assumptions!$B$137*IF(O31+O33=0,1,(O31+O33*Assumptions!$B$138)/(O31+O33)))*O7/12</f>
        <v>0.0106707582027709</v>
      </c>
      <c r="P38" s="56" t="n">
        <f aca="false">(Assumptions!$B$136+Assumptions!$B$137*IF(P31+P33=0,1,(P31+P33*Assumptions!$B$138)/(P31+P33)))*P7/12</f>
        <v>0.0106577266113639</v>
      </c>
      <c r="Q38" s="56" t="n">
        <f aca="false">(Assumptions!$B$136+Assumptions!$B$137*IF(Q31+Q33=0,1,(Q31+Q33*Assumptions!$B$138)/(Q31+Q33)))*Q7/12</f>
        <v>0.0106681189379579</v>
      </c>
      <c r="R38" s="56" t="n">
        <f aca="false">(Assumptions!$B$136+Assumptions!$B$137*IF(R31+R33=0,1,(R31+R33*Assumptions!$B$138)/(R31+R33)))*R7/12</f>
        <v>0.0106689974228598</v>
      </c>
      <c r="S38" s="56" t="n">
        <f aca="false">(Assumptions!$B$136+Assumptions!$B$137*IF(S31+S33=0,1,(S31+S33*Assumptions!$B$138)/(S31+S33)))*S7/12</f>
        <v>0.0106913266875777</v>
      </c>
      <c r="T38" s="56" t="n">
        <f aca="false">(Assumptions!$B$136+Assumptions!$B$137*IF(T31+T33=0,1,(T31+T33*Assumptions!$B$138)/(T31+T33)))*T7/12</f>
        <v>0.0107306939539826</v>
      </c>
      <c r="U38" s="56" t="n">
        <f aca="false">(Assumptions!$B$136+Assumptions!$B$137*IF(U31+U33=0,1,(U31+U33*Assumptions!$B$138)/(U31+U33)))*U7/12</f>
        <v>0.0107725873713495</v>
      </c>
      <c r="V38" s="56" t="n">
        <f aca="false">(Assumptions!$B$136+Assumptions!$B$137*IF(V31+V33=0,1,(V31+V33*Assumptions!$B$138)/(V31+V33)))*V7/12</f>
        <v>0.0108139526393445</v>
      </c>
      <c r="W38" s="56" t="n">
        <f aca="false">(Assumptions!$B$136+Assumptions!$B$137*IF(W31+W33=0,1,(W31+W33*Assumptions!$B$138)/(W31+W33)))*W7/12</f>
        <v>0.0108489870845855</v>
      </c>
      <c r="X38" s="56" t="n">
        <f aca="false">(Assumptions!$B$136+Assumptions!$B$137*IF(X31+X33=0,1,(X31+X33*Assumptions!$B$138)/(X31+X33)))*X7/12</f>
        <v>0.0108629885824053</v>
      </c>
      <c r="Y38" s="56" t="n">
        <f aca="false">(Assumptions!$B$136+Assumptions!$B$137*IF(Y31+Y33=0,1,(Y31+Y33*Assumptions!$B$138)/(Y31+Y33)))*Y7/12</f>
        <v>0.010888018223671</v>
      </c>
      <c r="Z38" s="56" t="n">
        <f aca="false">(Assumptions!$B$136+Assumptions!$B$137*IF(Z31+Z33=0,1,(Z31+Z33*Assumptions!$B$138)/(Z31+Z33)))*Z7/12</f>
        <v>0.0109235501770545</v>
      </c>
      <c r="AA38" s="56" t="n">
        <f aca="false">(Assumptions!$B$136+Assumptions!$B$137*IF(AA31+AA33=0,1,(AA31+AA33*Assumptions!$B$138)/(AA31+AA33)))*AA7/12</f>
        <v>0.134814320337413</v>
      </c>
      <c r="AB38" s="56" t="n">
        <f aca="false">(Assumptions!$B$136+Assumptions!$B$137*IF(AB31+AB33=0,1,(AB31+AB33*Assumptions!$B$138)/(AB31+AB33)))*AB7/12</f>
        <v>0.137202492432025</v>
      </c>
      <c r="AC38" s="56" t="n">
        <f aca="false">(Assumptions!$B$136+Assumptions!$B$137*IF(AC31+AC33=0,1,(AC31+AC33*Assumptions!$B$138)/(AC31+AC33)))*AC7/12</f>
        <v>0.13904330440524</v>
      </c>
      <c r="AD38" s="56" t="n">
        <f aca="false">(Assumptions!$B$136+Assumptions!$B$137*IF(AD31+AD33=0,1,(AD31+AD33*Assumptions!$B$138)/(AD31+AD33)))*AD7/12</f>
        <v>0.14092897606875</v>
      </c>
      <c r="AE38" s="56" t="n">
        <f aca="false">(Assumptions!$B$136+Assumptions!$B$137*IF(AE31+AE33=0,1,(AE31+AE33*Assumptions!$B$138)/(AE31+AE33)))*AE7/12</f>
        <v>0.142873284501046</v>
      </c>
    </row>
    <row r="39" customFormat="false" ht="15" hidden="false" customHeight="false" outlineLevel="0" collapsed="false">
      <c r="A39" s="6" t="s">
        <v>460</v>
      </c>
      <c r="B39" s="23" t="s">
        <v>459</v>
      </c>
      <c r="C39" s="56" t="n">
        <f aca="false">Assumptions!$B$137*IF(C31+C33=0,1,(C31+C33*Assumptions!$B$138)/(C31+C33))*C7/12</f>
        <v>0.00507380655270636</v>
      </c>
      <c r="D39" s="56" t="n">
        <f aca="false">Assumptions!$B$137*IF(D31+D33=0,1,(D31+D33*Assumptions!$B$138)/(D31+D33))*D7/12</f>
        <v>0.00514673616032982</v>
      </c>
      <c r="E39" s="56" t="n">
        <f aca="false">Assumptions!$B$137*IF(E31+E33=0,1,(E31+E33*Assumptions!$B$138)/(E31+E33))*E7/12</f>
        <v>0.00521808033315858</v>
      </c>
      <c r="F39" s="56" t="n">
        <f aca="false">Assumptions!$B$137*IF(F31+F33=0,1,(F31+F33*Assumptions!$B$138)/(F31+F33))*F7/12</f>
        <v>0.0052737865626574</v>
      </c>
      <c r="G39" s="56" t="n">
        <f aca="false">Assumptions!$B$137*IF(G31+G33=0,1,(G31+G33*Assumptions!$B$138)/(G31+G33))*G7/12</f>
        <v>0.00533828825590074</v>
      </c>
      <c r="H39" s="56" t="n">
        <f aca="false">Assumptions!$B$137*IF(H31+H33=0,1,(H31+H33*Assumptions!$B$138)/(H31+H33))*H7/12</f>
        <v>0.0054095774810194</v>
      </c>
      <c r="I39" s="56" t="n">
        <f aca="false">Assumptions!$B$137*IF(I31+I33=0,1,(I31+I33*Assumptions!$B$138)/(I31+I33))*I7/12</f>
        <v>0.00547794295603752</v>
      </c>
      <c r="J39" s="56" t="n">
        <f aca="false">Assumptions!$B$137*IF(J31+J33=0,1,(J31+J33*Assumptions!$B$138)/(J31+J33))*J7/12</f>
        <v>0.00554217736018866</v>
      </c>
      <c r="K39" s="56" t="n">
        <f aca="false">Assumptions!$B$137*IF(K31+K33=0,1,(K31+K33*Assumptions!$B$138)/(K31+K33))*K7/12</f>
        <v>0.0055981193414565</v>
      </c>
      <c r="L39" s="56" t="n">
        <f aca="false">Assumptions!$B$137*IF(L31+L33=0,1,(L31+L33*Assumptions!$B$138)/(L31+L33))*L7/12</f>
        <v>0.00563360190451395</v>
      </c>
      <c r="M39" s="56" t="n">
        <f aca="false">Assumptions!$B$137*IF(M31+M33=0,1,(M31+M33*Assumptions!$B$138)/(M31+M33))*M7/12</f>
        <v>0.00567818342148314</v>
      </c>
      <c r="N39" s="56" t="n">
        <f aca="false">Assumptions!$B$137*IF(N31+N33=0,1,(N31+N33*Assumptions!$B$138)/(N31+N33))*N7/12</f>
        <v>0.00573083824227853</v>
      </c>
      <c r="O39" s="56" t="n">
        <f aca="false">Assumptions!$B$137*IF(O31+O33=0,1,(O31+O33*Assumptions!$B$138)/(O31+O33))*O7/12</f>
        <v>0.00567075820277088</v>
      </c>
      <c r="P39" s="56" t="n">
        <f aca="false">Assumptions!$B$137*IF(P31+P33=0,1,(P31+P33*Assumptions!$B$138)/(P31+P33))*P7/12</f>
        <v>0.00565772661136389</v>
      </c>
      <c r="Q39" s="56" t="n">
        <f aca="false">Assumptions!$B$137*IF(Q31+Q33=0,1,(Q31+Q33*Assumptions!$B$138)/(Q31+Q33))*Q7/12</f>
        <v>0.00566811893795795</v>
      </c>
      <c r="R39" s="56" t="n">
        <f aca="false">Assumptions!$B$137*IF(R31+R33=0,1,(R31+R33*Assumptions!$B$138)/(R31+R33))*R7/12</f>
        <v>0.00566899742285978</v>
      </c>
      <c r="S39" s="56" t="n">
        <f aca="false">Assumptions!$B$137*IF(S31+S33=0,1,(S31+S33*Assumptions!$B$138)/(S31+S33))*S7/12</f>
        <v>0.00569132668757771</v>
      </c>
      <c r="T39" s="56" t="n">
        <f aca="false">Assumptions!$B$137*IF(T31+T33=0,1,(T31+T33*Assumptions!$B$138)/(T31+T33))*T7/12</f>
        <v>0.00573069395398258</v>
      </c>
      <c r="U39" s="56" t="n">
        <f aca="false">Assumptions!$B$137*IF(U31+U33=0,1,(U31+U33*Assumptions!$B$138)/(U31+U33))*U7/12</f>
        <v>0.00577258737134953</v>
      </c>
      <c r="V39" s="56" t="n">
        <f aca="false">Assumptions!$B$137*IF(V31+V33=0,1,(V31+V33*Assumptions!$B$138)/(V31+V33))*V7/12</f>
        <v>0.00581395263934454</v>
      </c>
      <c r="W39" s="56" t="n">
        <f aca="false">Assumptions!$B$137*IF(W31+W33=0,1,(W31+W33*Assumptions!$B$138)/(W31+W33))*W7/12</f>
        <v>0.00584898708458547</v>
      </c>
      <c r="X39" s="56" t="n">
        <f aca="false">Assumptions!$B$137*IF(X31+X33=0,1,(X31+X33*Assumptions!$B$138)/(X31+X33))*X7/12</f>
        <v>0.00586298858240529</v>
      </c>
      <c r="Y39" s="56" t="n">
        <f aca="false">Assumptions!$B$137*IF(Y31+Y33=0,1,(Y31+Y33*Assumptions!$B$138)/(Y31+Y33))*Y7/12</f>
        <v>0.00588801822367101</v>
      </c>
      <c r="Z39" s="56" t="n">
        <f aca="false">Assumptions!$B$137*IF(Z31+Z33=0,1,(Z31+Z33*Assumptions!$B$138)/(Z31+Z33))*Z7/12</f>
        <v>0.00592355017705454</v>
      </c>
      <c r="AA39" s="56" t="n">
        <f aca="false">Assumptions!$B$137*IF(AA31+AA33=0,1,(AA31+AA33*Assumptions!$B$138)/(AA31+AA33))*AA7/12</f>
        <v>0.0748143203374135</v>
      </c>
      <c r="AB39" s="56" t="n">
        <f aca="false">Assumptions!$B$137*IF(AB31+AB33=0,1,(AB31+AB33*Assumptions!$B$138)/(AB31+AB33))*AB7/12</f>
        <v>0.0772024924320253</v>
      </c>
      <c r="AC39" s="56" t="n">
        <f aca="false">Assumptions!$B$137*IF(AC31+AC33=0,1,(AC31+AC33*Assumptions!$B$138)/(AC31+AC33))*AC7/12</f>
        <v>0.07904330440524</v>
      </c>
      <c r="AD39" s="56" t="n">
        <f aca="false">Assumptions!$B$137*IF(AD31+AD33=0,1,(AD31+AD33*Assumptions!$B$138)/(AD31+AD33))*AD7/12</f>
        <v>0.0809289760687503</v>
      </c>
      <c r="AE39" s="56" t="n">
        <f aca="false">Assumptions!$B$137*IF(AE31+AE33=0,1,(AE31+AE33*Assumptions!$B$138)/(AE31+AE33))*AE7/12</f>
        <v>0.0828732845010462</v>
      </c>
    </row>
    <row r="40" customFormat="false" ht="15" hidden="false" customHeight="false" outlineLevel="0" collapsed="false">
      <c r="A40" s="6" t="s">
        <v>461</v>
      </c>
      <c r="B40" s="23" t="s">
        <v>47</v>
      </c>
      <c r="C40" s="45" t="n">
        <f aca="false">C37</f>
        <v>18.8140323817384</v>
      </c>
      <c r="D40" s="45" t="n">
        <f aca="false">C40*(1-D38)+D37</f>
        <v>54.3955395977406</v>
      </c>
      <c r="E40" s="45" t="n">
        <f aca="false">D40*(1-E38)+E37</f>
        <v>104.992612759363</v>
      </c>
      <c r="F40" s="45" t="n">
        <f aca="false">E40*(1-F38)+F37</f>
        <v>173.968768175709</v>
      </c>
      <c r="G40" s="45" t="n">
        <f aca="false">F40*(1-G38)+G37</f>
        <v>258.150352315567</v>
      </c>
      <c r="H40" s="45" t="n">
        <f aca="false">G40*(1-H38)+H37</f>
        <v>353.61140423201</v>
      </c>
      <c r="I40" s="45" t="n">
        <f aca="false">H40*(1-I38)+I37</f>
        <v>459.066465935198</v>
      </c>
      <c r="J40" s="45" t="n">
        <f aca="false">I40*(1-J38)+J37</f>
        <v>573.856442825229</v>
      </c>
      <c r="K40" s="45" t="n">
        <f aca="false">J40*(1-K38)+K37</f>
        <v>698.841327590486</v>
      </c>
      <c r="L40" s="45" t="n">
        <f aca="false">K40*(1-L38)+L37</f>
        <v>839.282114614964</v>
      </c>
      <c r="M40" s="45" t="n">
        <f aca="false">L40*(1-M38)+M37</f>
        <v>992.312029309024</v>
      </c>
      <c r="N40" s="45" t="n">
        <f aca="false">M40*(1-N38)+N37</f>
        <v>1154.48368787863</v>
      </c>
      <c r="O40" s="45" t="n">
        <f aca="false">N40*(1-O38)+O37</f>
        <v>1353.09995313884</v>
      </c>
      <c r="P40" s="45" t="n">
        <f aca="false">O40*(1-P38)+P37</f>
        <v>1596.64932491938</v>
      </c>
      <c r="Q40" s="45" t="n">
        <f aca="false">P40*(1-Q38)+Q37</f>
        <v>1881.14236150953</v>
      </c>
      <c r="R40" s="45" t="n">
        <f aca="false">Q40*(1-R38)+R37</f>
        <v>2219.43075571635</v>
      </c>
      <c r="S40" s="45" t="n">
        <f aca="false">R40*(1-S38)+S37</f>
        <v>2602.90503819144</v>
      </c>
      <c r="T40" s="45" t="n">
        <f aca="false">S40*(1-T38)+T37</f>
        <v>3019.61204738251</v>
      </c>
      <c r="U40" s="45" t="n">
        <f aca="false">T40*(1-U38)+U37</f>
        <v>3466.22790663645</v>
      </c>
      <c r="V40" s="45" t="n">
        <f aca="false">U40*(1-V38)+V37</f>
        <v>3941.48589033331</v>
      </c>
      <c r="W40" s="45" t="n">
        <f aca="false">V40*(1-W38)+W37</f>
        <v>4449.59287930692</v>
      </c>
      <c r="X40" s="45" t="n">
        <f aca="false">W40*(1-X38)+X37</f>
        <v>5011.32419078744</v>
      </c>
      <c r="Y40" s="45" t="n">
        <f aca="false">X40*(1-Y38)+Y37</f>
        <v>5618.05395638666</v>
      </c>
      <c r="Z40" s="45" t="n">
        <f aca="false">Y40*(1-Z38)+Z37</f>
        <v>6258.19938223519</v>
      </c>
      <c r="AA40" s="45" t="n">
        <f aca="false">Z40*(1-AA38)+AA37</f>
        <v>21021.0601298901</v>
      </c>
      <c r="AB40" s="45" t="n">
        <f aca="false">AA40*(1-AB38)+AB37</f>
        <v>42531.5546693345</v>
      </c>
      <c r="AC40" s="45" t="n">
        <f aca="false">AB40*(1-AC38)+AC37</f>
        <v>70804.2307143107</v>
      </c>
      <c r="AD40" s="45" t="n">
        <f aca="false">AC40*(1-AD38)+AD37</f>
        <v>102821.469115647</v>
      </c>
      <c r="AE40" s="45" t="n">
        <f aca="false">AD40*(1-AE38)+AE37</f>
        <v>134029.326049349</v>
      </c>
    </row>
    <row r="41" customFormat="false" ht="15" hidden="false" customHeight="false" outlineLevel="0" collapsed="false">
      <c r="A41" s="6" t="s">
        <v>462</v>
      </c>
      <c r="B41" s="23" t="s">
        <v>47</v>
      </c>
      <c r="C41" s="45" t="n">
        <f aca="false">C37</f>
        <v>18.8140323817384</v>
      </c>
      <c r="D41" s="45" t="n">
        <f aca="false">C41*(1-D39)+D37</f>
        <v>54.4896097596493</v>
      </c>
      <c r="E41" s="45" t="n">
        <f aca="false">D41*(1-E39)+E37</f>
        <v>105.358169753599</v>
      </c>
      <c r="F41" s="45" t="n">
        <f aca="false">E41*(1-F39)+F37</f>
        <v>174.857360364178</v>
      </c>
      <c r="G41" s="45" t="n">
        <f aca="false">F41*(1-G39)+G37</f>
        <v>259.90404478367</v>
      </c>
      <c r="H41" s="45" t="n">
        <f aca="false">G41*(1-H39)+H37</f>
        <v>356.646361726407</v>
      </c>
      <c r="I41" s="45" t="n">
        <f aca="false">H41*(1-I39)+I37</f>
        <v>463.852855126726</v>
      </c>
      <c r="J41" s="45" t="n">
        <f aca="false">I41*(1-J39)+J37</f>
        <v>580.911637328619</v>
      </c>
      <c r="K41" s="45" t="n">
        <f aca="false">J41*(1-K39)+K37</f>
        <v>708.726308487195</v>
      </c>
      <c r="L41" s="45" t="n">
        <f aca="false">K41*(1-L39)+L37</f>
        <v>852.60561410242</v>
      </c>
      <c r="M41" s="45" t="n">
        <f aca="false">L41*(1-M39)+M37</f>
        <v>1009.75628609565</v>
      </c>
      <c r="N41" s="45" t="n">
        <f aca="false">M41*(1-N39)+N37</f>
        <v>1176.7895345979</v>
      </c>
      <c r="O41" s="45" t="n">
        <f aca="false">N41*(1-O39)+O37</f>
        <v>1381.05172723425</v>
      </c>
      <c r="P41" s="45" t="n">
        <f aca="false">O41*(1-P39)+P37</f>
        <v>1631.20845528435</v>
      </c>
      <c r="Q41" s="45" t="n">
        <f aca="false">P41*(1-Q39)+Q37</f>
        <v>1923.4888532378</v>
      </c>
      <c r="R41" s="45" t="n">
        <f aca="false">Q41*(1-R39)+R37</f>
        <v>2270.94289709968</v>
      </c>
      <c r="S41" s="45" t="n">
        <f aca="false">R41*(1-S39)+S37</f>
        <v>2665.22116092837</v>
      </c>
      <c r="T41" s="45" t="n">
        <f aca="false">S41*(1-T39)+T37</f>
        <v>3094.58558068259</v>
      </c>
      <c r="U41" s="45" t="n">
        <f aca="false">T41*(1-U39)+U37</f>
        <v>3555.86670890193</v>
      </c>
      <c r="V41" s="45" t="n">
        <f aca="false">U41*(1-V39)+V37</f>
        <v>4047.93467638096</v>
      </c>
      <c r="W41" s="45" t="n">
        <f aca="false">V41*(1-W39)+W37</f>
        <v>4575.12647723147</v>
      </c>
      <c r="X41" s="45" t="n">
        <f aca="false">W41*(1-X39)+X37</f>
        <v>5158.36975105718</v>
      </c>
      <c r="Y41" s="45" t="n">
        <f aca="false">X41*(1-Y39)+Y37</f>
        <v>5789.29033067176</v>
      </c>
      <c r="Z41" s="45" t="n">
        <f aca="false">Y41*(1-Z39)+Z37</f>
        <v>6456.51169904701</v>
      </c>
      <c r="AA41" s="45" t="n">
        <f aca="false">Z41*(1-AA39)+AA37</f>
        <v>21580.0278084392</v>
      </c>
      <c r="AB41" s="45" t="n">
        <f aca="false">AA41*(1-AB39)+AB37</f>
        <v>44308.6322577041</v>
      </c>
      <c r="AC41" s="45" t="n">
        <f aca="false">AB41*(1-AC39)+AC37</f>
        <v>74992.7354980711</v>
      </c>
      <c r="AD41" s="45" t="n">
        <f aca="false">AC41*(1-AD39)+AD37</f>
        <v>110919.256338858</v>
      </c>
      <c r="AE41" s="45" t="n">
        <f aca="false">AD41*(1-AE39)+AE37</f>
        <v>147625.31119512</v>
      </c>
    </row>
    <row r="42" customFormat="false" ht="15" hidden="false" customHeight="false" outlineLevel="0" collapsed="false">
      <c r="A42" s="6" t="s">
        <v>463</v>
      </c>
      <c r="B42" s="23" t="s">
        <v>114</v>
      </c>
      <c r="C42" s="57" t="n">
        <f aca="false">C40*C21</f>
        <v>2661.43302072071</v>
      </c>
      <c r="D42" s="57" t="n">
        <f aca="false">D40*D21</f>
        <v>7694.79303149639</v>
      </c>
      <c r="E42" s="57" t="n">
        <f aca="false">E40*E21</f>
        <v>14852.2550009395</v>
      </c>
      <c r="F42" s="57" t="n">
        <f aca="false">F40*F21</f>
        <v>24609.6219461359</v>
      </c>
      <c r="G42" s="57" t="n">
        <f aca="false">G40*G21</f>
        <v>36517.9488385602</v>
      </c>
      <c r="H42" s="57" t="n">
        <f aca="false">H40*H21</f>
        <v>50021.8692426601</v>
      </c>
      <c r="I42" s="57" t="n">
        <f aca="false">I40*I21</f>
        <v>64939.5422711931</v>
      </c>
      <c r="J42" s="57" t="n">
        <f aca="false">J40*J21</f>
        <v>81177.7324020569</v>
      </c>
      <c r="K42" s="57" t="n">
        <f aca="false">K40*K21</f>
        <v>98858.0942009502</v>
      </c>
      <c r="L42" s="57" t="n">
        <f aca="false">L40*L21</f>
        <v>118724.847933433</v>
      </c>
      <c r="M42" s="57" t="n">
        <f aca="false">M40*M21</f>
        <v>140372.459666055</v>
      </c>
      <c r="N42" s="57" t="n">
        <f aca="false">N40*N21</f>
        <v>163313.262487312</v>
      </c>
      <c r="O42" s="57" t="n">
        <f aca="false">O40*O21</f>
        <v>206913.690440073</v>
      </c>
      <c r="P42" s="57" t="n">
        <f aca="false">P40*P21</f>
        <v>244156.836596846</v>
      </c>
      <c r="Q42" s="57" t="n">
        <f aca="false">Q40*Q21</f>
        <v>287661.016734329</v>
      </c>
      <c r="R42" s="57" t="n">
        <f aca="false">R40*R21</f>
        <v>339391.489354629</v>
      </c>
      <c r="S42" s="57" t="n">
        <f aca="false">S40*S21</f>
        <v>398031.709385469</v>
      </c>
      <c r="T42" s="57" t="n">
        <f aca="false">T40*T21</f>
        <v>461753.820160771</v>
      </c>
      <c r="U42" s="57" t="n">
        <f aca="false">U40*U21</f>
        <v>530049.540246288</v>
      </c>
      <c r="V42" s="57" t="n">
        <f aca="false">V40*V21</f>
        <v>602725.164164321</v>
      </c>
      <c r="W42" s="57" t="n">
        <f aca="false">W40*W21</f>
        <v>680424.000812004</v>
      </c>
      <c r="X42" s="57" t="n">
        <f aca="false">X40*X21</f>
        <v>766322.975551123</v>
      </c>
      <c r="Y42" s="57" t="n">
        <f aca="false">Y40*Y21</f>
        <v>859103.035596764</v>
      </c>
      <c r="Z42" s="57" t="n">
        <f aca="false">Z40*Z21</f>
        <v>956992.96026448</v>
      </c>
      <c r="AA42" s="57" t="n">
        <f aca="false">AA40*AA21</f>
        <v>3474878.75743004</v>
      </c>
      <c r="AB42" s="57" t="n">
        <f aca="false">AB40*AB21</f>
        <v>7600147.02003027</v>
      </c>
      <c r="AC42" s="57" t="n">
        <f aca="false">AC40*AC21</f>
        <v>13677150.8871483</v>
      </c>
      <c r="AD42" s="57" t="n">
        <f aca="false">AD40*AD21</f>
        <v>21470686.380551</v>
      </c>
      <c r="AE42" s="57" t="n">
        <f aca="false">AE40*AE21</f>
        <v>30254337.7741562</v>
      </c>
    </row>
    <row r="43" customFormat="false" ht="15" hidden="false" customHeight="false" outlineLevel="0" collapsed="false">
      <c r="A43" s="6" t="s">
        <v>464</v>
      </c>
      <c r="B43" s="23" t="s">
        <v>190</v>
      </c>
      <c r="C43" s="54" t="n">
        <f aca="false">C31+C33*Assumptions!$B$175</f>
        <v>79.1542941176471</v>
      </c>
      <c r="D43" s="54" t="n">
        <f aca="false">D31+D33*Assumptions!$B$175</f>
        <v>154.348307789801</v>
      </c>
      <c r="E43" s="54" t="n">
        <f aca="false">E31+E33*Assumptions!$B$175</f>
        <v>226.371228018938</v>
      </c>
      <c r="F43" s="54" t="n">
        <f aca="false">F31+F33*Assumptions!$B$175</f>
        <v>316.354370060513</v>
      </c>
      <c r="G43" s="54" t="n">
        <f aca="false">G31+G33*Assumptions!$B$175</f>
        <v>397.679010851702</v>
      </c>
      <c r="H43" s="54" t="n">
        <f aca="false">H31+H33*Assumptions!$B$175</f>
        <v>466.452847282075</v>
      </c>
      <c r="I43" s="54" t="n">
        <f aca="false">I31+I33*Assumptions!$B$175</f>
        <v>532.850001982533</v>
      </c>
      <c r="J43" s="54" t="n">
        <f aca="false">J31+J33*Assumptions!$B$175</f>
        <v>599.21614752925</v>
      </c>
      <c r="K43" s="54" t="n">
        <f aca="false">K31+K33*Assumptions!$B$175</f>
        <v>671.794606721936</v>
      </c>
      <c r="L43" s="54" t="n">
        <f aca="false">L31+L33*Assumptions!$B$175</f>
        <v>769.296452156441</v>
      </c>
      <c r="M43" s="54" t="n">
        <f aca="false">M31+M33*Assumptions!$B$175</f>
        <v>858.936542653387</v>
      </c>
      <c r="N43" s="54" t="n">
        <f aca="false">N31+N33*Assumptions!$B$175</f>
        <v>937.614181968588</v>
      </c>
      <c r="O43" s="54" t="n">
        <f aca="false">O31+O33*Assumptions!$B$175</f>
        <v>1205.19240055455</v>
      </c>
      <c r="P43" s="54" t="n">
        <f aca="false">P31+P33*Assumptions!$B$175</f>
        <v>1465.72843859039</v>
      </c>
      <c r="Q43" s="54" t="n">
        <f aca="false">Q31+Q33*Assumptions!$B$175</f>
        <v>1720.83843322797</v>
      </c>
      <c r="R43" s="54" t="n">
        <f aca="false">R31+R33*Assumptions!$B$175</f>
        <v>2045.95478248527</v>
      </c>
      <c r="S43" s="54" t="n">
        <f aca="false">S31+S33*Assumptions!$B$175</f>
        <v>2347.30619344651</v>
      </c>
      <c r="T43" s="54" t="n">
        <f aca="false">T31+T33*Assumptions!$B$175</f>
        <v>2607.56301891197</v>
      </c>
      <c r="U43" s="54" t="n">
        <f aca="false">U31+U33*Assumptions!$B$175</f>
        <v>2862.77691998179</v>
      </c>
      <c r="V43" s="54" t="n">
        <f aca="false">V31+V33*Assumptions!$B$175</f>
        <v>3121.47826285308</v>
      </c>
      <c r="W43" s="54" t="n">
        <f aca="false">W31+W33*Assumptions!$B$175</f>
        <v>3408.20681696739</v>
      </c>
      <c r="X43" s="54" t="n">
        <f aca="false">X31+X33*Assumptions!$B$175</f>
        <v>3799.19990332518</v>
      </c>
      <c r="Y43" s="54" t="n">
        <f aca="false">Y31+Y33*Assumptions!$B$175</f>
        <v>4167.01612686082</v>
      </c>
      <c r="Z43" s="54" t="n">
        <f aca="false">Z31+Z33*Assumptions!$B$175</f>
        <v>4496.10602709555</v>
      </c>
      <c r="AA43" s="54" t="n">
        <f aca="false">AA31+AA33*Assumptions!$B$175</f>
        <v>10597.701391675</v>
      </c>
      <c r="AB43" s="54" t="n">
        <f aca="false">AB31+AB33*Assumptions!$B$175</f>
        <v>20182.1202348866</v>
      </c>
      <c r="AC43" s="54" t="n">
        <f aca="false">AC31+AC33*Assumptions!$B$175</f>
        <v>33893.0458033923</v>
      </c>
      <c r="AD43" s="54" t="n">
        <f aca="false">AD31+AD33*Assumptions!$B$175</f>
        <v>50639.0081667535</v>
      </c>
      <c r="AE43" s="54" t="n">
        <f aca="false">AE31+AE33*Assumptions!$B$175</f>
        <v>68689.4910320406</v>
      </c>
    </row>
    <row r="44" customFormat="false" ht="15" hidden="false" customHeight="false" outlineLevel="0" collapsed="false">
      <c r="A44" s="6" t="s">
        <v>465</v>
      </c>
      <c r="B44" s="23" t="s">
        <v>190</v>
      </c>
      <c r="C44" s="45" t="n">
        <f aca="false">IF(C7&gt;1,C43*Assumptions!$B$134,IF(C2&gt;Assumptions!$B$135,INDEX($C$43:$AE$43,1,C2-Assumptions!$B$135)*Assumptions!$B$134,0))</f>
        <v>0</v>
      </c>
      <c r="D44" s="45" t="n">
        <f aca="false">IF(D7&gt;1,D43*Assumptions!$B$134,IF(D2&gt;Assumptions!$B$135,INDEX($C$43:$AE$43,1,D2-Assumptions!$B$135)*Assumptions!$B$134,0))</f>
        <v>0</v>
      </c>
      <c r="E44" s="45" t="n">
        <f aca="false">IF(E7&gt;1,E43*Assumptions!$B$134,IF(E2&gt;Assumptions!$B$135,INDEX($C$43:$AE$43,1,E2-Assumptions!$B$135)*Assumptions!$B$134,0))</f>
        <v>0</v>
      </c>
      <c r="F44" s="45" t="n">
        <f aca="false">IF(F7&gt;1,F43*Assumptions!$B$134,IF(F2&gt;Assumptions!$B$135,INDEX($C$43:$AE$43,1,F2-Assumptions!$B$135)*Assumptions!$B$134,0))</f>
        <v>0</v>
      </c>
      <c r="G44" s="45" t="n">
        <f aca="false">IF(G7&gt;1,G43*Assumptions!$B$134,IF(G2&gt;Assumptions!$B$135,INDEX($C$43:$AE$43,1,G2-Assumptions!$B$135)*Assumptions!$B$134,0))</f>
        <v>0</v>
      </c>
      <c r="H44" s="45" t="n">
        <f aca="false">IF(H7&gt;1,H43*Assumptions!$B$134,IF(H2&gt;Assumptions!$B$135,INDEX($C$43:$AE$43,1,H2-Assumptions!$B$135)*Assumptions!$B$134,0))</f>
        <v>0</v>
      </c>
      <c r="I44" s="45" t="n">
        <f aca="false">IF(I7&gt;1,I43*Assumptions!$B$134,IF(I2&gt;Assumptions!$B$135,INDEX($C$43:$AE$43,1,I2-Assumptions!$B$135)*Assumptions!$B$134,0))</f>
        <v>0</v>
      </c>
      <c r="J44" s="45" t="n">
        <f aca="false">IF(J7&gt;1,J43*Assumptions!$B$134,IF(J2&gt;Assumptions!$B$135,INDEX($C$43:$AE$43,1,J2-Assumptions!$B$135)*Assumptions!$B$134,0))</f>
        <v>0</v>
      </c>
      <c r="K44" s="45" t="n">
        <f aca="false">IF(K7&gt;1,K43*Assumptions!$B$134,IF(K2&gt;Assumptions!$B$135,INDEX($C$43:$AE$43,1,K2-Assumptions!$B$135)*Assumptions!$B$134,0))</f>
        <v>43.5348617647059</v>
      </c>
      <c r="L44" s="45" t="n">
        <f aca="false">IF(L7&gt;1,L43*Assumptions!$B$134,IF(L2&gt;Assumptions!$B$135,INDEX($C$43:$AE$43,1,L2-Assumptions!$B$135)*Assumptions!$B$134,0))</f>
        <v>84.8915692843906</v>
      </c>
      <c r="M44" s="45" t="n">
        <f aca="false">IF(M7&gt;1,M43*Assumptions!$B$134,IF(M2&gt;Assumptions!$B$135,INDEX($C$43:$AE$43,1,M2-Assumptions!$B$135)*Assumptions!$B$134,0))</f>
        <v>124.504175410416</v>
      </c>
      <c r="N44" s="45" t="n">
        <f aca="false">IF(N7&gt;1,N43*Assumptions!$B$134,IF(N2&gt;Assumptions!$B$135,INDEX($C$43:$AE$43,1,N2-Assumptions!$B$135)*Assumptions!$B$134,0))</f>
        <v>173.994903533282</v>
      </c>
      <c r="O44" s="45" t="n">
        <f aca="false">IF(O7&gt;1,O43*Assumptions!$B$134,IF(O2&gt;Assumptions!$B$135,INDEX($C$43:$AE$43,1,O2-Assumptions!$B$135)*Assumptions!$B$134,0))</f>
        <v>218.723455968436</v>
      </c>
      <c r="P44" s="45" t="n">
        <f aca="false">IF(P7&gt;1,P43*Assumptions!$B$134,IF(P2&gt;Assumptions!$B$135,INDEX($C$43:$AE$43,1,P2-Assumptions!$B$135)*Assumptions!$B$134,0))</f>
        <v>256.549066005141</v>
      </c>
      <c r="Q44" s="45" t="n">
        <f aca="false">IF(Q7&gt;1,Q43*Assumptions!$B$134,IF(Q2&gt;Assumptions!$B$135,INDEX($C$43:$AE$43,1,Q2-Assumptions!$B$135)*Assumptions!$B$134,0))</f>
        <v>293.067501090393</v>
      </c>
      <c r="R44" s="45" t="n">
        <f aca="false">IF(R7&gt;1,R43*Assumptions!$B$134,IF(R2&gt;Assumptions!$B$135,INDEX($C$43:$AE$43,1,R2-Assumptions!$B$135)*Assumptions!$B$134,0))</f>
        <v>329.568881141087</v>
      </c>
      <c r="S44" s="45" t="n">
        <f aca="false">IF(S7&gt;1,S43*Assumptions!$B$134,IF(S2&gt;Assumptions!$B$135,INDEX($C$43:$AE$43,1,S2-Assumptions!$B$135)*Assumptions!$B$134,0))</f>
        <v>369.487033697065</v>
      </c>
      <c r="T44" s="45" t="n">
        <f aca="false">IF(T7&gt;1,T43*Assumptions!$B$134,IF(T2&gt;Assumptions!$B$135,INDEX($C$43:$AE$43,1,T2-Assumptions!$B$135)*Assumptions!$B$134,0))</f>
        <v>423.113048686043</v>
      </c>
      <c r="U44" s="45" t="n">
        <f aca="false">IF(U7&gt;1,U43*Assumptions!$B$134,IF(U2&gt;Assumptions!$B$135,INDEX($C$43:$AE$43,1,U2-Assumptions!$B$135)*Assumptions!$B$134,0))</f>
        <v>472.415098459363</v>
      </c>
      <c r="V44" s="45" t="n">
        <f aca="false">IF(V7&gt;1,V43*Assumptions!$B$134,IF(V2&gt;Assumptions!$B$135,INDEX($C$43:$AE$43,1,V2-Assumptions!$B$135)*Assumptions!$B$134,0))</f>
        <v>515.687800082723</v>
      </c>
      <c r="W44" s="45" t="n">
        <f aca="false">IF(W7&gt;1,W43*Assumptions!$B$134,IF(W2&gt;Assumptions!$B$135,INDEX($C$43:$AE$43,1,W2-Assumptions!$B$135)*Assumptions!$B$134,0))</f>
        <v>662.855820305003</v>
      </c>
      <c r="X44" s="45" t="n">
        <f aca="false">IF(X7&gt;1,X43*Assumptions!$B$134,IF(X2&gt;Assumptions!$B$135,INDEX($C$43:$AE$43,1,X2-Assumptions!$B$135)*Assumptions!$B$134,0))</f>
        <v>806.150641224712</v>
      </c>
      <c r="Y44" s="45" t="n">
        <f aca="false">IF(Y7&gt;1,Y43*Assumptions!$B$134,IF(Y2&gt;Assumptions!$B$135,INDEX($C$43:$AE$43,1,Y2-Assumptions!$B$135)*Assumptions!$B$134,0))</f>
        <v>946.461138275385</v>
      </c>
      <c r="Z44" s="45" t="n">
        <f aca="false">IF(Z7&gt;1,Z43*Assumptions!$B$134,IF(Z2&gt;Assumptions!$B$135,INDEX($C$43:$AE$43,1,Z2-Assumptions!$B$135)*Assumptions!$B$134,0))</f>
        <v>1125.2751303669</v>
      </c>
      <c r="AA44" s="45" t="n">
        <f aca="false">IF(AA7&gt;1,AA43*Assumptions!$B$134,IF(AA2&gt;Assumptions!$B$135,INDEX($C$43:$AE$43,1,AA2-Assumptions!$B$135)*Assumptions!$B$134,0))</f>
        <v>5828.73576542126</v>
      </c>
      <c r="AB44" s="45" t="n">
        <f aca="false">IF(AB7&gt;1,AB43*Assumptions!$B$134,IF(AB2&gt;Assumptions!$B$135,INDEX($C$43:$AE$43,1,AB2-Assumptions!$B$135)*Assumptions!$B$134,0))</f>
        <v>11100.1661291876</v>
      </c>
      <c r="AC44" s="45" t="n">
        <f aca="false">IF(AC7&gt;1,AC43*Assumptions!$B$134,IF(AC2&gt;Assumptions!$B$135,INDEX($C$43:$AE$43,1,AC2-Assumptions!$B$135)*Assumptions!$B$134,0))</f>
        <v>18641.1751918658</v>
      </c>
      <c r="AD44" s="45" t="n">
        <f aca="false">IF(AD7&gt;1,AD43*Assumptions!$B$134,IF(AD2&gt;Assumptions!$B$135,INDEX($C$43:$AE$43,1,AD2-Assumptions!$B$135)*Assumptions!$B$134,0))</f>
        <v>27851.4544917144</v>
      </c>
      <c r="AE44" s="45" t="n">
        <f aca="false">IF(AE7&gt;1,AE43*Assumptions!$B$134,IF(AE2&gt;Assumptions!$B$135,INDEX($C$43:$AE$43,1,AE2-Assumptions!$B$135)*Assumptions!$B$134,0))</f>
        <v>37779.2200676223</v>
      </c>
    </row>
    <row r="45" customFormat="false" ht="15" hidden="false" customHeight="false" outlineLevel="0" collapsed="false">
      <c r="A45" s="6" t="s">
        <v>466</v>
      </c>
      <c r="B45" s="23" t="s">
        <v>467</v>
      </c>
      <c r="C45" s="28" t="n">
        <f aca="false">IF(C2&gt;=Assumptions!$B$51,C44*Assumptions!$B$143,0)</f>
        <v>0</v>
      </c>
      <c r="D45" s="28" t="n">
        <f aca="false">IF(D2&gt;=Assumptions!$B$51,D44*Assumptions!$B$143,0)</f>
        <v>0</v>
      </c>
      <c r="E45" s="28" t="n">
        <f aca="false">IF(E2&gt;=Assumptions!$B$51,E44*Assumptions!$B$143,0)</f>
        <v>0</v>
      </c>
      <c r="F45" s="28" t="n">
        <f aca="false">IF(F2&gt;=Assumptions!$B$51,F44*Assumptions!$B$143,0)</f>
        <v>0</v>
      </c>
      <c r="G45" s="28" t="n">
        <f aca="false">IF(G2&gt;=Assumptions!$B$51,G44*Assumptions!$B$143,0)</f>
        <v>0</v>
      </c>
      <c r="H45" s="28" t="n">
        <f aca="false">IF(H2&gt;=Assumptions!$B$51,H44*Assumptions!$B$143,0)</f>
        <v>0</v>
      </c>
      <c r="I45" s="28" t="n">
        <f aca="false">IF(I2&gt;=Assumptions!$B$51,I44*Assumptions!$B$143,0)</f>
        <v>0</v>
      </c>
      <c r="J45" s="28" t="n">
        <f aca="false">IF(J2&gt;=Assumptions!$B$51,J44*Assumptions!$B$143,0)</f>
        <v>0</v>
      </c>
      <c r="K45" s="28" t="n">
        <f aca="false">IF(K2&gt;=Assumptions!$B$51,K44*Assumptions!$B$143,0)</f>
        <v>0</v>
      </c>
      <c r="L45" s="28" t="n">
        <f aca="false">IF(L2&gt;=Assumptions!$B$51,L44*Assumptions!$B$143,0)</f>
        <v>0</v>
      </c>
      <c r="M45" s="28" t="n">
        <f aca="false">IF(M2&gt;=Assumptions!$B$51,M44*Assumptions!$B$143,0)</f>
        <v>0</v>
      </c>
      <c r="N45" s="28" t="n">
        <f aca="false">IF(N2&gt;=Assumptions!$B$51,N44*Assumptions!$B$143,0)</f>
        <v>0</v>
      </c>
      <c r="O45" s="28" t="n">
        <f aca="false">IF(O2&gt;=Assumptions!$B$51,O44*Assumptions!$B$143,0)</f>
        <v>39.3702220743185</v>
      </c>
      <c r="P45" s="28" t="n">
        <f aca="false">IF(P2&gt;=Assumptions!$B$51,P44*Assumptions!$B$143,0)</f>
        <v>46.1788318809254</v>
      </c>
      <c r="Q45" s="28" t="n">
        <f aca="false">IF(Q2&gt;=Assumptions!$B$51,Q44*Assumptions!$B$143,0)</f>
        <v>52.7521501962708</v>
      </c>
      <c r="R45" s="28" t="n">
        <f aca="false">IF(R2&gt;=Assumptions!$B$51,R44*Assumptions!$B$143,0)</f>
        <v>59.3223986053957</v>
      </c>
      <c r="S45" s="28" t="n">
        <f aca="false">IF(S2&gt;=Assumptions!$B$51,S44*Assumptions!$B$143,0)</f>
        <v>66.5076660654717</v>
      </c>
      <c r="T45" s="28" t="n">
        <f aca="false">IF(T2&gt;=Assumptions!$B$51,T44*Assumptions!$B$143,0)</f>
        <v>76.1603487634877</v>
      </c>
      <c r="U45" s="28" t="n">
        <f aca="false">IF(U2&gt;=Assumptions!$B$51,U44*Assumptions!$B$143,0)</f>
        <v>85.0347177226853</v>
      </c>
      <c r="V45" s="28" t="n">
        <f aca="false">IF(V2&gt;=Assumptions!$B$51,V44*Assumptions!$B$143,0)</f>
        <v>92.8238040148902</v>
      </c>
      <c r="W45" s="28" t="n">
        <f aca="false">IF(W2&gt;=Assumptions!$B$51,W44*Assumptions!$B$143,0)</f>
        <v>119.314047654901</v>
      </c>
      <c r="X45" s="28" t="n">
        <f aca="false">IF(X2&gt;=Assumptions!$B$51,X44*Assumptions!$B$143,0)</f>
        <v>145.107115420448</v>
      </c>
      <c r="Y45" s="28" t="n">
        <f aca="false">IF(Y2&gt;=Assumptions!$B$51,Y44*Assumptions!$B$143,0)</f>
        <v>170.363004889569</v>
      </c>
      <c r="Z45" s="28" t="n">
        <f aca="false">IF(Z2&gt;=Assumptions!$B$51,Z44*Assumptions!$B$143,0)</f>
        <v>202.549523466041</v>
      </c>
      <c r="AA45" s="28" t="n">
        <f aca="false">IF(AA2&gt;=Assumptions!$B$51,AA44*Assumptions!$B$143,0)</f>
        <v>1049.17243777583</v>
      </c>
      <c r="AB45" s="28" t="n">
        <f aca="false">IF(AB2&gt;=Assumptions!$B$51,AB44*Assumptions!$B$143,0)</f>
        <v>1998.02990325377</v>
      </c>
      <c r="AC45" s="28" t="n">
        <f aca="false">IF(AC2&gt;=Assumptions!$B$51,AC44*Assumptions!$B$143,0)</f>
        <v>3355.41153453584</v>
      </c>
      <c r="AD45" s="28" t="n">
        <f aca="false">IF(AD2&gt;=Assumptions!$B$51,AD44*Assumptions!$B$143,0)</f>
        <v>5013.2618085086</v>
      </c>
      <c r="AE45" s="28" t="n">
        <f aca="false">IF(AE2&gt;=Assumptions!$B$51,AE44*Assumptions!$B$143,0)</f>
        <v>6800.25961217202</v>
      </c>
    </row>
    <row r="46" customFormat="false" ht="15" hidden="false" customHeight="false" outlineLevel="0" collapsed="false">
      <c r="A46" s="6" t="s">
        <v>468</v>
      </c>
      <c r="B46" s="23" t="s">
        <v>114</v>
      </c>
      <c r="C46" s="55" t="n">
        <f aca="false">IF(C31=0,0,C42/C31*Assumptions!$B$31)</f>
        <v>17.2357142857143</v>
      </c>
      <c r="D46" s="55" t="n">
        <f aca="false">IF(D31=0,0,D42/D31*Assumptions!$B$31)</f>
        <v>26.2086346736326</v>
      </c>
      <c r="E46" s="55" t="n">
        <f aca="false">IF(E31=0,0,E42/E31*Assumptions!$B$31)</f>
        <v>35.3767428344902</v>
      </c>
      <c r="F46" s="55" t="n">
        <f aca="false">IF(F31=0,0,F42/F31*Assumptions!$B$31)</f>
        <v>42.8018468760896</v>
      </c>
      <c r="G46" s="55" t="n">
        <f aca="false">IF(G31=0,0,G42/G31*Assumptions!$B$31)</f>
        <v>51.7492362031911</v>
      </c>
      <c r="H46" s="55" t="n">
        <f aca="false">IF(H31=0,0,H42/H31*Assumptions!$B$31)</f>
        <v>62.0973147372007</v>
      </c>
      <c r="I46" s="55" t="n">
        <f aca="false">IF(I31=0,0,I42/I31*Assumptions!$B$31)</f>
        <v>72.4837418984152</v>
      </c>
      <c r="J46" s="55" t="n">
        <f aca="false">IF(J31=0,0,J42/J31*Assumptions!$B$31)</f>
        <v>82.6787926968667</v>
      </c>
      <c r="K46" s="55" t="n">
        <f aca="false">IF(K31=0,0,K42/K31*Assumptions!$B$31)</f>
        <v>91.9000092267017</v>
      </c>
      <c r="L46" s="55" t="n">
        <f aca="false">IF(L31=0,0,L42/L31*Assumptions!$B$31)</f>
        <v>97.825335126143</v>
      </c>
      <c r="M46" s="55" t="n">
        <f aca="false">IF(M31=0,0,M42/M31*Assumptions!$B$31)</f>
        <v>105.580613506913</v>
      </c>
      <c r="N46" s="55" t="n">
        <f aca="false">IF(N31=0,0,N42/N31*Assumptions!$B$31)</f>
        <v>115.139168910899</v>
      </c>
      <c r="O46" s="55" t="n">
        <f aca="false">IF(O31=0,0,O42/O31*Assumptions!$B$31)</f>
        <v>110.562926738355</v>
      </c>
      <c r="P46" s="55" t="n">
        <f aca="false">IF(P31=0,0,P42/P31*Assumptions!$B$31)</f>
        <v>106.676571636713</v>
      </c>
      <c r="Q46" s="55" t="n">
        <f aca="false">IF(Q31=0,0,Q42/Q31*Assumptions!$B$31)</f>
        <v>107.529042289278</v>
      </c>
      <c r="R46" s="55" t="n">
        <f aca="false">IF(R31=0,0,R42/R31*Assumptions!$B$31)</f>
        <v>106.746445331032</v>
      </c>
      <c r="S46" s="55" t="n">
        <f aca="false">IF(S31=0,0,S42/S31*Assumptions!$B$31)</f>
        <v>110.173387645164</v>
      </c>
      <c r="T46" s="55" t="n">
        <f aca="false">IF(T31=0,0,T42/T31*Assumptions!$B$31)</f>
        <v>117.050661610225</v>
      </c>
      <c r="U46" s="55" t="n">
        <f aca="false">IF(U31=0,0,U42/U31*Assumptions!$B$31)</f>
        <v>124.686529301028</v>
      </c>
      <c r="V46" s="55" t="n">
        <f aca="false">IF(V31=0,0,V42/V31*Assumptions!$B$31)</f>
        <v>132.492318921651</v>
      </c>
      <c r="W46" s="55" t="n">
        <f aca="false">IF(W31=0,0,W42/W31*Assumptions!$B$31)</f>
        <v>139.220094576248</v>
      </c>
      <c r="X46" s="55" t="n">
        <f aca="false">IF(X31=0,0,X42/X31*Assumptions!$B$31)</f>
        <v>141.580720331797</v>
      </c>
      <c r="Y46" s="55" t="n">
        <f aca="false">IF(Y31=0,0,Y42/Y31*Assumptions!$B$31)</f>
        <v>146.427000104056</v>
      </c>
      <c r="Z46" s="55" t="n">
        <f aca="false">IF(Z31=0,0,Z42/Z31*Assumptions!$B$31)</f>
        <v>153.759520863433</v>
      </c>
      <c r="AA46" s="55" t="n">
        <f aca="false">IF(AA31=0,0,AA42/AA31*Assumptions!$B$31)</f>
        <v>278.585226348563</v>
      </c>
      <c r="AB46" s="55" t="n">
        <f aca="false">IF(AB31=0,0,AB42/AB31*Assumptions!$B$31)</f>
        <v>360.601427086104</v>
      </c>
      <c r="AC46" s="55" t="n">
        <f aca="false">IF(AC31=0,0,AC42/AC31*Assumptions!$B$31)</f>
        <v>428.367309768721</v>
      </c>
      <c r="AD46" s="55" t="n">
        <f aca="false">IF(AD31=0,0,AD42/AD31*Assumptions!$B$31)</f>
        <v>506.396252500285</v>
      </c>
      <c r="AE46" s="55" t="n">
        <f aca="false">IF(AE31=0,0,AE42/AE31*Assumptions!$B$31)</f>
        <v>603.967800079626</v>
      </c>
    </row>
    <row r="47" customFormat="false" ht="15" hidden="false" customHeight="false" outlineLevel="0" collapsed="false">
      <c r="A47" s="6" t="s">
        <v>469</v>
      </c>
      <c r="B47" s="23" t="s">
        <v>76</v>
      </c>
      <c r="C47" s="55" t="n">
        <f aca="false">C46*Assumptions!$B$156*Assumptions!$B$158</f>
        <v>18.0975</v>
      </c>
      <c r="D47" s="55" t="n">
        <f aca="false">D46*Assumptions!$B$156*Assumptions!$B$158</f>
        <v>27.5190664073143</v>
      </c>
      <c r="E47" s="55" t="n">
        <f aca="false">E46*Assumptions!$B$156*Assumptions!$B$158</f>
        <v>37.1455799762147</v>
      </c>
      <c r="F47" s="55" t="n">
        <f aca="false">F46*Assumptions!$B$156*Assumptions!$B$158</f>
        <v>44.941939219894</v>
      </c>
      <c r="G47" s="55" t="n">
        <f aca="false">G46*Assumptions!$B$156*Assumptions!$B$158</f>
        <v>54.3366980133507</v>
      </c>
      <c r="H47" s="55" t="n">
        <f aca="false">H46*Assumptions!$B$156*Assumptions!$B$158</f>
        <v>65.2021804740607</v>
      </c>
      <c r="I47" s="55" t="n">
        <f aca="false">I46*Assumptions!$B$156*Assumptions!$B$158</f>
        <v>76.1079289933359</v>
      </c>
      <c r="J47" s="55" t="n">
        <f aca="false">J46*Assumptions!$B$156*Assumptions!$B$158</f>
        <v>86.8127323317101</v>
      </c>
      <c r="K47" s="55" t="n">
        <f aca="false">K46*Assumptions!$B$156*Assumptions!$B$158</f>
        <v>96.4950096880368</v>
      </c>
      <c r="L47" s="55" t="n">
        <f aca="false">L46*Assumptions!$B$156*Assumptions!$B$158</f>
        <v>102.71660188245</v>
      </c>
      <c r="M47" s="55" t="n">
        <f aca="false">M46*Assumptions!$B$156*Assumptions!$B$158</f>
        <v>110.859644182259</v>
      </c>
      <c r="N47" s="55" t="n">
        <f aca="false">N46*Assumptions!$B$156*Assumptions!$B$158</f>
        <v>120.896127356444</v>
      </c>
      <c r="O47" s="55" t="n">
        <f aca="false">O46*Assumptions!$B$156*Assumptions!$B$158</f>
        <v>116.091073075273</v>
      </c>
      <c r="P47" s="55" t="n">
        <f aca="false">P46*Assumptions!$B$156*Assumptions!$B$158</f>
        <v>112.010400218549</v>
      </c>
      <c r="Q47" s="55" t="n">
        <f aca="false">Q46*Assumptions!$B$156*Assumptions!$B$158</f>
        <v>112.905494403742</v>
      </c>
      <c r="R47" s="55" t="n">
        <f aca="false">R46*Assumptions!$B$156*Assumptions!$B$158</f>
        <v>112.083767597584</v>
      </c>
      <c r="S47" s="55" t="n">
        <f aca="false">S46*Assumptions!$B$156*Assumptions!$B$158</f>
        <v>115.682057027422</v>
      </c>
      <c r="T47" s="55" t="n">
        <f aca="false">T46*Assumptions!$B$156*Assumptions!$B$158</f>
        <v>122.903194690736</v>
      </c>
      <c r="U47" s="55" t="n">
        <f aca="false">U46*Assumptions!$B$156*Assumptions!$B$158</f>
        <v>130.920855766079</v>
      </c>
      <c r="V47" s="55" t="n">
        <f aca="false">V46*Assumptions!$B$156*Assumptions!$B$158</f>
        <v>139.116934867734</v>
      </c>
      <c r="W47" s="55" t="n">
        <f aca="false">W46*Assumptions!$B$156*Assumptions!$B$158</f>
        <v>146.18109930506</v>
      </c>
      <c r="X47" s="55" t="n">
        <f aca="false">X46*Assumptions!$B$156*Assumptions!$B$158</f>
        <v>148.659756348387</v>
      </c>
      <c r="Y47" s="55" t="n">
        <f aca="false">Y46*Assumptions!$B$156*Assumptions!$B$158</f>
        <v>153.748350109259</v>
      </c>
      <c r="Z47" s="55" t="n">
        <f aca="false">Z46*Assumptions!$B$156*Assumptions!$B$158</f>
        <v>161.447496906604</v>
      </c>
      <c r="AA47" s="55" t="n">
        <f aca="false">AA46*Assumptions!$B$156*Assumptions!$B$158</f>
        <v>292.514487665991</v>
      </c>
      <c r="AB47" s="55" t="n">
        <f aca="false">AB46*Assumptions!$B$156*Assumptions!$B$158</f>
        <v>378.631498440409</v>
      </c>
      <c r="AC47" s="55" t="n">
        <f aca="false">AC46*Assumptions!$B$156*Assumptions!$B$158</f>
        <v>449.785675257157</v>
      </c>
      <c r="AD47" s="55" t="n">
        <f aca="false">AD46*Assumptions!$B$156*Assumptions!$B$158</f>
        <v>531.716065125299</v>
      </c>
      <c r="AE47" s="55" t="n">
        <f aca="false">AE46*Assumptions!$B$156*Assumptions!$B$158</f>
        <v>634.166190083607</v>
      </c>
    </row>
    <row r="48" customFormat="false" ht="15" hidden="false" customHeight="false" outlineLevel="0" collapsed="false">
      <c r="A48" s="6" t="s">
        <v>470</v>
      </c>
      <c r="B48" s="23" t="s">
        <v>114</v>
      </c>
      <c r="C48" s="55" t="n">
        <f aca="false">C47/12*C16</f>
        <v>1.6589375</v>
      </c>
      <c r="D48" s="55" t="n">
        <f aca="false">D47/12*D16</f>
        <v>2.29325553394286</v>
      </c>
      <c r="E48" s="55" t="n">
        <f aca="false">E47/12*E16</f>
        <v>3.03355569805753</v>
      </c>
      <c r="F48" s="55" t="n">
        <f aca="false">F47/12*F16</f>
        <v>3.67025836962468</v>
      </c>
      <c r="G48" s="55" t="n">
        <f aca="false">G47/12*G16</f>
        <v>4.52805816777922</v>
      </c>
      <c r="H48" s="55" t="n">
        <f aca="false">H47/12*H16</f>
        <v>5.16183928752981</v>
      </c>
      <c r="I48" s="55" t="n">
        <f aca="false">I47/12*I16</f>
        <v>5.58124812617797</v>
      </c>
      <c r="J48" s="55" t="n">
        <f aca="false">J47/12*J16</f>
        <v>6.51095492487826</v>
      </c>
      <c r="K48" s="55" t="n">
        <f aca="false">K47/12*K16</f>
        <v>8.0412508073364</v>
      </c>
      <c r="L48" s="55" t="n">
        <f aca="false">L47/12*L16</f>
        <v>8.73091116000826</v>
      </c>
      <c r="M48" s="55" t="n">
        <f aca="false">M47/12*M16</f>
        <v>9.70021886594767</v>
      </c>
      <c r="N48" s="55" t="n">
        <f aca="false">N47/12*N16</f>
        <v>11.4851320988622</v>
      </c>
      <c r="O48" s="55" t="n">
        <f aca="false">O47/12*O16</f>
        <v>10.6416816985667</v>
      </c>
      <c r="P48" s="55" t="n">
        <f aca="false">P47/12*P16</f>
        <v>9.33420001821239</v>
      </c>
      <c r="Q48" s="55" t="n">
        <f aca="false">Q47/12*Q16</f>
        <v>9.22061537630562</v>
      </c>
      <c r="R48" s="55" t="n">
        <f aca="false">R47/12*R16</f>
        <v>9.15350768713601</v>
      </c>
      <c r="S48" s="55" t="n">
        <f aca="false">S47/12*S16</f>
        <v>9.64017141895184</v>
      </c>
      <c r="T48" s="55" t="n">
        <f aca="false">T47/12*T16</f>
        <v>9.72983624634997</v>
      </c>
      <c r="U48" s="55" t="n">
        <f aca="false">U47/12*U16</f>
        <v>9.60086275617915</v>
      </c>
      <c r="V48" s="55" t="n">
        <f aca="false">V47/12*V16</f>
        <v>10.43377011508</v>
      </c>
      <c r="W48" s="55" t="n">
        <f aca="false">W47/12*W16</f>
        <v>12.1817582754217</v>
      </c>
      <c r="X48" s="55" t="n">
        <f aca="false">X47/12*X16</f>
        <v>12.6360792896129</v>
      </c>
      <c r="Y48" s="55" t="n">
        <f aca="false">Y47/12*Y16</f>
        <v>13.4529806345601</v>
      </c>
      <c r="Z48" s="55" t="n">
        <f aca="false">Z47/12*Z16</f>
        <v>15.3375122061274</v>
      </c>
      <c r="AA48" s="55" t="n">
        <f aca="false">AA47/12*AA16</f>
        <v>24.3762073054993</v>
      </c>
      <c r="AB48" s="55" t="n">
        <f aca="false">AB47/12*AB16</f>
        <v>31.5526248700341</v>
      </c>
      <c r="AC48" s="55" t="n">
        <f aca="false">AC47/12*AC16</f>
        <v>37.4821396047631</v>
      </c>
      <c r="AD48" s="55" t="n">
        <f aca="false">AD47/12*AD16</f>
        <v>44.3096720937749</v>
      </c>
      <c r="AE48" s="55" t="n">
        <f aca="false">AE47/12*AE16</f>
        <v>52.8471825069673</v>
      </c>
    </row>
    <row r="49" customFormat="false" ht="15" hidden="false" customHeight="false" outlineLevel="0" collapsed="false">
      <c r="A49" s="6" t="s">
        <v>471</v>
      </c>
      <c r="B49" s="23" t="s">
        <v>472</v>
      </c>
      <c r="C49" s="45" t="n">
        <f aca="false">C45*C48*Assumptions!$B$7*C7</f>
        <v>0</v>
      </c>
      <c r="D49" s="45" t="n">
        <f aca="false">D45*D48*Assumptions!$B$7*D7</f>
        <v>0</v>
      </c>
      <c r="E49" s="45" t="n">
        <f aca="false">E45*E48*Assumptions!$B$7*E7</f>
        <v>0</v>
      </c>
      <c r="F49" s="45" t="n">
        <f aca="false">F45*F48*Assumptions!$B$7*F7</f>
        <v>0</v>
      </c>
      <c r="G49" s="45" t="n">
        <f aca="false">G45*G48*Assumptions!$B$7*G7</f>
        <v>0</v>
      </c>
      <c r="H49" s="45" t="n">
        <f aca="false">H45*H48*Assumptions!$B$7*H7</f>
        <v>0</v>
      </c>
      <c r="I49" s="45" t="n">
        <f aca="false">I45*I48*Assumptions!$B$7*I7</f>
        <v>0</v>
      </c>
      <c r="J49" s="45" t="n">
        <f aca="false">J45*J48*Assumptions!$B$7*J7</f>
        <v>0</v>
      </c>
      <c r="K49" s="45" t="n">
        <f aca="false">K45*K48*Assumptions!$B$7*K7</f>
        <v>0</v>
      </c>
      <c r="L49" s="45" t="n">
        <f aca="false">L45*L48*Assumptions!$B$7*L7</f>
        <v>0</v>
      </c>
      <c r="M49" s="45" t="n">
        <f aca="false">M45*M48*Assumptions!$B$7*M7</f>
        <v>0</v>
      </c>
      <c r="N49" s="45" t="n">
        <f aca="false">N45*N48*Assumptions!$B$7*N7</f>
        <v>0</v>
      </c>
      <c r="O49" s="45" t="n">
        <f aca="false">O45*O48*Assumptions!$B$7*O7</f>
        <v>1538.65032762988</v>
      </c>
      <c r="P49" s="45" t="n">
        <f aca="false">P45*P48*Assumptions!$B$7*P7</f>
        <v>1583.0034100526</v>
      </c>
      <c r="Q49" s="45" t="n">
        <f aca="false">Q45*Q48*Assumptions!$B$7*Q7</f>
        <v>1786.33076236289</v>
      </c>
      <c r="R49" s="45" t="n">
        <f aca="false">R45*R48*Assumptions!$B$7*R7</f>
        <v>1994.19699624871</v>
      </c>
      <c r="S49" s="45" t="n">
        <f aca="false">S45*S48*Assumptions!$B$7*S7</f>
        <v>2354.60611992604</v>
      </c>
      <c r="T49" s="45" t="n">
        <f aca="false">T45*T48*Assumptions!$B$7*T7</f>
        <v>2721.42430880128</v>
      </c>
      <c r="U49" s="45" t="n">
        <f aca="false">U45*U48*Assumptions!$B$7*U7</f>
        <v>2998.2534381589</v>
      </c>
      <c r="V49" s="45" t="n">
        <f aca="false">V45*V48*Assumptions!$B$7*V7</f>
        <v>3556.82444811664</v>
      </c>
      <c r="W49" s="45" t="n">
        <f aca="false">W45*W48*Assumptions!$B$7*W7</f>
        <v>5337.81307395498</v>
      </c>
      <c r="X49" s="45" t="n">
        <f aca="false">X45*X48*Assumptions!$B$7*X7</f>
        <v>6733.8409710389</v>
      </c>
      <c r="Y49" s="45" t="n">
        <f aca="false">Y45*Y48*Assumptions!$B$7*Y7</f>
        <v>8416.96678015725</v>
      </c>
      <c r="Z49" s="45" t="n">
        <f aca="false">Z45*Z48*Assumptions!$B$7*Z7</f>
        <v>11409.0097582872</v>
      </c>
      <c r="AA49" s="45" t="n">
        <f aca="false">AA45*AA48*Assumptions!$B$7*AA7</f>
        <v>1127083.41220631</v>
      </c>
      <c r="AB49" s="45" t="n">
        <f aca="false">AB45*AB48*Assumptions!$B$7*AB7</f>
        <v>2778308.88888613</v>
      </c>
      <c r="AC49" s="45" t="n">
        <f aca="false">AC45*AC48*Assumptions!$B$7*AC7</f>
        <v>5542595.91728162</v>
      </c>
      <c r="AD49" s="45" t="n">
        <f aca="false">AD45*AD48*Assumptions!$B$7*AD7</f>
        <v>9789532.94071135</v>
      </c>
      <c r="AE49" s="45" t="n">
        <f aca="false">AE45*AE48*Assumptions!$B$7*AE7</f>
        <v>15837636.8953027</v>
      </c>
    </row>
    <row r="50" customFormat="false" ht="15" hidden="false" customHeight="false" outlineLevel="0" collapsed="false">
      <c r="A50" s="6" t="s">
        <v>471</v>
      </c>
      <c r="B50" s="23" t="s">
        <v>114</v>
      </c>
      <c r="C50" s="55" t="n">
        <f aca="false">C49/Assumptions!$B$7</f>
        <v>0</v>
      </c>
      <c r="D50" s="55" t="n">
        <f aca="false">D49/Assumptions!$B$7</f>
        <v>0</v>
      </c>
      <c r="E50" s="55" t="n">
        <f aca="false">E49/Assumptions!$B$7</f>
        <v>0</v>
      </c>
      <c r="F50" s="55" t="n">
        <f aca="false">F49/Assumptions!$B$7</f>
        <v>0</v>
      </c>
      <c r="G50" s="55" t="n">
        <f aca="false">G49/Assumptions!$B$7</f>
        <v>0</v>
      </c>
      <c r="H50" s="55" t="n">
        <f aca="false">H49/Assumptions!$B$7</f>
        <v>0</v>
      </c>
      <c r="I50" s="55" t="n">
        <f aca="false">I49/Assumptions!$B$7</f>
        <v>0</v>
      </c>
      <c r="J50" s="55" t="n">
        <f aca="false">J49/Assumptions!$B$7</f>
        <v>0</v>
      </c>
      <c r="K50" s="55" t="n">
        <f aca="false">K49/Assumptions!$B$7</f>
        <v>0</v>
      </c>
      <c r="L50" s="55" t="n">
        <f aca="false">L49/Assumptions!$B$7</f>
        <v>0</v>
      </c>
      <c r="M50" s="55" t="n">
        <f aca="false">M49/Assumptions!$B$7</f>
        <v>0</v>
      </c>
      <c r="N50" s="55" t="n">
        <f aca="false">N49/Assumptions!$B$7</f>
        <v>0</v>
      </c>
      <c r="O50" s="55" t="n">
        <f aca="false">O49/Assumptions!$B$7</f>
        <v>418.965371716782</v>
      </c>
      <c r="P50" s="55" t="n">
        <f aca="false">P49/Assumptions!$B$7</f>
        <v>431.042453383961</v>
      </c>
      <c r="Q50" s="55" t="n">
        <f aca="false">Q49/Assumptions!$B$7</f>
        <v>486.407287232918</v>
      </c>
      <c r="R50" s="55" t="n">
        <f aca="false">R49/Assumptions!$B$7</f>
        <v>543.008031653836</v>
      </c>
      <c r="S50" s="55" t="n">
        <f aca="false">S49/Assumptions!$B$7</f>
        <v>641.145301545553</v>
      </c>
      <c r="T50" s="55" t="n">
        <f aca="false">T49/Assumptions!$B$7</f>
        <v>741.027721933638</v>
      </c>
      <c r="U50" s="55" t="n">
        <f aca="false">U49/Assumptions!$B$7</f>
        <v>816.406654365936</v>
      </c>
      <c r="V50" s="55" t="n">
        <f aca="false">V49/Assumptions!$B$7</f>
        <v>968.502232298608</v>
      </c>
      <c r="W50" s="55" t="n">
        <f aca="false">W49/Assumptions!$B$7</f>
        <v>1453.45488739414</v>
      </c>
      <c r="X50" s="55" t="n">
        <f aca="false">X49/Assumptions!$B$7</f>
        <v>1833.5850159398</v>
      </c>
      <c r="Y50" s="55" t="n">
        <f aca="false">Y49/Assumptions!$B$7</f>
        <v>2291.89020562485</v>
      </c>
      <c r="Z50" s="55" t="n">
        <f aca="false">Z49/Assumptions!$B$7</f>
        <v>3106.6057885057</v>
      </c>
      <c r="AA50" s="55" t="n">
        <f aca="false">AA49/Assumptions!$B$7</f>
        <v>306898.138109275</v>
      </c>
      <c r="AB50" s="55" t="n">
        <f aca="false">AB49/Assumptions!$B$7</f>
        <v>756517.056197721</v>
      </c>
      <c r="AC50" s="55" t="n">
        <f aca="false">AC49/Assumptions!$B$7</f>
        <v>1509216.04282685</v>
      </c>
      <c r="AD50" s="55" t="n">
        <f aca="false">AD49/Assumptions!$B$7</f>
        <v>2665631.84226313</v>
      </c>
      <c r="AE50" s="55" t="n">
        <f aca="false">AE49/Assumptions!$B$7</f>
        <v>4312494.72983056</v>
      </c>
    </row>
    <row r="51" customFormat="false" ht="15" hidden="false" customHeight="false" outlineLevel="0" collapsed="false">
      <c r="A51" s="6" t="s">
        <v>473</v>
      </c>
      <c r="B51" s="23" t="s">
        <v>472</v>
      </c>
      <c r="C51" s="45" t="n">
        <f aca="false">IF(Assumptions!$B$144=0,0,C46*Assumptions!$B$156*Assumptions!$B$7/Assumptions!$B$144)</f>
        <v>7.91227008928571</v>
      </c>
      <c r="D51" s="45" t="n">
        <f aca="false">IF(Assumptions!$B$144=0,0,D46*Assumptions!$B$156*Assumptions!$B$7/Assumptions!$B$144)</f>
        <v>12.0314013548645</v>
      </c>
      <c r="E51" s="45" t="n">
        <f aca="false">IF(Assumptions!$B$144=0,0,E46*Assumptions!$B$156*Assumptions!$B$7/Assumptions!$B$144)</f>
        <v>16.2401360074582</v>
      </c>
      <c r="F51" s="45" t="n">
        <f aca="false">IF(Assumptions!$B$144=0,0,F46*Assumptions!$B$156*Assumptions!$B$7/Assumptions!$B$144)</f>
        <v>19.6487228315549</v>
      </c>
      <c r="G51" s="45" t="n">
        <f aca="false">IF(Assumptions!$B$144=0,0,G46*Assumptions!$B$156*Assumptions!$B$7/Assumptions!$B$144)</f>
        <v>23.7561337445274</v>
      </c>
      <c r="H51" s="45" t="n">
        <f aca="false">IF(Assumptions!$B$144=0,0,H46*Assumptions!$B$156*Assumptions!$B$7/Assumptions!$B$144)</f>
        <v>28.5065485465462</v>
      </c>
      <c r="I51" s="45" t="n">
        <f aca="false">IF(Assumptions!$B$144=0,0,I46*Assumptions!$B$156*Assumptions!$B$7/Assumptions!$B$144)</f>
        <v>33.2745677652412</v>
      </c>
      <c r="J51" s="45" t="n">
        <f aca="false">IF(Assumptions!$B$144=0,0,J46*Assumptions!$B$156*Assumptions!$B$7/Assumptions!$B$144)</f>
        <v>37.9547332724054</v>
      </c>
      <c r="K51" s="45" t="n">
        <f aca="false">IF(Assumptions!$B$144=0,0,K46*Assumptions!$B$156*Assumptions!$B$7/Assumptions!$B$144)</f>
        <v>42.1878479856328</v>
      </c>
      <c r="L51" s="45" t="n">
        <f aca="false">IF(Assumptions!$B$144=0,0,L46*Assumptions!$B$156*Assumptions!$B$7/Assumptions!$B$144)</f>
        <v>44.907942906345</v>
      </c>
      <c r="M51" s="45" t="n">
        <f aca="false">IF(Assumptions!$B$144=0,0,M46*Assumptions!$B$156*Assumptions!$B$7/Assumptions!$B$144)</f>
        <v>48.4681003880174</v>
      </c>
      <c r="N51" s="45" t="n">
        <f aca="false">IF(Assumptions!$B$144=0,0,N46*Assumptions!$B$156*Assumptions!$B$7/Assumptions!$B$144)</f>
        <v>52.8560747281598</v>
      </c>
      <c r="O51" s="45" t="n">
        <f aca="false">IF(Assumptions!$B$144=0,0,O46*Assumptions!$B$156*Assumptions!$B$7/Assumptions!$B$144)</f>
        <v>50.7552935558263</v>
      </c>
      <c r="P51" s="45" t="n">
        <f aca="false">IF(Assumptions!$B$144=0,0,P46*Assumptions!$B$156*Assumptions!$B$7/Assumptions!$B$144)</f>
        <v>48.9712136669786</v>
      </c>
      <c r="Q51" s="45" t="n">
        <f aca="false">IF(Assumptions!$B$144=0,0,Q46*Assumptions!$B$156*Assumptions!$B$7/Assumptions!$B$144)</f>
        <v>49.3625509759219</v>
      </c>
      <c r="R51" s="45" t="n">
        <f aca="false">IF(Assumptions!$B$144=0,0,R46*Assumptions!$B$156*Assumptions!$B$7/Assumptions!$B$144)</f>
        <v>49.003290059777</v>
      </c>
      <c r="S51" s="45" t="n">
        <f aca="false">IF(Assumptions!$B$144=0,0,S46*Assumptions!$B$156*Assumptions!$B$7/Assumptions!$B$144)</f>
        <v>50.576470765858</v>
      </c>
      <c r="T51" s="45" t="n">
        <f aca="false">IF(Assumptions!$B$144=0,0,T46*Assumptions!$B$156*Assumptions!$B$7/Assumptions!$B$144)</f>
        <v>53.733569345444</v>
      </c>
      <c r="U51" s="45" t="n">
        <f aca="false">IF(Assumptions!$B$144=0,0,U46*Assumptions!$B$156*Assumptions!$B$7/Assumptions!$B$144)</f>
        <v>57.2389098572531</v>
      </c>
      <c r="V51" s="45" t="n">
        <f aca="false">IF(Assumptions!$B$144=0,0,V46*Assumptions!$B$156*Assumptions!$B$7/Assumptions!$B$144)</f>
        <v>60.8222551549705</v>
      </c>
      <c r="W51" s="45" t="n">
        <f aca="false">IF(Assumptions!$B$144=0,0,W46*Assumptions!$B$156*Assumptions!$B$7/Assumptions!$B$144)</f>
        <v>63.9107246664087</v>
      </c>
      <c r="X51" s="45" t="n">
        <f aca="false">IF(Assumptions!$B$144=0,0,X46*Assumptions!$B$156*Assumptions!$B$7/Assumptions!$B$144)</f>
        <v>64.9943994273157</v>
      </c>
      <c r="Y51" s="45" t="n">
        <f aca="false">IF(Assumptions!$B$144=0,0,Y46*Assumptions!$B$156*Assumptions!$B$7/Assumptions!$B$144)</f>
        <v>67.2191447352682</v>
      </c>
      <c r="Z51" s="45" t="n">
        <f aca="false">IF(Assumptions!$B$144=0,0,Z46*Assumptions!$B$156*Assumptions!$B$7/Assumptions!$B$144)</f>
        <v>70.5852300463696</v>
      </c>
      <c r="AA51" s="45" t="n">
        <f aca="false">IF(Assumptions!$B$144=0,0,AA46*Assumptions!$B$156*Assumptions!$B$7/Assumptions!$B$144)</f>
        <v>127.888030470637</v>
      </c>
      <c r="AB51" s="45" t="n">
        <f aca="false">IF(Assumptions!$B$144=0,0,AB46*Assumptions!$B$156*Assumptions!$B$7/Assumptions!$B$144)</f>
        <v>165.538592621714</v>
      </c>
      <c r="AC51" s="45" t="n">
        <f aca="false">IF(Assumptions!$B$144=0,0,AC46*Assumptions!$B$156*Assumptions!$B$7/Assumptions!$B$144)</f>
        <v>196.647368140703</v>
      </c>
      <c r="AD51" s="45" t="n">
        <f aca="false">IF(Assumptions!$B$144=0,0,AD46*Assumptions!$B$156*Assumptions!$B$7/Assumptions!$B$144)</f>
        <v>232.467529663412</v>
      </c>
      <c r="AE51" s="45" t="n">
        <f aca="false">IF(Assumptions!$B$144=0,0,AE46*Assumptions!$B$156*Assumptions!$B$7/Assumptions!$B$144)</f>
        <v>277.258968224053</v>
      </c>
    </row>
    <row r="52" customFormat="false" ht="15" hidden="false" customHeight="false" outlineLevel="0" collapsed="false">
      <c r="A52" s="6" t="s">
        <v>474</v>
      </c>
      <c r="B52" s="23" t="s">
        <v>475</v>
      </c>
      <c r="C52" s="45" t="n">
        <f aca="false">C45*Assumptions!$B$158*Assumptions!$B$144*C7/12*(1+Assumptions!$B$16)</f>
        <v>0</v>
      </c>
      <c r="D52" s="45" t="n">
        <f aca="false">D45*Assumptions!$B$158*Assumptions!$B$144*D7/12*(1+Assumptions!$B$16)</f>
        <v>0</v>
      </c>
      <c r="E52" s="45" t="n">
        <f aca="false">E45*Assumptions!$B$158*Assumptions!$B$144*E7/12*(1+Assumptions!$B$16)</f>
        <v>0</v>
      </c>
      <c r="F52" s="45" t="n">
        <f aca="false">F45*Assumptions!$B$158*Assumptions!$B$144*F7/12*(1+Assumptions!$B$16)</f>
        <v>0</v>
      </c>
      <c r="G52" s="45" t="n">
        <f aca="false">G45*Assumptions!$B$158*Assumptions!$B$144*G7/12*(1+Assumptions!$B$16)</f>
        <v>0</v>
      </c>
      <c r="H52" s="45" t="n">
        <f aca="false">H45*Assumptions!$B$158*Assumptions!$B$144*H7/12*(1+Assumptions!$B$16)</f>
        <v>0</v>
      </c>
      <c r="I52" s="45" t="n">
        <f aca="false">I45*Assumptions!$B$158*Assumptions!$B$144*I7/12*(1+Assumptions!$B$16)</f>
        <v>0</v>
      </c>
      <c r="J52" s="45" t="n">
        <f aca="false">J45*Assumptions!$B$158*Assumptions!$B$144*J7/12*(1+Assumptions!$B$16)</f>
        <v>0</v>
      </c>
      <c r="K52" s="45" t="n">
        <f aca="false">K45*Assumptions!$B$158*Assumptions!$B$144*K7/12*(1+Assumptions!$B$16)</f>
        <v>0</v>
      </c>
      <c r="L52" s="45" t="n">
        <f aca="false">L45*Assumptions!$B$158*Assumptions!$B$144*L7/12*(1+Assumptions!$B$16)</f>
        <v>0</v>
      </c>
      <c r="M52" s="45" t="n">
        <f aca="false">M45*Assumptions!$B$158*Assumptions!$B$144*M7/12*(1+Assumptions!$B$16)</f>
        <v>0</v>
      </c>
      <c r="N52" s="45" t="n">
        <f aca="false">N45*Assumptions!$B$158*Assumptions!$B$144*N7/12*(1+Assumptions!$B$16)</f>
        <v>0</v>
      </c>
      <c r="O52" s="45" t="n">
        <f aca="false">O45*Assumptions!$B$158*Assumptions!$B$144*O7/12*(1+Assumptions!$B$16)</f>
        <v>29.2127047791443</v>
      </c>
      <c r="P52" s="45" t="n">
        <f aca="false">P45*Assumptions!$B$158*Assumptions!$B$144*P7/12*(1+Assumptions!$B$16)</f>
        <v>34.2646932556467</v>
      </c>
      <c r="Q52" s="45" t="n">
        <f aca="false">Q45*Assumptions!$B$158*Assumptions!$B$144*Q7/12*(1+Assumptions!$B$16)</f>
        <v>39.1420954456329</v>
      </c>
      <c r="R52" s="45" t="n">
        <f aca="false">R45*Assumptions!$B$158*Assumptions!$B$144*R7/12*(1+Assumptions!$B$16)</f>
        <v>44.0172197652037</v>
      </c>
      <c r="S52" s="45" t="n">
        <f aca="false">S45*Assumptions!$B$158*Assumptions!$B$144*S7/12*(1+Assumptions!$B$16)</f>
        <v>49.34868822058</v>
      </c>
      <c r="T52" s="45" t="n">
        <f aca="false">T45*Assumptions!$B$158*Assumptions!$B$144*T7/12*(1+Assumptions!$B$16)</f>
        <v>56.5109787825079</v>
      </c>
      <c r="U52" s="45" t="n">
        <f aca="false">U45*Assumptions!$B$158*Assumptions!$B$144*U7/12*(1+Assumptions!$B$16)</f>
        <v>63.0957605502325</v>
      </c>
      <c r="V52" s="45" t="n">
        <f aca="false">V45*Assumptions!$B$158*Assumptions!$B$144*V7/12*(1+Assumptions!$B$16)</f>
        <v>68.8752625790485</v>
      </c>
      <c r="W52" s="45" t="n">
        <f aca="false">W45*Assumptions!$B$158*Assumptions!$B$144*W7/12*(1+Assumptions!$B$16)</f>
        <v>88.5310233599362</v>
      </c>
      <c r="X52" s="45" t="n">
        <f aca="false">X45*Assumptions!$B$158*Assumptions!$B$144*X7/12*(1+Assumptions!$B$16)</f>
        <v>107.669479641973</v>
      </c>
      <c r="Y52" s="45" t="n">
        <f aca="false">Y45*Assumptions!$B$158*Assumptions!$B$144*Y7/12*(1+Assumptions!$B$16)</f>
        <v>126.40934962806</v>
      </c>
      <c r="Z52" s="45" t="n">
        <f aca="false">Z45*Assumptions!$B$158*Assumptions!$B$144*Z7/12*(1+Assumptions!$B$16)</f>
        <v>150.291746411803</v>
      </c>
      <c r="AA52" s="45" t="n">
        <f aca="false">AA45*Assumptions!$B$158*Assumptions!$B$144*AA7/12*(1+Assumptions!$B$16)</f>
        <v>9341.83138595596</v>
      </c>
      <c r="AB52" s="45" t="n">
        <f aca="false">AB45*Assumptions!$B$158*Assumptions!$B$144*AB7/12*(1+Assumptions!$B$16)</f>
        <v>17790.4582585716</v>
      </c>
      <c r="AC52" s="45" t="n">
        <f aca="false">AC45*Assumptions!$B$158*Assumptions!$B$144*AC7/12*(1+Assumptions!$B$16)</f>
        <v>29876.5843035071</v>
      </c>
      <c r="AD52" s="45" t="n">
        <f aca="false">AD45*Assumptions!$B$158*Assumptions!$B$144*AD7/12*(1+Assumptions!$B$16)</f>
        <v>44638.0831429605</v>
      </c>
      <c r="AE52" s="45" t="n">
        <f aca="false">AE45*Assumptions!$B$158*Assumptions!$B$144*AE7/12*(1+Assumptions!$B$16)</f>
        <v>60549.5115867797</v>
      </c>
    </row>
    <row r="53" customFormat="false" ht="15" hidden="false" customHeight="false" outlineLevel="0" collapsed="false">
      <c r="A53" s="6" t="s">
        <v>476</v>
      </c>
      <c r="B53" s="23" t="s">
        <v>114</v>
      </c>
      <c r="C53" s="55" t="n">
        <f aca="false">C35*Assumptions!$B$8</f>
        <v>129.707634992439</v>
      </c>
      <c r="D53" s="55" t="n">
        <f aca="false">D35*Assumptions!$B$8</f>
        <v>246.622009385317</v>
      </c>
      <c r="E53" s="55" t="n">
        <f aca="false">E35*Assumptions!$B$8</f>
        <v>352.65807989044</v>
      </c>
      <c r="F53" s="55" t="n">
        <f aca="false">F35*Assumptions!$B$8</f>
        <v>482.971739387774</v>
      </c>
      <c r="G53" s="55" t="n">
        <f aca="false">G35*Assumptions!$B$8</f>
        <v>592.763860396822</v>
      </c>
      <c r="H53" s="55" t="n">
        <f aca="false">H35*Assumptions!$B$8</f>
        <v>676.653577399581</v>
      </c>
      <c r="I53" s="55" t="n">
        <f aca="false">I35*Assumptions!$B$8</f>
        <v>752.571736490261</v>
      </c>
      <c r="J53" s="55" t="n">
        <f aca="false">J35*Assumptions!$B$8</f>
        <v>824.749527581236</v>
      </c>
      <c r="K53" s="55" t="n">
        <f aca="false">K35*Assumptions!$B$8</f>
        <v>903.599464543585</v>
      </c>
      <c r="L53" s="55" t="n">
        <f aca="false">L35*Assumptions!$B$8</f>
        <v>1019.45852917842</v>
      </c>
      <c r="M53" s="55" t="n">
        <f aca="false">M35*Assumptions!$B$8</f>
        <v>1116.80413859089</v>
      </c>
      <c r="N53" s="55" t="n">
        <f aca="false">N35*Assumptions!$B$8</f>
        <v>1191.45501732344</v>
      </c>
      <c r="O53" s="55" t="n">
        <f aca="false">O35*Assumptions!$B$8</f>
        <v>1572.02332732176</v>
      </c>
      <c r="P53" s="55" t="n">
        <f aca="false">P35*Assumptions!$B$8</f>
        <v>1922.55656133936</v>
      </c>
      <c r="Q53" s="55" t="n">
        <f aca="false">Q35*Assumptions!$B$8</f>
        <v>2247.16270983592</v>
      </c>
      <c r="R53" s="55" t="n">
        <f aca="false">R35*Assumptions!$B$8</f>
        <v>2670.71048758389</v>
      </c>
      <c r="S53" s="55" t="n">
        <f aca="false">S35*Assumptions!$B$8</f>
        <v>3034.73137234036</v>
      </c>
      <c r="T53" s="55" t="n">
        <f aca="false">T35*Assumptions!$B$8</f>
        <v>3313.7207735455</v>
      </c>
      <c r="U53" s="55" t="n">
        <f aca="false">U35*Assumptions!$B$8</f>
        <v>3570.88786016287</v>
      </c>
      <c r="V53" s="55" t="n">
        <f aca="false">V35*Assumptions!$B$8</f>
        <v>3821.27161799788</v>
      </c>
      <c r="W53" s="55" t="n">
        <f aca="false">W35*Assumptions!$B$8</f>
        <v>4105.41425375239</v>
      </c>
      <c r="X53" s="55" t="n">
        <f aca="false">X35*Assumptions!$B$8</f>
        <v>4546.60279983315</v>
      </c>
      <c r="Y53" s="55" t="n">
        <f aca="false">Y35*Assumptions!$B$8</f>
        <v>4928.37078809547</v>
      </c>
      <c r="Z53" s="55" t="n">
        <f aca="false">Z35*Assumptions!$B$8</f>
        <v>5228.12559578769</v>
      </c>
      <c r="AA53" s="55" t="n">
        <f aca="false">AA35*Assumptions!$B$8</f>
        <v>125730.923832514</v>
      </c>
      <c r="AB53" s="55" t="n">
        <f aca="false">AB35*Assumptions!$B$8</f>
        <v>212449.192397712</v>
      </c>
      <c r="AC53" s="55" t="n">
        <f aca="false">AC35*Assumptions!$B$8</f>
        <v>321839.873861733</v>
      </c>
      <c r="AD53" s="55" t="n">
        <f aca="false">AD35*Assumptions!$B$8</f>
        <v>427381.754204099</v>
      </c>
      <c r="AE53" s="55" t="n">
        <f aca="false">AE35*Assumptions!$B$8</f>
        <v>504933.747665502</v>
      </c>
    </row>
    <row r="54" customFormat="false" ht="15" hidden="false" customHeight="false" outlineLevel="0" collapsed="false">
      <c r="A54" s="6" t="s">
        <v>477</v>
      </c>
      <c r="B54" s="23" t="s">
        <v>114</v>
      </c>
      <c r="C54" s="55" t="n">
        <f aca="false">C36*Assumptions!$B$8</f>
        <v>12.4689184829041</v>
      </c>
      <c r="D54" s="55" t="n">
        <f aca="false">D36*Assumptions!$B$8</f>
        <v>23.7080086403147</v>
      </c>
      <c r="E54" s="55" t="n">
        <f aca="false">E36*Assumptions!$B$8</f>
        <v>33.901357084706</v>
      </c>
      <c r="F54" s="55" t="n">
        <f aca="false">F36*Assumptions!$B$8</f>
        <v>46.4285332804318</v>
      </c>
      <c r="G54" s="55" t="n">
        <f aca="false">G36*Assumptions!$B$8</f>
        <v>56.9829544369564</v>
      </c>
      <c r="H54" s="55" t="n">
        <f aca="false">H36*Assumptions!$B$8</f>
        <v>65.0473528274002</v>
      </c>
      <c r="I54" s="55" t="n">
        <f aca="false">I36*Assumptions!$B$8</f>
        <v>72.345437763796</v>
      </c>
      <c r="J54" s="55" t="n">
        <f aca="false">J36*Assumptions!$B$8</f>
        <v>79.2839575621248</v>
      </c>
      <c r="K54" s="55" t="n">
        <f aca="false">K36*Assumptions!$B$8</f>
        <v>86.8638770974934</v>
      </c>
      <c r="L54" s="55" t="n">
        <f aca="false">L36*Assumptions!$B$8</f>
        <v>98.0015193228063</v>
      </c>
      <c r="M54" s="55" t="n">
        <f aca="false">M36*Assumptions!$B$8</f>
        <v>107.359445465731</v>
      </c>
      <c r="N54" s="55" t="n">
        <f aca="false">N36*Assumptions!$B$8</f>
        <v>114.535705534366</v>
      </c>
      <c r="O54" s="55" t="n">
        <f aca="false">O36*Assumptions!$B$8</f>
        <v>151.120099620514</v>
      </c>
      <c r="P54" s="55" t="n">
        <f aca="false">P36*Assumptions!$B$8</f>
        <v>184.817193247801</v>
      </c>
      <c r="Q54" s="55" t="n">
        <f aca="false">Q36*Assumptions!$B$8</f>
        <v>216.021891451489</v>
      </c>
      <c r="R54" s="55" t="n">
        <f aca="false">R36*Assumptions!$B$8</f>
        <v>256.737942705237</v>
      </c>
      <c r="S54" s="55" t="n">
        <f aca="false">S36*Assumptions!$B$8</f>
        <v>291.731617043433</v>
      </c>
      <c r="T54" s="55" t="n">
        <f aca="false">T36*Assumptions!$B$8</f>
        <v>318.551133885475</v>
      </c>
      <c r="U54" s="55" t="n">
        <f aca="false">U36*Assumptions!$B$8</f>
        <v>343.272850843038</v>
      </c>
      <c r="V54" s="55" t="n">
        <f aca="false">V36*Assumptions!$B$8</f>
        <v>367.342479944439</v>
      </c>
      <c r="W54" s="55" t="n">
        <f aca="false">W36*Assumptions!$B$8</f>
        <v>394.657382131554</v>
      </c>
      <c r="X54" s="55" t="n">
        <f aca="false">X36*Assumptions!$B$8</f>
        <v>437.069257245865</v>
      </c>
      <c r="Y54" s="55" t="n">
        <f aca="false">Y36*Assumptions!$B$8</f>
        <v>473.768977546083</v>
      </c>
      <c r="Z54" s="55" t="n">
        <f aca="false">Z36*Assumptions!$B$8</f>
        <v>502.584692690304</v>
      </c>
      <c r="AA54" s="55" t="n">
        <f aca="false">AA36*Assumptions!$B$8</f>
        <v>12086.6334517565</v>
      </c>
      <c r="AB54" s="55" t="n">
        <f aca="false">AB36*Assumptions!$B$8</f>
        <v>20422.9431977562</v>
      </c>
      <c r="AC54" s="55" t="n">
        <f aca="false">AC36*Assumptions!$B$8</f>
        <v>30938.773588494</v>
      </c>
      <c r="AD54" s="55" t="n">
        <f aca="false">AD36*Assumptions!$B$8</f>
        <v>41084.6150618822</v>
      </c>
      <c r="AE54" s="55" t="n">
        <f aca="false">AE36*Assumptions!$B$8</f>
        <v>48539.7620523682</v>
      </c>
    </row>
    <row r="55" customFormat="false" ht="15" hidden="false" customHeight="false" outlineLevel="0" collapsed="false">
      <c r="A55" s="6" t="s">
        <v>478</v>
      </c>
      <c r="B55" s="23" t="s">
        <v>114</v>
      </c>
      <c r="C55" s="55" t="n">
        <f aca="false">C50*IF(Assumptions!$B$174=1,MIN(Assumptions!$B$14,1%),Assumptions!$B$14)*(1-Assumptions!$B$142)</f>
        <v>0</v>
      </c>
      <c r="D55" s="55" t="n">
        <f aca="false">D50*IF(Assumptions!$B$174=1,MIN(Assumptions!$B$14,1%),Assumptions!$B$14)*(1-Assumptions!$B$142)</f>
        <v>0</v>
      </c>
      <c r="E55" s="55" t="n">
        <f aca="false">E50*IF(Assumptions!$B$174=1,MIN(Assumptions!$B$14,1%),Assumptions!$B$14)*(1-Assumptions!$B$142)</f>
        <v>0</v>
      </c>
      <c r="F55" s="55" t="n">
        <f aca="false">F50*IF(Assumptions!$B$174=1,MIN(Assumptions!$B$14,1%),Assumptions!$B$14)*(1-Assumptions!$B$142)</f>
        <v>0</v>
      </c>
      <c r="G55" s="55" t="n">
        <f aca="false">G50*IF(Assumptions!$B$174=1,MIN(Assumptions!$B$14,1%),Assumptions!$B$14)*(1-Assumptions!$B$142)</f>
        <v>0</v>
      </c>
      <c r="H55" s="55" t="n">
        <f aca="false">H50*IF(Assumptions!$B$174=1,MIN(Assumptions!$B$14,1%),Assumptions!$B$14)*(1-Assumptions!$B$142)</f>
        <v>0</v>
      </c>
      <c r="I55" s="55" t="n">
        <f aca="false">I50*IF(Assumptions!$B$174=1,MIN(Assumptions!$B$14,1%),Assumptions!$B$14)*(1-Assumptions!$B$142)</f>
        <v>0</v>
      </c>
      <c r="J55" s="55" t="n">
        <f aca="false">J50*IF(Assumptions!$B$174=1,MIN(Assumptions!$B$14,1%),Assumptions!$B$14)*(1-Assumptions!$B$142)</f>
        <v>0</v>
      </c>
      <c r="K55" s="55" t="n">
        <f aca="false">K50*IF(Assumptions!$B$174=1,MIN(Assumptions!$B$14,1%),Assumptions!$B$14)*(1-Assumptions!$B$142)</f>
        <v>0</v>
      </c>
      <c r="L55" s="55" t="n">
        <f aca="false">L50*IF(Assumptions!$B$174=1,MIN(Assumptions!$B$14,1%),Assumptions!$B$14)*(1-Assumptions!$B$142)</f>
        <v>0</v>
      </c>
      <c r="M55" s="55" t="n">
        <f aca="false">M50*IF(Assumptions!$B$174=1,MIN(Assumptions!$B$14,1%),Assumptions!$B$14)*(1-Assumptions!$B$142)</f>
        <v>0</v>
      </c>
      <c r="N55" s="55" t="n">
        <f aca="false">N50*IF(Assumptions!$B$174=1,MIN(Assumptions!$B$14,1%),Assumptions!$B$14)*(1-Assumptions!$B$142)</f>
        <v>0</v>
      </c>
      <c r="O55" s="55" t="n">
        <f aca="false">O50*IF(Assumptions!$B$174=1,MIN(Assumptions!$B$14,1%),Assumptions!$B$14)*(1-Assumptions!$B$142)</f>
        <v>2.11158547345258</v>
      </c>
      <c r="P55" s="55" t="n">
        <f aca="false">P50*IF(Assumptions!$B$174=1,MIN(Assumptions!$B$14,1%),Assumptions!$B$14)*(1-Assumptions!$B$142)</f>
        <v>2.17245396505516</v>
      </c>
      <c r="Q55" s="55" t="n">
        <f aca="false">Q50*IF(Assumptions!$B$174=1,MIN(Assumptions!$B$14,1%),Assumptions!$B$14)*(1-Assumptions!$B$142)</f>
        <v>2.45149272765391</v>
      </c>
      <c r="R55" s="55" t="n">
        <f aca="false">R50*IF(Assumptions!$B$174=1,MIN(Assumptions!$B$14,1%),Assumptions!$B$14)*(1-Assumptions!$B$142)</f>
        <v>2.73676047953534</v>
      </c>
      <c r="S55" s="55" t="n">
        <f aca="false">S50*IF(Assumptions!$B$174=1,MIN(Assumptions!$B$14,1%),Assumptions!$B$14)*(1-Assumptions!$B$142)</f>
        <v>3.23137231978959</v>
      </c>
      <c r="T55" s="55" t="n">
        <f aca="false">T50*IF(Assumptions!$B$174=1,MIN(Assumptions!$B$14,1%),Assumptions!$B$14)*(1-Assumptions!$B$142)</f>
        <v>3.73477971854553</v>
      </c>
      <c r="U55" s="55" t="n">
        <f aca="false">U50*IF(Assumptions!$B$174=1,MIN(Assumptions!$B$14,1%),Assumptions!$B$14)*(1-Assumptions!$B$142)</f>
        <v>4.11468953800432</v>
      </c>
      <c r="V55" s="55" t="n">
        <f aca="false">V50*IF(Assumptions!$B$174=1,MIN(Assumptions!$B$14,1%),Assumptions!$B$14)*(1-Assumptions!$B$142)</f>
        <v>4.88125125078498</v>
      </c>
      <c r="W55" s="55" t="n">
        <f aca="false">W50*IF(Assumptions!$B$174=1,MIN(Assumptions!$B$14,1%),Assumptions!$B$14)*(1-Assumptions!$B$142)</f>
        <v>7.32541263246647</v>
      </c>
      <c r="X55" s="55" t="n">
        <f aca="false">X50*IF(Assumptions!$B$174=1,MIN(Assumptions!$B$14,1%),Assumptions!$B$14)*(1-Assumptions!$B$142)</f>
        <v>9.24126848033657</v>
      </c>
      <c r="Y55" s="55" t="n">
        <f aca="false">Y50*IF(Assumptions!$B$174=1,MIN(Assumptions!$B$14,1%),Assumptions!$B$14)*(1-Assumptions!$B$142)</f>
        <v>11.5511266363492</v>
      </c>
      <c r="Z55" s="55" t="n">
        <f aca="false">Z50*IF(Assumptions!$B$174=1,MIN(Assumptions!$B$14,1%),Assumptions!$B$14)*(1-Assumptions!$B$142)</f>
        <v>15.6572931740687</v>
      </c>
      <c r="AA55" s="55" t="n">
        <f aca="false">AA50*IF(Assumptions!$B$174=1,MIN(Assumptions!$B$14,1%),Assumptions!$B$14)*(1-Assumptions!$B$142)</f>
        <v>1546.76661607075</v>
      </c>
      <c r="AB55" s="55" t="n">
        <f aca="false">AB50*IF(Assumptions!$B$174=1,MIN(Assumptions!$B$14,1%),Assumptions!$B$14)*(1-Assumptions!$B$142)</f>
        <v>3812.84596323652</v>
      </c>
      <c r="AC55" s="55" t="n">
        <f aca="false">AC50*IF(Assumptions!$B$174=1,MIN(Assumptions!$B$14,1%),Assumptions!$B$14)*(1-Assumptions!$B$142)</f>
        <v>7606.44885584735</v>
      </c>
      <c r="AD55" s="55" t="n">
        <f aca="false">AD50*IF(Assumptions!$B$174=1,MIN(Assumptions!$B$14,1%),Assumptions!$B$14)*(1-Assumptions!$B$142)</f>
        <v>13434.7844850062</v>
      </c>
      <c r="AE55" s="55" t="n">
        <f aca="false">AE50*IF(Assumptions!$B$174=1,MIN(Assumptions!$B$14,1%),Assumptions!$B$14)*(1-Assumptions!$B$142)</f>
        <v>21734.973438346</v>
      </c>
    </row>
    <row r="56" customFormat="false" ht="15" hidden="false" customHeight="false" outlineLevel="0" collapsed="false">
      <c r="A56" s="6" t="s">
        <v>479</v>
      </c>
      <c r="B56" s="23" t="s">
        <v>114</v>
      </c>
      <c r="C56" s="55" t="n">
        <f aca="false">IF(C2&gt;=Assumptions!$B$50,C31*Assumptions!$B$159*Assumptions!$B$25/12*C7,0)</f>
        <v>0</v>
      </c>
      <c r="D56" s="55" t="n">
        <f aca="false">IF(D2&gt;=Assumptions!$B$50,D31*Assumptions!$B$159*Assumptions!$B$25/12*D7,0)</f>
        <v>0</v>
      </c>
      <c r="E56" s="55" t="n">
        <f aca="false">IF(E2&gt;=Assumptions!$B$50,E31*Assumptions!$B$159*Assumptions!$B$25/12*E7,0)</f>
        <v>0</v>
      </c>
      <c r="F56" s="55" t="n">
        <f aca="false">IF(F2&gt;=Assumptions!$B$50,F31*Assumptions!$B$159*Assumptions!$B$25/12*F7,0)</f>
        <v>0</v>
      </c>
      <c r="G56" s="55" t="n">
        <f aca="false">IF(G2&gt;=Assumptions!$B$50,G31*Assumptions!$B$159*Assumptions!$B$25/12*G7,0)</f>
        <v>0</v>
      </c>
      <c r="H56" s="55" t="n">
        <f aca="false">IF(H2&gt;=Assumptions!$B$50,H31*Assumptions!$B$159*Assumptions!$B$25/12*H7,0)</f>
        <v>0</v>
      </c>
      <c r="I56" s="55" t="n">
        <f aca="false">IF(I2&gt;=Assumptions!$B$50,I31*Assumptions!$B$159*Assumptions!$B$25/12*I7,0)</f>
        <v>895.918733916978</v>
      </c>
      <c r="J56" s="55" t="n">
        <f aca="false">IF(J2&gt;=Assumptions!$B$50,J31*Assumptions!$B$159*Assumptions!$B$25/12*J7,0)</f>
        <v>981.844675691948</v>
      </c>
      <c r="K56" s="55" t="n">
        <f aca="false">IF(K2&gt;=Assumptions!$B$50,K31*Assumptions!$B$159*Assumptions!$B$25/12*K7,0)</f>
        <v>1075.71364826617</v>
      </c>
      <c r="L56" s="55" t="n">
        <f aca="false">IF(L2&gt;=Assumptions!$B$50,L31*Assumptions!$B$159*Assumptions!$B$25/12*L7,0)</f>
        <v>1213.64110616478</v>
      </c>
      <c r="M56" s="55" t="n">
        <f aca="false">IF(M2&gt;=Assumptions!$B$50,M31*Assumptions!$B$159*Assumptions!$B$25/12*M7,0)</f>
        <v>1329.52873641772</v>
      </c>
      <c r="N56" s="55" t="n">
        <f aca="false">IF(N2&gt;=Assumptions!$B$50,N31*Assumptions!$B$159*Assumptions!$B$25/12*N7,0)</f>
        <v>1418.39883014695</v>
      </c>
      <c r="O56" s="55" t="n">
        <f aca="false">IF(O2&gt;=Assumptions!$B$50,O31*Assumptions!$B$159*Assumptions!$B$25/12*O7,0)</f>
        <v>1871.45634204971</v>
      </c>
      <c r="P56" s="55" t="n">
        <f aca="false">IF(P2&gt;=Assumptions!$B$50,P31*Assumptions!$B$159*Assumptions!$B$25/12*P7,0)</f>
        <v>2288.75781111828</v>
      </c>
      <c r="Q56" s="55" t="n">
        <f aca="false">IF(Q2&gt;=Assumptions!$B$50,Q31*Assumptions!$B$159*Assumptions!$B$25/12*Q7,0)</f>
        <v>2675.19370218562</v>
      </c>
      <c r="R56" s="55" t="n">
        <f aca="false">IF(R2&gt;=Assumptions!$B$50,R31*Assumptions!$B$159*Assumptions!$B$25/12*R7,0)</f>
        <v>3179.41724712368</v>
      </c>
      <c r="S56" s="55" t="n">
        <f aca="false">IF(S2&gt;=Assumptions!$B$50,S31*Assumptions!$B$159*Assumptions!$B$25/12*S7,0)</f>
        <v>3612.77544326233</v>
      </c>
      <c r="T56" s="55" t="n">
        <f aca="false">IF(T2&gt;=Assumptions!$B$50,T31*Assumptions!$B$159*Assumptions!$B$25/12*T7,0)</f>
        <v>3944.90568279226</v>
      </c>
      <c r="U56" s="55" t="n">
        <f aca="false">IF(U2&gt;=Assumptions!$B$50,U31*Assumptions!$B$159*Assumptions!$B$25/12*U7,0)</f>
        <v>4251.05697638437</v>
      </c>
      <c r="V56" s="55" t="n">
        <f aca="false">IF(V2&gt;=Assumptions!$B$50,V31*Assumptions!$B$159*Assumptions!$B$25/12*V7,0)</f>
        <v>4549.13287856891</v>
      </c>
      <c r="W56" s="55" t="n">
        <f aca="false">IF(W2&gt;=Assumptions!$B$50,W31*Assumptions!$B$159*Assumptions!$B$25/12*W7,0)</f>
        <v>4887.3979211338</v>
      </c>
      <c r="X56" s="55" t="n">
        <f aca="false">IF(X2&gt;=Assumptions!$B$50,X31*Assumptions!$B$159*Assumptions!$B$25/12*X7,0)</f>
        <v>5412.62238075375</v>
      </c>
      <c r="Y56" s="55" t="n">
        <f aca="false">IF(Y2&gt;=Assumptions!$B$50,Y31*Assumptions!$B$159*Assumptions!$B$25/12*Y7,0)</f>
        <v>5867.10808106604</v>
      </c>
      <c r="Z56" s="55" t="n">
        <f aca="false">IF(Z2&gt;=Assumptions!$B$50,Z31*Assumptions!$B$159*Assumptions!$B$25/12*Z7,0)</f>
        <v>6223.95904260439</v>
      </c>
      <c r="AA56" s="55" t="n">
        <f aca="false">IF(AA2&gt;=Assumptions!$B$50,AA31*Assumptions!$B$159*Assumptions!$B$25/12*AA7,0)</f>
        <v>149679.671229183</v>
      </c>
      <c r="AB56" s="55" t="n">
        <f aca="false">IF(AB2&gt;=Assumptions!$B$50,AB31*Assumptions!$B$159*Assumptions!$B$25/12*AB7,0)</f>
        <v>252915.705235371</v>
      </c>
      <c r="AC56" s="55" t="n">
        <f aca="false">IF(AC2&gt;=Assumptions!$B$50,AC31*Assumptions!$B$159*Assumptions!$B$25/12*AC7,0)</f>
        <v>383142.706978254</v>
      </c>
      <c r="AD56" s="55" t="n">
        <f aca="false">IF(AD2&gt;=Assumptions!$B$50,AD31*Assumptions!$B$159*Assumptions!$B$25/12*AD7,0)</f>
        <v>508787.802623928</v>
      </c>
      <c r="AE56" s="55" t="n">
        <f aca="false">IF(AE2&gt;=Assumptions!$B$50,AE31*Assumptions!$B$159*Assumptions!$B$25/12*AE7,0)</f>
        <v>601111.604363693</v>
      </c>
    </row>
    <row r="57" customFormat="false" ht="15" hidden="false" customHeight="false" outlineLevel="0" collapsed="false">
      <c r="A57" s="6" t="s">
        <v>480</v>
      </c>
      <c r="B57" s="23" t="s">
        <v>114</v>
      </c>
      <c r="C57" s="55" t="n">
        <f aca="false">IF(C2&gt;=Assumptions!$B$52,C50*C17*Assumptions!$B$17+C45*(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0</v>
      </c>
      <c r="D57" s="55" t="n">
        <f aca="false">IF(D2&gt;=Assumptions!$B$52,D50*D17*Assumptions!$B$17+D45*(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0</v>
      </c>
      <c r="E57" s="55" t="n">
        <f aca="false">IF(E2&gt;=Assumptions!$B$52,E50*E17*Assumptions!$B$17+E45*(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0</v>
      </c>
      <c r="F57" s="55" t="n">
        <f aca="false">IF(F2&gt;=Assumptions!$B$52,F50*F17*Assumptions!$B$17+F45*(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0</v>
      </c>
      <c r="G57" s="55" t="n">
        <f aca="false">IF(G2&gt;=Assumptions!$B$52,G50*G17*Assumptions!$B$17+G45*(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0</v>
      </c>
      <c r="H57" s="55" t="n">
        <f aca="false">IF(H2&gt;=Assumptions!$B$52,H50*H17*Assumptions!$B$17+H45*(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0</v>
      </c>
      <c r="I57" s="55" t="n">
        <f aca="false">IF(I2&gt;=Assumptions!$B$52,I50*I17*Assumptions!$B$17+I45*(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0</v>
      </c>
      <c r="J57" s="55" t="n">
        <f aca="false">IF(J2&gt;=Assumptions!$B$52,J50*J17*Assumptions!$B$17+J45*(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0</v>
      </c>
      <c r="K57" s="55" t="n">
        <f aca="false">IF(K2&gt;=Assumptions!$B$52,K50*K17*Assumptions!$B$17+K45*(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0</v>
      </c>
      <c r="L57" s="55" t="n">
        <f aca="false">IF(L2&gt;=Assumptions!$B$52,L50*L17*Assumptions!$B$17+L45*(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0</v>
      </c>
      <c r="M57" s="55" t="n">
        <f aca="false">IF(M2&gt;=Assumptions!$B$52,M50*M17*Assumptions!$B$17+M45*(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0</v>
      </c>
      <c r="N57" s="55" t="n">
        <f aca="false">IF(N2&gt;=Assumptions!$B$52,N50*N17*Assumptions!$B$17+N45*(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0</v>
      </c>
      <c r="O57" s="55" t="n">
        <f aca="false">IF(O2&gt;=Assumptions!$B$52,O50*O17*Assumptions!$B$17+O45*(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134.456263319219</v>
      </c>
      <c r="P57" s="55" t="n">
        <f aca="false">IF(P2&gt;=Assumptions!$B$52,P50*P17*Assumptions!$B$17+P45*(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157.399004248541</v>
      </c>
      <c r="Q57" s="55" t="n">
        <f aca="false">IF(Q2&gt;=Assumptions!$B$52,Q50*Q17*Assumptions!$B$17+Q45*(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179.77318937023</v>
      </c>
      <c r="R57" s="55" t="n">
        <f aca="false">IF(R2&gt;=Assumptions!$B$52,R50*R17*Assumptions!$B$17+R45*(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202.329184545801</v>
      </c>
      <c r="S57" s="55" t="n">
        <f aca="false">IF(S2&gt;=Assumptions!$B$52,S50*S17*Assumptions!$B$17+S45*(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227.232311462698</v>
      </c>
      <c r="T57" s="55" t="n">
        <f aca="false">IF(T2&gt;=Assumptions!$B$52,T50*T17*Assumptions!$B$17+T45*(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262.91381576185</v>
      </c>
      <c r="U57" s="55" t="n">
        <f aca="false">IF(U2&gt;=Assumptions!$B$52,U50*U17*Assumptions!$B$17+U45*(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294.144225209883</v>
      </c>
      <c r="V57" s="55" t="n">
        <f aca="false">IF(V2&gt;=Assumptions!$B$52,V50*V17*Assumptions!$B$17+V45*(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321.218346820266</v>
      </c>
      <c r="W57" s="55" t="n">
        <f aca="false">IF(W2&gt;=Assumptions!$B$52,W50*W17*Assumptions!$B$17+W45*(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409.913431250317</v>
      </c>
      <c r="X57" s="55" t="n">
        <f aca="false">IF(X2&gt;=Assumptions!$B$52,X50*X17*Assumptions!$B$17+X45*(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500.815700909352</v>
      </c>
      <c r="Y57" s="55" t="n">
        <f aca="false">IF(Y2&gt;=Assumptions!$B$52,Y50*Y17*Assumptions!$B$17+Y45*(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588.198438036803</v>
      </c>
      <c r="Z57" s="55" t="n">
        <f aca="false">IF(Z2&gt;=Assumptions!$B$52,Z50*Z17*Assumptions!$B$17+Z45*(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697.686606178187</v>
      </c>
      <c r="AA57" s="55" t="n">
        <f aca="false">IF(AA2&gt;=Assumptions!$B$52,AA50*AA17*Assumptions!$B$17+AA45*(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44396.624979606</v>
      </c>
      <c r="AB57" s="55" t="n">
        <f aca="false">IF(AB2&gt;=Assumptions!$B$52,AB50*AB17*Assumptions!$B$17+AB45*(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85718.374163733</v>
      </c>
      <c r="AC57" s="55" t="n">
        <f aca="false">IF(AC2&gt;=Assumptions!$B$52,AC50*AC17*Assumptions!$B$17+AC45*(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145575.520899189</v>
      </c>
      <c r="AD57" s="55" t="n">
        <f aca="false">IF(AD2&gt;=Assumptions!$B$52,AD50*AD17*Assumptions!$B$17+AD45*(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220294.866667654</v>
      </c>
      <c r="AE57" s="55" t="n">
        <f aca="false">IF(AE2&gt;=Assumptions!$B$52,AE50*AE17*Assumptions!$B$17+AE45*(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303557.353152004</v>
      </c>
    </row>
    <row r="58" customFormat="false" ht="15" hidden="false" customHeight="false" outlineLevel="0" collapsed="false">
      <c r="A58" s="6" t="s">
        <v>481</v>
      </c>
      <c r="B58" s="23" t="s">
        <v>114</v>
      </c>
      <c r="C58" s="55" t="n">
        <f aca="false">IF(C2&gt;=Assumptions!$B$53,C45*C46*(1-Assumptions!$B$174)*Assumptions!$B$156*Assumptions!$B$157,0)</f>
        <v>0</v>
      </c>
      <c r="D58" s="55" t="n">
        <f aca="false">IF(D2&gt;=Assumptions!$B$53,D45*D46*(1-Assumptions!$B$174)*Assumptions!$B$156*Assumptions!$B$157,0)</f>
        <v>0</v>
      </c>
      <c r="E58" s="55" t="n">
        <f aca="false">IF(E2&gt;=Assumptions!$B$53,E45*E46*(1-Assumptions!$B$174)*Assumptions!$B$156*Assumptions!$B$157,0)</f>
        <v>0</v>
      </c>
      <c r="F58" s="55" t="n">
        <f aca="false">IF(F2&gt;=Assumptions!$B$53,F45*F46*(1-Assumptions!$B$174)*Assumptions!$B$156*Assumptions!$B$157,0)</f>
        <v>0</v>
      </c>
      <c r="G58" s="55" t="n">
        <f aca="false">IF(G2&gt;=Assumptions!$B$53,G45*G46*(1-Assumptions!$B$174)*Assumptions!$B$156*Assumptions!$B$157,0)</f>
        <v>0</v>
      </c>
      <c r="H58" s="55" t="n">
        <f aca="false">IF(H2&gt;=Assumptions!$B$53,H45*H46*(1-Assumptions!$B$174)*Assumptions!$B$156*Assumptions!$B$157,0)</f>
        <v>0</v>
      </c>
      <c r="I58" s="55" t="n">
        <f aca="false">IF(I2&gt;=Assumptions!$B$53,I45*I46*(1-Assumptions!$B$174)*Assumptions!$B$156*Assumptions!$B$157,0)</f>
        <v>0</v>
      </c>
      <c r="J58" s="55" t="n">
        <f aca="false">IF(J2&gt;=Assumptions!$B$53,J45*J46*(1-Assumptions!$B$174)*Assumptions!$B$156*Assumptions!$B$157,0)</f>
        <v>0</v>
      </c>
      <c r="K58" s="55" t="n">
        <f aca="false">IF(K2&gt;=Assumptions!$B$53,K45*K46*(1-Assumptions!$B$174)*Assumptions!$B$156*Assumptions!$B$157,0)</f>
        <v>0</v>
      </c>
      <c r="L58" s="55" t="n">
        <f aca="false">IF(L2&gt;=Assumptions!$B$53,L45*L46*(1-Assumptions!$B$174)*Assumptions!$B$156*Assumptions!$B$157,0)</f>
        <v>0</v>
      </c>
      <c r="M58" s="55" t="n">
        <f aca="false">IF(M2&gt;=Assumptions!$B$53,M45*M46*(1-Assumptions!$B$174)*Assumptions!$B$156*Assumptions!$B$157,0)</f>
        <v>0</v>
      </c>
      <c r="N58" s="55" t="n">
        <f aca="false">IF(N2&gt;=Assumptions!$B$53,N45*N46*(1-Assumptions!$B$174)*Assumptions!$B$156*Assumptions!$B$157,0)</f>
        <v>0</v>
      </c>
      <c r="O58" s="55" t="n">
        <f aca="false">IF(O2&gt;=Assumptions!$B$53,O45*O46*(1-Assumptions!$B$174)*Assumptions!$B$156*Assumptions!$B$157,0)</f>
        <v>914.106265563888</v>
      </c>
      <c r="P58" s="55" t="n">
        <f aca="false">IF(P2&gt;=Assumptions!$B$53,P45*P46*(1-Assumptions!$B$174)*Assumptions!$B$156*Assumptions!$B$157,0)</f>
        <v>1034.50188812151</v>
      </c>
      <c r="Q58" s="55" t="n">
        <f aca="false">IF(Q2&gt;=Assumptions!$B$53,Q45*Q46*(1-Assumptions!$B$174)*Assumptions!$B$156*Assumptions!$B$157,0)</f>
        <v>1191.20151975408</v>
      </c>
      <c r="R58" s="55" t="n">
        <f aca="false">IF(R2&gt;=Assumptions!$B$53,R45*R46*(1-Assumptions!$B$174)*Assumptions!$B$156*Assumptions!$B$157,0)</f>
        <v>1329.81558772368</v>
      </c>
      <c r="S58" s="55" t="n">
        <f aca="false">IF(S2&gt;=Assumptions!$B$53,S45*S46*(1-Assumptions!$B$174)*Assumptions!$B$156*Assumptions!$B$157,0)</f>
        <v>1538.74872370933</v>
      </c>
      <c r="T58" s="55" t="n">
        <f aca="false">IF(T2&gt;=Assumptions!$B$53,T45*T46*(1-Assumptions!$B$174)*Assumptions!$B$156*Assumptions!$B$157,0)</f>
        <v>1872.07003435866</v>
      </c>
      <c r="U58" s="55" t="n">
        <f aca="false">IF(U2&gt;=Assumptions!$B$53,U45*U46*(1-Assumptions!$B$174)*Assumptions!$B$156*Assumptions!$B$157,0)</f>
        <v>2226.56360281619</v>
      </c>
      <c r="V58" s="55" t="n">
        <f aca="false">IF(V2&gt;=Assumptions!$B$53,V45*V46*(1-Assumptions!$B$174)*Assumptions!$B$156*Assumptions!$B$157,0)</f>
        <v>2582.67261946295</v>
      </c>
      <c r="W58" s="55" t="n">
        <f aca="false">IF(W2&gt;=Assumptions!$B$53,W45*W46*(1-Assumptions!$B$174)*Assumptions!$B$156*Assumptions!$B$157,0)</f>
        <v>3488.29172974594</v>
      </c>
      <c r="X58" s="55" t="n">
        <f aca="false">IF(X2&gt;=Assumptions!$B$53,X45*X46*(1-Assumptions!$B$174)*Assumptions!$B$156*Assumptions!$B$157,0)</f>
        <v>4314.31768456423</v>
      </c>
      <c r="Y58" s="55" t="n">
        <f aca="false">IF(Y2&gt;=Assumptions!$B$53,Y45*Y46*(1-Assumptions!$B$174)*Assumptions!$B$156*Assumptions!$B$157,0)</f>
        <v>5238.60618428537</v>
      </c>
      <c r="Z58" s="55" t="n">
        <f aca="false">IF(Z2&gt;=Assumptions!$B$53,Z45*Z46*(1-Assumptions!$B$174)*Assumptions!$B$156*Assumptions!$B$157,0)</f>
        <v>6540.22271264358</v>
      </c>
      <c r="AA58" s="55" t="n">
        <f aca="false">IF(AA2&gt;=Assumptions!$B$53,AA45*AA46*(1-Assumptions!$B$174)*Assumptions!$B$156*Assumptions!$B$157,0)</f>
        <v>61379.627621855</v>
      </c>
      <c r="AB58" s="55" t="n">
        <f aca="false">IF(AB2&gt;=Assumptions!$B$53,AB45*AB46*(1-Assumptions!$B$174)*Assumptions!$B$156*Assumptions!$B$157,0)</f>
        <v>151303.411239544</v>
      </c>
      <c r="AC58" s="55" t="n">
        <f aca="false">IF(AC2&gt;=Assumptions!$B$53,AC45*AC46*(1-Assumptions!$B$174)*Assumptions!$B$156*Assumptions!$B$157,0)</f>
        <v>301843.208565371</v>
      </c>
      <c r="AD58" s="55" t="n">
        <f aca="false">IF(AD2&gt;=Assumptions!$B$53,AD45*AD46*(1-Assumptions!$B$174)*Assumptions!$B$156*Assumptions!$B$157,0)</f>
        <v>533126.368452626</v>
      </c>
      <c r="AE58" s="55" t="n">
        <f aca="false">IF(AE2&gt;=Assumptions!$B$53,AE45*AE46*(1-Assumptions!$B$174)*Assumptions!$B$156*Assumptions!$B$157,0)</f>
        <v>862498.945966112</v>
      </c>
    </row>
    <row r="59" customFormat="false" ht="15" hidden="false" customHeight="false" outlineLevel="0" collapsed="false">
      <c r="A59" s="6" t="s">
        <v>482</v>
      </c>
      <c r="B59" s="23" t="s">
        <v>114</v>
      </c>
      <c r="C59" s="55" t="n">
        <f aca="false">IF(C2&gt;=Assumptions!$B$53,(C58*Assumptions!$B$29*Assumptions!$B$30+C45*C47*(1-Assumptions!$B$174)*Assumptions!$B$27*Assumptions!$B$28)*C7/12,0)</f>
        <v>0</v>
      </c>
      <c r="D59" s="55" t="n">
        <f aca="false">IF(D2&gt;=Assumptions!$B$53,(D58*Assumptions!$B$29*Assumptions!$B$30+D45*D47*(1-Assumptions!$B$174)*Assumptions!$B$27*Assumptions!$B$28)*D7/12,0)</f>
        <v>0</v>
      </c>
      <c r="E59" s="55" t="n">
        <f aca="false">IF(E2&gt;=Assumptions!$B$53,(E58*Assumptions!$B$29*Assumptions!$B$30+E45*E47*(1-Assumptions!$B$174)*Assumptions!$B$27*Assumptions!$B$28)*E7/12,0)</f>
        <v>0</v>
      </c>
      <c r="F59" s="55" t="n">
        <f aca="false">IF(F2&gt;=Assumptions!$B$53,(F58*Assumptions!$B$29*Assumptions!$B$30+F45*F47*(1-Assumptions!$B$174)*Assumptions!$B$27*Assumptions!$B$28)*F7/12,0)</f>
        <v>0</v>
      </c>
      <c r="G59" s="55" t="n">
        <f aca="false">IF(G2&gt;=Assumptions!$B$53,(G58*Assumptions!$B$29*Assumptions!$B$30+G45*G47*(1-Assumptions!$B$174)*Assumptions!$B$27*Assumptions!$B$28)*G7/12,0)</f>
        <v>0</v>
      </c>
      <c r="H59" s="55" t="n">
        <f aca="false">IF(H2&gt;=Assumptions!$B$53,(H58*Assumptions!$B$29*Assumptions!$B$30+H45*H47*(1-Assumptions!$B$174)*Assumptions!$B$27*Assumptions!$B$28)*H7/12,0)</f>
        <v>0</v>
      </c>
      <c r="I59" s="55" t="n">
        <f aca="false">IF(I2&gt;=Assumptions!$B$53,(I58*Assumptions!$B$29*Assumptions!$B$30+I45*I47*(1-Assumptions!$B$174)*Assumptions!$B$27*Assumptions!$B$28)*I7/12,0)</f>
        <v>0</v>
      </c>
      <c r="J59" s="55" t="n">
        <f aca="false">IF(J2&gt;=Assumptions!$B$53,(J58*Assumptions!$B$29*Assumptions!$B$30+J45*J47*(1-Assumptions!$B$174)*Assumptions!$B$27*Assumptions!$B$28)*J7/12,0)</f>
        <v>0</v>
      </c>
      <c r="K59" s="55" t="n">
        <f aca="false">IF(K2&gt;=Assumptions!$B$53,(K58*Assumptions!$B$29*Assumptions!$B$30+K45*K47*(1-Assumptions!$B$174)*Assumptions!$B$27*Assumptions!$B$28)*K7/12,0)</f>
        <v>0</v>
      </c>
      <c r="L59" s="55" t="n">
        <f aca="false">IF(L2&gt;=Assumptions!$B$53,(L58*Assumptions!$B$29*Assumptions!$B$30+L45*L47*(1-Assumptions!$B$174)*Assumptions!$B$27*Assumptions!$B$28)*L7/12,0)</f>
        <v>0</v>
      </c>
      <c r="M59" s="55" t="n">
        <f aca="false">IF(M2&gt;=Assumptions!$B$53,(M58*Assumptions!$B$29*Assumptions!$B$30+M45*M47*(1-Assumptions!$B$174)*Assumptions!$B$27*Assumptions!$B$28)*M7/12,0)</f>
        <v>0</v>
      </c>
      <c r="N59" s="55" t="n">
        <f aca="false">IF(N2&gt;=Assumptions!$B$53,(N58*Assumptions!$B$29*Assumptions!$B$30+N45*N47*(1-Assumptions!$B$174)*Assumptions!$B$27*Assumptions!$B$28)*N7/12,0)</f>
        <v>0</v>
      </c>
      <c r="O59" s="55" t="n">
        <f aca="false">IF(O2&gt;=Assumptions!$B$53,(O58*Assumptions!$B$29*Assumptions!$B$30+O45*O47*(1-Assumptions!$B$174)*Assumptions!$B$27*Assumptions!$B$28)*O7/12,0)</f>
        <v>2.17100238071424</v>
      </c>
      <c r="P59" s="55" t="n">
        <f aca="false">IF(P2&gt;=Assumptions!$B$53,(P58*Assumptions!$B$29*Assumptions!$B$30+P45*P47*(1-Assumptions!$B$174)*Assumptions!$B$27*Assumptions!$B$28)*P7/12,0)</f>
        <v>2.45694198428858</v>
      </c>
      <c r="Q59" s="55" t="n">
        <f aca="false">IF(Q2&gt;=Assumptions!$B$53,(Q58*Assumptions!$B$29*Assumptions!$B$30+Q45*Q47*(1-Assumptions!$B$174)*Assumptions!$B$27*Assumptions!$B$28)*Q7/12,0)</f>
        <v>2.82910360941595</v>
      </c>
      <c r="R59" s="55" t="n">
        <f aca="false">IF(R2&gt;=Assumptions!$B$53,(R58*Assumptions!$B$29*Assumptions!$B$30+R45*R47*(1-Assumptions!$B$174)*Assumptions!$B$27*Assumptions!$B$28)*R7/12,0)</f>
        <v>3.15831202084374</v>
      </c>
      <c r="S59" s="55" t="n">
        <f aca="false">IF(S2&gt;=Assumptions!$B$53,(S58*Assumptions!$B$29*Assumptions!$B$30+S45*S47*(1-Assumptions!$B$174)*Assumptions!$B$27*Assumptions!$B$28)*S7/12,0)</f>
        <v>3.65452821880965</v>
      </c>
      <c r="T59" s="55" t="n">
        <f aca="false">IF(T2&gt;=Assumptions!$B$53,(T58*Assumptions!$B$29*Assumptions!$B$30+T45*T47*(1-Assumptions!$B$174)*Assumptions!$B$27*Assumptions!$B$28)*T7/12,0)</f>
        <v>4.44616633160183</v>
      </c>
      <c r="U59" s="55" t="n">
        <f aca="false">IF(U2&gt;=Assumptions!$B$53,(U58*Assumptions!$B$29*Assumptions!$B$30+U45*U47*(1-Assumptions!$B$174)*Assumptions!$B$27*Assumptions!$B$28)*U7/12,0)</f>
        <v>5.28808855668845</v>
      </c>
      <c r="V59" s="55" t="n">
        <f aca="false">IF(V2&gt;=Assumptions!$B$53,(V58*Assumptions!$B$29*Assumptions!$B$30+V45*V47*(1-Assumptions!$B$174)*Assumptions!$B$27*Assumptions!$B$28)*V7/12,0)</f>
        <v>6.13384747122452</v>
      </c>
      <c r="W59" s="55" t="n">
        <f aca="false">IF(W2&gt;=Assumptions!$B$53,(W58*Assumptions!$B$29*Assumptions!$B$30+W45*W47*(1-Assumptions!$B$174)*Assumptions!$B$27*Assumptions!$B$28)*W7/12,0)</f>
        <v>8.28469285814661</v>
      </c>
      <c r="X59" s="55" t="n">
        <f aca="false">IF(X2&gt;=Assumptions!$B$53,(X58*Assumptions!$B$29*Assumptions!$B$30+X45*X47*(1-Assumptions!$B$174)*Assumptions!$B$27*Assumptions!$B$28)*X7/12,0)</f>
        <v>10.24650450084</v>
      </c>
      <c r="Y59" s="55" t="n">
        <f aca="false">IF(Y2&gt;=Assumptions!$B$53,(Y58*Assumptions!$B$29*Assumptions!$B$30+Y45*Y47*(1-Assumptions!$B$174)*Assumptions!$B$27*Assumptions!$B$28)*Y7/12,0)</f>
        <v>12.4416896876777</v>
      </c>
      <c r="Z59" s="55" t="n">
        <f aca="false">IF(Z2&gt;=Assumptions!$B$53,(Z58*Assumptions!$B$29*Assumptions!$B$30+Z45*Z47*(1-Assumptions!$B$174)*Assumptions!$B$27*Assumptions!$B$28)*Z7/12,0)</f>
        <v>15.5330289425285</v>
      </c>
      <c r="AA59" s="55" t="n">
        <f aca="false">IF(AA2&gt;=Assumptions!$B$53,(AA58*Assumptions!$B$29*Assumptions!$B$30+AA45*AA47*(1-Assumptions!$B$174)*Assumptions!$B$27*Assumptions!$B$28)*AA7/12,0)</f>
        <v>1749.31938722287</v>
      </c>
      <c r="AB59" s="55" t="n">
        <f aca="false">IF(AB2&gt;=Assumptions!$B$53,(AB58*Assumptions!$B$29*Assumptions!$B$30+AB45*AB47*(1-Assumptions!$B$174)*Assumptions!$B$27*Assumptions!$B$28)*AB7/12,0)</f>
        <v>4312.14722032701</v>
      </c>
      <c r="AC59" s="55" t="n">
        <f aca="false">IF(AC2&gt;=Assumptions!$B$53,(AC58*Assumptions!$B$29*Assumptions!$B$30+AC45*AC47*(1-Assumptions!$B$174)*Assumptions!$B$27*Assumptions!$B$28)*AC7/12,0)</f>
        <v>8602.53144411307</v>
      </c>
      <c r="AD59" s="55" t="n">
        <f aca="false">IF(AD2&gt;=Assumptions!$B$53,(AD58*Assumptions!$B$29*Assumptions!$B$30+AD45*AD47*(1-Assumptions!$B$174)*Assumptions!$B$27*Assumptions!$B$28)*AD7/12,0)</f>
        <v>15194.1015008999</v>
      </c>
      <c r="AE59" s="55" t="n">
        <f aca="false">IF(AE2&gt;=Assumptions!$B$53,(AE58*Assumptions!$B$29*Assumptions!$B$30+AE45*AE47*(1-Assumptions!$B$174)*Assumptions!$B$27*Assumptions!$B$28)*AE7/12,0)</f>
        <v>24581.2199600342</v>
      </c>
    </row>
    <row r="60" customFormat="false" ht="15" hidden="false" customHeight="false" outlineLevel="0" collapsed="false">
      <c r="A60" s="6" t="s">
        <v>483</v>
      </c>
      <c r="B60" s="23" t="s">
        <v>484</v>
      </c>
      <c r="C60" s="45" t="n">
        <f aca="false">IF(C2&gt;=Assumptions!$B$49,(C31+C33*Assumptions!$B$138)*Assumptions!$B$137*C7/12,0)</f>
        <v>0.401613576168964</v>
      </c>
      <c r="D60" s="45" t="n">
        <f aca="false">IF(D2&gt;=Assumptions!$B$49,(D31+D33*Assumptions!$B$138)*Assumptions!$B$137*D7/12,0)</f>
        <v>0.794390016987486</v>
      </c>
      <c r="E60" s="45" t="n">
        <f aca="false">IF(E2&gt;=Assumptions!$B$49,(E31+E33*Assumptions!$B$138)*Assumptions!$B$137*E7/12,0)</f>
        <v>1.18122325291858</v>
      </c>
      <c r="F60" s="45" t="n">
        <f aca="false">IF(F2&gt;=Assumptions!$B$49,(F31+F33*Assumptions!$B$138)*Assumptions!$B$137*F7/12,0)</f>
        <v>1.66838542586308</v>
      </c>
      <c r="G60" s="45" t="n">
        <f aca="false">IF(G2&gt;=Assumptions!$B$49,(G31+G33*Assumptions!$B$138)*Assumptions!$B$137*G7/12,0)</f>
        <v>2.12292519324786</v>
      </c>
      <c r="H60" s="45" t="n">
        <f aca="false">IF(H2&gt;=Assumptions!$B$49,(H31+H33*Assumptions!$B$138)*Assumptions!$B$137*H7/12,0)</f>
        <v>2.52331281861449</v>
      </c>
      <c r="I60" s="45" t="n">
        <f aca="false">IF(I2&gt;=Assumptions!$B$49,(I31+I33*Assumptions!$B$138)*Assumptions!$B$137*I7/12,0)</f>
        <v>2.9189219149848</v>
      </c>
      <c r="J60" s="45" t="n">
        <f aca="false">IF(J2&gt;=Assumptions!$B$49,(J31+J33*Assumptions!$B$138)*Assumptions!$B$137*J7/12,0)</f>
        <v>3.32096216669608</v>
      </c>
      <c r="K60" s="45" t="n">
        <f aca="false">IF(K2&gt;=Assumptions!$B$49,(K31+K33*Assumptions!$B$138)*Assumptions!$B$137*K7/12,0)</f>
        <v>3.76078638137623</v>
      </c>
      <c r="L60" s="45" t="n">
        <f aca="false">IF(L2&gt;=Assumptions!$B$49,(L31+L33*Assumptions!$B$138)*Assumptions!$B$137*L7/12,0)</f>
        <v>4.33390995800435</v>
      </c>
      <c r="M60" s="45" t="n">
        <f aca="false">IF(M2&gt;=Assumptions!$B$49,(M31+M33*Assumptions!$B$138)*Assumptions!$B$137*M7/12,0)</f>
        <v>4.87719923660051</v>
      </c>
      <c r="N60" s="45" t="n">
        <f aca="false">IF(N2&gt;=Assumptions!$B$49,(N31+N33*Assumptions!$B$138)*Assumptions!$B$137*N7/12,0)</f>
        <v>5.37331521052828</v>
      </c>
      <c r="O60" s="45" t="n">
        <f aca="false">IF(O2&gt;=Assumptions!$B$49,(O31+O33*Assumptions!$B$138)*Assumptions!$B$137*O7/12,0)</f>
        <v>6.83435469136184</v>
      </c>
      <c r="P60" s="45" t="n">
        <f aca="false">IF(P2&gt;=Assumptions!$B$49,(P31+P33*Assumptions!$B$138)*Assumptions!$B$137*P7/12,0)</f>
        <v>8.29269079204567</v>
      </c>
      <c r="Q60" s="45" t="n">
        <f aca="false">IF(Q2&gt;=Assumptions!$B$49,(Q31+Q33*Assumptions!$B$138)*Assumptions!$B$137*Q7/12,0)</f>
        <v>9.75391691254535</v>
      </c>
      <c r="R60" s="45" t="n">
        <f aca="false">IF(R2&gt;=Assumptions!$B$49,(R31+R33*Assumptions!$B$138)*Assumptions!$B$137*R7/12,0)</f>
        <v>11.5985123891966</v>
      </c>
      <c r="S60" s="45" t="n">
        <f aca="false">IF(S2&gt;=Assumptions!$B$49,(S31+S33*Assumptions!$B$138)*Assumptions!$B$137*S7/12,0)</f>
        <v>13.3592863826785</v>
      </c>
      <c r="T60" s="45" t="n">
        <f aca="false">IF(T2&gt;=Assumptions!$B$49,(T31+T33*Assumptions!$B$138)*Assumptions!$B$137*T7/12,0)</f>
        <v>14.9431456271074</v>
      </c>
      <c r="U60" s="45" t="n">
        <f aca="false">IF(U2&gt;=Assumptions!$B$49,(U31+U33*Assumptions!$B$138)*Assumptions!$B$137*U7/12,0)</f>
        <v>16.5256298952778</v>
      </c>
      <c r="V60" s="45" t="n">
        <f aca="false">IF(V2&gt;=Assumptions!$B$49,(V31+V33*Assumptions!$B$138)*Assumptions!$B$137*V7/12,0)</f>
        <v>18.1481267849713</v>
      </c>
      <c r="W60" s="45" t="n">
        <f aca="false">IF(W2&gt;=Assumptions!$B$49,(W31+W33*Assumptions!$B$138)*Assumptions!$B$137*W7/12,0)</f>
        <v>19.9345576540384</v>
      </c>
      <c r="X60" s="45" t="n">
        <f aca="false">IF(X2&gt;=Assumptions!$B$49,(X31+X33*Assumptions!$B$138)*Assumptions!$B$137*X7/12,0)</f>
        <v>22.2746656554708</v>
      </c>
      <c r="Y60" s="45" t="n">
        <f aca="false">IF(Y2&gt;=Assumptions!$B$49,(Y31+Y33*Assumptions!$B$138)*Assumptions!$B$137*Y7/12,0)</f>
        <v>24.5354668932875</v>
      </c>
      <c r="Z60" s="45" t="n">
        <f aca="false">IF(Z2&gt;=Assumptions!$B$49,(Z31+Z33*Assumptions!$B$138)*Assumptions!$B$137*Z7/12,0)</f>
        <v>26.6329096528578</v>
      </c>
      <c r="AA60" s="45" t="n">
        <f aca="false">IF(AA2&gt;=Assumptions!$B$49,(AA31+AA33*Assumptions!$B$138)*Assumptions!$B$137*AA7/12,0)</f>
        <v>792.859826757027</v>
      </c>
      <c r="AB60" s="45" t="n">
        <f aca="false">IF(AB2&gt;=Assumptions!$B$49,(AB31+AB33*Assumptions!$B$138)*Assumptions!$B$137*AB7/12,0)</f>
        <v>1558.10998469606</v>
      </c>
      <c r="AC60" s="45" t="n">
        <f aca="false">IF(AC2&gt;=Assumptions!$B$49,(AC31+AC33*Assumptions!$B$138)*Assumptions!$B$137*AC7/12,0)</f>
        <v>2679.01833665828</v>
      </c>
      <c r="AD60" s="45" t="n">
        <f aca="false">IF(AD2&gt;=Assumptions!$B$49,(AD31+AD33*Assumptions!$B$138)*Assumptions!$B$137*AD7/12,0)</f>
        <v>4098.16308007244</v>
      </c>
      <c r="AE60" s="45" t="n">
        <f aca="false">IF(AE2&gt;=Assumptions!$B$49,(AE31+AE33*Assumptions!$B$138)*Assumptions!$B$137*AE7/12,0)</f>
        <v>5692.52373253036</v>
      </c>
    </row>
    <row r="61" customFormat="false" ht="15" hidden="false" customHeight="false" outlineLevel="0" collapsed="false">
      <c r="A61" s="3" t="s">
        <v>485</v>
      </c>
      <c r="B61" s="23" t="s">
        <v>114</v>
      </c>
      <c r="C61" s="57" t="n">
        <f aca="false">C53+C54+C55+C56+C57+C59</f>
        <v>142.176553475343</v>
      </c>
      <c r="D61" s="57" t="n">
        <f aca="false">D53+D54+D55+D56+D57+D59</f>
        <v>270.330018025632</v>
      </c>
      <c r="E61" s="57" t="n">
        <f aca="false">E53+E54+E55+E56+E57+E59</f>
        <v>386.559436975146</v>
      </c>
      <c r="F61" s="57" t="n">
        <f aca="false">F53+F54+F55+F56+F57+F59</f>
        <v>529.400272668206</v>
      </c>
      <c r="G61" s="57" t="n">
        <f aca="false">G53+G54+G55+G56+G57+G59</f>
        <v>649.746814833778</v>
      </c>
      <c r="H61" s="57" t="n">
        <f aca="false">H53+H54+H55+H56+H57+H59</f>
        <v>741.700930226981</v>
      </c>
      <c r="I61" s="57" t="n">
        <f aca="false">I53+I54+I55+I56+I57+I59</f>
        <v>1720.83590817104</v>
      </c>
      <c r="J61" s="57" t="n">
        <f aca="false">J53+J54+J55+J56+J57+J59</f>
        <v>1885.87816083531</v>
      </c>
      <c r="K61" s="57" t="n">
        <f aca="false">K53+K54+K55+K56+K57+K59</f>
        <v>2066.17698990725</v>
      </c>
      <c r="L61" s="57" t="n">
        <f aca="false">L53+L54+L55+L56+L57+L59</f>
        <v>2331.10115466601</v>
      </c>
      <c r="M61" s="57" t="n">
        <f aca="false">M53+M54+M55+M56+M57+M59</f>
        <v>2553.69232047434</v>
      </c>
      <c r="N61" s="57" t="n">
        <f aca="false">N53+N54+N55+N56+N57+N59</f>
        <v>2724.38955300475</v>
      </c>
      <c r="O61" s="57" t="n">
        <f aca="false">O53+O54+O55+O56+O57+O59</f>
        <v>3733.33862016537</v>
      </c>
      <c r="P61" s="57" t="n">
        <f aca="false">P53+P54+P55+P56+P57+P59</f>
        <v>4558.15996590332</v>
      </c>
      <c r="Q61" s="57" t="n">
        <f aca="false">Q53+Q54+Q55+Q56+Q57+Q59</f>
        <v>5323.43208918033</v>
      </c>
      <c r="R61" s="57" t="n">
        <f aca="false">R53+R54+R55+R56+R57+R59</f>
        <v>6315.08993445899</v>
      </c>
      <c r="S61" s="57" t="n">
        <f aca="false">S53+S54+S55+S56+S57+S59</f>
        <v>7173.35664464742</v>
      </c>
      <c r="T61" s="57" t="n">
        <f aca="false">T53+T54+T55+T56+T57+T59</f>
        <v>7848.27235203523</v>
      </c>
      <c r="U61" s="57" t="n">
        <f aca="false">U53+U54+U55+U56+U57+U59</f>
        <v>8468.76469069485</v>
      </c>
      <c r="V61" s="57" t="n">
        <f aca="false">V53+V54+V55+V56+V57+V59</f>
        <v>9069.98042205351</v>
      </c>
      <c r="W61" s="57" t="n">
        <f aca="false">W53+W54+W55+W56+W57+W59</f>
        <v>9812.99309375867</v>
      </c>
      <c r="X61" s="57" t="n">
        <f aca="false">X53+X54+X55+X56+X57+X59</f>
        <v>10916.5979117233</v>
      </c>
      <c r="Y61" s="57" t="n">
        <f aca="false">Y53+Y54+Y55+Y56+Y57+Y59</f>
        <v>11881.4391010684</v>
      </c>
      <c r="Z61" s="57" t="n">
        <f aca="false">Z53+Z54+Z55+Z56+Z57+Z59</f>
        <v>12683.5462593772</v>
      </c>
      <c r="AA61" s="57" t="n">
        <f aca="false">AA53+AA54+AA55+AA56+AA57+AA59</f>
        <v>335189.939496353</v>
      </c>
      <c r="AB61" s="57" t="n">
        <f aca="false">AB53+AB54+AB55+AB56+AB57+AB59</f>
        <v>579631.208178136</v>
      </c>
      <c r="AC61" s="57" t="n">
        <f aca="false">AC53+AC54+AC55+AC56+AC57+AC59</f>
        <v>897705.85562763</v>
      </c>
      <c r="AD61" s="57" t="n">
        <f aca="false">AD53+AD54+AD55+AD56+AD57+AD59</f>
        <v>1226177.92454347</v>
      </c>
      <c r="AE61" s="57" t="n">
        <f aca="false">AE53+AE54+AE55+AE56+AE57+AE59</f>
        <v>1504458.66063195</v>
      </c>
    </row>
    <row r="63" customFormat="false" ht="15" hidden="false" customHeight="false" outlineLevel="0" collapsed="false">
      <c r="A63" s="46" t="s">
        <v>486</v>
      </c>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c r="AD63" s="47"/>
      <c r="AE63" s="47"/>
    </row>
    <row r="64" customFormat="false" ht="15" hidden="false" customHeight="false" outlineLevel="0" collapsed="false">
      <c r="A64" s="6" t="s">
        <v>446</v>
      </c>
      <c r="B64" s="23" t="s">
        <v>190</v>
      </c>
      <c r="C64" s="53" t="n">
        <f aca="false">INDEX(Assumptions!$B$100:$B$106,C5)*Assumptions!$B$128/12*C7/Assumptions!$B$125*(1+Assumptions!$B$132)*IF(C2&gt;=Assumptions!$B$56,1,0)</f>
        <v>0</v>
      </c>
      <c r="D64" s="53" t="n">
        <f aca="false">INDEX(Assumptions!$B$100:$B$106,D5)*Assumptions!$B$128/12*D7/Assumptions!$B$125*(1+Assumptions!$B$132)*IF(D2&gt;=Assumptions!$B$56,1,0)</f>
        <v>0</v>
      </c>
      <c r="E64" s="53" t="n">
        <f aca="false">INDEX(Assumptions!$B$100:$B$106,E5)*Assumptions!$B$128/12*E7/Assumptions!$B$125*(1+Assumptions!$B$132)*IF(E2&gt;=Assumptions!$B$56,1,0)</f>
        <v>0</v>
      </c>
      <c r="F64" s="53" t="n">
        <f aca="false">INDEX(Assumptions!$B$100:$B$106,F5)*Assumptions!$B$128/12*F7/Assumptions!$B$125*(1+Assumptions!$B$132)*IF(F2&gt;=Assumptions!$B$56,1,0)</f>
        <v>0</v>
      </c>
      <c r="G64" s="53" t="n">
        <f aca="false">INDEX(Assumptions!$B$100:$B$106,G5)*Assumptions!$B$128/12*G7/Assumptions!$B$125*(1+Assumptions!$B$132)*IF(G2&gt;=Assumptions!$B$56,1,0)</f>
        <v>0</v>
      </c>
      <c r="H64" s="53" t="n">
        <f aca="false">INDEX(Assumptions!$B$100:$B$106,H5)*Assumptions!$B$128/12*H7/Assumptions!$B$125*(1+Assumptions!$B$132)*IF(H2&gt;=Assumptions!$B$56,1,0)</f>
        <v>0</v>
      </c>
      <c r="I64" s="53" t="n">
        <f aca="false">INDEX(Assumptions!$B$100:$B$106,I5)*Assumptions!$B$128/12*I7/Assumptions!$B$125*(1+Assumptions!$B$132)*IF(I2&gt;=Assumptions!$B$56,1,0)</f>
        <v>0</v>
      </c>
      <c r="J64" s="53" t="n">
        <f aca="false">INDEX(Assumptions!$B$100:$B$106,J5)*Assumptions!$B$128/12*J7/Assumptions!$B$125*(1+Assumptions!$B$132)*IF(J2&gt;=Assumptions!$B$56,1,0)</f>
        <v>0</v>
      </c>
      <c r="K64" s="53" t="n">
        <f aca="false">INDEX(Assumptions!$B$100:$B$106,K5)*Assumptions!$B$128/12*K7/Assumptions!$B$125*(1+Assumptions!$B$132)*IF(K2&gt;=Assumptions!$B$56,1,0)</f>
        <v>0</v>
      </c>
      <c r="L64" s="53" t="n">
        <f aca="false">INDEX(Assumptions!$B$100:$B$106,L5)*Assumptions!$B$128/12*L7/Assumptions!$B$125*(1+Assumptions!$B$132)*IF(L2&gt;=Assumptions!$B$56,1,0)</f>
        <v>0</v>
      </c>
      <c r="M64" s="53" t="n">
        <f aca="false">INDEX(Assumptions!$B$100:$B$106,M5)*Assumptions!$B$128/12*M7/Assumptions!$B$125*(1+Assumptions!$B$132)*IF(M2&gt;=Assumptions!$B$56,1,0)</f>
        <v>0</v>
      </c>
      <c r="N64" s="53" t="n">
        <f aca="false">INDEX(Assumptions!$B$100:$B$106,N5)*Assumptions!$B$128/12*N7/Assumptions!$B$125*(1+Assumptions!$B$132)*IF(N2&gt;=Assumptions!$B$56,1,0)</f>
        <v>0</v>
      </c>
      <c r="O64" s="53" t="n">
        <f aca="false">INDEX(Assumptions!$B$100:$B$106,O5)*Assumptions!$B$128/12*O7/Assumptions!$B$125*(1+Assumptions!$B$132)*IF(O2&gt;=Assumptions!$B$56,1,0)</f>
        <v>60</v>
      </c>
      <c r="P64" s="53" t="n">
        <f aca="false">INDEX(Assumptions!$B$100:$B$106,P5)*Assumptions!$B$128/12*P7/Assumptions!$B$125*(1+Assumptions!$B$132)*IF(P2&gt;=Assumptions!$B$56,1,0)</f>
        <v>60</v>
      </c>
      <c r="Q64" s="53" t="n">
        <f aca="false">INDEX(Assumptions!$B$100:$B$106,Q5)*Assumptions!$B$128/12*Q7/Assumptions!$B$125*(1+Assumptions!$B$132)*IF(Q2&gt;=Assumptions!$B$56,1,0)</f>
        <v>60</v>
      </c>
      <c r="R64" s="53" t="n">
        <f aca="false">INDEX(Assumptions!$B$100:$B$106,R5)*Assumptions!$B$128/12*R7/Assumptions!$B$125*(1+Assumptions!$B$132)*IF(R2&gt;=Assumptions!$B$56,1,0)</f>
        <v>60</v>
      </c>
      <c r="S64" s="53" t="n">
        <f aca="false">INDEX(Assumptions!$B$100:$B$106,S5)*Assumptions!$B$128/12*S7/Assumptions!$B$125*(1+Assumptions!$B$132)*IF(S2&gt;=Assumptions!$B$56,1,0)</f>
        <v>60</v>
      </c>
      <c r="T64" s="53" t="n">
        <f aca="false">INDEX(Assumptions!$B$100:$B$106,T5)*Assumptions!$B$128/12*T7/Assumptions!$B$125*(1+Assumptions!$B$132)*IF(T2&gt;=Assumptions!$B$56,1,0)</f>
        <v>60</v>
      </c>
      <c r="U64" s="53" t="n">
        <f aca="false">INDEX(Assumptions!$B$100:$B$106,U5)*Assumptions!$B$128/12*U7/Assumptions!$B$125*(1+Assumptions!$B$132)*IF(U2&gt;=Assumptions!$B$56,1,0)</f>
        <v>60</v>
      </c>
      <c r="V64" s="53" t="n">
        <f aca="false">INDEX(Assumptions!$B$100:$B$106,V5)*Assumptions!$B$128/12*V7/Assumptions!$B$125*(1+Assumptions!$B$132)*IF(V2&gt;=Assumptions!$B$56,1,0)</f>
        <v>60</v>
      </c>
      <c r="W64" s="53" t="n">
        <f aca="false">INDEX(Assumptions!$B$100:$B$106,W5)*Assumptions!$B$128/12*W7/Assumptions!$B$125*(1+Assumptions!$B$132)*IF(W2&gt;=Assumptions!$B$56,1,0)</f>
        <v>60</v>
      </c>
      <c r="X64" s="53" t="n">
        <f aca="false">INDEX(Assumptions!$B$100:$B$106,X5)*Assumptions!$B$128/12*X7/Assumptions!$B$125*(1+Assumptions!$B$132)*IF(X2&gt;=Assumptions!$B$56,1,0)</f>
        <v>60</v>
      </c>
      <c r="Y64" s="53" t="n">
        <f aca="false">INDEX(Assumptions!$B$100:$B$106,Y5)*Assumptions!$B$128/12*Y7/Assumptions!$B$125*(1+Assumptions!$B$132)*IF(Y2&gt;=Assumptions!$B$56,1,0)</f>
        <v>60</v>
      </c>
      <c r="Z64" s="53" t="n">
        <f aca="false">INDEX(Assumptions!$B$100:$B$106,Z5)*Assumptions!$B$128/12*Z7/Assumptions!$B$125*(1+Assumptions!$B$132)*IF(Z2&gt;=Assumptions!$B$56,1,0)</f>
        <v>60</v>
      </c>
      <c r="AA64" s="53" t="n">
        <f aca="false">INDEX(Assumptions!$B$100:$B$106,AA5)*Assumptions!$B$128/12*AA7/Assumptions!$B$125*(1+Assumptions!$B$132)*IF(AA2&gt;=Assumptions!$B$56,1,0)</f>
        <v>1000</v>
      </c>
      <c r="AB64" s="53" t="n">
        <f aca="false">INDEX(Assumptions!$B$100:$B$106,AB5)*Assumptions!$B$128/12*AB7/Assumptions!$B$125*(1+Assumptions!$B$132)*IF(AB2&gt;=Assumptions!$B$56,1,0)</f>
        <v>1600</v>
      </c>
      <c r="AC64" s="53" t="n">
        <f aca="false">INDEX(Assumptions!$B$100:$B$106,AC5)*Assumptions!$B$128/12*AC7/Assumptions!$B$125*(1+Assumptions!$B$132)*IF(AC2&gt;=Assumptions!$B$56,1,0)</f>
        <v>2400</v>
      </c>
      <c r="AD64" s="53" t="n">
        <f aca="false">INDEX(Assumptions!$B$100:$B$106,AD5)*Assumptions!$B$128/12*AD7/Assumptions!$B$125*(1+Assumptions!$B$132)*IF(AD2&gt;=Assumptions!$B$56,1,0)</f>
        <v>3400</v>
      </c>
      <c r="AE64" s="53" t="n">
        <f aca="false">INDEX(Assumptions!$B$100:$B$106,AE5)*Assumptions!$B$128/12*AE7/Assumptions!$B$125*(1+Assumptions!$B$132)*IF(AE2&gt;=Assumptions!$B$56,1,0)</f>
        <v>4400</v>
      </c>
    </row>
    <row r="65" customFormat="false" ht="15" hidden="false" customHeight="false" outlineLevel="0" collapsed="false">
      <c r="A65" s="6" t="s">
        <v>447</v>
      </c>
      <c r="B65" s="23" t="s">
        <v>190</v>
      </c>
      <c r="C65" s="54" t="n">
        <v>0</v>
      </c>
      <c r="D65" s="54" t="n">
        <f aca="false">IF(D2&gt;=Assumptions!$B$55,C69*Assumptions!$B$130/12*Assumptions!$B$131*D7,0)</f>
        <v>0</v>
      </c>
      <c r="E65" s="54" t="n">
        <f aca="false">IF(E2&gt;=Assumptions!$B$55,D69*Assumptions!$B$130/12*Assumptions!$B$131*E7,0)</f>
        <v>0</v>
      </c>
      <c r="F65" s="54" t="n">
        <f aca="false">IF(F2&gt;=Assumptions!$B$55,E69*Assumptions!$B$130/12*Assumptions!$B$131*F7,0)</f>
        <v>0</v>
      </c>
      <c r="G65" s="54" t="n">
        <f aca="false">IF(G2&gt;=Assumptions!$B$55,F69*Assumptions!$B$130/12*Assumptions!$B$131*G7,0)</f>
        <v>0</v>
      </c>
      <c r="H65" s="54" t="n">
        <f aca="false">IF(H2&gt;=Assumptions!$B$55,G69*Assumptions!$B$130/12*Assumptions!$B$131*H7,0)</f>
        <v>0</v>
      </c>
      <c r="I65" s="54" t="n">
        <f aca="false">IF(I2&gt;=Assumptions!$B$55,H69*Assumptions!$B$130/12*Assumptions!$B$131*I7,0)</f>
        <v>0</v>
      </c>
      <c r="J65" s="54" t="n">
        <f aca="false">IF(J2&gt;=Assumptions!$B$55,I69*Assumptions!$B$130/12*Assumptions!$B$131*J7,0)</f>
        <v>0</v>
      </c>
      <c r="K65" s="54" t="n">
        <f aca="false">IF(K2&gt;=Assumptions!$B$55,J69*Assumptions!$B$130/12*Assumptions!$B$131*K7,0)</f>
        <v>0</v>
      </c>
      <c r="L65" s="54" t="n">
        <f aca="false">IF(L2&gt;=Assumptions!$B$55,K69*Assumptions!$B$130/12*Assumptions!$B$131*L7,0)</f>
        <v>0</v>
      </c>
      <c r="M65" s="54" t="n">
        <f aca="false">IF(M2&gt;=Assumptions!$B$55,L69*Assumptions!$B$130/12*Assumptions!$B$131*M7,0)</f>
        <v>0</v>
      </c>
      <c r="N65" s="54" t="n">
        <f aca="false">IF(N2&gt;=Assumptions!$B$55,M69*Assumptions!$B$130/12*Assumptions!$B$131*N7,0)</f>
        <v>0</v>
      </c>
      <c r="O65" s="54" t="n">
        <f aca="false">IF(O2&gt;=Assumptions!$B$55,N69*Assumptions!$B$130/12*Assumptions!$B$131*O7,0)</f>
        <v>0</v>
      </c>
      <c r="P65" s="54" t="n">
        <f aca="false">IF(P2&gt;=Assumptions!$B$55,O69*Assumptions!$B$130/12*Assumptions!$B$131*P7,0)</f>
        <v>2.19061308351921</v>
      </c>
      <c r="Q65" s="54" t="n">
        <f aca="false">IF(Q2&gt;=Assumptions!$B$55,P69*Assumptions!$B$130/12*Assumptions!$B$131*Q7,0)</f>
        <v>4.22558614739354</v>
      </c>
      <c r="R65" s="54" t="n">
        <f aca="false">IF(R2&gt;=Assumptions!$B$55,Q69*Assumptions!$B$130/12*Assumptions!$B$131*R7,0)</f>
        <v>6.12477128190748</v>
      </c>
      <c r="S65" s="54" t="n">
        <f aca="false">IF(S2&gt;=Assumptions!$B$55,R69*Assumptions!$B$130/12*Assumptions!$B$131*S7,0)</f>
        <v>8.5183339883982</v>
      </c>
      <c r="T65" s="54" t="n">
        <f aca="false">IF(T2&gt;=Assumptions!$B$55,S69*Assumptions!$B$130/12*Assumptions!$B$131*T7,0)</f>
        <v>10.6067323965539</v>
      </c>
      <c r="U65" s="54" t="n">
        <f aca="false">IF(U2&gt;=Assumptions!$B$55,T69*Assumptions!$B$130/12*Assumptions!$B$131*U7,0)</f>
        <v>12.2587188330178</v>
      </c>
      <c r="V65" s="54" t="n">
        <f aca="false">IF(V2&gt;=Assumptions!$B$55,U69*Assumptions!$B$130/12*Assumptions!$B$131*V7,0)</f>
        <v>13.7942335879474</v>
      </c>
      <c r="W65" s="54" t="n">
        <f aca="false">IF(W2&gt;=Assumptions!$B$55,V69*Assumptions!$B$130/12*Assumptions!$B$131*W7,0)</f>
        <v>15.2897822385801</v>
      </c>
      <c r="X65" s="54" t="n">
        <f aca="false">IF(X2&gt;=Assumptions!$B$55,W69*Assumptions!$B$130/12*Assumptions!$B$131*X7,0)</f>
        <v>16.9530695175768</v>
      </c>
      <c r="Y65" s="54" t="n">
        <f aca="false">IF(Y2&gt;=Assumptions!$B$55,X69*Assumptions!$B$130/12*Assumptions!$B$131*Y7,0)</f>
        <v>19.4179230918315</v>
      </c>
      <c r="Z65" s="54" t="n">
        <f aca="false">IF(Z2&gt;=Assumptions!$B$55,Y69*Assumptions!$B$130/12*Assumptions!$B$131*Z7,0)</f>
        <v>21.5743998559042</v>
      </c>
      <c r="AA65" s="54" t="n">
        <f aca="false">IF(AA2&gt;=Assumptions!$B$55,Z69*Assumptions!$B$130/12*Assumptions!$B$131*AA7,0)</f>
        <v>279.659514162347</v>
      </c>
      <c r="AB65" s="54" t="n">
        <f aca="false">IF(AB2&gt;=Assumptions!$B$55,AA69*Assumptions!$B$130/12*Assumptions!$B$131*AB7,0)</f>
        <v>613.151367831539</v>
      </c>
      <c r="AC65" s="54" t="n">
        <f aca="false">IF(AC2&gt;=Assumptions!$B$55,AB69*Assumptions!$B$130/12*Assumptions!$B$131*AC7,0)</f>
        <v>1068.51945787118</v>
      </c>
      <c r="AD65" s="54" t="n">
        <f aca="false">IF(AD2&gt;=Assumptions!$B$55,AC69*Assumptions!$B$130/12*Assumptions!$B$131*AD7,0)</f>
        <v>1632.38842533771</v>
      </c>
      <c r="AE65" s="54" t="n">
        <f aca="false">IF(AE2&gt;=Assumptions!$B$55,AD69*Assumptions!$B$130/12*Assumptions!$B$131*AE7,0)</f>
        <v>2171.72864887927</v>
      </c>
    </row>
    <row r="66" customFormat="false" ht="15" hidden="false" customHeight="false" outlineLevel="0" collapsed="false">
      <c r="A66" s="6" t="s">
        <v>448</v>
      </c>
      <c r="B66" s="23" t="s">
        <v>190</v>
      </c>
      <c r="C66" s="54" t="n">
        <f aca="false">C64+C65+IF(C23=0,0,C20*Assumptions!$B$115/C23*IF(C2&gt;=Assumptions!$B$56,1,0))</f>
        <v>0</v>
      </c>
      <c r="D66" s="54" t="n">
        <f aca="false">D64+D65+IF(D23=0,0,D20*Assumptions!$B$115/D23*IF(D2&gt;=Assumptions!$B$56,1,0))</f>
        <v>0</v>
      </c>
      <c r="E66" s="54" t="n">
        <f aca="false">E64+E65+IF(E23=0,0,E20*Assumptions!$B$115/E23*IF(E2&gt;=Assumptions!$B$56,1,0))</f>
        <v>0</v>
      </c>
      <c r="F66" s="54" t="n">
        <f aca="false">F64+F65+IF(F23=0,0,F20*Assumptions!$B$115/F23*IF(F2&gt;=Assumptions!$B$56,1,0))</f>
        <v>0</v>
      </c>
      <c r="G66" s="54" t="n">
        <f aca="false">G64+G65+IF(G23=0,0,G20*Assumptions!$B$115/G23*IF(G2&gt;=Assumptions!$B$56,1,0))</f>
        <v>0</v>
      </c>
      <c r="H66" s="54" t="n">
        <f aca="false">H64+H65+IF(H23=0,0,H20*Assumptions!$B$115/H23*IF(H2&gt;=Assumptions!$B$56,1,0))</f>
        <v>0</v>
      </c>
      <c r="I66" s="54" t="n">
        <f aca="false">I64+I65+IF(I23=0,0,I20*Assumptions!$B$115/I23*IF(I2&gt;=Assumptions!$B$56,1,0))</f>
        <v>0</v>
      </c>
      <c r="J66" s="54" t="n">
        <f aca="false">J64+J65+IF(J23=0,0,J20*Assumptions!$B$115/J23*IF(J2&gt;=Assumptions!$B$56,1,0))</f>
        <v>0</v>
      </c>
      <c r="K66" s="54" t="n">
        <f aca="false">K64+K65+IF(K23=0,0,K20*Assumptions!$B$115/K23*IF(K2&gt;=Assumptions!$B$56,1,0))</f>
        <v>0</v>
      </c>
      <c r="L66" s="54" t="n">
        <f aca="false">L64+L65+IF(L23=0,0,L20*Assumptions!$B$115/L23*IF(L2&gt;=Assumptions!$B$56,1,0))</f>
        <v>0</v>
      </c>
      <c r="M66" s="54" t="n">
        <f aca="false">M64+M65+IF(M23=0,0,M20*Assumptions!$B$115/M23*IF(M2&gt;=Assumptions!$B$56,1,0))</f>
        <v>0</v>
      </c>
      <c r="N66" s="54" t="n">
        <f aca="false">N64+N65+IF(N23=0,0,N20*Assumptions!$B$115/N23*IF(N2&gt;=Assumptions!$B$56,1,0))</f>
        <v>0</v>
      </c>
      <c r="O66" s="54" t="n">
        <f aca="false">O64+O65+IF(O23=0,0,O20*Assumptions!$B$115/O23*IF(O2&gt;=Assumptions!$B$56,1,0))</f>
        <v>71.73</v>
      </c>
      <c r="P66" s="54" t="n">
        <f aca="false">P64+P65+IF(P23=0,0,P20*Assumptions!$B$115/P23*IF(P2&gt;=Assumptions!$B$56,1,0))</f>
        <v>73.9206130835192</v>
      </c>
      <c r="Q66" s="54" t="n">
        <f aca="false">Q64+Q65+IF(Q23=0,0,Q20*Assumptions!$B$115/Q23*IF(Q2&gt;=Assumptions!$B$56,1,0))</f>
        <v>75.9555861473936</v>
      </c>
      <c r="R66" s="54" t="n">
        <f aca="false">R64+R65+IF(R23=0,0,R20*Assumptions!$B$115/R23*IF(R2&gt;=Assumptions!$B$56,1,0))</f>
        <v>77.8547712819075</v>
      </c>
      <c r="S66" s="54" t="n">
        <f aca="false">S64+S65+IF(S23=0,0,S20*Assumptions!$B$115/S23*IF(S2&gt;=Assumptions!$B$56,1,0))</f>
        <v>80.2483339883982</v>
      </c>
      <c r="T66" s="54" t="n">
        <f aca="false">T64+T65+IF(T23=0,0,T20*Assumptions!$B$115/T23*IF(T2&gt;=Assumptions!$B$56,1,0))</f>
        <v>82.3367323965539</v>
      </c>
      <c r="U66" s="54" t="n">
        <f aca="false">U64+U65+IF(U23=0,0,U20*Assumptions!$B$115/U23*IF(U2&gt;=Assumptions!$B$56,1,0))</f>
        <v>83.9887188330178</v>
      </c>
      <c r="V66" s="54" t="n">
        <f aca="false">V64+V65+IF(V23=0,0,V20*Assumptions!$B$115/V23*IF(V2&gt;=Assumptions!$B$56,1,0))</f>
        <v>85.5242335879475</v>
      </c>
      <c r="W66" s="54" t="n">
        <f aca="false">W64+W65+IF(W23=0,0,W20*Assumptions!$B$115/W23*IF(W2&gt;=Assumptions!$B$56,1,0))</f>
        <v>87.0197822385801</v>
      </c>
      <c r="X66" s="54" t="n">
        <f aca="false">X64+X65+IF(X23=0,0,X20*Assumptions!$B$115/X23*IF(X2&gt;=Assumptions!$B$56,1,0))</f>
        <v>88.6830695175768</v>
      </c>
      <c r="Y66" s="54" t="n">
        <f aca="false">Y64+Y65+IF(Y23=0,0,Y20*Assumptions!$B$115/Y23*IF(Y2&gt;=Assumptions!$B$56,1,0))</f>
        <v>91.1479230918315</v>
      </c>
      <c r="Z66" s="54" t="n">
        <f aca="false">Z64+Z65+IF(Z23=0,0,Z20*Assumptions!$B$115/Z23*IF(Z2&gt;=Assumptions!$B$56,1,0))</f>
        <v>93.3043998559043</v>
      </c>
      <c r="AA66" s="54" t="n">
        <f aca="false">AA64+AA65+IF(AA23=0,0,AA20*Assumptions!$B$115/AA23*IF(AA2&gt;=Assumptions!$B$56,1,0))</f>
        <v>1711.65951416235</v>
      </c>
      <c r="AB66" s="54" t="n">
        <f aca="false">AB64+AB65+IF(AB23=0,0,AB20*Assumptions!$B$115/AB23*IF(AB2&gt;=Assumptions!$B$56,1,0))</f>
        <v>2861.15136783154</v>
      </c>
      <c r="AC66" s="54" t="n">
        <f aca="false">AC64+AC65+IF(AC23=0,0,AC20*Assumptions!$B$115/AC23*IF(AC2&gt;=Assumptions!$B$56,1,0))</f>
        <v>4440.51945787118</v>
      </c>
      <c r="AD66" s="54" t="n">
        <f aca="false">AD64+AD65+IF(AD23=0,0,AD20*Assumptions!$B$115/AD23*IF(AD2&gt;=Assumptions!$B$56,1,0))</f>
        <v>6177.18842533771</v>
      </c>
      <c r="AE66" s="54" t="n">
        <f aca="false">AE64+AE65+IF(AE23=0,0,AE20*Assumptions!$B$115/AE23*IF(AE2&gt;=Assumptions!$B$56,1,0))</f>
        <v>7910.92864887927</v>
      </c>
    </row>
    <row r="67" customFormat="false" ht="15" hidden="false" customHeight="false" outlineLevel="0" collapsed="false">
      <c r="A67" s="6" t="s">
        <v>449</v>
      </c>
      <c r="B67" s="23" t="s">
        <v>444</v>
      </c>
      <c r="C67" s="51" t="n">
        <v>1</v>
      </c>
      <c r="D67" s="51" t="n">
        <f aca="false">MAX(0,1-C72/Assumptions!$B$85)</f>
        <v>1</v>
      </c>
      <c r="E67" s="51" t="n">
        <f aca="false">MAX(0,1-D72/Assumptions!$B$85)</f>
        <v>1</v>
      </c>
      <c r="F67" s="51" t="n">
        <f aca="false">MAX(0,1-E72/Assumptions!$B$85)</f>
        <v>1</v>
      </c>
      <c r="G67" s="51" t="n">
        <f aca="false">MAX(0,1-F72/Assumptions!$B$85)</f>
        <v>1</v>
      </c>
      <c r="H67" s="51" t="n">
        <f aca="false">MAX(0,1-G72/Assumptions!$B$85)</f>
        <v>1</v>
      </c>
      <c r="I67" s="51" t="n">
        <f aca="false">MAX(0,1-H72/Assumptions!$B$85)</f>
        <v>1</v>
      </c>
      <c r="J67" s="51" t="n">
        <f aca="false">MAX(0,1-I72/Assumptions!$B$85)</f>
        <v>1</v>
      </c>
      <c r="K67" s="51" t="n">
        <f aca="false">MAX(0,1-J72/Assumptions!$B$85)</f>
        <v>1</v>
      </c>
      <c r="L67" s="51" t="n">
        <f aca="false">MAX(0,1-K72/Assumptions!$B$85)</f>
        <v>1</v>
      </c>
      <c r="M67" s="51" t="n">
        <f aca="false">MAX(0,1-L72/Assumptions!$B$85)</f>
        <v>1</v>
      </c>
      <c r="N67" s="51" t="n">
        <f aca="false">MAX(0,1-M72/Assumptions!$B$85)</f>
        <v>1</v>
      </c>
      <c r="O67" s="51" t="n">
        <f aca="false">MAX(0,1-N72/Assumptions!$B$85)</f>
        <v>1</v>
      </c>
      <c r="P67" s="51" t="n">
        <f aca="false">MAX(0,1-O72/Assumptions!$B$85)</f>
        <v>0.997986366820092</v>
      </c>
      <c r="Q67" s="51" t="n">
        <f aca="false">MAX(0,1-P72/Assumptions!$B$85)</f>
        <v>0.996017938720984</v>
      </c>
      <c r="R67" s="51" t="n">
        <f aca="false">MAX(0,1-Q72/Assumptions!$B$85)</f>
        <v>0.994083420336593</v>
      </c>
      <c r="S67" s="51" t="n">
        <f aca="false">MAX(0,1-R72/Assumptions!$B$85)</f>
        <v>0.991609623338276</v>
      </c>
      <c r="T67" s="51" t="n">
        <f aca="false">MAX(0,1-S72/Assumptions!$B$85)</f>
        <v>0.98930940929181</v>
      </c>
      <c r="U67" s="51" t="n">
        <f aca="false">MAX(0,1-T72/Assumptions!$B$85)</f>
        <v>0.987317054890297</v>
      </c>
      <c r="V67" s="51" t="n">
        <f aca="false">MAX(0,1-U72/Assumptions!$B$85)</f>
        <v>0.985357963592632</v>
      </c>
      <c r="W67" s="51" t="n">
        <f aca="false">MAX(0,1-V72/Assumptions!$B$85)</f>
        <v>0.983367013829743</v>
      </c>
      <c r="X67" s="51" t="n">
        <f aca="false">MAX(0,1-W72/Assumptions!$B$85)</f>
        <v>0.981155066756894</v>
      </c>
      <c r="Y67" s="51" t="n">
        <f aca="false">MAX(0,1-X72/Assumptions!$B$85)</f>
        <v>0.978132008373506</v>
      </c>
      <c r="Z67" s="51" t="n">
        <f aca="false">MAX(0,1-Y72/Assumptions!$B$85)</f>
        <v>0.97528230115379</v>
      </c>
      <c r="AA67" s="51" t="n">
        <f aca="false">MAX(0,1-Z72/Assumptions!$B$85)</f>
        <v>0.972727765346271</v>
      </c>
      <c r="AB67" s="51" t="n">
        <f aca="false">MAX(0,1-AA72/Assumptions!$B$85)</f>
        <v>0.926450589756339</v>
      </c>
      <c r="AC67" s="51" t="n">
        <f aca="false">MAX(0,1-AB72/Assumptions!$B$85)</f>
        <v>0.852775402085134</v>
      </c>
      <c r="AD67" s="51" t="n">
        <f aca="false">MAX(0,1-AC72/Assumptions!$B$85)</f>
        <v>0.747524313483279</v>
      </c>
      <c r="AE67" s="51" t="n">
        <f aca="false">MAX(0,1-AD72/Assumptions!$B$85)</f>
        <v>0.61918068127875</v>
      </c>
    </row>
    <row r="68" customFormat="false" ht="15" hidden="false" customHeight="false" outlineLevel="0" collapsed="false">
      <c r="A68" s="6" t="s">
        <v>450</v>
      </c>
      <c r="B68" s="23" t="s">
        <v>190</v>
      </c>
      <c r="C68" s="54" t="n">
        <f aca="false">C66*C67*C15</f>
        <v>0</v>
      </c>
      <c r="D68" s="54" t="n">
        <f aca="false">D66*D67*D15</f>
        <v>0</v>
      </c>
      <c r="E68" s="54" t="n">
        <f aca="false">E66*E67*E15</f>
        <v>0</v>
      </c>
      <c r="F68" s="54" t="n">
        <f aca="false">F66*F67*F15</f>
        <v>0</v>
      </c>
      <c r="G68" s="54" t="n">
        <f aca="false">G66*G67*G15</f>
        <v>0</v>
      </c>
      <c r="H68" s="54" t="n">
        <f aca="false">H66*H67*H15</f>
        <v>0</v>
      </c>
      <c r="I68" s="54" t="n">
        <f aca="false">I66*I67*I15</f>
        <v>0</v>
      </c>
      <c r="J68" s="54" t="n">
        <f aca="false">J66*J67*J15</f>
        <v>0</v>
      </c>
      <c r="K68" s="54" t="n">
        <f aca="false">K66*K67*K15</f>
        <v>0</v>
      </c>
      <c r="L68" s="54" t="n">
        <f aca="false">L66*L67*L15</f>
        <v>0</v>
      </c>
      <c r="M68" s="54" t="n">
        <f aca="false">M66*M67*M15</f>
        <v>0</v>
      </c>
      <c r="N68" s="54" t="n">
        <f aca="false">N66*N67*N15</f>
        <v>0</v>
      </c>
      <c r="O68" s="54" t="n">
        <f aca="false">O66*O67*O15</f>
        <v>72.4473</v>
      </c>
      <c r="P68" s="54" t="n">
        <f aca="false">P66*P67*P15</f>
        <v>70.8208935209617</v>
      </c>
      <c r="Q68" s="54" t="n">
        <f aca="false">Q66*Q67*Q15</f>
        <v>69.6008762409613</v>
      </c>
      <c r="R68" s="54" t="n">
        <f aca="false">R66*R67*R15</f>
        <v>89.003257924258</v>
      </c>
      <c r="S68" s="54" t="n">
        <f aca="false">S66*S67*S15</f>
        <v>82.7580210493501</v>
      </c>
      <c r="T68" s="54" t="n">
        <f aca="false">T66*T67*T15</f>
        <v>71.6817235994223</v>
      </c>
      <c r="U68" s="54" t="n">
        <f aca="false">U66*U67*U15</f>
        <v>70.4849703438907</v>
      </c>
      <c r="V68" s="54" t="n">
        <f aca="false">V66*V67*V15</f>
        <v>71.6311869491344</v>
      </c>
      <c r="W68" s="54" t="n">
        <f aca="false">W66*W67*W15</f>
        <v>79.5823165657824</v>
      </c>
      <c r="X68" s="54" t="n">
        <f aca="false">X66*X67*X15</f>
        <v>108.764803740905</v>
      </c>
      <c r="Y68" s="54" t="n">
        <f aca="false">Y66*Y67*Y15</f>
        <v>102.52790623382</v>
      </c>
      <c r="Z68" s="54" t="n">
        <f aca="false">Z66*Z67*Z15</f>
        <v>91.908111097232</v>
      </c>
      <c r="AA68" s="54" t="n">
        <f aca="false">AA66*AA67*AA15</f>
        <v>1664.97873424482</v>
      </c>
      <c r="AB68" s="54" t="n">
        <f aca="false">AB66*AB67*AB15</f>
        <v>2650.71537210968</v>
      </c>
      <c r="AC68" s="54" t="n">
        <f aca="false">AC66*AC67*AC15</f>
        <v>3786.76576615295</v>
      </c>
      <c r="AD68" s="54" t="n">
        <f aca="false">AD66*AD67*AD15</f>
        <v>4617.59853690743</v>
      </c>
      <c r="AE68" s="54" t="n">
        <f aca="false">AE66*AE67*AE15</f>
        <v>4898.29419036065</v>
      </c>
    </row>
    <row r="69" customFormat="false" ht="15" hidden="false" customHeight="false" outlineLevel="0" collapsed="false">
      <c r="A69" s="6" t="s">
        <v>451</v>
      </c>
      <c r="B69" s="23" t="s">
        <v>190</v>
      </c>
      <c r="C69" s="28" t="n">
        <f aca="false">C68*(1-Assumptions!$B$122)^(C7/2)</f>
        <v>0</v>
      </c>
      <c r="D69" s="28" t="n">
        <f aca="false">C69*(1-Assumptions!$B$122)^D7+D68*(1-Assumptions!$B$122)^(D7/2)</f>
        <v>0</v>
      </c>
      <c r="E69" s="28" t="n">
        <f aca="false">D69*(1-Assumptions!$B$122)^E7+E68*(1-Assumptions!$B$122)^(E7/2)</f>
        <v>0</v>
      </c>
      <c r="F69" s="28" t="n">
        <f aca="false">E69*(1-Assumptions!$B$122)^F7+F68*(1-Assumptions!$B$122)^(F7/2)</f>
        <v>0</v>
      </c>
      <c r="G69" s="28" t="n">
        <f aca="false">F69*(1-Assumptions!$B$122)^G7+G68*(1-Assumptions!$B$122)^(G7/2)</f>
        <v>0</v>
      </c>
      <c r="H69" s="28" t="n">
        <f aca="false">G69*(1-Assumptions!$B$122)^H7+H68*(1-Assumptions!$B$122)^(H7/2)</f>
        <v>0</v>
      </c>
      <c r="I69" s="28" t="n">
        <f aca="false">H69*(1-Assumptions!$B$122)^I7+I68*(1-Assumptions!$B$122)^(I7/2)</f>
        <v>0</v>
      </c>
      <c r="J69" s="28" t="n">
        <f aca="false">I69*(1-Assumptions!$B$122)^J7+J68*(1-Assumptions!$B$122)^(J7/2)</f>
        <v>0</v>
      </c>
      <c r="K69" s="28" t="n">
        <f aca="false">J69*(1-Assumptions!$B$122)^K7+K68*(1-Assumptions!$B$122)^(K7/2)</f>
        <v>0</v>
      </c>
      <c r="L69" s="28" t="n">
        <f aca="false">K69*(1-Assumptions!$B$122)^L7+L68*(1-Assumptions!$B$122)^(L7/2)</f>
        <v>0</v>
      </c>
      <c r="M69" s="28" t="n">
        <f aca="false">L69*(1-Assumptions!$B$122)^M7+M68*(1-Assumptions!$B$122)^(M7/2)</f>
        <v>0</v>
      </c>
      <c r="N69" s="28" t="n">
        <f aca="false">M69*(1-Assumptions!$B$122)^N7+N68*(1-Assumptions!$B$122)^(N7/2)</f>
        <v>0</v>
      </c>
      <c r="O69" s="28" t="n">
        <f aca="false">N69*(1-Assumptions!$B$122)^O7+O68*(1-Assumptions!$B$122)^(O7/2)</f>
        <v>70.664938178039</v>
      </c>
      <c r="P69" s="28" t="n">
        <f aca="false">O69*(1-Assumptions!$B$122)^P7+P68*(1-Assumptions!$B$122)^(P7/2)</f>
        <v>136.309230561082</v>
      </c>
      <c r="Q69" s="28" t="n">
        <f aca="false">P69*(1-Assumptions!$B$122)^Q7+Q68*(1-Assumptions!$B$122)^(Q7/2)</f>
        <v>197.573267158306</v>
      </c>
      <c r="R69" s="28" t="n">
        <f aca="false">Q69*(1-Assumptions!$B$122)^R7+R68*(1-Assumptions!$B$122)^(R7/2)</f>
        <v>274.784967367684</v>
      </c>
      <c r="S69" s="28" t="n">
        <f aca="false">R69*(1-Assumptions!$B$122)^S7+S68*(1-Assumptions!$B$122)^(S7/2)</f>
        <v>342.152657953353</v>
      </c>
      <c r="T69" s="28" t="n">
        <f aca="false">S69*(1-Assumptions!$B$122)^T7+T68*(1-Assumptions!$B$122)^(T7/2)</f>
        <v>395.442543000576</v>
      </c>
      <c r="U69" s="28" t="n">
        <f aca="false">T69*(1-Assumptions!$B$122)^U7+U68*(1-Assumptions!$B$122)^(U7/2)</f>
        <v>444.975277030563</v>
      </c>
      <c r="V69" s="28" t="n">
        <f aca="false">U69*(1-Assumptions!$B$122)^V7+V68*(1-Assumptions!$B$122)^(V7/2)</f>
        <v>493.218781889682</v>
      </c>
      <c r="W69" s="28" t="n">
        <f aca="false">V69*(1-Assumptions!$B$122)^W7+W68*(1-Assumptions!$B$122)^(W7/2)</f>
        <v>546.873210244413</v>
      </c>
      <c r="X69" s="28" t="n">
        <f aca="false">W69*(1-Assumptions!$B$122)^X7+X68*(1-Assumptions!$B$122)^(X7/2)</f>
        <v>626.384615865534</v>
      </c>
      <c r="Y69" s="28" t="n">
        <f aca="false">X69*(1-Assumptions!$B$122)^Y7+Y68*(1-Assumptions!$B$122)^(Y7/2)</f>
        <v>695.948382448524</v>
      </c>
      <c r="Z69" s="28" t="n">
        <f aca="false">Y69*(1-Assumptions!$B$122)^Z7+Z68*(1-Assumptions!$B$122)^(Z7/2)</f>
        <v>751.772887533191</v>
      </c>
      <c r="AA69" s="28" t="n">
        <f aca="false">Z69*(1-Assumptions!$B$122)^AA7+AA68*(1-Assumptions!$B$122)^(AA7/2)</f>
        <v>1648.25636513855</v>
      </c>
      <c r="AB69" s="28" t="n">
        <f aca="false">AA69*(1-Assumptions!$B$122)^AB7+AB68*(1-Assumptions!$B$122)^(AB7/2)</f>
        <v>2872.36413406231</v>
      </c>
      <c r="AC69" s="28" t="n">
        <f aca="false">AB69*(1-Assumptions!$B$122)^AC7+AC68*(1-Assumptions!$B$122)^(AC7/2)</f>
        <v>4388.14092832719</v>
      </c>
      <c r="AD69" s="28" t="n">
        <f aca="false">AC69*(1-Assumptions!$B$122)^AD7+AD68*(1-Assumptions!$B$122)^(AD7/2)</f>
        <v>5837.98023892276</v>
      </c>
      <c r="AE69" s="28" t="n">
        <f aca="false">AD69*(1-Assumptions!$B$122)^AE7+AE68*(1-Assumptions!$B$122)^(AE7/2)</f>
        <v>6843.56132779773</v>
      </c>
    </row>
    <row r="70" customFormat="false" ht="15" hidden="false" customHeight="false" outlineLevel="0" collapsed="false">
      <c r="A70" s="6" t="s">
        <v>452</v>
      </c>
      <c r="B70" s="23" t="s">
        <v>190</v>
      </c>
      <c r="C70" s="54" t="n">
        <f aca="false">C68-C69</f>
        <v>0</v>
      </c>
      <c r="D70" s="54" t="n">
        <f aca="false">C69+D68-D69</f>
        <v>0</v>
      </c>
      <c r="E70" s="54" t="n">
        <f aca="false">D69+E68-E69</f>
        <v>0</v>
      </c>
      <c r="F70" s="54" t="n">
        <f aca="false">E69+F68-F69</f>
        <v>0</v>
      </c>
      <c r="G70" s="54" t="n">
        <f aca="false">F69+G68-G69</f>
        <v>0</v>
      </c>
      <c r="H70" s="54" t="n">
        <f aca="false">G69+H68-H69</f>
        <v>0</v>
      </c>
      <c r="I70" s="54" t="n">
        <f aca="false">H69+I68-I69</f>
        <v>0</v>
      </c>
      <c r="J70" s="54" t="n">
        <f aca="false">I69+J68-J69</f>
        <v>0</v>
      </c>
      <c r="K70" s="54" t="n">
        <f aca="false">J69+K68-K69</f>
        <v>0</v>
      </c>
      <c r="L70" s="54" t="n">
        <f aca="false">K69+L68-L69</f>
        <v>0</v>
      </c>
      <c r="M70" s="54" t="n">
        <f aca="false">L69+M68-M69</f>
        <v>0</v>
      </c>
      <c r="N70" s="54" t="n">
        <f aca="false">M69+N68-N69</f>
        <v>0</v>
      </c>
      <c r="O70" s="54" t="n">
        <f aca="false">N69+O68-O69</f>
        <v>1.78236182196102</v>
      </c>
      <c r="P70" s="54" t="n">
        <f aca="false">O69+P68-P69</f>
        <v>5.17660113791877</v>
      </c>
      <c r="Q70" s="54" t="n">
        <f aca="false">P69+Q68-Q69</f>
        <v>8.33683964373751</v>
      </c>
      <c r="R70" s="54" t="n">
        <f aca="false">Q69+R68-R69</f>
        <v>11.7915577148798</v>
      </c>
      <c r="S70" s="54" t="n">
        <f aca="false">R69+S68-S69</f>
        <v>15.3903304636815</v>
      </c>
      <c r="T70" s="54" t="n">
        <f aca="false">S69+T68-T69</f>
        <v>18.3918385521991</v>
      </c>
      <c r="U70" s="54" t="n">
        <f aca="false">T69+U68-U69</f>
        <v>20.9522363139037</v>
      </c>
      <c r="V70" s="54" t="n">
        <f aca="false">U69+V68-V69</f>
        <v>23.3876820900157</v>
      </c>
      <c r="W70" s="54" t="n">
        <f aca="false">V69+W68-W69</f>
        <v>25.9278882110509</v>
      </c>
      <c r="X70" s="54" t="n">
        <f aca="false">W69+X68-X69</f>
        <v>29.2533981197847</v>
      </c>
      <c r="Y70" s="54" t="n">
        <f aca="false">X69+Y68-Y69</f>
        <v>32.9641396508296</v>
      </c>
      <c r="Z70" s="54" t="n">
        <f aca="false">Y69+Z68-Z69</f>
        <v>36.0836060125652</v>
      </c>
      <c r="AA70" s="54" t="n">
        <f aca="false">Z69+AA68-AA69</f>
        <v>768.495256639469</v>
      </c>
      <c r="AB70" s="54" t="n">
        <f aca="false">AA69+AB68-AB69</f>
        <v>1426.60760318592</v>
      </c>
      <c r="AC70" s="54" t="n">
        <f aca="false">AB69+AC68-AC69</f>
        <v>2270.98897188807</v>
      </c>
      <c r="AD70" s="54" t="n">
        <f aca="false">AC69+AD68-AD69</f>
        <v>3167.75922631186</v>
      </c>
      <c r="AE70" s="54" t="n">
        <f aca="false">AD69+AE68-AE69</f>
        <v>3892.71310148568</v>
      </c>
    </row>
    <row r="71" customFormat="false" ht="15" hidden="false" customHeight="false" outlineLevel="0" collapsed="false">
      <c r="A71" s="6" t="s">
        <v>453</v>
      </c>
      <c r="B71" s="23" t="s">
        <v>190</v>
      </c>
      <c r="C71" s="45" t="n">
        <f aca="false">C70</f>
        <v>0</v>
      </c>
      <c r="D71" s="45" t="n">
        <f aca="false">C71+D70</f>
        <v>0</v>
      </c>
      <c r="E71" s="45" t="n">
        <f aca="false">D71+E70</f>
        <v>0</v>
      </c>
      <c r="F71" s="45" t="n">
        <f aca="false">E71+F70</f>
        <v>0</v>
      </c>
      <c r="G71" s="45" t="n">
        <f aca="false">F71+G70</f>
        <v>0</v>
      </c>
      <c r="H71" s="45" t="n">
        <f aca="false">G71+H70</f>
        <v>0</v>
      </c>
      <c r="I71" s="45" t="n">
        <f aca="false">H71+I70</f>
        <v>0</v>
      </c>
      <c r="J71" s="45" t="n">
        <f aca="false">I71+J70</f>
        <v>0</v>
      </c>
      <c r="K71" s="45" t="n">
        <f aca="false">J71+K70</f>
        <v>0</v>
      </c>
      <c r="L71" s="45" t="n">
        <f aca="false">K71+L70</f>
        <v>0</v>
      </c>
      <c r="M71" s="45" t="n">
        <f aca="false">L71+M70</f>
        <v>0</v>
      </c>
      <c r="N71" s="45" t="n">
        <f aca="false">M71+N70</f>
        <v>0</v>
      </c>
      <c r="O71" s="45" t="n">
        <f aca="false">N71+O70</f>
        <v>1.78236182196102</v>
      </c>
      <c r="P71" s="45" t="n">
        <f aca="false">O71+P70</f>
        <v>6.95896295987978</v>
      </c>
      <c r="Q71" s="45" t="n">
        <f aca="false">P71+Q70</f>
        <v>15.2958026036173</v>
      </c>
      <c r="R71" s="45" t="n">
        <f aca="false">Q71+R70</f>
        <v>27.0873603184971</v>
      </c>
      <c r="S71" s="45" t="n">
        <f aca="false">R71+S70</f>
        <v>42.4776907821786</v>
      </c>
      <c r="T71" s="45" t="n">
        <f aca="false">S71+T70</f>
        <v>60.8695293343777</v>
      </c>
      <c r="U71" s="45" t="n">
        <f aca="false">T71+U70</f>
        <v>81.8217656482813</v>
      </c>
      <c r="V71" s="45" t="n">
        <f aca="false">U71+V70</f>
        <v>105.209447738297</v>
      </c>
      <c r="W71" s="45" t="n">
        <f aca="false">V71+W70</f>
        <v>131.137335949348</v>
      </c>
      <c r="X71" s="45" t="n">
        <f aca="false">W71+X70</f>
        <v>160.390734069133</v>
      </c>
      <c r="Y71" s="45" t="n">
        <f aca="false">X71+Y70</f>
        <v>193.354873719962</v>
      </c>
      <c r="Z71" s="45" t="n">
        <f aca="false">Y71+Z70</f>
        <v>229.438479732527</v>
      </c>
      <c r="AA71" s="45" t="n">
        <f aca="false">Z71+AA70</f>
        <v>997.933736371996</v>
      </c>
      <c r="AB71" s="45" t="n">
        <f aca="false">AA71+AB70</f>
        <v>2424.54133955792</v>
      </c>
      <c r="AC71" s="45" t="n">
        <f aca="false">AB71+AC70</f>
        <v>4695.53031144599</v>
      </c>
      <c r="AD71" s="45" t="n">
        <f aca="false">AC71+AD70</f>
        <v>7863.28953775786</v>
      </c>
      <c r="AE71" s="45" t="n">
        <f aca="false">AD71+AE70</f>
        <v>11756.0026392435</v>
      </c>
    </row>
    <row r="72" customFormat="false" ht="15" hidden="false" customHeight="false" outlineLevel="0" collapsed="false">
      <c r="A72" s="6" t="s">
        <v>454</v>
      </c>
      <c r="B72" s="23" t="s">
        <v>190</v>
      </c>
      <c r="C72" s="45" t="n">
        <f aca="false">C68</f>
        <v>0</v>
      </c>
      <c r="D72" s="45" t="n">
        <f aca="false">C72+D68</f>
        <v>0</v>
      </c>
      <c r="E72" s="45" t="n">
        <f aca="false">D72+E68</f>
        <v>0</v>
      </c>
      <c r="F72" s="45" t="n">
        <f aca="false">E72+F68</f>
        <v>0</v>
      </c>
      <c r="G72" s="45" t="n">
        <f aca="false">F72+G68</f>
        <v>0</v>
      </c>
      <c r="H72" s="45" t="n">
        <f aca="false">G72+H68</f>
        <v>0</v>
      </c>
      <c r="I72" s="45" t="n">
        <f aca="false">H72+I68</f>
        <v>0</v>
      </c>
      <c r="J72" s="45" t="n">
        <f aca="false">I72+J68</f>
        <v>0</v>
      </c>
      <c r="K72" s="45" t="n">
        <f aca="false">J72+K68</f>
        <v>0</v>
      </c>
      <c r="L72" s="45" t="n">
        <f aca="false">K72+L68</f>
        <v>0</v>
      </c>
      <c r="M72" s="45" t="n">
        <f aca="false">L72+M68</f>
        <v>0</v>
      </c>
      <c r="N72" s="45" t="n">
        <f aca="false">M72+N68</f>
        <v>0</v>
      </c>
      <c r="O72" s="45" t="n">
        <f aca="false">N72+O68</f>
        <v>72.4473</v>
      </c>
      <c r="P72" s="45" t="n">
        <f aca="false">O72+P68</f>
        <v>143.268193520962</v>
      </c>
      <c r="Q72" s="45" t="n">
        <f aca="false">P72+Q68</f>
        <v>212.869069761923</v>
      </c>
      <c r="R72" s="45" t="n">
        <f aca="false">Q72+R68</f>
        <v>301.872327686181</v>
      </c>
      <c r="S72" s="45" t="n">
        <f aca="false">R72+S68</f>
        <v>384.630348735531</v>
      </c>
      <c r="T72" s="45" t="n">
        <f aca="false">S72+T68</f>
        <v>456.312072334953</v>
      </c>
      <c r="U72" s="45" t="n">
        <f aca="false">T72+U68</f>
        <v>526.797042678844</v>
      </c>
      <c r="V72" s="45" t="n">
        <f aca="false">U72+V68</f>
        <v>598.428229627979</v>
      </c>
      <c r="W72" s="45" t="n">
        <f aca="false">V72+W68</f>
        <v>678.010546193761</v>
      </c>
      <c r="X72" s="45" t="n">
        <f aca="false">W72+X68</f>
        <v>786.775349934666</v>
      </c>
      <c r="Y72" s="45" t="n">
        <f aca="false">X72+Y68</f>
        <v>889.303256168486</v>
      </c>
      <c r="Z72" s="45" t="n">
        <f aca="false">Y72+Z68</f>
        <v>981.211367265718</v>
      </c>
      <c r="AA72" s="45" t="n">
        <f aca="false">Z72+AA68</f>
        <v>2646.19010151054</v>
      </c>
      <c r="AB72" s="45" t="n">
        <f aca="false">AA72+AB68</f>
        <v>5296.90547362023</v>
      </c>
      <c r="AC72" s="45" t="n">
        <f aca="false">AB72+AC68</f>
        <v>9083.67123977318</v>
      </c>
      <c r="AD72" s="45" t="n">
        <f aca="false">AC72+AD68</f>
        <v>13701.2697766806</v>
      </c>
      <c r="AE72" s="45" t="n">
        <f aca="false">AD72+AE68</f>
        <v>18599.5639670413</v>
      </c>
    </row>
    <row r="73" customFormat="false" ht="15" hidden="false" customHeight="false" outlineLevel="0" collapsed="false">
      <c r="A73" s="6" t="s">
        <v>455</v>
      </c>
      <c r="B73" s="23" t="s">
        <v>114</v>
      </c>
      <c r="C73" s="55" t="n">
        <f aca="false">IF(C2&gt;=Assumptions!$B$47,C69*Assumptions!$B$172*C7,0)</f>
        <v>0</v>
      </c>
      <c r="D73" s="55" t="n">
        <f aca="false">IF(D2&gt;=Assumptions!$B$47,D69*Assumptions!$B$172*D7,0)</f>
        <v>0</v>
      </c>
      <c r="E73" s="55" t="n">
        <f aca="false">IF(E2&gt;=Assumptions!$B$47,E69*Assumptions!$B$172*E7,0)</f>
        <v>0</v>
      </c>
      <c r="F73" s="55" t="n">
        <f aca="false">IF(F2&gt;=Assumptions!$B$47,F69*Assumptions!$B$172*F7,0)</f>
        <v>0</v>
      </c>
      <c r="G73" s="55" t="n">
        <f aca="false">IF(G2&gt;=Assumptions!$B$47,G69*Assumptions!$B$172*G7,0)</f>
        <v>0</v>
      </c>
      <c r="H73" s="55" t="n">
        <f aca="false">IF(H2&gt;=Assumptions!$B$47,H69*Assumptions!$B$172*H7,0)</f>
        <v>0</v>
      </c>
      <c r="I73" s="55" t="n">
        <f aca="false">IF(I2&gt;=Assumptions!$B$47,I69*Assumptions!$B$172*I7,0)</f>
        <v>0</v>
      </c>
      <c r="J73" s="55" t="n">
        <f aca="false">IF(J2&gt;=Assumptions!$B$47,J69*Assumptions!$B$172*J7,0)</f>
        <v>0</v>
      </c>
      <c r="K73" s="55" t="n">
        <f aca="false">IF(K2&gt;=Assumptions!$B$47,K69*Assumptions!$B$172*K7,0)</f>
        <v>0</v>
      </c>
      <c r="L73" s="55" t="n">
        <f aca="false">IF(L2&gt;=Assumptions!$B$47,L69*Assumptions!$B$172*L7,0)</f>
        <v>0</v>
      </c>
      <c r="M73" s="55" t="n">
        <f aca="false">IF(M2&gt;=Assumptions!$B$47,M69*Assumptions!$B$172*M7,0)</f>
        <v>0</v>
      </c>
      <c r="N73" s="55" t="n">
        <f aca="false">IF(N2&gt;=Assumptions!$B$47,N69*Assumptions!$B$172*N7,0)</f>
        <v>0</v>
      </c>
      <c r="O73" s="55" t="n">
        <f aca="false">IF(O2&gt;=Assumptions!$B$47,O69*Assumptions!$B$172*O7,0)</f>
        <v>1837.28839262901</v>
      </c>
      <c r="P73" s="55" t="n">
        <f aca="false">IF(P2&gt;=Assumptions!$B$47,P69*Assumptions!$B$172*P7,0)</f>
        <v>3544.03999458813</v>
      </c>
      <c r="Q73" s="55" t="n">
        <f aca="false">IF(Q2&gt;=Assumptions!$B$47,Q69*Assumptions!$B$172*Q7,0)</f>
        <v>5136.90494611595</v>
      </c>
      <c r="R73" s="55" t="n">
        <f aca="false">IF(R2&gt;=Assumptions!$B$47,R69*Assumptions!$B$172*R7,0)</f>
        <v>7144.40915155978</v>
      </c>
      <c r="S73" s="55" t="n">
        <f aca="false">IF(S2&gt;=Assumptions!$B$47,S69*Assumptions!$B$172*S7,0)</f>
        <v>8895.96910678716</v>
      </c>
      <c r="T73" s="55" t="n">
        <f aca="false">IF(T2&gt;=Assumptions!$B$47,T69*Assumptions!$B$172*T7,0)</f>
        <v>10281.506118015</v>
      </c>
      <c r="U73" s="55" t="n">
        <f aca="false">IF(U2&gt;=Assumptions!$B$47,U69*Assumptions!$B$172*U7,0)</f>
        <v>11569.3572027946</v>
      </c>
      <c r="V73" s="55" t="n">
        <f aca="false">IF(V2&gt;=Assumptions!$B$47,V69*Assumptions!$B$172*V7,0)</f>
        <v>12823.6883291317</v>
      </c>
      <c r="W73" s="55" t="n">
        <f aca="false">IF(W2&gt;=Assumptions!$B$47,W69*Assumptions!$B$172*W7,0)</f>
        <v>14218.7034663547</v>
      </c>
      <c r="X73" s="55" t="n">
        <f aca="false">IF(X2&gt;=Assumptions!$B$47,X69*Assumptions!$B$172*X7,0)</f>
        <v>16286.0000125039</v>
      </c>
      <c r="Y73" s="55" t="n">
        <f aca="false">IF(Y2&gt;=Assumptions!$B$47,Y69*Assumptions!$B$172*Y7,0)</f>
        <v>18094.6579436616</v>
      </c>
      <c r="Z73" s="55" t="n">
        <f aca="false">IF(Z2&gt;=Assumptions!$B$47,Z69*Assumptions!$B$172*Z7,0)</f>
        <v>19546.095075863</v>
      </c>
      <c r="AA73" s="55" t="n">
        <f aca="false">IF(AA2&gt;=Assumptions!$B$47,AA69*Assumptions!$B$172*AA7,0)</f>
        <v>514255.985923226</v>
      </c>
      <c r="AB73" s="55" t="n">
        <f aca="false">IF(AB2&gt;=Assumptions!$B$47,AB69*Assumptions!$B$172*AB7,0)</f>
        <v>896177.60982744</v>
      </c>
      <c r="AC73" s="55" t="n">
        <f aca="false">IF(AC2&gt;=Assumptions!$B$47,AC69*Assumptions!$B$172*AC7,0)</f>
        <v>1369099.96963808</v>
      </c>
      <c r="AD73" s="55" t="n">
        <f aca="false">IF(AD2&gt;=Assumptions!$B$47,AD69*Assumptions!$B$172*AD7,0)</f>
        <v>1821449.8345439</v>
      </c>
      <c r="AE73" s="55" t="n">
        <f aca="false">IF(AE2&gt;=Assumptions!$B$47,AE69*Assumptions!$B$172*AE7,0)</f>
        <v>2135191.13427289</v>
      </c>
    </row>
    <row r="74" customFormat="false" ht="15" hidden="false" customHeight="false" outlineLevel="0" collapsed="false">
      <c r="A74" s="6" t="s">
        <v>456</v>
      </c>
      <c r="B74" s="23" t="s">
        <v>114</v>
      </c>
      <c r="C74" s="55" t="n">
        <f aca="false">IF(C2&gt;=Assumptions!$B$48,C69*Assumptions!$B$36*Assumptions!$B$139*Assumptions!$B$141*Assumptions!$B$33*Assumptions!$B$140/12*C7,0)</f>
        <v>0</v>
      </c>
      <c r="D74" s="55" t="n">
        <f aca="false">IF(D2&gt;=Assumptions!$B$48,D69*Assumptions!$B$36*Assumptions!$B$139*Assumptions!$B$141*Assumptions!$B$33*Assumptions!$B$140/12*D7,0)</f>
        <v>0</v>
      </c>
      <c r="E74" s="55" t="n">
        <f aca="false">IF(E2&gt;=Assumptions!$B$48,E69*Assumptions!$B$36*Assumptions!$B$139*Assumptions!$B$141*Assumptions!$B$33*Assumptions!$B$140/12*E7,0)</f>
        <v>0</v>
      </c>
      <c r="F74" s="55" t="n">
        <f aca="false">IF(F2&gt;=Assumptions!$B$48,F69*Assumptions!$B$36*Assumptions!$B$139*Assumptions!$B$141*Assumptions!$B$33*Assumptions!$B$140/12*F7,0)</f>
        <v>0</v>
      </c>
      <c r="G74" s="55" t="n">
        <f aca="false">IF(G2&gt;=Assumptions!$B$48,G69*Assumptions!$B$36*Assumptions!$B$139*Assumptions!$B$141*Assumptions!$B$33*Assumptions!$B$140/12*G7,0)</f>
        <v>0</v>
      </c>
      <c r="H74" s="55" t="n">
        <f aca="false">IF(H2&gt;=Assumptions!$B$48,H69*Assumptions!$B$36*Assumptions!$B$139*Assumptions!$B$141*Assumptions!$B$33*Assumptions!$B$140/12*H7,0)</f>
        <v>0</v>
      </c>
      <c r="I74" s="55" t="n">
        <f aca="false">IF(I2&gt;=Assumptions!$B$48,I69*Assumptions!$B$36*Assumptions!$B$139*Assumptions!$B$141*Assumptions!$B$33*Assumptions!$B$140/12*I7,0)</f>
        <v>0</v>
      </c>
      <c r="J74" s="55" t="n">
        <f aca="false">IF(J2&gt;=Assumptions!$B$48,J69*Assumptions!$B$36*Assumptions!$B$139*Assumptions!$B$141*Assumptions!$B$33*Assumptions!$B$140/12*J7,0)</f>
        <v>0</v>
      </c>
      <c r="K74" s="55" t="n">
        <f aca="false">IF(K2&gt;=Assumptions!$B$48,K69*Assumptions!$B$36*Assumptions!$B$139*Assumptions!$B$141*Assumptions!$B$33*Assumptions!$B$140/12*K7,0)</f>
        <v>0</v>
      </c>
      <c r="L74" s="55" t="n">
        <f aca="false">IF(L2&gt;=Assumptions!$B$48,L69*Assumptions!$B$36*Assumptions!$B$139*Assumptions!$B$141*Assumptions!$B$33*Assumptions!$B$140/12*L7,0)</f>
        <v>0</v>
      </c>
      <c r="M74" s="55" t="n">
        <f aca="false">IF(M2&gt;=Assumptions!$B$48,M69*Assumptions!$B$36*Assumptions!$B$139*Assumptions!$B$141*Assumptions!$B$33*Assumptions!$B$140/12*M7,0)</f>
        <v>0</v>
      </c>
      <c r="N74" s="55" t="n">
        <f aca="false">IF(N2&gt;=Assumptions!$B$48,N69*Assumptions!$B$36*Assumptions!$B$139*Assumptions!$B$141*Assumptions!$B$33*Assumptions!$B$140/12*N7,0)</f>
        <v>0</v>
      </c>
      <c r="O74" s="55" t="n">
        <f aca="false">IF(O2&gt;=Assumptions!$B$48,O69*Assumptions!$B$36*Assumptions!$B$139*Assumptions!$B$141*Assumptions!$B$33*Assumptions!$B$140/12*O7,0)</f>
        <v>145.157560507388</v>
      </c>
      <c r="P74" s="55" t="n">
        <f aca="false">IF(P2&gt;=Assumptions!$B$48,P69*Assumptions!$B$36*Assumptions!$B$139*Assumptions!$B$141*Assumptions!$B$33*Assumptions!$B$140/12*P7,0)</f>
        <v>280.001877777556</v>
      </c>
      <c r="Q74" s="55" t="n">
        <f aca="false">IF(Q2&gt;=Assumptions!$B$48,Q69*Assumptions!$B$36*Assumptions!$B$139*Assumptions!$B$141*Assumptions!$B$33*Assumptions!$B$140/12*Q7,0)</f>
        <v>405.84841962102</v>
      </c>
      <c r="R74" s="55" t="n">
        <f aca="false">IF(R2&gt;=Assumptions!$B$48,R69*Assumptions!$B$36*Assumptions!$B$139*Assumptions!$B$141*Assumptions!$B$33*Assumptions!$B$140/12*R7,0)</f>
        <v>564.454120467784</v>
      </c>
      <c r="S74" s="55" t="n">
        <f aca="false">IF(S2&gt;=Assumptions!$B$48,S69*Assumptions!$B$36*Assumptions!$B$139*Assumptions!$B$141*Assumptions!$B$33*Assumptions!$B$140/12*S7,0)</f>
        <v>702.838584879178</v>
      </c>
      <c r="T74" s="55" t="n">
        <f aca="false">IF(T2&gt;=Assumptions!$B$48,T69*Assumptions!$B$36*Assumptions!$B$139*Assumptions!$B$141*Assumptions!$B$33*Assumptions!$B$140/12*T7,0)</f>
        <v>812.304890413683</v>
      </c>
      <c r="U74" s="55" t="n">
        <f aca="false">IF(U2&gt;=Assumptions!$B$48,U69*Assumptions!$B$36*Assumptions!$B$139*Assumptions!$B$141*Assumptions!$B$33*Assumptions!$B$140/12*U7,0)</f>
        <v>914.053381566948</v>
      </c>
      <c r="V74" s="55" t="n">
        <f aca="false">IF(V2&gt;=Assumptions!$B$48,V69*Assumptions!$B$36*Assumptions!$B$139*Assumptions!$B$141*Assumptions!$B$33*Assumptions!$B$140/12*V7,0)</f>
        <v>1013.15358113172</v>
      </c>
      <c r="W74" s="55" t="n">
        <f aca="false">IF(W2&gt;=Assumptions!$B$48,W69*Assumptions!$B$36*Assumptions!$B$139*Assumptions!$B$141*Assumptions!$B$33*Assumptions!$B$140/12*W7,0)</f>
        <v>1123.36871937707</v>
      </c>
      <c r="X74" s="55" t="n">
        <f aca="false">IF(X2&gt;=Assumptions!$B$48,X69*Assumptions!$B$36*Assumptions!$B$139*Assumptions!$B$141*Assumptions!$B$33*Assumptions!$B$140/12*X7,0)</f>
        <v>1286.69839842378</v>
      </c>
      <c r="Y74" s="55" t="n">
        <f aca="false">IF(Y2&gt;=Assumptions!$B$48,Y69*Assumptions!$B$36*Assumptions!$B$139*Assumptions!$B$141*Assumptions!$B$33*Assumptions!$B$140/12*Y7,0)</f>
        <v>1429.59396894634</v>
      </c>
      <c r="Z74" s="55" t="n">
        <f aca="false">IF(Z2&gt;=Assumptions!$B$48,Z69*Assumptions!$B$36*Assumptions!$B$139*Assumptions!$B$141*Assumptions!$B$33*Assumptions!$B$140/12*Z7,0)</f>
        <v>1544.26680647443</v>
      </c>
      <c r="AA74" s="55" t="n">
        <f aca="false">IF(AA2&gt;=Assumptions!$B$48,AA69*Assumptions!$B$36*Assumptions!$B$139*Assumptions!$B$141*Assumptions!$B$33*Assumptions!$B$140/12*AA7,0)</f>
        <v>40629.5194006652</v>
      </c>
      <c r="AB74" s="55" t="n">
        <f aca="false">IF(AB2&gt;=Assumptions!$B$48,AB69*Assumptions!$B$36*Assumptions!$B$139*Assumptions!$B$141*Assumptions!$B$33*Assumptions!$B$140/12*AB7,0)</f>
        <v>70803.7759046358</v>
      </c>
      <c r="AC74" s="55" t="n">
        <f aca="false">IF(AC2&gt;=Assumptions!$B$48,AC69*Assumptions!$B$36*Assumptions!$B$139*Assumptions!$B$141*Assumptions!$B$33*Assumptions!$B$140/12*AC7,0)</f>
        <v>108167.673883265</v>
      </c>
      <c r="AD74" s="55" t="n">
        <f aca="false">IF(AD2&gt;=Assumptions!$B$48,AD69*Assumptions!$B$36*Assumptions!$B$139*Assumptions!$B$141*Assumptions!$B$33*Assumptions!$B$140/12*AD7,0)</f>
        <v>143906.212889446</v>
      </c>
      <c r="AE74" s="55" t="n">
        <f aca="false">IF(AE2&gt;=Assumptions!$B$48,AE69*Assumptions!$B$36*Assumptions!$B$139*Assumptions!$B$141*Assumptions!$B$33*Assumptions!$B$140/12*AE7,0)</f>
        <v>168693.786730214</v>
      </c>
    </row>
    <row r="75" customFormat="false" ht="15" hidden="false" customHeight="false" outlineLevel="0" collapsed="false">
      <c r="A75" s="6" t="s">
        <v>457</v>
      </c>
      <c r="B75" s="23" t="s">
        <v>47</v>
      </c>
      <c r="C75" s="54" t="n">
        <f aca="false">(C73+C74)*(1-Assumptions!$B$8)/C21/(1+Assumptions!$B$9)</f>
        <v>0</v>
      </c>
      <c r="D75" s="54" t="n">
        <f aca="false">(D73+D74)*(1-Assumptions!$B$8)/D21/(1+Assumptions!$B$9)</f>
        <v>0</v>
      </c>
      <c r="E75" s="54" t="n">
        <f aca="false">(E73+E74)*(1-Assumptions!$B$8)/E21/(1+Assumptions!$B$9)</f>
        <v>0</v>
      </c>
      <c r="F75" s="54" t="n">
        <f aca="false">(F73+F74)*(1-Assumptions!$B$8)/F21/(1+Assumptions!$B$9)</f>
        <v>0</v>
      </c>
      <c r="G75" s="54" t="n">
        <f aca="false">(G73+G74)*(1-Assumptions!$B$8)/G21/(1+Assumptions!$B$9)</f>
        <v>0</v>
      </c>
      <c r="H75" s="54" t="n">
        <f aca="false">(H73+H74)*(1-Assumptions!$B$8)/H21/(1+Assumptions!$B$9)</f>
        <v>0</v>
      </c>
      <c r="I75" s="54" t="n">
        <f aca="false">(I73+I74)*(1-Assumptions!$B$8)/I21/(1+Assumptions!$B$9)</f>
        <v>0</v>
      </c>
      <c r="J75" s="54" t="n">
        <f aca="false">(J73+J74)*(1-Assumptions!$B$8)/J21/(1+Assumptions!$B$9)</f>
        <v>0</v>
      </c>
      <c r="K75" s="54" t="n">
        <f aca="false">(K73+K74)*(1-Assumptions!$B$8)/K21/(1+Assumptions!$B$9)</f>
        <v>0</v>
      </c>
      <c r="L75" s="54" t="n">
        <f aca="false">(L73+L74)*(1-Assumptions!$B$8)/L21/(1+Assumptions!$B$9)</f>
        <v>0</v>
      </c>
      <c r="M75" s="54" t="n">
        <f aca="false">(M73+M74)*(1-Assumptions!$B$8)/M21/(1+Assumptions!$B$9)</f>
        <v>0</v>
      </c>
      <c r="N75" s="54" t="n">
        <f aca="false">(N73+N74)*(1-Assumptions!$B$8)/N21/(1+Assumptions!$B$9)</f>
        <v>0</v>
      </c>
      <c r="O75" s="54" t="n">
        <f aca="false">(O73+O74)*(1-Assumptions!$B$8)/O21/(1+Assumptions!$B$9)</f>
        <v>12.1338765310747</v>
      </c>
      <c r="P75" s="54" t="n">
        <f aca="false">(P73+P74)*(1-Assumptions!$B$8)/P21/(1+Assumptions!$B$9)</f>
        <v>23.4056579729376</v>
      </c>
      <c r="Q75" s="54" t="n">
        <f aca="false">(Q73+Q74)*(1-Assumptions!$B$8)/Q21/(1+Assumptions!$B$9)</f>
        <v>33.925305694033</v>
      </c>
      <c r="R75" s="54" t="n">
        <f aca="false">(R73+R74)*(1-Assumptions!$B$8)/R21/(1+Assumptions!$B$9)</f>
        <v>47.1833267331869</v>
      </c>
      <c r="S75" s="54" t="n">
        <f aca="false">(S73+S74)*(1-Assumptions!$B$8)/S21/(1+Assumptions!$B$9)</f>
        <v>58.7510328803379</v>
      </c>
      <c r="T75" s="54" t="n">
        <f aca="false">(T73+T74)*(1-Assumptions!$B$8)/T21/(1+Assumptions!$B$9)</f>
        <v>67.901439039175</v>
      </c>
      <c r="U75" s="54" t="n">
        <f aca="false">(U73+U74)*(1-Assumptions!$B$8)/U21/(1+Assumptions!$B$9)</f>
        <v>76.4067047970273</v>
      </c>
      <c r="V75" s="54" t="n">
        <f aca="false">(V73+V74)*(1-Assumptions!$B$8)/V21/(1+Assumptions!$B$9)</f>
        <v>84.6905970140133</v>
      </c>
      <c r="W75" s="54" t="n">
        <f aca="false">(W73+W74)*(1-Assumptions!$B$8)/W21/(1+Assumptions!$B$9)</f>
        <v>93.9035989041647</v>
      </c>
      <c r="X75" s="54" t="n">
        <f aca="false">(X73+X74)*(1-Assumptions!$B$8)/X21/(1+Assumptions!$B$9)</f>
        <v>107.556502359456</v>
      </c>
      <c r="Y75" s="54" t="n">
        <f aca="false">(Y73+Y74)*(1-Assumptions!$B$8)/Y21/(1+Assumptions!$B$9)</f>
        <v>119.501296715999</v>
      </c>
      <c r="Z75" s="54" t="n">
        <f aca="false">(Z73+Z74)*(1-Assumptions!$B$8)/Z21/(1+Assumptions!$B$9)</f>
        <v>129.086922481341</v>
      </c>
      <c r="AA75" s="54" t="n">
        <f aca="false">(AA73+AA74)*(1-Assumptions!$B$8)/AA21/(1+Assumptions!$B$9)</f>
        <v>3141.78094775416</v>
      </c>
      <c r="AB75" s="54" t="n">
        <f aca="false">(AB73+AB74)*(1-Assumptions!$B$8)/AB21/(1+Assumptions!$B$9)</f>
        <v>5064.83079943828</v>
      </c>
      <c r="AC75" s="54" t="n">
        <f aca="false">(AC73+AC74)*(1-Assumptions!$B$8)/AC21/(1+Assumptions!$B$9)</f>
        <v>7157.81252143415</v>
      </c>
      <c r="AD75" s="54" t="n">
        <f aca="false">(AD73+AD74)*(1-Assumptions!$B$8)/AD21/(1+Assumptions!$B$9)</f>
        <v>8809.2042355971</v>
      </c>
      <c r="AE75" s="54" t="n">
        <f aca="false">(AE73+AE74)*(1-Assumptions!$B$8)/AE21/(1+Assumptions!$B$9)</f>
        <v>9552.79653633173</v>
      </c>
    </row>
    <row r="76" customFormat="false" ht="15" hidden="false" customHeight="false" outlineLevel="0" collapsed="false">
      <c r="A76" s="6" t="s">
        <v>458</v>
      </c>
      <c r="B76" s="23" t="s">
        <v>459</v>
      </c>
      <c r="C76" s="56" t="n">
        <f aca="false">(Assumptions!$B$136+Assumptions!$B$137*IF(C69+C71=0,1,(C69+C71*Assumptions!$B$138)/(C69+C71)))*C7/12</f>
        <v>0.01</v>
      </c>
      <c r="D76" s="56" t="n">
        <f aca="false">(Assumptions!$B$136+Assumptions!$B$137*IF(D69+D71=0,1,(D69+D71*Assumptions!$B$138)/(D69+D71)))*D7/12</f>
        <v>0.01</v>
      </c>
      <c r="E76" s="56" t="n">
        <f aca="false">(Assumptions!$B$136+Assumptions!$B$137*IF(E69+E71=0,1,(E69+E71*Assumptions!$B$138)/(E69+E71)))*E7/12</f>
        <v>0.01</v>
      </c>
      <c r="F76" s="56" t="n">
        <f aca="false">(Assumptions!$B$136+Assumptions!$B$137*IF(F69+F71=0,1,(F69+F71*Assumptions!$B$138)/(F69+F71)))*F7/12</f>
        <v>0.01</v>
      </c>
      <c r="G76" s="56" t="n">
        <f aca="false">(Assumptions!$B$136+Assumptions!$B$137*IF(G69+G71=0,1,(G69+G71*Assumptions!$B$138)/(G69+G71)))*G7/12</f>
        <v>0.01</v>
      </c>
      <c r="H76" s="56" t="n">
        <f aca="false">(Assumptions!$B$136+Assumptions!$B$137*IF(H69+H71=0,1,(H69+H71*Assumptions!$B$138)/(H69+H71)))*H7/12</f>
        <v>0.01</v>
      </c>
      <c r="I76" s="56" t="n">
        <f aca="false">(Assumptions!$B$136+Assumptions!$B$137*IF(I69+I71=0,1,(I69+I71*Assumptions!$B$138)/(I69+I71)))*I7/12</f>
        <v>0.01</v>
      </c>
      <c r="J76" s="56" t="n">
        <f aca="false">(Assumptions!$B$136+Assumptions!$B$137*IF(J69+J71=0,1,(J69+J71*Assumptions!$B$138)/(J69+J71)))*J7/12</f>
        <v>0.01</v>
      </c>
      <c r="K76" s="56" t="n">
        <f aca="false">(Assumptions!$B$136+Assumptions!$B$137*IF(K69+K71=0,1,(K69+K71*Assumptions!$B$138)/(K69+K71)))*K7/12</f>
        <v>0.01</v>
      </c>
      <c r="L76" s="56" t="n">
        <f aca="false">(Assumptions!$B$136+Assumptions!$B$137*IF(L69+L71=0,1,(L69+L71*Assumptions!$B$138)/(L69+L71)))*L7/12</f>
        <v>0.01</v>
      </c>
      <c r="M76" s="56" t="n">
        <f aca="false">(Assumptions!$B$136+Assumptions!$B$137*IF(M69+M71=0,1,(M69+M71*Assumptions!$B$138)/(M69+M71)))*M7/12</f>
        <v>0.01</v>
      </c>
      <c r="N76" s="56" t="n">
        <f aca="false">(Assumptions!$B$136+Assumptions!$B$137*IF(N69+N71=0,1,(N69+N71*Assumptions!$B$138)/(N69+N71)))*N7/12</f>
        <v>0.01</v>
      </c>
      <c r="O76" s="56" t="n">
        <f aca="false">(Assumptions!$B$136+Assumptions!$B$137*IF(O69+O71=0,1,(O69+O71*Assumptions!$B$138)/(O69+O71)))*O7/12</f>
        <v>0.0100738065527064</v>
      </c>
      <c r="P76" s="56" t="n">
        <f aca="false">(Assumptions!$B$136+Assumptions!$B$137*IF(P69+P71=0,1,(P69+P71*Assumptions!$B$138)/(P69+P71)))*P7/12</f>
        <v>0.0101457189370967</v>
      </c>
      <c r="Q76" s="56" t="n">
        <f aca="false">(Assumptions!$B$136+Assumptions!$B$137*IF(Q69+Q71=0,1,(Q69+Q71*Assumptions!$B$138)/(Q69+Q71)))*Q7/12</f>
        <v>0.0102155663472489</v>
      </c>
      <c r="R76" s="56" t="n">
        <f aca="false">(Assumptions!$B$136+Assumptions!$B$137*IF(R69+R71=0,1,(R69+R71*Assumptions!$B$138)/(R69+R71)))*R7/12</f>
        <v>0.0102691935414496</v>
      </c>
      <c r="S76" s="56" t="n">
        <f aca="false">(Assumptions!$B$136+Assumptions!$B$137*IF(S69+S71=0,1,(S69+S71*Assumptions!$B$138)/(S69+S71)))*S7/12</f>
        <v>0.0103313130977976</v>
      </c>
      <c r="T76" s="56" t="n">
        <f aca="false">(Assumptions!$B$136+Assumptions!$B$137*IF(T69+T71=0,1,(T69+T71*Assumptions!$B$138)/(T69+T71)))*T7/12</f>
        <v>0.0104001835565488</v>
      </c>
      <c r="U76" s="56" t="n">
        <f aca="false">(Assumptions!$B$136+Assumptions!$B$137*IF(U69+U71=0,1,(U69+U71*Assumptions!$B$138)/(U69+U71)))*U7/12</f>
        <v>0.0104659580010104</v>
      </c>
      <c r="V76" s="56" t="n">
        <f aca="false">(Assumptions!$B$136+Assumptions!$B$137*IF(V69+V71=0,1,(V69+V71*Assumptions!$B$138)/(V69+V71)))*V7/12</f>
        <v>0.0105274289005569</v>
      </c>
      <c r="W76" s="56" t="n">
        <f aca="false">(Assumptions!$B$136+Assumptions!$B$137*IF(W69+W71=0,1,(W69+W71*Assumptions!$B$138)/(W69+W71)))*W7/12</f>
        <v>0.0105802446732674</v>
      </c>
      <c r="X76" s="56" t="n">
        <f aca="false">(Assumptions!$B$136+Assumptions!$B$137*IF(X69+X71=0,1,(X69+X71*Assumptions!$B$138)/(X69+X71)))*X7/12</f>
        <v>0.0106115750858836</v>
      </c>
      <c r="Y76" s="56" t="n">
        <f aca="false">(Assumptions!$B$136+Assumptions!$B$137*IF(Y69+Y71=0,1,(Y69+Y71*Assumptions!$B$138)/(Y69+Y71)))*Y7/12</f>
        <v>0.0106522686351775</v>
      </c>
      <c r="Z76" s="56" t="n">
        <f aca="false">(Assumptions!$B$136+Assumptions!$B$137*IF(Z69+Z71=0,1,(Z69+Z71*Assumptions!$B$138)/(Z69+Z71)))*Z7/12</f>
        <v>0.0107014955820535</v>
      </c>
      <c r="AA76" s="56" t="n">
        <f aca="false">(Assumptions!$B$136+Assumptions!$B$137*IF(AA69+AA71=0,1,(AA69+AA71*Assumptions!$B$138)/(AA69+AA71)))*AA7/12</f>
        <v>0.133576354355223</v>
      </c>
      <c r="AB76" s="56" t="n">
        <f aca="false">(Assumptions!$B$136+Assumptions!$B$137*IF(AB69+AB71=0,1,(AB69+AB71*Assumptions!$B$138)/(AB69+AB71)))*AB7/12</f>
        <v>0.136478203860495</v>
      </c>
      <c r="AC76" s="56" t="n">
        <f aca="false">(Assumptions!$B$136+Assumptions!$B$137*IF(AC69+AC71=0,1,(AC69+AC71*Assumptions!$B$138)/(AC69+AC71)))*AC7/12</f>
        <v>0.138609115934526</v>
      </c>
      <c r="AD76" s="56" t="n">
        <f aca="false">(Assumptions!$B$136+Assumptions!$B$137*IF(AD69+AD71=0,1,(AD69+AD71*Assumptions!$B$138)/(AD69+AD71)))*AD7/12</f>
        <v>0.140660743710125</v>
      </c>
      <c r="AE76" s="56" t="n">
        <f aca="false">(Assumptions!$B$136+Assumptions!$B$137*IF(AE69+AE71=0,1,(AE69+AE71*Assumptions!$B$138)/(AE69+AE71)))*AE7/12</f>
        <v>0.142754086911</v>
      </c>
    </row>
    <row r="77" customFormat="false" ht="15" hidden="false" customHeight="false" outlineLevel="0" collapsed="false">
      <c r="A77" s="6" t="s">
        <v>460</v>
      </c>
      <c r="B77" s="23" t="s">
        <v>459</v>
      </c>
      <c r="C77" s="56" t="n">
        <f aca="false">Assumptions!$B$137*IF(C69+C71=0,1,(C69+C71*Assumptions!$B$138)/(C69+C71))*C7/12</f>
        <v>0.005</v>
      </c>
      <c r="D77" s="56" t="n">
        <f aca="false">Assumptions!$B$137*IF(D69+D71=0,1,(D69+D71*Assumptions!$B$138)/(D69+D71))*D7/12</f>
        <v>0.005</v>
      </c>
      <c r="E77" s="56" t="n">
        <f aca="false">Assumptions!$B$137*IF(E69+E71=0,1,(E69+E71*Assumptions!$B$138)/(E69+E71))*E7/12</f>
        <v>0.005</v>
      </c>
      <c r="F77" s="56" t="n">
        <f aca="false">Assumptions!$B$137*IF(F69+F71=0,1,(F69+F71*Assumptions!$B$138)/(F69+F71))*F7/12</f>
        <v>0.005</v>
      </c>
      <c r="G77" s="56" t="n">
        <f aca="false">Assumptions!$B$137*IF(G69+G71=0,1,(G69+G71*Assumptions!$B$138)/(G69+G71))*G7/12</f>
        <v>0.005</v>
      </c>
      <c r="H77" s="56" t="n">
        <f aca="false">Assumptions!$B$137*IF(H69+H71=0,1,(H69+H71*Assumptions!$B$138)/(H69+H71))*H7/12</f>
        <v>0.005</v>
      </c>
      <c r="I77" s="56" t="n">
        <f aca="false">Assumptions!$B$137*IF(I69+I71=0,1,(I69+I71*Assumptions!$B$138)/(I69+I71))*I7/12</f>
        <v>0.005</v>
      </c>
      <c r="J77" s="56" t="n">
        <f aca="false">Assumptions!$B$137*IF(J69+J71=0,1,(J69+J71*Assumptions!$B$138)/(J69+J71))*J7/12</f>
        <v>0.005</v>
      </c>
      <c r="K77" s="56" t="n">
        <f aca="false">Assumptions!$B$137*IF(K69+K71=0,1,(K69+K71*Assumptions!$B$138)/(K69+K71))*K7/12</f>
        <v>0.005</v>
      </c>
      <c r="L77" s="56" t="n">
        <f aca="false">Assumptions!$B$137*IF(L69+L71=0,1,(L69+L71*Assumptions!$B$138)/(L69+L71))*L7/12</f>
        <v>0.005</v>
      </c>
      <c r="M77" s="56" t="n">
        <f aca="false">Assumptions!$B$137*IF(M69+M71=0,1,(M69+M71*Assumptions!$B$138)/(M69+M71))*M7/12</f>
        <v>0.005</v>
      </c>
      <c r="N77" s="56" t="n">
        <f aca="false">Assumptions!$B$137*IF(N69+N71=0,1,(N69+N71*Assumptions!$B$138)/(N69+N71))*N7/12</f>
        <v>0.005</v>
      </c>
      <c r="O77" s="56" t="n">
        <f aca="false">Assumptions!$B$137*IF(O69+O71=0,1,(O69+O71*Assumptions!$B$138)/(O69+O71))*O7/12</f>
        <v>0.00507380655270636</v>
      </c>
      <c r="P77" s="56" t="n">
        <f aca="false">Assumptions!$B$137*IF(P69+P71=0,1,(P69+P71*Assumptions!$B$138)/(P69+P71))*P7/12</f>
        <v>0.0051457189370967</v>
      </c>
      <c r="Q77" s="56" t="n">
        <f aca="false">Assumptions!$B$137*IF(Q69+Q71=0,1,(Q69+Q71*Assumptions!$B$138)/(Q69+Q71))*Q7/12</f>
        <v>0.00521556634724891</v>
      </c>
      <c r="R77" s="56" t="n">
        <f aca="false">Assumptions!$B$137*IF(R69+R71=0,1,(R69+R71*Assumptions!$B$138)/(R69+R71))*R7/12</f>
        <v>0.00526919354144965</v>
      </c>
      <c r="S77" s="56" t="n">
        <f aca="false">Assumptions!$B$137*IF(S69+S71=0,1,(S69+S71*Assumptions!$B$138)/(S69+S71))*S7/12</f>
        <v>0.00533131309779759</v>
      </c>
      <c r="T77" s="56" t="n">
        <f aca="false">Assumptions!$B$137*IF(T69+T71=0,1,(T69+T71*Assumptions!$B$138)/(T69+T71))*T7/12</f>
        <v>0.00540018355654875</v>
      </c>
      <c r="U77" s="56" t="n">
        <f aca="false">Assumptions!$B$137*IF(U69+U71=0,1,(U69+U71*Assumptions!$B$138)/(U69+U71))*U7/12</f>
        <v>0.00546595800101044</v>
      </c>
      <c r="V77" s="56" t="n">
        <f aca="false">Assumptions!$B$137*IF(V69+V71=0,1,(V69+V71*Assumptions!$B$138)/(V69+V71))*V7/12</f>
        <v>0.00552742890055689</v>
      </c>
      <c r="W77" s="56" t="n">
        <f aca="false">Assumptions!$B$137*IF(W69+W71=0,1,(W69+W71*Assumptions!$B$138)/(W69+W71))*W7/12</f>
        <v>0.00558024467326739</v>
      </c>
      <c r="X77" s="56" t="n">
        <f aca="false">Assumptions!$B$137*IF(X69+X71=0,1,(X69+X71*Assumptions!$B$138)/(X69+X71))*X7/12</f>
        <v>0.00561157508588361</v>
      </c>
      <c r="Y77" s="56" t="n">
        <f aca="false">Assumptions!$B$137*IF(Y69+Y71=0,1,(Y69+Y71*Assumptions!$B$138)/(Y69+Y71))*Y7/12</f>
        <v>0.00565226863517746</v>
      </c>
      <c r="Z77" s="56" t="n">
        <f aca="false">Assumptions!$B$137*IF(Z69+Z71=0,1,(Z69+Z71*Assumptions!$B$138)/(Z69+Z71))*Z7/12</f>
        <v>0.00570149558205351</v>
      </c>
      <c r="AA77" s="56" t="n">
        <f aca="false">Assumptions!$B$137*IF(AA69+AA71=0,1,(AA69+AA71*Assumptions!$B$138)/(AA69+AA71))*AA7/12</f>
        <v>0.0735763543552235</v>
      </c>
      <c r="AB77" s="56" t="n">
        <f aca="false">Assumptions!$B$137*IF(AB69+AB71=0,1,(AB69+AB71*Assumptions!$B$138)/(AB69+AB71))*AB7/12</f>
        <v>0.0764782038604949</v>
      </c>
      <c r="AC77" s="56" t="n">
        <f aca="false">Assumptions!$B$137*IF(AC69+AC71=0,1,(AC69+AC71*Assumptions!$B$138)/(AC69+AC71))*AC7/12</f>
        <v>0.0786091159345257</v>
      </c>
      <c r="AD77" s="56" t="n">
        <f aca="false">Assumptions!$B$137*IF(AD69+AD71=0,1,(AD69+AD71*Assumptions!$B$138)/(AD69+AD71))*AD7/12</f>
        <v>0.0806607437101252</v>
      </c>
      <c r="AE77" s="56" t="n">
        <f aca="false">Assumptions!$B$137*IF(AE69+AE71=0,1,(AE69+AE71*Assumptions!$B$138)/(AE69+AE71))*AE7/12</f>
        <v>0.0827540869110003</v>
      </c>
    </row>
    <row r="78" customFormat="false" ht="15" hidden="false" customHeight="false" outlineLevel="0" collapsed="false">
      <c r="A78" s="6" t="s">
        <v>461</v>
      </c>
      <c r="B78" s="23" t="s">
        <v>47</v>
      </c>
      <c r="C78" s="45" t="n">
        <f aca="false">C75</f>
        <v>0</v>
      </c>
      <c r="D78" s="45" t="n">
        <f aca="false">C78*(1-D76)+D75</f>
        <v>0</v>
      </c>
      <c r="E78" s="45" t="n">
        <f aca="false">D78*(1-E76)+E75</f>
        <v>0</v>
      </c>
      <c r="F78" s="45" t="n">
        <f aca="false">E78*(1-F76)+F75</f>
        <v>0</v>
      </c>
      <c r="G78" s="45" t="n">
        <f aca="false">F78*(1-G76)+G75</f>
        <v>0</v>
      </c>
      <c r="H78" s="45" t="n">
        <f aca="false">G78*(1-H76)+H75</f>
        <v>0</v>
      </c>
      <c r="I78" s="45" t="n">
        <f aca="false">H78*(1-I76)+I75</f>
        <v>0</v>
      </c>
      <c r="J78" s="45" t="n">
        <f aca="false">I78*(1-J76)+J75</f>
        <v>0</v>
      </c>
      <c r="K78" s="45" t="n">
        <f aca="false">J78*(1-K76)+K75</f>
        <v>0</v>
      </c>
      <c r="L78" s="45" t="n">
        <f aca="false">K78*(1-L76)+L75</f>
        <v>0</v>
      </c>
      <c r="M78" s="45" t="n">
        <f aca="false">L78*(1-M76)+M75</f>
        <v>0</v>
      </c>
      <c r="N78" s="45" t="n">
        <f aca="false">M78*(1-N76)+N75</f>
        <v>0</v>
      </c>
      <c r="O78" s="45" t="n">
        <f aca="false">N78*(1-O76)+O75</f>
        <v>12.1338765310747</v>
      </c>
      <c r="P78" s="45" t="n">
        <f aca="false">O78*(1-P76)+P75</f>
        <v>35.4164276031106</v>
      </c>
      <c r="Q78" s="45" t="n">
        <f aca="false">P78*(1-Q76)+Q75</f>
        <v>68.9799344311816</v>
      </c>
      <c r="R78" s="45" t="n">
        <f aca="false">Q78*(1-R76)+R75</f>
        <v>115.454892867218</v>
      </c>
      <c r="S78" s="45" t="n">
        <f aca="false">R78*(1-S76)+S75</f>
        <v>173.013125100672</v>
      </c>
      <c r="T78" s="45" t="n">
        <f aca="false">S78*(1-T76)+T75</f>
        <v>239.115195881108</v>
      </c>
      <c r="U78" s="45" t="n">
        <f aca="false">T78*(1-U76)+U75</f>
        <v>313.01933108064</v>
      </c>
      <c r="V78" s="45" t="n">
        <f aca="false">U78*(1-V76)+V75</f>
        <v>394.414639342202</v>
      </c>
      <c r="W78" s="45" t="n">
        <f aca="false">V78*(1-W76)+W75</f>
        <v>484.145234859408</v>
      </c>
      <c r="X78" s="45" t="n">
        <f aca="false">W78*(1-X76)+X75</f>
        <v>586.564193706681</v>
      </c>
      <c r="Y78" s="45" t="n">
        <f aca="false">X78*(1-Y76)+Y75</f>
        <v>699.81725105954</v>
      </c>
      <c r="Z78" s="45" t="n">
        <f aca="false">Y78*(1-Z76)+Z75</f>
        <v>821.415082320422</v>
      </c>
      <c r="AA78" s="45" t="n">
        <f aca="false">Z78*(1-AA76)+AA75</f>
        <v>3853.47439796582</v>
      </c>
      <c r="AB78" s="45" t="n">
        <f aca="false">AA78*(1-AB76)+AB75</f>
        <v>8392.38993294732</v>
      </c>
      <c r="AC78" s="45" t="n">
        <f aca="false">AB78*(1-AC76)+AC75</f>
        <v>14386.9407051978</v>
      </c>
      <c r="AD78" s="45" t="n">
        <f aca="false">AC78*(1-AD76)+AD75</f>
        <v>21172.4671614883</v>
      </c>
      <c r="AE78" s="45" t="n">
        <f aca="false">AD78*(1-AE76)+AE75</f>
        <v>27702.8074805287</v>
      </c>
    </row>
    <row r="79" customFormat="false" ht="15" hidden="false" customHeight="false" outlineLevel="0" collapsed="false">
      <c r="A79" s="6" t="s">
        <v>462</v>
      </c>
      <c r="B79" s="23" t="s">
        <v>47</v>
      </c>
      <c r="C79" s="45" t="n">
        <f aca="false">C75</f>
        <v>0</v>
      </c>
      <c r="D79" s="45" t="n">
        <f aca="false">C79*(1-D77)+D75</f>
        <v>0</v>
      </c>
      <c r="E79" s="45" t="n">
        <f aca="false">D79*(1-E77)+E75</f>
        <v>0</v>
      </c>
      <c r="F79" s="45" t="n">
        <f aca="false">E79*(1-F77)+F75</f>
        <v>0</v>
      </c>
      <c r="G79" s="45" t="n">
        <f aca="false">F79*(1-G77)+G75</f>
        <v>0</v>
      </c>
      <c r="H79" s="45" t="n">
        <f aca="false">G79*(1-H77)+H75</f>
        <v>0</v>
      </c>
      <c r="I79" s="45" t="n">
        <f aca="false">H79*(1-I77)+I75</f>
        <v>0</v>
      </c>
      <c r="J79" s="45" t="n">
        <f aca="false">I79*(1-J77)+J75</f>
        <v>0</v>
      </c>
      <c r="K79" s="45" t="n">
        <f aca="false">J79*(1-K77)+K75</f>
        <v>0</v>
      </c>
      <c r="L79" s="45" t="n">
        <f aca="false">K79*(1-L77)+L75</f>
        <v>0</v>
      </c>
      <c r="M79" s="45" t="n">
        <f aca="false">L79*(1-M77)+M75</f>
        <v>0</v>
      </c>
      <c r="N79" s="45" t="n">
        <f aca="false">M79*(1-N77)+N75</f>
        <v>0</v>
      </c>
      <c r="O79" s="45" t="n">
        <f aca="false">N79*(1-O77)+O75</f>
        <v>12.1338765310747</v>
      </c>
      <c r="P79" s="45" t="n">
        <f aca="false">O79*(1-P77)+P75</f>
        <v>35.477096985766</v>
      </c>
      <c r="Q79" s="45" t="n">
        <f aca="false">P79*(1-Q77)+Q75</f>
        <v>69.217369526662</v>
      </c>
      <c r="R79" s="45" t="n">
        <f aca="false">Q79*(1-R77)+R75</f>
        <v>116.035976543383</v>
      </c>
      <c r="S79" s="45" t="n">
        <f aca="false">R79*(1-S77)+S75</f>
        <v>174.168385302159</v>
      </c>
      <c r="T79" s="45" t="n">
        <f aca="false">S79*(1-T77)+T75</f>
        <v>241.129283090955</v>
      </c>
      <c r="U79" s="45" t="n">
        <f aca="false">T79*(1-U77)+U75</f>
        <v>316.217985353794</v>
      </c>
      <c r="V79" s="45" t="n">
        <f aca="false">U79*(1-V77)+V75</f>
        <v>399.160709936686</v>
      </c>
      <c r="W79" s="45" t="n">
        <f aca="false">V79*(1-W77)+W75</f>
        <v>490.836894415449</v>
      </c>
      <c r="X79" s="45" t="n">
        <f aca="false">W79*(1-X77)+X75</f>
        <v>595.639028686971</v>
      </c>
      <c r="Y79" s="45" t="n">
        <f aca="false">X79*(1-Y77)+Y75</f>
        <v>711.773613603235</v>
      </c>
      <c r="Z79" s="45" t="n">
        <f aca="false">Y79*(1-Z77)+Z75</f>
        <v>836.802361971194</v>
      </c>
      <c r="AA79" s="45" t="n">
        <f aca="false">Z79*(1-AA77)+AA75</f>
        <v>3917.01444261567</v>
      </c>
      <c r="AB79" s="45" t="n">
        <f aca="false">AA79*(1-AB77)+AB75</f>
        <v>8682.27901298708</v>
      </c>
      <c r="AC79" s="45" t="n">
        <f aca="false">AB79*(1-AC77)+AC75</f>
        <v>15157.5852569134</v>
      </c>
      <c r="AD79" s="45" t="n">
        <f aca="false">AC79*(1-AD77)+AD75</f>
        <v>22744.1673928383</v>
      </c>
      <c r="AE79" s="45" t="n">
        <f aca="false">AD79*(1-AE77)+AE75</f>
        <v>30414.7911240247</v>
      </c>
    </row>
    <row r="80" customFormat="false" ht="15" hidden="false" customHeight="false" outlineLevel="0" collapsed="false">
      <c r="A80" s="6" t="s">
        <v>463</v>
      </c>
      <c r="B80" s="23" t="s">
        <v>114</v>
      </c>
      <c r="C80" s="57" t="n">
        <f aca="false">C78*C21</f>
        <v>0</v>
      </c>
      <c r="D80" s="57" t="n">
        <f aca="false">D78*D21</f>
        <v>0</v>
      </c>
      <c r="E80" s="57" t="n">
        <f aca="false">E78*E21</f>
        <v>0</v>
      </c>
      <c r="F80" s="57" t="n">
        <f aca="false">F78*F21</f>
        <v>0</v>
      </c>
      <c r="G80" s="57" t="n">
        <f aca="false">G78*G21</f>
        <v>0</v>
      </c>
      <c r="H80" s="57" t="n">
        <f aca="false">H78*H21</f>
        <v>0</v>
      </c>
      <c r="I80" s="57" t="n">
        <f aca="false">I78*I21</f>
        <v>0</v>
      </c>
      <c r="J80" s="57" t="n">
        <f aca="false">J78*J21</f>
        <v>0</v>
      </c>
      <c r="K80" s="57" t="n">
        <f aca="false">K78*K21</f>
        <v>0</v>
      </c>
      <c r="L80" s="57" t="n">
        <f aca="false">L78*L21</f>
        <v>0</v>
      </c>
      <c r="M80" s="57" t="n">
        <f aca="false">M78*M21</f>
        <v>0</v>
      </c>
      <c r="N80" s="57" t="n">
        <f aca="false">N78*N21</f>
        <v>0</v>
      </c>
      <c r="O80" s="57" t="n">
        <f aca="false">O78*O21</f>
        <v>1855.49128618678</v>
      </c>
      <c r="P80" s="57" t="n">
        <f aca="false">P78*P21</f>
        <v>5415.81848448365</v>
      </c>
      <c r="Q80" s="57" t="n">
        <f aca="false">Q78*Q21</f>
        <v>10548.2915481304</v>
      </c>
      <c r="R80" s="57" t="n">
        <f aca="false">R78*R21</f>
        <v>17655.1613257414</v>
      </c>
      <c r="S80" s="57" t="n">
        <f aca="false">S78*S21</f>
        <v>26456.8660475571</v>
      </c>
      <c r="T80" s="57" t="n">
        <f aca="false">T78*T21</f>
        <v>36565.0796936982</v>
      </c>
      <c r="U80" s="57" t="n">
        <f aca="false">U78*U21</f>
        <v>47866.3714552155</v>
      </c>
      <c r="V80" s="57" t="n">
        <f aca="false">V78*V21</f>
        <v>60313.2003667371</v>
      </c>
      <c r="W80" s="57" t="n">
        <f aca="false">W78*W21</f>
        <v>74034.646901992</v>
      </c>
      <c r="X80" s="57" t="n">
        <f aca="false">X78*X21</f>
        <v>89696.3758799285</v>
      </c>
      <c r="Y80" s="57" t="n">
        <f aca="false">Y78*Y21</f>
        <v>107014.836350008</v>
      </c>
      <c r="Z80" s="57" t="n">
        <f aca="false">Z78*Z21</f>
        <v>125609.365126196</v>
      </c>
      <c r="AA80" s="57" t="n">
        <f aca="false">AA78*AA21</f>
        <v>636997.194482691</v>
      </c>
      <c r="AB80" s="57" t="n">
        <f aca="false">AB78*AB21</f>
        <v>1499672.36880268</v>
      </c>
      <c r="AC80" s="57" t="n">
        <f aca="false">AC78*AC21</f>
        <v>2779104.5371767</v>
      </c>
      <c r="AD80" s="57" t="n">
        <f aca="false">AD78*AD21</f>
        <v>4421133.11778825</v>
      </c>
      <c r="AE80" s="57" t="n">
        <f aca="false">AE78*AE21</f>
        <v>6253333.65102305</v>
      </c>
    </row>
    <row r="81" customFormat="false" ht="15" hidden="false" customHeight="false" outlineLevel="0" collapsed="false">
      <c r="A81" s="6" t="s">
        <v>464</v>
      </c>
      <c r="B81" s="23" t="s">
        <v>190</v>
      </c>
      <c r="C81" s="54" t="n">
        <f aca="false">C69+C71*Assumptions!$B$175</f>
        <v>0</v>
      </c>
      <c r="D81" s="54" t="n">
        <f aca="false">D69+D71*Assumptions!$B$175</f>
        <v>0</v>
      </c>
      <c r="E81" s="54" t="n">
        <f aca="false">E69+E71*Assumptions!$B$175</f>
        <v>0</v>
      </c>
      <c r="F81" s="54" t="n">
        <f aca="false">F69+F71*Assumptions!$B$175</f>
        <v>0</v>
      </c>
      <c r="G81" s="54" t="n">
        <f aca="false">G69+G71*Assumptions!$B$175</f>
        <v>0</v>
      </c>
      <c r="H81" s="54" t="n">
        <f aca="false">H69+H71*Assumptions!$B$175</f>
        <v>0</v>
      </c>
      <c r="I81" s="54" t="n">
        <f aca="false">I69+I71*Assumptions!$B$175</f>
        <v>0</v>
      </c>
      <c r="J81" s="54" t="n">
        <f aca="false">J69+J71*Assumptions!$B$175</f>
        <v>0</v>
      </c>
      <c r="K81" s="54" t="n">
        <f aca="false">K69+K71*Assumptions!$B$175</f>
        <v>0</v>
      </c>
      <c r="L81" s="54" t="n">
        <f aca="false">L69+L71*Assumptions!$B$175</f>
        <v>0</v>
      </c>
      <c r="M81" s="54" t="n">
        <f aca="false">M69+M71*Assumptions!$B$175</f>
        <v>0</v>
      </c>
      <c r="N81" s="54" t="n">
        <f aca="false">N69+N71*Assumptions!$B$175</f>
        <v>0</v>
      </c>
      <c r="O81" s="54" t="n">
        <f aca="false">O69+O71*Assumptions!$B$175</f>
        <v>72.4473</v>
      </c>
      <c r="P81" s="54" t="n">
        <f aca="false">P69+P71*Assumptions!$B$175</f>
        <v>143.268193520962</v>
      </c>
      <c r="Q81" s="54" t="n">
        <f aca="false">Q69+Q71*Assumptions!$B$175</f>
        <v>212.869069761923</v>
      </c>
      <c r="R81" s="54" t="n">
        <f aca="false">R69+R71*Assumptions!$B$175</f>
        <v>301.872327686181</v>
      </c>
      <c r="S81" s="54" t="n">
        <f aca="false">S69+S71*Assumptions!$B$175</f>
        <v>384.630348735531</v>
      </c>
      <c r="T81" s="54" t="n">
        <f aca="false">T69+T71*Assumptions!$B$175</f>
        <v>456.312072334953</v>
      </c>
      <c r="U81" s="54" t="n">
        <f aca="false">U69+U71*Assumptions!$B$175</f>
        <v>526.797042678844</v>
      </c>
      <c r="V81" s="54" t="n">
        <f aca="false">V69+V71*Assumptions!$B$175</f>
        <v>598.428229627979</v>
      </c>
      <c r="W81" s="54" t="n">
        <f aca="false">W69+W71*Assumptions!$B$175</f>
        <v>678.010546193761</v>
      </c>
      <c r="X81" s="54" t="n">
        <f aca="false">X69+X71*Assumptions!$B$175</f>
        <v>786.775349934666</v>
      </c>
      <c r="Y81" s="54" t="n">
        <f aca="false">Y69+Y71*Assumptions!$B$175</f>
        <v>889.303256168486</v>
      </c>
      <c r="Z81" s="54" t="n">
        <f aca="false">Z69+Z71*Assumptions!$B$175</f>
        <v>981.211367265718</v>
      </c>
      <c r="AA81" s="54" t="n">
        <f aca="false">AA69+AA71*Assumptions!$B$175</f>
        <v>2646.19010151054</v>
      </c>
      <c r="AB81" s="54" t="n">
        <f aca="false">AB69+AB71*Assumptions!$B$175</f>
        <v>5296.90547362023</v>
      </c>
      <c r="AC81" s="54" t="n">
        <f aca="false">AC69+AC71*Assumptions!$B$175</f>
        <v>9083.67123977318</v>
      </c>
      <c r="AD81" s="54" t="n">
        <f aca="false">AD69+AD71*Assumptions!$B$175</f>
        <v>13701.2697766806</v>
      </c>
      <c r="AE81" s="54" t="n">
        <f aca="false">AE69+AE71*Assumptions!$B$175</f>
        <v>18599.5639670413</v>
      </c>
    </row>
    <row r="82" customFormat="false" ht="15" hidden="false" customHeight="false" outlineLevel="0" collapsed="false">
      <c r="A82" s="6" t="s">
        <v>465</v>
      </c>
      <c r="B82" s="23" t="s">
        <v>190</v>
      </c>
      <c r="C82" s="45" t="n">
        <f aca="false">IF(C7&gt;1,C81*Assumptions!$B$134,IF(C2&gt;Assumptions!$B$135,INDEX($C$81:$AE$81,1,C2-Assumptions!$B$135)*Assumptions!$B$134,0))</f>
        <v>0</v>
      </c>
      <c r="D82" s="45" t="n">
        <f aca="false">IF(D7&gt;1,D81*Assumptions!$B$134,IF(D2&gt;Assumptions!$B$135,INDEX($C$81:$AE$81,1,D2-Assumptions!$B$135)*Assumptions!$B$134,0))</f>
        <v>0</v>
      </c>
      <c r="E82" s="45" t="n">
        <f aca="false">IF(E7&gt;1,E81*Assumptions!$B$134,IF(E2&gt;Assumptions!$B$135,INDEX($C$81:$AE$81,1,E2-Assumptions!$B$135)*Assumptions!$B$134,0))</f>
        <v>0</v>
      </c>
      <c r="F82" s="45" t="n">
        <f aca="false">IF(F7&gt;1,F81*Assumptions!$B$134,IF(F2&gt;Assumptions!$B$135,INDEX($C$81:$AE$81,1,F2-Assumptions!$B$135)*Assumptions!$B$134,0))</f>
        <v>0</v>
      </c>
      <c r="G82" s="45" t="n">
        <f aca="false">IF(G7&gt;1,G81*Assumptions!$B$134,IF(G2&gt;Assumptions!$B$135,INDEX($C$81:$AE$81,1,G2-Assumptions!$B$135)*Assumptions!$B$134,0))</f>
        <v>0</v>
      </c>
      <c r="H82" s="45" t="n">
        <f aca="false">IF(H7&gt;1,H81*Assumptions!$B$134,IF(H2&gt;Assumptions!$B$135,INDEX($C$81:$AE$81,1,H2-Assumptions!$B$135)*Assumptions!$B$134,0))</f>
        <v>0</v>
      </c>
      <c r="I82" s="45" t="n">
        <f aca="false">IF(I7&gt;1,I81*Assumptions!$B$134,IF(I2&gt;Assumptions!$B$135,INDEX($C$81:$AE$81,1,I2-Assumptions!$B$135)*Assumptions!$B$134,0))</f>
        <v>0</v>
      </c>
      <c r="J82" s="45" t="n">
        <f aca="false">IF(J7&gt;1,J81*Assumptions!$B$134,IF(J2&gt;Assumptions!$B$135,INDEX($C$81:$AE$81,1,J2-Assumptions!$B$135)*Assumptions!$B$134,0))</f>
        <v>0</v>
      </c>
      <c r="K82" s="45" t="n">
        <f aca="false">IF(K7&gt;1,K81*Assumptions!$B$134,IF(K2&gt;Assumptions!$B$135,INDEX($C$81:$AE$81,1,K2-Assumptions!$B$135)*Assumptions!$B$134,0))</f>
        <v>0</v>
      </c>
      <c r="L82" s="45" t="n">
        <f aca="false">IF(L7&gt;1,L81*Assumptions!$B$134,IF(L2&gt;Assumptions!$B$135,INDEX($C$81:$AE$81,1,L2-Assumptions!$B$135)*Assumptions!$B$134,0))</f>
        <v>0</v>
      </c>
      <c r="M82" s="45" t="n">
        <f aca="false">IF(M7&gt;1,M81*Assumptions!$B$134,IF(M2&gt;Assumptions!$B$135,INDEX($C$81:$AE$81,1,M2-Assumptions!$B$135)*Assumptions!$B$134,0))</f>
        <v>0</v>
      </c>
      <c r="N82" s="45" t="n">
        <f aca="false">IF(N7&gt;1,N81*Assumptions!$B$134,IF(N2&gt;Assumptions!$B$135,INDEX($C$81:$AE$81,1,N2-Assumptions!$B$135)*Assumptions!$B$134,0))</f>
        <v>0</v>
      </c>
      <c r="O82" s="45" t="n">
        <f aca="false">IF(O7&gt;1,O81*Assumptions!$B$134,IF(O2&gt;Assumptions!$B$135,INDEX($C$81:$AE$81,1,O2-Assumptions!$B$135)*Assumptions!$B$134,0))</f>
        <v>0</v>
      </c>
      <c r="P82" s="45" t="n">
        <f aca="false">IF(P7&gt;1,P81*Assumptions!$B$134,IF(P2&gt;Assumptions!$B$135,INDEX($C$81:$AE$81,1,P2-Assumptions!$B$135)*Assumptions!$B$134,0))</f>
        <v>0</v>
      </c>
      <c r="Q82" s="45" t="n">
        <f aca="false">IF(Q7&gt;1,Q81*Assumptions!$B$134,IF(Q2&gt;Assumptions!$B$135,INDEX($C$81:$AE$81,1,Q2-Assumptions!$B$135)*Assumptions!$B$134,0))</f>
        <v>0</v>
      </c>
      <c r="R82" s="45" t="n">
        <f aca="false">IF(R7&gt;1,R81*Assumptions!$B$134,IF(R2&gt;Assumptions!$B$135,INDEX($C$81:$AE$81,1,R2-Assumptions!$B$135)*Assumptions!$B$134,0))</f>
        <v>0</v>
      </c>
      <c r="S82" s="45" t="n">
        <f aca="false">IF(S7&gt;1,S81*Assumptions!$B$134,IF(S2&gt;Assumptions!$B$135,INDEX($C$81:$AE$81,1,S2-Assumptions!$B$135)*Assumptions!$B$134,0))</f>
        <v>0</v>
      </c>
      <c r="T82" s="45" t="n">
        <f aca="false">IF(T7&gt;1,T81*Assumptions!$B$134,IF(T2&gt;Assumptions!$B$135,INDEX($C$81:$AE$81,1,T2-Assumptions!$B$135)*Assumptions!$B$134,0))</f>
        <v>0</v>
      </c>
      <c r="U82" s="45" t="n">
        <f aca="false">IF(U7&gt;1,U81*Assumptions!$B$134,IF(U2&gt;Assumptions!$B$135,INDEX($C$81:$AE$81,1,U2-Assumptions!$B$135)*Assumptions!$B$134,0))</f>
        <v>0</v>
      </c>
      <c r="V82" s="45" t="n">
        <f aca="false">IF(V7&gt;1,V81*Assumptions!$B$134,IF(V2&gt;Assumptions!$B$135,INDEX($C$81:$AE$81,1,V2-Assumptions!$B$135)*Assumptions!$B$134,0))</f>
        <v>0</v>
      </c>
      <c r="W82" s="45" t="n">
        <f aca="false">IF(W7&gt;1,W81*Assumptions!$B$134,IF(W2&gt;Assumptions!$B$135,INDEX($C$81:$AE$81,1,W2-Assumptions!$B$135)*Assumptions!$B$134,0))</f>
        <v>39.846015</v>
      </c>
      <c r="X82" s="45" t="n">
        <f aca="false">IF(X7&gt;1,X81*Assumptions!$B$134,IF(X2&gt;Assumptions!$B$135,INDEX($C$81:$AE$81,1,X2-Assumptions!$B$135)*Assumptions!$B$134,0))</f>
        <v>78.7975064365289</v>
      </c>
      <c r="Y82" s="45" t="n">
        <f aca="false">IF(Y7&gt;1,Y81*Assumptions!$B$134,IF(Y2&gt;Assumptions!$B$135,INDEX($C$81:$AE$81,1,Y2-Assumptions!$B$135)*Assumptions!$B$134,0))</f>
        <v>117.077988369058</v>
      </c>
      <c r="Z82" s="45" t="n">
        <f aca="false">IF(Z7&gt;1,Z81*Assumptions!$B$134,IF(Z2&gt;Assumptions!$B$135,INDEX($C$81:$AE$81,1,Z2-Assumptions!$B$135)*Assumptions!$B$134,0))</f>
        <v>166.0297802274</v>
      </c>
      <c r="AA82" s="45" t="n">
        <f aca="false">IF(AA7&gt;1,AA81*Assumptions!$B$134,IF(AA2&gt;Assumptions!$B$135,INDEX($C$81:$AE$81,1,AA2-Assumptions!$B$135)*Assumptions!$B$134,0))</f>
        <v>1455.4045558308</v>
      </c>
      <c r="AB82" s="45" t="n">
        <f aca="false">IF(AB7&gt;1,AB81*Assumptions!$B$134,IF(AB2&gt;Assumptions!$B$135,INDEX($C$81:$AE$81,1,AB2-Assumptions!$B$135)*Assumptions!$B$134,0))</f>
        <v>2913.29801049113</v>
      </c>
      <c r="AC82" s="45" t="n">
        <f aca="false">IF(AC7&gt;1,AC81*Assumptions!$B$134,IF(AC2&gt;Assumptions!$B$135,INDEX($C$81:$AE$81,1,AC2-Assumptions!$B$135)*Assumptions!$B$134,0))</f>
        <v>4996.01918187525</v>
      </c>
      <c r="AD82" s="45" t="n">
        <f aca="false">IF(AD7&gt;1,AD81*Assumptions!$B$134,IF(AD2&gt;Assumptions!$B$135,INDEX($C$81:$AE$81,1,AD2-Assumptions!$B$135)*Assumptions!$B$134,0))</f>
        <v>7535.69837717434</v>
      </c>
      <c r="AE82" s="45" t="n">
        <f aca="false">IF(AE7&gt;1,AE81*Assumptions!$B$134,IF(AE2&gt;Assumptions!$B$135,INDEX($C$81:$AE$81,1,AE2-Assumptions!$B$135)*Assumptions!$B$134,0))</f>
        <v>10229.7601818727</v>
      </c>
    </row>
    <row r="83" customFormat="false" ht="15" hidden="false" customHeight="false" outlineLevel="0" collapsed="false">
      <c r="A83" s="6" t="s">
        <v>466</v>
      </c>
      <c r="B83" s="23" t="s">
        <v>467</v>
      </c>
      <c r="C83" s="28" t="n">
        <f aca="false">IF(C2&gt;=Assumptions!$B$51,C82*Assumptions!$B$143,0)</f>
        <v>0</v>
      </c>
      <c r="D83" s="28" t="n">
        <f aca="false">IF(D2&gt;=Assumptions!$B$51,D82*Assumptions!$B$143,0)</f>
        <v>0</v>
      </c>
      <c r="E83" s="28" t="n">
        <f aca="false">IF(E2&gt;=Assumptions!$B$51,E82*Assumptions!$B$143,0)</f>
        <v>0</v>
      </c>
      <c r="F83" s="28" t="n">
        <f aca="false">IF(F2&gt;=Assumptions!$B$51,F82*Assumptions!$B$143,0)</f>
        <v>0</v>
      </c>
      <c r="G83" s="28" t="n">
        <f aca="false">IF(G2&gt;=Assumptions!$B$51,G82*Assumptions!$B$143,0)</f>
        <v>0</v>
      </c>
      <c r="H83" s="28" t="n">
        <f aca="false">IF(H2&gt;=Assumptions!$B$51,H82*Assumptions!$B$143,0)</f>
        <v>0</v>
      </c>
      <c r="I83" s="28" t="n">
        <f aca="false">IF(I2&gt;=Assumptions!$B$51,I82*Assumptions!$B$143,0)</f>
        <v>0</v>
      </c>
      <c r="J83" s="28" t="n">
        <f aca="false">IF(J2&gt;=Assumptions!$B$51,J82*Assumptions!$B$143,0)</f>
        <v>0</v>
      </c>
      <c r="K83" s="28" t="n">
        <f aca="false">IF(K2&gt;=Assumptions!$B$51,K82*Assumptions!$B$143,0)</f>
        <v>0</v>
      </c>
      <c r="L83" s="28" t="n">
        <f aca="false">IF(L2&gt;=Assumptions!$B$51,L82*Assumptions!$B$143,0)</f>
        <v>0</v>
      </c>
      <c r="M83" s="28" t="n">
        <f aca="false">IF(M2&gt;=Assumptions!$B$51,M82*Assumptions!$B$143,0)</f>
        <v>0</v>
      </c>
      <c r="N83" s="28" t="n">
        <f aca="false">IF(N2&gt;=Assumptions!$B$51,N82*Assumptions!$B$143,0)</f>
        <v>0</v>
      </c>
      <c r="O83" s="28" t="n">
        <f aca="false">IF(O2&gt;=Assumptions!$B$51,O82*Assumptions!$B$143,0)</f>
        <v>0</v>
      </c>
      <c r="P83" s="28" t="n">
        <f aca="false">IF(P2&gt;=Assumptions!$B$51,P82*Assumptions!$B$143,0)</f>
        <v>0</v>
      </c>
      <c r="Q83" s="28" t="n">
        <f aca="false">IF(Q2&gt;=Assumptions!$B$51,Q82*Assumptions!$B$143,0)</f>
        <v>0</v>
      </c>
      <c r="R83" s="28" t="n">
        <f aca="false">IF(R2&gt;=Assumptions!$B$51,R82*Assumptions!$B$143,0)</f>
        <v>0</v>
      </c>
      <c r="S83" s="28" t="n">
        <f aca="false">IF(S2&gt;=Assumptions!$B$51,S82*Assumptions!$B$143,0)</f>
        <v>0</v>
      </c>
      <c r="T83" s="28" t="n">
        <f aca="false">IF(T2&gt;=Assumptions!$B$51,T82*Assumptions!$B$143,0)</f>
        <v>0</v>
      </c>
      <c r="U83" s="28" t="n">
        <f aca="false">IF(U2&gt;=Assumptions!$B$51,U82*Assumptions!$B$143,0)</f>
        <v>0</v>
      </c>
      <c r="V83" s="28" t="n">
        <f aca="false">IF(V2&gt;=Assumptions!$B$51,V82*Assumptions!$B$143,0)</f>
        <v>0</v>
      </c>
      <c r="W83" s="28" t="n">
        <f aca="false">IF(W2&gt;=Assumptions!$B$51,W82*Assumptions!$B$143,0)</f>
        <v>7.1722827</v>
      </c>
      <c r="X83" s="28" t="n">
        <f aca="false">IF(X2&gt;=Assumptions!$B$51,X82*Assumptions!$B$143,0)</f>
        <v>14.1835511585752</v>
      </c>
      <c r="Y83" s="28" t="n">
        <f aca="false">IF(Y2&gt;=Assumptions!$B$51,Y82*Assumptions!$B$143,0)</f>
        <v>21.0740379064304</v>
      </c>
      <c r="Z83" s="28" t="n">
        <f aca="false">IF(Z2&gt;=Assumptions!$B$51,Z82*Assumptions!$B$143,0)</f>
        <v>29.8853604409319</v>
      </c>
      <c r="AA83" s="28" t="n">
        <f aca="false">IF(AA2&gt;=Assumptions!$B$51,AA82*Assumptions!$B$143,0)</f>
        <v>261.972820049544</v>
      </c>
      <c r="AB83" s="28" t="n">
        <f aca="false">IF(AB2&gt;=Assumptions!$B$51,AB82*Assumptions!$B$143,0)</f>
        <v>524.393641888403</v>
      </c>
      <c r="AC83" s="28" t="n">
        <f aca="false">IF(AC2&gt;=Assumptions!$B$51,AC82*Assumptions!$B$143,0)</f>
        <v>899.283452737545</v>
      </c>
      <c r="AD83" s="28" t="n">
        <f aca="false">IF(AD2&gt;=Assumptions!$B$51,AD82*Assumptions!$B$143,0)</f>
        <v>1356.42570789138</v>
      </c>
      <c r="AE83" s="28" t="n">
        <f aca="false">IF(AE2&gt;=Assumptions!$B$51,AE82*Assumptions!$B$143,0)</f>
        <v>1841.35683273709</v>
      </c>
    </row>
    <row r="84" customFormat="false" ht="15" hidden="false" customHeight="false" outlineLevel="0" collapsed="false">
      <c r="A84" s="6" t="s">
        <v>468</v>
      </c>
      <c r="B84" s="23" t="s">
        <v>114</v>
      </c>
      <c r="C84" s="55" t="n">
        <f aca="false">IF(C69=0,0,C80/C69*Assumptions!$B$31)</f>
        <v>0</v>
      </c>
      <c r="D84" s="55" t="n">
        <f aca="false">IF(D69=0,0,D80/D69*Assumptions!$B$31)</f>
        <v>0</v>
      </c>
      <c r="E84" s="55" t="n">
        <f aca="false">IF(E69=0,0,E80/E69*Assumptions!$B$31)</f>
        <v>0</v>
      </c>
      <c r="F84" s="55" t="n">
        <f aca="false">IF(F69=0,0,F80/F69*Assumptions!$B$31)</f>
        <v>0</v>
      </c>
      <c r="G84" s="55" t="n">
        <f aca="false">IF(G69=0,0,G80/G69*Assumptions!$B$31)</f>
        <v>0</v>
      </c>
      <c r="H84" s="55" t="n">
        <f aca="false">IF(H69=0,0,H80/H69*Assumptions!$B$31)</f>
        <v>0</v>
      </c>
      <c r="I84" s="55" t="n">
        <f aca="false">IF(I69=0,0,I80/I69*Assumptions!$B$31)</f>
        <v>0</v>
      </c>
      <c r="J84" s="55" t="n">
        <f aca="false">IF(J69=0,0,J80/J69*Assumptions!$B$31)</f>
        <v>0</v>
      </c>
      <c r="K84" s="55" t="n">
        <f aca="false">IF(K69=0,0,K80/K69*Assumptions!$B$31)</f>
        <v>0</v>
      </c>
      <c r="L84" s="55" t="n">
        <f aca="false">IF(L69=0,0,L80/L69*Assumptions!$B$31)</f>
        <v>0</v>
      </c>
      <c r="M84" s="55" t="n">
        <f aca="false">IF(M69=0,0,M80/M69*Assumptions!$B$31)</f>
        <v>0</v>
      </c>
      <c r="N84" s="55" t="n">
        <f aca="false">IF(N69=0,0,N80/N69*Assumptions!$B$31)</f>
        <v>0</v>
      </c>
      <c r="O84" s="55" t="n">
        <f aca="false">IF(O69=0,0,O80/O69*Assumptions!$B$31)</f>
        <v>13.1287972085386</v>
      </c>
      <c r="P84" s="55" t="n">
        <f aca="false">IF(P69=0,0,P80/P69*Assumptions!$B$31)</f>
        <v>19.8659271356416</v>
      </c>
      <c r="Q84" s="55" t="n">
        <f aca="false">IF(Q69=0,0,Q80/Q69*Assumptions!$B$31)</f>
        <v>26.6946325781983</v>
      </c>
      <c r="R84" s="55" t="n">
        <f aca="false">IF(R69=0,0,R80/R69*Assumptions!$B$31)</f>
        <v>32.1254133638931</v>
      </c>
      <c r="S84" s="55" t="n">
        <f aca="false">IF(S69=0,0,S80/S69*Assumptions!$B$31)</f>
        <v>38.6623710682442</v>
      </c>
      <c r="T84" s="55" t="n">
        <f aca="false">IF(T69=0,0,T80/T69*Assumptions!$B$31)</f>
        <v>46.2331131802946</v>
      </c>
      <c r="U84" s="55" t="n">
        <f aca="false">IF(U69=0,0,U80/U69*Assumptions!$B$31)</f>
        <v>53.7854280069674</v>
      </c>
      <c r="V84" s="55" t="n">
        <f aca="false">IF(V69=0,0,V80/V69*Assumptions!$B$31)</f>
        <v>61.1424408207425</v>
      </c>
      <c r="W84" s="55" t="n">
        <f aca="false">IF(W69=0,0,W80/W69*Assumptions!$B$31)</f>
        <v>67.6890415503293</v>
      </c>
      <c r="X84" s="55" t="n">
        <f aca="false">IF(X69=0,0,X80/X69*Assumptions!$B$31)</f>
        <v>71.598482472296</v>
      </c>
      <c r="Y84" s="55" t="n">
        <f aca="false">IF(Y69=0,0,Y80/Y69*Assumptions!$B$31)</f>
        <v>76.8841763619756</v>
      </c>
      <c r="Z84" s="55" t="n">
        <f aca="false">IF(Z69=0,0,Z80/Z69*Assumptions!$B$31)</f>
        <v>83.5420957640282</v>
      </c>
      <c r="AA84" s="55" t="n">
        <f aca="false">IF(AA69=0,0,AA80/AA69*Assumptions!$B$31)</f>
        <v>193.23365222653</v>
      </c>
      <c r="AB84" s="55" t="n">
        <f aca="false">IF(AB69=0,0,AB80/AB69*Assumptions!$B$31)</f>
        <v>261.051924270085</v>
      </c>
      <c r="AC84" s="55" t="n">
        <f aca="false">IF(AC69=0,0,AC80/AC69*Assumptions!$B$31)</f>
        <v>316.66081178438</v>
      </c>
      <c r="AD84" s="55" t="n">
        <f aca="false">IF(AD69=0,0,AD80/AD69*Assumptions!$B$31)</f>
        <v>378.652627865357</v>
      </c>
      <c r="AE84" s="55" t="n">
        <f aca="false">IF(AE69=0,0,AE80/AE69*Assumptions!$B$31)</f>
        <v>456.877154415403</v>
      </c>
    </row>
    <row r="85" customFormat="false" ht="15" hidden="false" customHeight="false" outlineLevel="0" collapsed="false">
      <c r="A85" s="6" t="s">
        <v>469</v>
      </c>
      <c r="B85" s="23" t="s">
        <v>76</v>
      </c>
      <c r="C85" s="55" t="n">
        <f aca="false">C84*Assumptions!$B$156*Assumptions!$B$158</f>
        <v>0</v>
      </c>
      <c r="D85" s="55" t="n">
        <f aca="false">D84*Assumptions!$B$156*Assumptions!$B$158</f>
        <v>0</v>
      </c>
      <c r="E85" s="55" t="n">
        <f aca="false">E84*Assumptions!$B$156*Assumptions!$B$158</f>
        <v>0</v>
      </c>
      <c r="F85" s="55" t="n">
        <f aca="false">F84*Assumptions!$B$156*Assumptions!$B$158</f>
        <v>0</v>
      </c>
      <c r="G85" s="55" t="n">
        <f aca="false">G84*Assumptions!$B$156*Assumptions!$B$158</f>
        <v>0</v>
      </c>
      <c r="H85" s="55" t="n">
        <f aca="false">H84*Assumptions!$B$156*Assumptions!$B$158</f>
        <v>0</v>
      </c>
      <c r="I85" s="55" t="n">
        <f aca="false">I84*Assumptions!$B$156*Assumptions!$B$158</f>
        <v>0</v>
      </c>
      <c r="J85" s="55" t="n">
        <f aca="false">J84*Assumptions!$B$156*Assumptions!$B$158</f>
        <v>0</v>
      </c>
      <c r="K85" s="55" t="n">
        <f aca="false">K84*Assumptions!$B$156*Assumptions!$B$158</f>
        <v>0</v>
      </c>
      <c r="L85" s="55" t="n">
        <f aca="false">L84*Assumptions!$B$156*Assumptions!$B$158</f>
        <v>0</v>
      </c>
      <c r="M85" s="55" t="n">
        <f aca="false">M84*Assumptions!$B$156*Assumptions!$B$158</f>
        <v>0</v>
      </c>
      <c r="N85" s="55" t="n">
        <f aca="false">N84*Assumptions!$B$156*Assumptions!$B$158</f>
        <v>0</v>
      </c>
      <c r="O85" s="55" t="n">
        <f aca="false">O84*Assumptions!$B$156*Assumptions!$B$158</f>
        <v>13.7852370689655</v>
      </c>
      <c r="P85" s="55" t="n">
        <f aca="false">P84*Assumptions!$B$156*Assumptions!$B$158</f>
        <v>20.8592234924237</v>
      </c>
      <c r="Q85" s="55" t="n">
        <f aca="false">Q84*Assumptions!$B$156*Assumptions!$B$158</f>
        <v>28.0293642071082</v>
      </c>
      <c r="R85" s="55" t="n">
        <f aca="false">R84*Assumptions!$B$156*Assumptions!$B$158</f>
        <v>33.7316840320877</v>
      </c>
      <c r="S85" s="55" t="n">
        <f aca="false">S84*Assumptions!$B$156*Assumptions!$B$158</f>
        <v>40.5954896216565</v>
      </c>
      <c r="T85" s="55" t="n">
        <f aca="false">T84*Assumptions!$B$156*Assumptions!$B$158</f>
        <v>48.5447688393093</v>
      </c>
      <c r="U85" s="55" t="n">
        <f aca="false">U84*Assumptions!$B$156*Assumptions!$B$158</f>
        <v>56.4746994073158</v>
      </c>
      <c r="V85" s="55" t="n">
        <f aca="false">V84*Assumptions!$B$156*Assumptions!$B$158</f>
        <v>64.1995628617797</v>
      </c>
      <c r="W85" s="55" t="n">
        <f aca="false">W84*Assumptions!$B$156*Assumptions!$B$158</f>
        <v>71.0734936278457</v>
      </c>
      <c r="X85" s="55" t="n">
        <f aca="false">X84*Assumptions!$B$156*Assumptions!$B$158</f>
        <v>75.1784065959108</v>
      </c>
      <c r="Y85" s="55" t="n">
        <f aca="false">Y84*Assumptions!$B$156*Assumptions!$B$158</f>
        <v>80.7283851800744</v>
      </c>
      <c r="Z85" s="55" t="n">
        <f aca="false">Z84*Assumptions!$B$156*Assumptions!$B$158</f>
        <v>87.7192005522296</v>
      </c>
      <c r="AA85" s="55" t="n">
        <f aca="false">AA84*Assumptions!$B$156*Assumptions!$B$158</f>
        <v>202.895334837856</v>
      </c>
      <c r="AB85" s="55" t="n">
        <f aca="false">AB84*Assumptions!$B$156*Assumptions!$B$158</f>
        <v>274.104520483589</v>
      </c>
      <c r="AC85" s="55" t="n">
        <f aca="false">AC84*Assumptions!$B$156*Assumptions!$B$158</f>
        <v>332.493852373599</v>
      </c>
      <c r="AD85" s="55" t="n">
        <f aca="false">AD84*Assumptions!$B$156*Assumptions!$B$158</f>
        <v>397.585259258625</v>
      </c>
      <c r="AE85" s="55" t="n">
        <f aca="false">AE84*Assumptions!$B$156*Assumptions!$B$158</f>
        <v>479.721012136173</v>
      </c>
    </row>
    <row r="86" customFormat="false" ht="15" hidden="false" customHeight="false" outlineLevel="0" collapsed="false">
      <c r="A86" s="6" t="s">
        <v>470</v>
      </c>
      <c r="B86" s="23" t="s">
        <v>114</v>
      </c>
      <c r="C86" s="55" t="n">
        <f aca="false">C85/12*C16</f>
        <v>0</v>
      </c>
      <c r="D86" s="55" t="n">
        <f aca="false">D85/12*D16</f>
        <v>0</v>
      </c>
      <c r="E86" s="55" t="n">
        <f aca="false">E85/12*E16</f>
        <v>0</v>
      </c>
      <c r="F86" s="55" t="n">
        <f aca="false">F85/12*F16</f>
        <v>0</v>
      </c>
      <c r="G86" s="55" t="n">
        <f aca="false">G85/12*G16</f>
        <v>0</v>
      </c>
      <c r="H86" s="55" t="n">
        <f aca="false">H85/12*H16</f>
        <v>0</v>
      </c>
      <c r="I86" s="55" t="n">
        <f aca="false">I85/12*I16</f>
        <v>0</v>
      </c>
      <c r="J86" s="55" t="n">
        <f aca="false">J85/12*J16</f>
        <v>0</v>
      </c>
      <c r="K86" s="55" t="n">
        <f aca="false">K85/12*K16</f>
        <v>0</v>
      </c>
      <c r="L86" s="55" t="n">
        <f aca="false">L85/12*L16</f>
        <v>0</v>
      </c>
      <c r="M86" s="55" t="n">
        <f aca="false">M85/12*M16</f>
        <v>0</v>
      </c>
      <c r="N86" s="55" t="n">
        <f aca="false">N85/12*N16</f>
        <v>0</v>
      </c>
      <c r="O86" s="55" t="n">
        <f aca="false">O85/12*O16</f>
        <v>1.26364673132184</v>
      </c>
      <c r="P86" s="55" t="n">
        <f aca="false">P85/12*P16</f>
        <v>1.73826862436864</v>
      </c>
      <c r="Q86" s="55" t="n">
        <f aca="false">Q85/12*Q16</f>
        <v>2.28906474358051</v>
      </c>
      <c r="R86" s="55" t="n">
        <f aca="false">R85/12*R16</f>
        <v>2.75475419595383</v>
      </c>
      <c r="S86" s="55" t="n">
        <f aca="false">S85/12*S16</f>
        <v>3.38295746847137</v>
      </c>
      <c r="T86" s="55" t="n">
        <f aca="false">T85/12*T16</f>
        <v>3.84312753311198</v>
      </c>
      <c r="U86" s="55" t="n">
        <f aca="false">U85/12*U16</f>
        <v>4.14147795653649</v>
      </c>
      <c r="V86" s="55" t="n">
        <f aca="false">V85/12*V16</f>
        <v>4.81496721463347</v>
      </c>
      <c r="W86" s="55" t="n">
        <f aca="false">W85/12*W16</f>
        <v>5.92279113565381</v>
      </c>
      <c r="X86" s="55" t="n">
        <f aca="false">X85/12*X16</f>
        <v>6.39016456065242</v>
      </c>
      <c r="Y86" s="55" t="n">
        <f aca="false">Y85/12*Y16</f>
        <v>7.06373370325651</v>
      </c>
      <c r="Z86" s="55" t="n">
        <f aca="false">Z85/12*Z16</f>
        <v>8.33332405246181</v>
      </c>
      <c r="AA86" s="55" t="n">
        <f aca="false">AA85/12*AA16</f>
        <v>16.9079445698213</v>
      </c>
      <c r="AB86" s="55" t="n">
        <f aca="false">AB85/12*AB16</f>
        <v>22.8420433736324</v>
      </c>
      <c r="AC86" s="55" t="n">
        <f aca="false">AC85/12*AC16</f>
        <v>27.7078210311333</v>
      </c>
      <c r="AD86" s="55" t="n">
        <f aca="false">AD85/12*AD16</f>
        <v>33.1321049382187</v>
      </c>
      <c r="AE86" s="55" t="n">
        <f aca="false">AE85/12*AE16</f>
        <v>39.9767510113478</v>
      </c>
    </row>
    <row r="87" customFormat="false" ht="15" hidden="false" customHeight="false" outlineLevel="0" collapsed="false">
      <c r="A87" s="6" t="s">
        <v>471</v>
      </c>
      <c r="B87" s="23" t="s">
        <v>472</v>
      </c>
      <c r="C87" s="45" t="n">
        <f aca="false">C83*C86*Assumptions!$B$7*C7</f>
        <v>0</v>
      </c>
      <c r="D87" s="45" t="n">
        <f aca="false">D83*D86*Assumptions!$B$7*D7</f>
        <v>0</v>
      </c>
      <c r="E87" s="45" t="n">
        <f aca="false">E83*E86*Assumptions!$B$7*E7</f>
        <v>0</v>
      </c>
      <c r="F87" s="45" t="n">
        <f aca="false">F83*F86*Assumptions!$B$7*F7</f>
        <v>0</v>
      </c>
      <c r="G87" s="45" t="n">
        <f aca="false">G83*G86*Assumptions!$B$7*G7</f>
        <v>0</v>
      </c>
      <c r="H87" s="45" t="n">
        <f aca="false">H83*H86*Assumptions!$B$7*H7</f>
        <v>0</v>
      </c>
      <c r="I87" s="45" t="n">
        <f aca="false">I83*I86*Assumptions!$B$7*I7</f>
        <v>0</v>
      </c>
      <c r="J87" s="45" t="n">
        <f aca="false">J83*J86*Assumptions!$B$7*J7</f>
        <v>0</v>
      </c>
      <c r="K87" s="45" t="n">
        <f aca="false">K83*K86*Assumptions!$B$7*K7</f>
        <v>0</v>
      </c>
      <c r="L87" s="45" t="n">
        <f aca="false">L83*L86*Assumptions!$B$7*L7</f>
        <v>0</v>
      </c>
      <c r="M87" s="45" t="n">
        <f aca="false">M83*M86*Assumptions!$B$7*M7</f>
        <v>0</v>
      </c>
      <c r="N87" s="45" t="n">
        <f aca="false">N83*N86*Assumptions!$B$7*N7</f>
        <v>0</v>
      </c>
      <c r="O87" s="45" t="n">
        <f aca="false">O83*O86*Assumptions!$B$7*O7</f>
        <v>0</v>
      </c>
      <c r="P87" s="45" t="n">
        <f aca="false">P83*P86*Assumptions!$B$7*P7</f>
        <v>0</v>
      </c>
      <c r="Q87" s="45" t="n">
        <f aca="false">Q83*Q86*Assumptions!$B$7*Q7</f>
        <v>0</v>
      </c>
      <c r="R87" s="45" t="n">
        <f aca="false">R83*R86*Assumptions!$B$7*R7</f>
        <v>0</v>
      </c>
      <c r="S87" s="45" t="n">
        <f aca="false">S83*S86*Assumptions!$B$7*S7</f>
        <v>0</v>
      </c>
      <c r="T87" s="45" t="n">
        <f aca="false">T83*T86*Assumptions!$B$7*T7</f>
        <v>0</v>
      </c>
      <c r="U87" s="45" t="n">
        <f aca="false">U83*U86*Assumptions!$B$7*U7</f>
        <v>0</v>
      </c>
      <c r="V87" s="45" t="n">
        <f aca="false">V83*V86*Assumptions!$B$7*V7</f>
        <v>0</v>
      </c>
      <c r="W87" s="45" t="n">
        <f aca="false">W83*W86*Assumptions!$B$7*W7</f>
        <v>156.00755173152</v>
      </c>
      <c r="X87" s="45" t="n">
        <f aca="false">X83*X86*Assumptions!$B$7*X7</f>
        <v>332.857867329755</v>
      </c>
      <c r="Y87" s="45" t="n">
        <f aca="false">Y83*Y86*Assumptions!$B$7*Y7</f>
        <v>546.69346147128</v>
      </c>
      <c r="Z87" s="45" t="n">
        <f aca="false">Z83*Z86*Assumptions!$B$7*Z7</f>
        <v>914.615533215042</v>
      </c>
      <c r="AA87" s="45" t="n">
        <f aca="false">AA83*AA86*Assumptions!$B$7*AA7</f>
        <v>195204.624023102</v>
      </c>
      <c r="AB87" s="45" t="n">
        <f aca="false">AB83*AB86*Assumptions!$B$7*AB7</f>
        <v>527880.257328267</v>
      </c>
      <c r="AC87" s="45" t="n">
        <f aca="false">AC83*AC86*Assumptions!$B$7*AC7</f>
        <v>1098100.34139483</v>
      </c>
      <c r="AD87" s="45" t="n">
        <f aca="false">AD83*AD86*Assumptions!$B$7*AD7</f>
        <v>1980560.39809185</v>
      </c>
      <c r="AE87" s="45" t="n">
        <f aca="false">AE83*AE86*Assumptions!$B$7*AE7</f>
        <v>3244057.20197025</v>
      </c>
    </row>
    <row r="88" customFormat="false" ht="15" hidden="false" customHeight="false" outlineLevel="0" collapsed="false">
      <c r="A88" s="6" t="s">
        <v>471</v>
      </c>
      <c r="B88" s="23" t="s">
        <v>114</v>
      </c>
      <c r="C88" s="55" t="n">
        <f aca="false">C87/Assumptions!$B$7</f>
        <v>0</v>
      </c>
      <c r="D88" s="55" t="n">
        <f aca="false">D87/Assumptions!$B$7</f>
        <v>0</v>
      </c>
      <c r="E88" s="55" t="n">
        <f aca="false">E87/Assumptions!$B$7</f>
        <v>0</v>
      </c>
      <c r="F88" s="55" t="n">
        <f aca="false">F87/Assumptions!$B$7</f>
        <v>0</v>
      </c>
      <c r="G88" s="55" t="n">
        <f aca="false">G87/Assumptions!$B$7</f>
        <v>0</v>
      </c>
      <c r="H88" s="55" t="n">
        <f aca="false">H87/Assumptions!$B$7</f>
        <v>0</v>
      </c>
      <c r="I88" s="55" t="n">
        <f aca="false">I87/Assumptions!$B$7</f>
        <v>0</v>
      </c>
      <c r="J88" s="55" t="n">
        <f aca="false">J87/Assumptions!$B$7</f>
        <v>0</v>
      </c>
      <c r="K88" s="55" t="n">
        <f aca="false">K87/Assumptions!$B$7</f>
        <v>0</v>
      </c>
      <c r="L88" s="55" t="n">
        <f aca="false">L87/Assumptions!$B$7</f>
        <v>0</v>
      </c>
      <c r="M88" s="55" t="n">
        <f aca="false">M87/Assumptions!$B$7</f>
        <v>0</v>
      </c>
      <c r="N88" s="55" t="n">
        <f aca="false">N87/Assumptions!$B$7</f>
        <v>0</v>
      </c>
      <c r="O88" s="55" t="n">
        <f aca="false">O87/Assumptions!$B$7</f>
        <v>0</v>
      </c>
      <c r="P88" s="55" t="n">
        <f aca="false">P87/Assumptions!$B$7</f>
        <v>0</v>
      </c>
      <c r="Q88" s="55" t="n">
        <f aca="false">Q87/Assumptions!$B$7</f>
        <v>0</v>
      </c>
      <c r="R88" s="55" t="n">
        <f aca="false">R87/Assumptions!$B$7</f>
        <v>0</v>
      </c>
      <c r="S88" s="55" t="n">
        <f aca="false">S87/Assumptions!$B$7</f>
        <v>0</v>
      </c>
      <c r="T88" s="55" t="n">
        <f aca="false">T87/Assumptions!$B$7</f>
        <v>0</v>
      </c>
      <c r="U88" s="55" t="n">
        <f aca="false">U87/Assumptions!$B$7</f>
        <v>0</v>
      </c>
      <c r="V88" s="55" t="n">
        <f aca="false">V87/Assumptions!$B$7</f>
        <v>0</v>
      </c>
      <c r="W88" s="55" t="n">
        <f aca="false">W87/Assumptions!$B$7</f>
        <v>42.4799323979632</v>
      </c>
      <c r="X88" s="55" t="n">
        <f aca="false">X87/Assumptions!$B$7</f>
        <v>90.6352259577278</v>
      </c>
      <c r="Y88" s="55" t="n">
        <f aca="false">Y87/Assumptions!$B$7</f>
        <v>148.861391823358</v>
      </c>
      <c r="Z88" s="55" t="n">
        <f aca="false">Z87/Assumptions!$B$7</f>
        <v>249.044392978909</v>
      </c>
      <c r="AA88" s="55" t="n">
        <f aca="false">AA87/Assumptions!$B$7</f>
        <v>53153.0630423696</v>
      </c>
      <c r="AB88" s="55" t="n">
        <f aca="false">AB87/Assumptions!$B$7</f>
        <v>143738.667754464</v>
      </c>
      <c r="AC88" s="55" t="n">
        <f aca="false">AC87/Assumptions!$B$7</f>
        <v>299006.219576538</v>
      </c>
      <c r="AD88" s="55" t="n">
        <f aca="false">AD87/Assumptions!$B$7</f>
        <v>539294.866737058</v>
      </c>
      <c r="AE88" s="55" t="n">
        <f aca="false">AE87/Assumptions!$B$7</f>
        <v>883337.563504493</v>
      </c>
    </row>
    <row r="89" customFormat="false" ht="15" hidden="false" customHeight="false" outlineLevel="0" collapsed="false">
      <c r="A89" s="6" t="s">
        <v>473</v>
      </c>
      <c r="B89" s="23" t="s">
        <v>472</v>
      </c>
      <c r="C89" s="45" t="n">
        <f aca="false">IF(Assumptions!$B$144=0,0,C84*Assumptions!$B$156*Assumptions!$B$7/Assumptions!$B$144)</f>
        <v>0</v>
      </c>
      <c r="D89" s="45" t="n">
        <f aca="false">IF(Assumptions!$B$144=0,0,D84*Assumptions!$B$156*Assumptions!$B$7/Assumptions!$B$144)</f>
        <v>0</v>
      </c>
      <c r="E89" s="45" t="n">
        <f aca="false">IF(Assumptions!$B$144=0,0,E84*Assumptions!$B$156*Assumptions!$B$7/Assumptions!$B$144)</f>
        <v>0</v>
      </c>
      <c r="F89" s="45" t="n">
        <f aca="false">IF(Assumptions!$B$144=0,0,F84*Assumptions!$B$156*Assumptions!$B$7/Assumptions!$B$144)</f>
        <v>0</v>
      </c>
      <c r="G89" s="45" t="n">
        <f aca="false">IF(Assumptions!$B$144=0,0,G84*Assumptions!$B$156*Assumptions!$B$7/Assumptions!$B$144)</f>
        <v>0</v>
      </c>
      <c r="H89" s="45" t="n">
        <f aca="false">IF(Assumptions!$B$144=0,0,H84*Assumptions!$B$156*Assumptions!$B$7/Assumptions!$B$144)</f>
        <v>0</v>
      </c>
      <c r="I89" s="45" t="n">
        <f aca="false">IF(Assumptions!$B$144=0,0,I84*Assumptions!$B$156*Assumptions!$B$7/Assumptions!$B$144)</f>
        <v>0</v>
      </c>
      <c r="J89" s="45" t="n">
        <f aca="false">IF(Assumptions!$B$144=0,0,J84*Assumptions!$B$156*Assumptions!$B$7/Assumptions!$B$144)</f>
        <v>0</v>
      </c>
      <c r="K89" s="45" t="n">
        <f aca="false">IF(Assumptions!$B$144=0,0,K84*Assumptions!$B$156*Assumptions!$B$7/Assumptions!$B$144)</f>
        <v>0</v>
      </c>
      <c r="L89" s="45" t="n">
        <f aca="false">IF(Assumptions!$B$144=0,0,L84*Assumptions!$B$156*Assumptions!$B$7/Assumptions!$B$144)</f>
        <v>0</v>
      </c>
      <c r="M89" s="45" t="n">
        <f aca="false">IF(Assumptions!$B$144=0,0,M84*Assumptions!$B$156*Assumptions!$B$7/Assumptions!$B$144)</f>
        <v>0</v>
      </c>
      <c r="N89" s="45" t="n">
        <f aca="false">IF(Assumptions!$B$144=0,0,N84*Assumptions!$B$156*Assumptions!$B$7/Assumptions!$B$144)</f>
        <v>0</v>
      </c>
      <c r="O89" s="45" t="n">
        <f aca="false">IF(Assumptions!$B$144=0,0,O84*Assumptions!$B$156*Assumptions!$B$7/Assumptions!$B$144)</f>
        <v>6.02693846854475</v>
      </c>
      <c r="P89" s="45" t="n">
        <f aca="false">IF(Assumptions!$B$144=0,0,P84*Assumptions!$B$156*Assumptions!$B$7/Assumptions!$B$144)</f>
        <v>9.11970217570547</v>
      </c>
      <c r="Q89" s="45" t="n">
        <f aca="false">IF(Assumptions!$B$144=0,0,Q84*Assumptions!$B$156*Assumptions!$B$7/Assumptions!$B$144)</f>
        <v>12.2545047679292</v>
      </c>
      <c r="R89" s="45" t="n">
        <f aca="false">IF(Assumptions!$B$144=0,0,R84*Assumptions!$B$156*Assumptions!$B$7/Assumptions!$B$144)</f>
        <v>14.7475725723622</v>
      </c>
      <c r="S89" s="45" t="n">
        <f aca="false">IF(Assumptions!$B$144=0,0,S84*Assumptions!$B$156*Assumptions!$B$7/Assumptions!$B$144)</f>
        <v>17.7484447185159</v>
      </c>
      <c r="T89" s="45" t="n">
        <f aca="false">IF(Assumptions!$B$144=0,0,T84*Assumptions!$B$156*Assumptions!$B$7/Assumptions!$B$144)</f>
        <v>21.223888519329</v>
      </c>
      <c r="U89" s="45" t="n">
        <f aca="false">IF(Assumptions!$B$144=0,0,U84*Assumptions!$B$156*Assumptions!$B$7/Assumptions!$B$144)</f>
        <v>24.6908730444485</v>
      </c>
      <c r="V89" s="45" t="n">
        <f aca="false">IF(Assumptions!$B$144=0,0,V84*Assumptions!$B$156*Assumptions!$B$7/Assumptions!$B$144)</f>
        <v>28.0682017392721</v>
      </c>
      <c r="W89" s="45" t="n">
        <f aca="false">IF(Assumptions!$B$144=0,0,W84*Assumptions!$B$156*Assumptions!$B$7/Assumptions!$B$144)</f>
        <v>31.073500636698</v>
      </c>
      <c r="X89" s="45" t="n">
        <f aca="false">IF(Assumptions!$B$144=0,0,X84*Assumptions!$B$156*Assumptions!$B$7/Assumptions!$B$144)</f>
        <v>32.8681783599384</v>
      </c>
      <c r="Y89" s="45" t="n">
        <f aca="false">IF(Assumptions!$B$144=0,0,Y84*Assumptions!$B$156*Assumptions!$B$7/Assumptions!$B$144)</f>
        <v>35.2946422111694</v>
      </c>
      <c r="Z89" s="45" t="n">
        <f aca="false">IF(Assumptions!$B$144=0,0,Z84*Assumptions!$B$156*Assumptions!$B$7/Assumptions!$B$144)</f>
        <v>38.3510433366742</v>
      </c>
      <c r="AA89" s="45" t="n">
        <f aca="false">IF(Assumptions!$B$144=0,0,AA84*Assumptions!$B$156*Assumptions!$B$7/Assumptions!$B$144)</f>
        <v>88.7063234752412</v>
      </c>
      <c r="AB89" s="45" t="n">
        <f aca="false">IF(Assumptions!$B$144=0,0,AB84*Assumptions!$B$156*Assumptions!$B$7/Assumptions!$B$144)</f>
        <v>119.839148985236</v>
      </c>
      <c r="AC89" s="45" t="n">
        <f aca="false">IF(Assumptions!$B$144=0,0,AC84*Assumptions!$B$156*Assumptions!$B$7/Assumptions!$B$144)</f>
        <v>145.367103909767</v>
      </c>
      <c r="AD89" s="45" t="n">
        <f aca="false">IF(Assumptions!$B$144=0,0,AD84*Assumptions!$B$156*Assumptions!$B$7/Assumptions!$B$144)</f>
        <v>173.82522197944</v>
      </c>
      <c r="AE89" s="45" t="n">
        <f aca="false">IF(Assumptions!$B$144=0,0,AE84*Assumptions!$B$156*Assumptions!$B$7/Assumptions!$B$144)</f>
        <v>209.735168698821</v>
      </c>
    </row>
    <row r="90" customFormat="false" ht="15" hidden="false" customHeight="false" outlineLevel="0" collapsed="false">
      <c r="A90" s="6" t="s">
        <v>474</v>
      </c>
      <c r="B90" s="23" t="s">
        <v>475</v>
      </c>
      <c r="C90" s="45" t="n">
        <f aca="false">C83*Assumptions!$B$158*Assumptions!$B$144*C7/12*(1+Assumptions!$B$16)</f>
        <v>0</v>
      </c>
      <c r="D90" s="45" t="n">
        <f aca="false">D83*Assumptions!$B$158*Assumptions!$B$144*D7/12*(1+Assumptions!$B$16)</f>
        <v>0</v>
      </c>
      <c r="E90" s="45" t="n">
        <f aca="false">E83*Assumptions!$B$158*Assumptions!$B$144*E7/12*(1+Assumptions!$B$16)</f>
        <v>0</v>
      </c>
      <c r="F90" s="45" t="n">
        <f aca="false">F83*Assumptions!$B$158*Assumptions!$B$144*F7/12*(1+Assumptions!$B$16)</f>
        <v>0</v>
      </c>
      <c r="G90" s="45" t="n">
        <f aca="false">G83*Assumptions!$B$158*Assumptions!$B$144*G7/12*(1+Assumptions!$B$16)</f>
        <v>0</v>
      </c>
      <c r="H90" s="45" t="n">
        <f aca="false">H83*Assumptions!$B$158*Assumptions!$B$144*H7/12*(1+Assumptions!$B$16)</f>
        <v>0</v>
      </c>
      <c r="I90" s="45" t="n">
        <f aca="false">I83*Assumptions!$B$158*Assumptions!$B$144*I7/12*(1+Assumptions!$B$16)</f>
        <v>0</v>
      </c>
      <c r="J90" s="45" t="n">
        <f aca="false">J83*Assumptions!$B$158*Assumptions!$B$144*J7/12*(1+Assumptions!$B$16)</f>
        <v>0</v>
      </c>
      <c r="K90" s="45" t="n">
        <f aca="false">K83*Assumptions!$B$158*Assumptions!$B$144*K7/12*(1+Assumptions!$B$16)</f>
        <v>0</v>
      </c>
      <c r="L90" s="45" t="n">
        <f aca="false">L83*Assumptions!$B$158*Assumptions!$B$144*L7/12*(1+Assumptions!$B$16)</f>
        <v>0</v>
      </c>
      <c r="M90" s="45" t="n">
        <f aca="false">M83*Assumptions!$B$158*Assumptions!$B$144*M7/12*(1+Assumptions!$B$16)</f>
        <v>0</v>
      </c>
      <c r="N90" s="45" t="n">
        <f aca="false">N83*Assumptions!$B$158*Assumptions!$B$144*N7/12*(1+Assumptions!$B$16)</f>
        <v>0</v>
      </c>
      <c r="O90" s="45" t="n">
        <f aca="false">O83*Assumptions!$B$158*Assumptions!$B$144*O7/12*(1+Assumptions!$B$16)</f>
        <v>0</v>
      </c>
      <c r="P90" s="45" t="n">
        <f aca="false">P83*Assumptions!$B$158*Assumptions!$B$144*P7/12*(1+Assumptions!$B$16)</f>
        <v>0</v>
      </c>
      <c r="Q90" s="45" t="n">
        <f aca="false">Q83*Assumptions!$B$158*Assumptions!$B$144*Q7/12*(1+Assumptions!$B$16)</f>
        <v>0</v>
      </c>
      <c r="R90" s="45" t="n">
        <f aca="false">R83*Assumptions!$B$158*Assumptions!$B$144*R7/12*(1+Assumptions!$B$16)</f>
        <v>0</v>
      </c>
      <c r="S90" s="45" t="n">
        <f aca="false">S83*Assumptions!$B$158*Assumptions!$B$144*S7/12*(1+Assumptions!$B$16)</f>
        <v>0</v>
      </c>
      <c r="T90" s="45" t="n">
        <f aca="false">T83*Assumptions!$B$158*Assumptions!$B$144*T7/12*(1+Assumptions!$B$16)</f>
        <v>0</v>
      </c>
      <c r="U90" s="45" t="n">
        <f aca="false">U83*Assumptions!$B$158*Assumptions!$B$144*U7/12*(1+Assumptions!$B$16)</f>
        <v>0</v>
      </c>
      <c r="V90" s="45" t="n">
        <f aca="false">V83*Assumptions!$B$158*Assumptions!$B$144*V7/12*(1+Assumptions!$B$16)</f>
        <v>0</v>
      </c>
      <c r="W90" s="45" t="n">
        <f aca="false">W83*Assumptions!$B$158*Assumptions!$B$144*W7/12*(1+Assumptions!$B$16)</f>
        <v>5.3218337634</v>
      </c>
      <c r="X90" s="45" t="n">
        <f aca="false">X83*Assumptions!$B$158*Assumptions!$B$144*X7/12*(1+Assumptions!$B$16)</f>
        <v>10.5241949596628</v>
      </c>
      <c r="Y90" s="45" t="n">
        <f aca="false">Y83*Assumptions!$B$158*Assumptions!$B$144*Y7/12*(1+Assumptions!$B$16)</f>
        <v>15.6369361265713</v>
      </c>
      <c r="Z90" s="45" t="n">
        <f aca="false">Z83*Assumptions!$B$158*Assumptions!$B$144*Z7/12*(1+Assumptions!$B$16)</f>
        <v>22.1749374471715</v>
      </c>
      <c r="AA90" s="45" t="n">
        <f aca="false">AA83*Assumptions!$B$158*Assumptions!$B$144*AA7/12*(1+Assumptions!$B$16)</f>
        <v>2332.60598972114</v>
      </c>
      <c r="AB90" s="45" t="n">
        <f aca="false">AB83*Assumptions!$B$158*Assumptions!$B$144*AB7/12*(1+Assumptions!$B$16)</f>
        <v>4669.20098737434</v>
      </c>
      <c r="AC90" s="45" t="n">
        <f aca="false">AC83*Assumptions!$B$158*Assumptions!$B$144*AC7/12*(1+Assumptions!$B$16)</f>
        <v>8007.2198631751</v>
      </c>
      <c r="AD90" s="45" t="n">
        <f aca="false">AD83*Assumptions!$B$158*Assumptions!$B$144*AD7/12*(1+Assumptions!$B$16)</f>
        <v>12077.6145030649</v>
      </c>
      <c r="AE90" s="45" t="n">
        <f aca="false">AE83*Assumptions!$B$158*Assumptions!$B$144*AE7/12*(1+Assumptions!$B$16)</f>
        <v>16395.441238691</v>
      </c>
    </row>
    <row r="91" customFormat="false" ht="15" hidden="false" customHeight="false" outlineLevel="0" collapsed="false">
      <c r="A91" s="6" t="s">
        <v>476</v>
      </c>
      <c r="B91" s="23" t="s">
        <v>114</v>
      </c>
      <c r="C91" s="55" t="n">
        <f aca="false">C73*Assumptions!$B$8</f>
        <v>0</v>
      </c>
      <c r="D91" s="55" t="n">
        <f aca="false">D73*Assumptions!$B$8</f>
        <v>0</v>
      </c>
      <c r="E91" s="55" t="n">
        <f aca="false">E73*Assumptions!$B$8</f>
        <v>0</v>
      </c>
      <c r="F91" s="55" t="n">
        <f aca="false">F73*Assumptions!$B$8</f>
        <v>0</v>
      </c>
      <c r="G91" s="55" t="n">
        <f aca="false">G73*Assumptions!$B$8</f>
        <v>0</v>
      </c>
      <c r="H91" s="55" t="n">
        <f aca="false">H73*Assumptions!$B$8</f>
        <v>0</v>
      </c>
      <c r="I91" s="55" t="n">
        <f aca="false">I73*Assumptions!$B$8</f>
        <v>0</v>
      </c>
      <c r="J91" s="55" t="n">
        <f aca="false">J73*Assumptions!$B$8</f>
        <v>0</v>
      </c>
      <c r="K91" s="55" t="n">
        <f aca="false">K73*Assumptions!$B$8</f>
        <v>0</v>
      </c>
      <c r="L91" s="55" t="n">
        <f aca="false">L73*Assumptions!$B$8</f>
        <v>0</v>
      </c>
      <c r="M91" s="55" t="n">
        <f aca="false">M73*Assumptions!$B$8</f>
        <v>0</v>
      </c>
      <c r="N91" s="55" t="n">
        <f aca="false">N73*Assumptions!$B$8</f>
        <v>0</v>
      </c>
      <c r="O91" s="55" t="n">
        <f aca="false">O73*Assumptions!$B$8</f>
        <v>91.8644196314507</v>
      </c>
      <c r="P91" s="55" t="n">
        <f aca="false">P73*Assumptions!$B$8</f>
        <v>177.201999729406</v>
      </c>
      <c r="Q91" s="55" t="n">
        <f aca="false">Q73*Assumptions!$B$8</f>
        <v>256.845247305797</v>
      </c>
      <c r="R91" s="55" t="n">
        <f aca="false">R73*Assumptions!$B$8</f>
        <v>357.220457577989</v>
      </c>
      <c r="S91" s="55" t="n">
        <f aca="false">S73*Assumptions!$B$8</f>
        <v>444.798455339358</v>
      </c>
      <c r="T91" s="55" t="n">
        <f aca="false">T73*Assumptions!$B$8</f>
        <v>514.075305900748</v>
      </c>
      <c r="U91" s="55" t="n">
        <f aca="false">U73*Assumptions!$B$8</f>
        <v>578.467860139732</v>
      </c>
      <c r="V91" s="55" t="n">
        <f aca="false">V73*Assumptions!$B$8</f>
        <v>641.184416456586</v>
      </c>
      <c r="W91" s="55" t="n">
        <f aca="false">W73*Assumptions!$B$8</f>
        <v>710.935173317737</v>
      </c>
      <c r="X91" s="55" t="n">
        <f aca="false">X73*Assumptions!$B$8</f>
        <v>814.300000625194</v>
      </c>
      <c r="Y91" s="55" t="n">
        <f aca="false">Y73*Assumptions!$B$8</f>
        <v>904.732897183082</v>
      </c>
      <c r="Z91" s="55" t="n">
        <f aca="false">Z73*Assumptions!$B$8</f>
        <v>977.304753793148</v>
      </c>
      <c r="AA91" s="55" t="n">
        <f aca="false">AA73*Assumptions!$B$8</f>
        <v>25712.7992961613</v>
      </c>
      <c r="AB91" s="55" t="n">
        <f aca="false">AB73*Assumptions!$B$8</f>
        <v>44808.880491372</v>
      </c>
      <c r="AC91" s="55" t="n">
        <f aca="false">AC73*Assumptions!$B$8</f>
        <v>68454.9984819041</v>
      </c>
      <c r="AD91" s="55" t="n">
        <f aca="false">AD73*Assumptions!$B$8</f>
        <v>91072.491727195</v>
      </c>
      <c r="AE91" s="55" t="n">
        <f aca="false">AE73*Assumptions!$B$8</f>
        <v>106759.556713645</v>
      </c>
    </row>
    <row r="92" customFormat="false" ht="15" hidden="false" customHeight="false" outlineLevel="0" collapsed="false">
      <c r="A92" s="6" t="s">
        <v>477</v>
      </c>
      <c r="B92" s="23" t="s">
        <v>114</v>
      </c>
      <c r="C92" s="55" t="n">
        <f aca="false">C74*Assumptions!$B$8</f>
        <v>0</v>
      </c>
      <c r="D92" s="55" t="n">
        <f aca="false">D74*Assumptions!$B$8</f>
        <v>0</v>
      </c>
      <c r="E92" s="55" t="n">
        <f aca="false">E74*Assumptions!$B$8</f>
        <v>0</v>
      </c>
      <c r="F92" s="55" t="n">
        <f aca="false">F74*Assumptions!$B$8</f>
        <v>0</v>
      </c>
      <c r="G92" s="55" t="n">
        <f aca="false">G74*Assumptions!$B$8</f>
        <v>0</v>
      </c>
      <c r="H92" s="55" t="n">
        <f aca="false">H74*Assumptions!$B$8</f>
        <v>0</v>
      </c>
      <c r="I92" s="55" t="n">
        <f aca="false">I74*Assumptions!$B$8</f>
        <v>0</v>
      </c>
      <c r="J92" s="55" t="n">
        <f aca="false">J74*Assumptions!$B$8</f>
        <v>0</v>
      </c>
      <c r="K92" s="55" t="n">
        <f aca="false">K74*Assumptions!$B$8</f>
        <v>0</v>
      </c>
      <c r="L92" s="55" t="n">
        <f aca="false">L74*Assumptions!$B$8</f>
        <v>0</v>
      </c>
      <c r="M92" s="55" t="n">
        <f aca="false">M74*Assumptions!$B$8</f>
        <v>0</v>
      </c>
      <c r="N92" s="55" t="n">
        <f aca="false">N74*Assumptions!$B$8</f>
        <v>0</v>
      </c>
      <c r="O92" s="55" t="n">
        <f aca="false">O74*Assumptions!$B$8</f>
        <v>7.25787802536942</v>
      </c>
      <c r="P92" s="55" t="n">
        <f aca="false">P74*Assumptions!$B$8</f>
        <v>14.0000938888778</v>
      </c>
      <c r="Q92" s="55" t="n">
        <f aca="false">Q74*Assumptions!$B$8</f>
        <v>20.292420981051</v>
      </c>
      <c r="R92" s="55" t="n">
        <f aca="false">R74*Assumptions!$B$8</f>
        <v>28.2227060233892</v>
      </c>
      <c r="S92" s="55" t="n">
        <f aca="false">S74*Assumptions!$B$8</f>
        <v>35.1419292439589</v>
      </c>
      <c r="T92" s="55" t="n">
        <f aca="false">T74*Assumptions!$B$8</f>
        <v>40.6152445206841</v>
      </c>
      <c r="U92" s="55" t="n">
        <f aca="false">U74*Assumptions!$B$8</f>
        <v>45.7026690783474</v>
      </c>
      <c r="V92" s="55" t="n">
        <f aca="false">V74*Assumptions!$B$8</f>
        <v>50.657679056586</v>
      </c>
      <c r="W92" s="55" t="n">
        <f aca="false">W74*Assumptions!$B$8</f>
        <v>56.1684359688533</v>
      </c>
      <c r="X92" s="55" t="n">
        <f aca="false">X74*Assumptions!$B$8</f>
        <v>64.3349199211892</v>
      </c>
      <c r="Y92" s="55" t="n">
        <f aca="false">Y74*Assumptions!$B$8</f>
        <v>71.4796984473172</v>
      </c>
      <c r="Z92" s="55" t="n">
        <f aca="false">Z74*Assumptions!$B$8</f>
        <v>77.2133403237215</v>
      </c>
      <c r="AA92" s="55" t="n">
        <f aca="false">AA74*Assumptions!$B$8</f>
        <v>2031.47597003326</v>
      </c>
      <c r="AB92" s="55" t="n">
        <f aca="false">AB74*Assumptions!$B$8</f>
        <v>3540.18879523179</v>
      </c>
      <c r="AC92" s="55" t="n">
        <f aca="false">AC74*Assumptions!$B$8</f>
        <v>5408.38369416326</v>
      </c>
      <c r="AD92" s="55" t="n">
        <f aca="false">AD74*Assumptions!$B$8</f>
        <v>7195.3106444723</v>
      </c>
      <c r="AE92" s="55" t="n">
        <f aca="false">AE74*Assumptions!$B$8</f>
        <v>8434.6893365107</v>
      </c>
    </row>
    <row r="93" customFormat="false" ht="15" hidden="false" customHeight="false" outlineLevel="0" collapsed="false">
      <c r="A93" s="6" t="s">
        <v>478</v>
      </c>
      <c r="B93" s="23" t="s">
        <v>114</v>
      </c>
      <c r="C93" s="55" t="n">
        <f aca="false">C88*IF(Assumptions!$B$174=1,MIN(Assumptions!$B$14,1%),Assumptions!$B$14)*(1-Assumptions!$B$142)</f>
        <v>0</v>
      </c>
      <c r="D93" s="55" t="n">
        <f aca="false">D88*IF(Assumptions!$B$174=1,MIN(Assumptions!$B$14,1%),Assumptions!$B$14)*(1-Assumptions!$B$142)</f>
        <v>0</v>
      </c>
      <c r="E93" s="55" t="n">
        <f aca="false">E88*IF(Assumptions!$B$174=1,MIN(Assumptions!$B$14,1%),Assumptions!$B$14)*(1-Assumptions!$B$142)</f>
        <v>0</v>
      </c>
      <c r="F93" s="55" t="n">
        <f aca="false">F88*IF(Assumptions!$B$174=1,MIN(Assumptions!$B$14,1%),Assumptions!$B$14)*(1-Assumptions!$B$142)</f>
        <v>0</v>
      </c>
      <c r="G93" s="55" t="n">
        <f aca="false">G88*IF(Assumptions!$B$174=1,MIN(Assumptions!$B$14,1%),Assumptions!$B$14)*(1-Assumptions!$B$142)</f>
        <v>0</v>
      </c>
      <c r="H93" s="55" t="n">
        <f aca="false">H88*IF(Assumptions!$B$174=1,MIN(Assumptions!$B$14,1%),Assumptions!$B$14)*(1-Assumptions!$B$142)</f>
        <v>0</v>
      </c>
      <c r="I93" s="55" t="n">
        <f aca="false">I88*IF(Assumptions!$B$174=1,MIN(Assumptions!$B$14,1%),Assumptions!$B$14)*(1-Assumptions!$B$142)</f>
        <v>0</v>
      </c>
      <c r="J93" s="55" t="n">
        <f aca="false">J88*IF(Assumptions!$B$174=1,MIN(Assumptions!$B$14,1%),Assumptions!$B$14)*(1-Assumptions!$B$142)</f>
        <v>0</v>
      </c>
      <c r="K93" s="55" t="n">
        <f aca="false">K88*IF(Assumptions!$B$174=1,MIN(Assumptions!$B$14,1%),Assumptions!$B$14)*(1-Assumptions!$B$142)</f>
        <v>0</v>
      </c>
      <c r="L93" s="55" t="n">
        <f aca="false">L88*IF(Assumptions!$B$174=1,MIN(Assumptions!$B$14,1%),Assumptions!$B$14)*(1-Assumptions!$B$142)</f>
        <v>0</v>
      </c>
      <c r="M93" s="55" t="n">
        <f aca="false">M88*IF(Assumptions!$B$174=1,MIN(Assumptions!$B$14,1%),Assumptions!$B$14)*(1-Assumptions!$B$142)</f>
        <v>0</v>
      </c>
      <c r="N93" s="55" t="n">
        <f aca="false">N88*IF(Assumptions!$B$174=1,MIN(Assumptions!$B$14,1%),Assumptions!$B$14)*(1-Assumptions!$B$142)</f>
        <v>0</v>
      </c>
      <c r="O93" s="55" t="n">
        <f aca="false">O88*IF(Assumptions!$B$174=1,MIN(Assumptions!$B$14,1%),Assumptions!$B$14)*(1-Assumptions!$B$142)</f>
        <v>0</v>
      </c>
      <c r="P93" s="55" t="n">
        <f aca="false">P88*IF(Assumptions!$B$174=1,MIN(Assumptions!$B$14,1%),Assumptions!$B$14)*(1-Assumptions!$B$142)</f>
        <v>0</v>
      </c>
      <c r="Q93" s="55" t="n">
        <f aca="false">Q88*IF(Assumptions!$B$174=1,MIN(Assumptions!$B$14,1%),Assumptions!$B$14)*(1-Assumptions!$B$142)</f>
        <v>0</v>
      </c>
      <c r="R93" s="55" t="n">
        <f aca="false">R88*IF(Assumptions!$B$174=1,MIN(Assumptions!$B$14,1%),Assumptions!$B$14)*(1-Assumptions!$B$142)</f>
        <v>0</v>
      </c>
      <c r="S93" s="55" t="n">
        <f aca="false">S88*IF(Assumptions!$B$174=1,MIN(Assumptions!$B$14,1%),Assumptions!$B$14)*(1-Assumptions!$B$142)</f>
        <v>0</v>
      </c>
      <c r="T93" s="55" t="n">
        <f aca="false">T88*IF(Assumptions!$B$174=1,MIN(Assumptions!$B$14,1%),Assumptions!$B$14)*(1-Assumptions!$B$142)</f>
        <v>0</v>
      </c>
      <c r="U93" s="55" t="n">
        <f aca="false">U88*IF(Assumptions!$B$174=1,MIN(Assumptions!$B$14,1%),Assumptions!$B$14)*(1-Assumptions!$B$142)</f>
        <v>0</v>
      </c>
      <c r="V93" s="55" t="n">
        <f aca="false">V88*IF(Assumptions!$B$174=1,MIN(Assumptions!$B$14,1%),Assumptions!$B$14)*(1-Assumptions!$B$142)</f>
        <v>0</v>
      </c>
      <c r="W93" s="55" t="n">
        <f aca="false">W88*IF(Assumptions!$B$174=1,MIN(Assumptions!$B$14,1%),Assumptions!$B$14)*(1-Assumptions!$B$142)</f>
        <v>0.214098859285734</v>
      </c>
      <c r="X93" s="55" t="n">
        <f aca="false">X88*IF(Assumptions!$B$174=1,MIN(Assumptions!$B$14,1%),Assumptions!$B$14)*(1-Assumptions!$B$142)</f>
        <v>0.456801538826948</v>
      </c>
      <c r="Y93" s="55" t="n">
        <f aca="false">Y88*IF(Assumptions!$B$174=1,MIN(Assumptions!$B$14,1%),Assumptions!$B$14)*(1-Assumptions!$B$142)</f>
        <v>0.750261414789722</v>
      </c>
      <c r="Z93" s="55" t="n">
        <f aca="false">Z88*IF(Assumptions!$B$174=1,MIN(Assumptions!$B$14,1%),Assumptions!$B$14)*(1-Assumptions!$B$142)</f>
        <v>1.2551837406137</v>
      </c>
      <c r="AA93" s="55" t="n">
        <f aca="false">AA88*IF(Assumptions!$B$174=1,MIN(Assumptions!$B$14,1%),Assumptions!$B$14)*(1-Assumptions!$B$142)</f>
        <v>267.891437733543</v>
      </c>
      <c r="AB93" s="55" t="n">
        <f aca="false">AB88*IF(Assumptions!$B$174=1,MIN(Assumptions!$B$14,1%),Assumptions!$B$14)*(1-Assumptions!$B$142)</f>
        <v>724.442885482496</v>
      </c>
      <c r="AC93" s="55" t="n">
        <f aca="false">AC88*IF(Assumptions!$B$174=1,MIN(Assumptions!$B$14,1%),Assumptions!$B$14)*(1-Assumptions!$B$142)</f>
        <v>1506.99134666575</v>
      </c>
      <c r="AD93" s="55" t="n">
        <f aca="false">AD88*IF(Assumptions!$B$174=1,MIN(Assumptions!$B$14,1%),Assumptions!$B$14)*(1-Assumptions!$B$142)</f>
        <v>2718.04612835477</v>
      </c>
      <c r="AE93" s="55" t="n">
        <f aca="false">AE88*IF(Assumptions!$B$174=1,MIN(Assumptions!$B$14,1%),Assumptions!$B$14)*(1-Assumptions!$B$142)</f>
        <v>4452.02132006264</v>
      </c>
    </row>
    <row r="94" customFormat="false" ht="15" hidden="false" customHeight="false" outlineLevel="0" collapsed="false">
      <c r="A94" s="6" t="s">
        <v>479</v>
      </c>
      <c r="B94" s="23" t="s">
        <v>114</v>
      </c>
      <c r="C94" s="55" t="n">
        <f aca="false">IF(C2&gt;=Assumptions!$B$50,C69*Assumptions!$B$159*Assumptions!$B$25/12*C7,0)</f>
        <v>0</v>
      </c>
      <c r="D94" s="55" t="n">
        <f aca="false">IF(D2&gt;=Assumptions!$B$50,D69*Assumptions!$B$159*Assumptions!$B$25/12*D7,0)</f>
        <v>0</v>
      </c>
      <c r="E94" s="55" t="n">
        <f aca="false">IF(E2&gt;=Assumptions!$B$50,E69*Assumptions!$B$159*Assumptions!$B$25/12*E7,0)</f>
        <v>0</v>
      </c>
      <c r="F94" s="55" t="n">
        <f aca="false">IF(F2&gt;=Assumptions!$B$50,F69*Assumptions!$B$159*Assumptions!$B$25/12*F7,0)</f>
        <v>0</v>
      </c>
      <c r="G94" s="55" t="n">
        <f aca="false">IF(G2&gt;=Assumptions!$B$50,G69*Assumptions!$B$159*Assumptions!$B$25/12*G7,0)</f>
        <v>0</v>
      </c>
      <c r="H94" s="55" t="n">
        <f aca="false">IF(H2&gt;=Assumptions!$B$50,H69*Assumptions!$B$159*Assumptions!$B$25/12*H7,0)</f>
        <v>0</v>
      </c>
      <c r="I94" s="55" t="n">
        <f aca="false">IF(I2&gt;=Assumptions!$B$50,I69*Assumptions!$B$159*Assumptions!$B$25/12*I7,0)</f>
        <v>0</v>
      </c>
      <c r="J94" s="55" t="n">
        <f aca="false">IF(J2&gt;=Assumptions!$B$50,J69*Assumptions!$B$159*Assumptions!$B$25/12*J7,0)</f>
        <v>0</v>
      </c>
      <c r="K94" s="55" t="n">
        <f aca="false">IF(K2&gt;=Assumptions!$B$50,K69*Assumptions!$B$159*Assumptions!$B$25/12*K7,0)</f>
        <v>0</v>
      </c>
      <c r="L94" s="55" t="n">
        <f aca="false">IF(L2&gt;=Assumptions!$B$50,L69*Assumptions!$B$159*Assumptions!$B$25/12*L7,0)</f>
        <v>0</v>
      </c>
      <c r="M94" s="55" t="n">
        <f aca="false">IF(M2&gt;=Assumptions!$B$50,M69*Assumptions!$B$159*Assumptions!$B$25/12*M7,0)</f>
        <v>0</v>
      </c>
      <c r="N94" s="55" t="n">
        <f aca="false">IF(N2&gt;=Assumptions!$B$50,N69*Assumptions!$B$159*Assumptions!$B$25/12*N7,0)</f>
        <v>0</v>
      </c>
      <c r="O94" s="55" t="n">
        <f aca="false">IF(O2&gt;=Assumptions!$B$50,O69*Assumptions!$B$159*Assumptions!$B$25/12*O7,0)</f>
        <v>141.329876356078</v>
      </c>
      <c r="P94" s="55" t="n">
        <f aca="false">IF(P2&gt;=Assumptions!$B$50,P69*Assumptions!$B$159*Assumptions!$B$25/12*P7,0)</f>
        <v>272.618461122164</v>
      </c>
      <c r="Q94" s="55" t="n">
        <f aca="false">IF(Q2&gt;=Assumptions!$B$50,Q69*Assumptions!$B$159*Assumptions!$B$25/12*Q7,0)</f>
        <v>395.146534316611</v>
      </c>
      <c r="R94" s="55" t="n">
        <f aca="false">IF(R2&gt;=Assumptions!$B$50,R69*Assumptions!$B$159*Assumptions!$B$25/12*R7,0)</f>
        <v>549.569934735368</v>
      </c>
      <c r="S94" s="55" t="n">
        <f aca="false">IF(S2&gt;=Assumptions!$B$50,S69*Assumptions!$B$159*Assumptions!$B$25/12*S7,0)</f>
        <v>684.305315906705</v>
      </c>
      <c r="T94" s="55" t="n">
        <f aca="false">IF(T2&gt;=Assumptions!$B$50,T69*Assumptions!$B$159*Assumptions!$B$25/12*T7,0)</f>
        <v>790.885086001152</v>
      </c>
      <c r="U94" s="55" t="n">
        <f aca="false">IF(U2&gt;=Assumptions!$B$50,U69*Assumptions!$B$159*Assumptions!$B$25/12*U7,0)</f>
        <v>889.950554061126</v>
      </c>
      <c r="V94" s="55" t="n">
        <f aca="false">IF(V2&gt;=Assumptions!$B$50,V69*Assumptions!$B$159*Assumptions!$B$25/12*V7,0)</f>
        <v>986.437563779363</v>
      </c>
      <c r="W94" s="55" t="n">
        <f aca="false">IF(W2&gt;=Assumptions!$B$50,W69*Assumptions!$B$159*Assumptions!$B$25/12*W7,0)</f>
        <v>1093.74642048883</v>
      </c>
      <c r="X94" s="55" t="n">
        <f aca="false">IF(X2&gt;=Assumptions!$B$50,X69*Assumptions!$B$159*Assumptions!$B$25/12*X7,0)</f>
        <v>1252.76923173107</v>
      </c>
      <c r="Y94" s="55" t="n">
        <f aca="false">IF(Y2&gt;=Assumptions!$B$50,Y69*Assumptions!$B$159*Assumptions!$B$25/12*Y7,0)</f>
        <v>1391.89676489705</v>
      </c>
      <c r="Z94" s="55" t="n">
        <f aca="false">IF(Z2&gt;=Assumptions!$B$50,Z69*Assumptions!$B$159*Assumptions!$B$25/12*Z7,0)</f>
        <v>1503.54577506638</v>
      </c>
      <c r="AA94" s="55" t="n">
        <f aca="false">IF(AA2&gt;=Assumptions!$B$50,AA69*Assumptions!$B$159*Assumptions!$B$25/12*AA7,0)</f>
        <v>39558.1527633251</v>
      </c>
      <c r="AB94" s="55" t="n">
        <f aca="false">IF(AB2&gt;=Assumptions!$B$50,AB69*Assumptions!$B$159*Assumptions!$B$25/12*AB7,0)</f>
        <v>68936.7392174953</v>
      </c>
      <c r="AC94" s="55" t="n">
        <f aca="false">IF(AC2&gt;=Assumptions!$B$50,AC69*Assumptions!$B$159*Assumptions!$B$25/12*AC7,0)</f>
        <v>105315.382279852</v>
      </c>
      <c r="AD94" s="55" t="n">
        <f aca="false">IF(AD2&gt;=Assumptions!$B$50,AD69*Assumptions!$B$159*Assumptions!$B$25/12*AD7,0)</f>
        <v>140111.525734146</v>
      </c>
      <c r="AE94" s="55" t="n">
        <f aca="false">IF(AE2&gt;=Assumptions!$B$50,AE69*Assumptions!$B$159*Assumptions!$B$25/12*AE7,0)</f>
        <v>164245.471867145</v>
      </c>
    </row>
    <row r="95" customFormat="false" ht="15" hidden="false" customHeight="false" outlineLevel="0" collapsed="false">
      <c r="A95" s="6" t="s">
        <v>480</v>
      </c>
      <c r="B95" s="23" t="s">
        <v>114</v>
      </c>
      <c r="C95" s="55" t="n">
        <f aca="false">IF(C2&gt;=Assumptions!$B$52,C88*C17*Assumptions!$B$17+C83*(Assumptions!$B$148*MAX(0,Assumptions!$B$152-Assumptions!$B$18)+Assumptions!$B$149*MAX(0,Assumptions!$B$153-Assumptions!$B$18)+Assumptions!$B$150*MAX(0,Assumptions!$B$154-Assumptions!$B$18)+Assumptions!$B$151*MAX(0,Assumptions!$B$155-Assumptions!$B$18))*Assumptions!$B$19/Assumptions!$B$7*C7+C83*(Assumptions!$B$146*Assumptions!$B$20+Assumptions!$B$147*Assumptions!$B$21)/12/Assumptions!$B$7*C7,0)</f>
        <v>0</v>
      </c>
      <c r="D95" s="55" t="n">
        <f aca="false">IF(D2&gt;=Assumptions!$B$52,D88*D17*Assumptions!$B$17+D83*(Assumptions!$B$148*MAX(0,Assumptions!$B$152-Assumptions!$B$18)+Assumptions!$B$149*MAX(0,Assumptions!$B$153-Assumptions!$B$18)+Assumptions!$B$150*MAX(0,Assumptions!$B$154-Assumptions!$B$18)+Assumptions!$B$151*MAX(0,Assumptions!$B$155-Assumptions!$B$18))*Assumptions!$B$19/Assumptions!$B$7*D7+D83*(Assumptions!$B$146*Assumptions!$B$20+Assumptions!$B$147*Assumptions!$B$21)/12/Assumptions!$B$7*D7,0)</f>
        <v>0</v>
      </c>
      <c r="E95" s="55" t="n">
        <f aca="false">IF(E2&gt;=Assumptions!$B$52,E88*E17*Assumptions!$B$17+E83*(Assumptions!$B$148*MAX(0,Assumptions!$B$152-Assumptions!$B$18)+Assumptions!$B$149*MAX(0,Assumptions!$B$153-Assumptions!$B$18)+Assumptions!$B$150*MAX(0,Assumptions!$B$154-Assumptions!$B$18)+Assumptions!$B$151*MAX(0,Assumptions!$B$155-Assumptions!$B$18))*Assumptions!$B$19/Assumptions!$B$7*E7+E83*(Assumptions!$B$146*Assumptions!$B$20+Assumptions!$B$147*Assumptions!$B$21)/12/Assumptions!$B$7*E7,0)</f>
        <v>0</v>
      </c>
      <c r="F95" s="55" t="n">
        <f aca="false">IF(F2&gt;=Assumptions!$B$52,F88*F17*Assumptions!$B$17+F83*(Assumptions!$B$148*MAX(0,Assumptions!$B$152-Assumptions!$B$18)+Assumptions!$B$149*MAX(0,Assumptions!$B$153-Assumptions!$B$18)+Assumptions!$B$150*MAX(0,Assumptions!$B$154-Assumptions!$B$18)+Assumptions!$B$151*MAX(0,Assumptions!$B$155-Assumptions!$B$18))*Assumptions!$B$19/Assumptions!$B$7*F7+F83*(Assumptions!$B$146*Assumptions!$B$20+Assumptions!$B$147*Assumptions!$B$21)/12/Assumptions!$B$7*F7,0)</f>
        <v>0</v>
      </c>
      <c r="G95" s="55" t="n">
        <f aca="false">IF(G2&gt;=Assumptions!$B$52,G88*G17*Assumptions!$B$17+G83*(Assumptions!$B$148*MAX(0,Assumptions!$B$152-Assumptions!$B$18)+Assumptions!$B$149*MAX(0,Assumptions!$B$153-Assumptions!$B$18)+Assumptions!$B$150*MAX(0,Assumptions!$B$154-Assumptions!$B$18)+Assumptions!$B$151*MAX(0,Assumptions!$B$155-Assumptions!$B$18))*Assumptions!$B$19/Assumptions!$B$7*G7+G83*(Assumptions!$B$146*Assumptions!$B$20+Assumptions!$B$147*Assumptions!$B$21)/12/Assumptions!$B$7*G7,0)</f>
        <v>0</v>
      </c>
      <c r="H95" s="55" t="n">
        <f aca="false">IF(H2&gt;=Assumptions!$B$52,H88*H17*Assumptions!$B$17+H83*(Assumptions!$B$148*MAX(0,Assumptions!$B$152-Assumptions!$B$18)+Assumptions!$B$149*MAX(0,Assumptions!$B$153-Assumptions!$B$18)+Assumptions!$B$150*MAX(0,Assumptions!$B$154-Assumptions!$B$18)+Assumptions!$B$151*MAX(0,Assumptions!$B$155-Assumptions!$B$18))*Assumptions!$B$19/Assumptions!$B$7*H7+H83*(Assumptions!$B$146*Assumptions!$B$20+Assumptions!$B$147*Assumptions!$B$21)/12/Assumptions!$B$7*H7,0)</f>
        <v>0</v>
      </c>
      <c r="I95" s="55" t="n">
        <f aca="false">IF(I2&gt;=Assumptions!$B$52,I88*I17*Assumptions!$B$17+I83*(Assumptions!$B$148*MAX(0,Assumptions!$B$152-Assumptions!$B$18)+Assumptions!$B$149*MAX(0,Assumptions!$B$153-Assumptions!$B$18)+Assumptions!$B$150*MAX(0,Assumptions!$B$154-Assumptions!$B$18)+Assumptions!$B$151*MAX(0,Assumptions!$B$155-Assumptions!$B$18))*Assumptions!$B$19/Assumptions!$B$7*I7+I83*(Assumptions!$B$146*Assumptions!$B$20+Assumptions!$B$147*Assumptions!$B$21)/12/Assumptions!$B$7*I7,0)</f>
        <v>0</v>
      </c>
      <c r="J95" s="55" t="n">
        <f aca="false">IF(J2&gt;=Assumptions!$B$52,J88*J17*Assumptions!$B$17+J83*(Assumptions!$B$148*MAX(0,Assumptions!$B$152-Assumptions!$B$18)+Assumptions!$B$149*MAX(0,Assumptions!$B$153-Assumptions!$B$18)+Assumptions!$B$150*MAX(0,Assumptions!$B$154-Assumptions!$B$18)+Assumptions!$B$151*MAX(0,Assumptions!$B$155-Assumptions!$B$18))*Assumptions!$B$19/Assumptions!$B$7*J7+J83*(Assumptions!$B$146*Assumptions!$B$20+Assumptions!$B$147*Assumptions!$B$21)/12/Assumptions!$B$7*J7,0)</f>
        <v>0</v>
      </c>
      <c r="K95" s="55" t="n">
        <f aca="false">IF(K2&gt;=Assumptions!$B$52,K88*K17*Assumptions!$B$17+K83*(Assumptions!$B$148*MAX(0,Assumptions!$B$152-Assumptions!$B$18)+Assumptions!$B$149*MAX(0,Assumptions!$B$153-Assumptions!$B$18)+Assumptions!$B$150*MAX(0,Assumptions!$B$154-Assumptions!$B$18)+Assumptions!$B$151*MAX(0,Assumptions!$B$155-Assumptions!$B$18))*Assumptions!$B$19/Assumptions!$B$7*K7+K83*(Assumptions!$B$146*Assumptions!$B$20+Assumptions!$B$147*Assumptions!$B$21)/12/Assumptions!$B$7*K7,0)</f>
        <v>0</v>
      </c>
      <c r="L95" s="55" t="n">
        <f aca="false">IF(L2&gt;=Assumptions!$B$52,L88*L17*Assumptions!$B$17+L83*(Assumptions!$B$148*MAX(0,Assumptions!$B$152-Assumptions!$B$18)+Assumptions!$B$149*MAX(0,Assumptions!$B$153-Assumptions!$B$18)+Assumptions!$B$150*MAX(0,Assumptions!$B$154-Assumptions!$B$18)+Assumptions!$B$151*MAX(0,Assumptions!$B$155-Assumptions!$B$18))*Assumptions!$B$19/Assumptions!$B$7*L7+L83*(Assumptions!$B$146*Assumptions!$B$20+Assumptions!$B$147*Assumptions!$B$21)/12/Assumptions!$B$7*L7,0)</f>
        <v>0</v>
      </c>
      <c r="M95" s="55" t="n">
        <f aca="false">IF(M2&gt;=Assumptions!$B$52,M88*M17*Assumptions!$B$17+M83*(Assumptions!$B$148*MAX(0,Assumptions!$B$152-Assumptions!$B$18)+Assumptions!$B$149*MAX(0,Assumptions!$B$153-Assumptions!$B$18)+Assumptions!$B$150*MAX(0,Assumptions!$B$154-Assumptions!$B$18)+Assumptions!$B$151*MAX(0,Assumptions!$B$155-Assumptions!$B$18))*Assumptions!$B$19/Assumptions!$B$7*M7+M83*(Assumptions!$B$146*Assumptions!$B$20+Assumptions!$B$147*Assumptions!$B$21)/12/Assumptions!$B$7*M7,0)</f>
        <v>0</v>
      </c>
      <c r="N95" s="55" t="n">
        <f aca="false">IF(N2&gt;=Assumptions!$B$52,N88*N17*Assumptions!$B$17+N83*(Assumptions!$B$148*MAX(0,Assumptions!$B$152-Assumptions!$B$18)+Assumptions!$B$149*MAX(0,Assumptions!$B$153-Assumptions!$B$18)+Assumptions!$B$150*MAX(0,Assumptions!$B$154-Assumptions!$B$18)+Assumptions!$B$151*MAX(0,Assumptions!$B$155-Assumptions!$B$18))*Assumptions!$B$19/Assumptions!$B$7*N7+N83*(Assumptions!$B$146*Assumptions!$B$20+Assumptions!$B$147*Assumptions!$B$21)/12/Assumptions!$B$7*N7,0)</f>
        <v>0</v>
      </c>
      <c r="O95" s="55" t="n">
        <f aca="false">IF(O2&gt;=Assumptions!$B$52,O88*O17*Assumptions!$B$17+O83*(Assumptions!$B$148*MAX(0,Assumptions!$B$152-Assumptions!$B$18)+Assumptions!$B$149*MAX(0,Assumptions!$B$153-Assumptions!$B$18)+Assumptions!$B$150*MAX(0,Assumptions!$B$154-Assumptions!$B$18)+Assumptions!$B$151*MAX(0,Assumptions!$B$155-Assumptions!$B$18))*Assumptions!$B$19/Assumptions!$B$7*O7+O83*(Assumptions!$B$146*Assumptions!$B$20+Assumptions!$B$147*Assumptions!$B$21)/12/Assumptions!$B$7*O7,0)</f>
        <v>0</v>
      </c>
      <c r="P95" s="55" t="n">
        <f aca="false">IF(P2&gt;=Assumptions!$B$52,P88*P17*Assumptions!$B$17+P83*(Assumptions!$B$148*MAX(0,Assumptions!$B$152-Assumptions!$B$18)+Assumptions!$B$149*MAX(0,Assumptions!$B$153-Assumptions!$B$18)+Assumptions!$B$150*MAX(0,Assumptions!$B$154-Assumptions!$B$18)+Assumptions!$B$151*MAX(0,Assumptions!$B$155-Assumptions!$B$18))*Assumptions!$B$19/Assumptions!$B$7*P7+P83*(Assumptions!$B$146*Assumptions!$B$20+Assumptions!$B$147*Assumptions!$B$21)/12/Assumptions!$B$7*P7,0)</f>
        <v>0</v>
      </c>
      <c r="Q95" s="55" t="n">
        <f aca="false">IF(Q2&gt;=Assumptions!$B$52,Q88*Q17*Assumptions!$B$17+Q83*(Assumptions!$B$148*MAX(0,Assumptions!$B$152-Assumptions!$B$18)+Assumptions!$B$149*MAX(0,Assumptions!$B$153-Assumptions!$B$18)+Assumptions!$B$150*MAX(0,Assumptions!$B$154-Assumptions!$B$18)+Assumptions!$B$151*MAX(0,Assumptions!$B$155-Assumptions!$B$18))*Assumptions!$B$19/Assumptions!$B$7*Q7+Q83*(Assumptions!$B$146*Assumptions!$B$20+Assumptions!$B$147*Assumptions!$B$21)/12/Assumptions!$B$7*Q7,0)</f>
        <v>0</v>
      </c>
      <c r="R95" s="55" t="n">
        <f aca="false">IF(R2&gt;=Assumptions!$B$52,R88*R17*Assumptions!$B$17+R83*(Assumptions!$B$148*MAX(0,Assumptions!$B$152-Assumptions!$B$18)+Assumptions!$B$149*MAX(0,Assumptions!$B$153-Assumptions!$B$18)+Assumptions!$B$150*MAX(0,Assumptions!$B$154-Assumptions!$B$18)+Assumptions!$B$151*MAX(0,Assumptions!$B$155-Assumptions!$B$18))*Assumptions!$B$19/Assumptions!$B$7*R7+R83*(Assumptions!$B$146*Assumptions!$B$20+Assumptions!$B$147*Assumptions!$B$21)/12/Assumptions!$B$7*R7,0)</f>
        <v>0</v>
      </c>
      <c r="S95" s="55" t="n">
        <f aca="false">IF(S2&gt;=Assumptions!$B$52,S88*S17*Assumptions!$B$17+S83*(Assumptions!$B$148*MAX(0,Assumptions!$B$152-Assumptions!$B$18)+Assumptions!$B$149*MAX(0,Assumptions!$B$153-Assumptions!$B$18)+Assumptions!$B$150*MAX(0,Assumptions!$B$154-Assumptions!$B$18)+Assumptions!$B$151*MAX(0,Assumptions!$B$155-Assumptions!$B$18))*Assumptions!$B$19/Assumptions!$B$7*S7+S83*(Assumptions!$B$146*Assumptions!$B$20+Assumptions!$B$147*Assumptions!$B$21)/12/Assumptions!$B$7*S7,0)</f>
        <v>0</v>
      </c>
      <c r="T95" s="55" t="n">
        <f aca="false">IF(T2&gt;=Assumptions!$B$52,T88*T17*Assumptions!$B$17+T83*(Assumptions!$B$148*MAX(0,Assumptions!$B$152-Assumptions!$B$18)+Assumptions!$B$149*MAX(0,Assumptions!$B$153-Assumptions!$B$18)+Assumptions!$B$150*MAX(0,Assumptions!$B$154-Assumptions!$B$18)+Assumptions!$B$151*MAX(0,Assumptions!$B$155-Assumptions!$B$18))*Assumptions!$B$19/Assumptions!$B$7*T7+T83*(Assumptions!$B$146*Assumptions!$B$20+Assumptions!$B$147*Assumptions!$B$21)/12/Assumptions!$B$7*T7,0)</f>
        <v>0</v>
      </c>
      <c r="U95" s="55" t="n">
        <f aca="false">IF(U2&gt;=Assumptions!$B$52,U88*U17*Assumptions!$B$17+U83*(Assumptions!$B$148*MAX(0,Assumptions!$B$152-Assumptions!$B$18)+Assumptions!$B$149*MAX(0,Assumptions!$B$153-Assumptions!$B$18)+Assumptions!$B$150*MAX(0,Assumptions!$B$154-Assumptions!$B$18)+Assumptions!$B$151*MAX(0,Assumptions!$B$155-Assumptions!$B$18))*Assumptions!$B$19/Assumptions!$B$7*U7+U83*(Assumptions!$B$146*Assumptions!$B$20+Assumptions!$B$147*Assumptions!$B$21)/12/Assumptions!$B$7*U7,0)</f>
        <v>0</v>
      </c>
      <c r="V95" s="55" t="n">
        <f aca="false">IF(V2&gt;=Assumptions!$B$52,V88*V17*Assumptions!$B$17+V83*(Assumptions!$B$148*MAX(0,Assumptions!$B$152-Assumptions!$B$18)+Assumptions!$B$149*MAX(0,Assumptions!$B$153-Assumptions!$B$18)+Assumptions!$B$150*MAX(0,Assumptions!$B$154-Assumptions!$B$18)+Assumptions!$B$151*MAX(0,Assumptions!$B$155-Assumptions!$B$18))*Assumptions!$B$19/Assumptions!$B$7*V7+V83*(Assumptions!$B$146*Assumptions!$B$20+Assumptions!$B$147*Assumptions!$B$21)/12/Assumptions!$B$7*V7,0)</f>
        <v>0</v>
      </c>
      <c r="W95" s="55" t="n">
        <f aca="false">IF(W2&gt;=Assumptions!$B$52,W88*W17*Assumptions!$B$17+W83*(Assumptions!$B$148*MAX(0,Assumptions!$B$152-Assumptions!$B$18)+Assumptions!$B$149*MAX(0,Assumptions!$B$153-Assumptions!$B$18)+Assumptions!$B$150*MAX(0,Assumptions!$B$154-Assumptions!$B$18)+Assumptions!$B$151*MAX(0,Assumptions!$B$155-Assumptions!$B$18))*Assumptions!$B$19/Assumptions!$B$7*W7+W83*(Assumptions!$B$146*Assumptions!$B$20+Assumptions!$B$147*Assumptions!$B$21)/12/Assumptions!$B$7*W7,0)</f>
        <v>24.3645182731298</v>
      </c>
      <c r="X95" s="55" t="n">
        <f aca="false">IF(X2&gt;=Assumptions!$B$52,X88*X17*Assumptions!$B$17+X83*(Assumptions!$B$148*MAX(0,Assumptions!$B$152-Assumptions!$B$18)+Assumptions!$B$149*MAX(0,Assumptions!$B$153-Assumptions!$B$18)+Assumptions!$B$150*MAX(0,Assumptions!$B$154-Assumptions!$B$18)+Assumptions!$B$151*MAX(0,Assumptions!$B$155-Assumptions!$B$18))*Assumptions!$B$19/Assumptions!$B$7*X7+X83*(Assumptions!$B$146*Assumptions!$B$20+Assumptions!$B$147*Assumptions!$B$21)/12/Assumptions!$B$7*X7,0)</f>
        <v>48.3159191079177</v>
      </c>
      <c r="Y95" s="55" t="n">
        <f aca="false">IF(Y2&gt;=Assumptions!$B$52,Y88*Y17*Assumptions!$B$17+Y83*(Assumptions!$B$148*MAX(0,Assumptions!$B$152-Assumptions!$B$18)+Assumptions!$B$149*MAX(0,Assumptions!$B$153-Assumptions!$B$18)+Assumptions!$B$150*MAX(0,Assumptions!$B$154-Assumptions!$B$18)+Assumptions!$B$151*MAX(0,Assumptions!$B$155-Assumptions!$B$18))*Assumptions!$B$19/Assumptions!$B$7*Y7+Y83*(Assumptions!$B$146*Assumptions!$B$20+Assumptions!$B$147*Assumptions!$B$21)/12/Assumptions!$B$7*Y7,0)</f>
        <v>71.8392504562925</v>
      </c>
      <c r="Z95" s="55" t="n">
        <f aca="false">IF(Z2&gt;=Assumptions!$B$52,Z88*Z17*Assumptions!$B$17+Z83*(Assumptions!$B$148*MAX(0,Assumptions!$B$152-Assumptions!$B$18)+Assumptions!$B$149*MAX(0,Assumptions!$B$153-Assumptions!$B$18)+Assumptions!$B$150*MAX(0,Assumptions!$B$154-Assumptions!$B$18)+Assumptions!$B$151*MAX(0,Assumptions!$B$155-Assumptions!$B$18))*Assumptions!$B$19/Assumptions!$B$7*Z7+Z83*(Assumptions!$B$146*Assumptions!$B$20+Assumptions!$B$147*Assumptions!$B$21)/12/Assumptions!$B$7*Z7,0)</f>
        <v>101.794951063894</v>
      </c>
      <c r="AA95" s="55" t="n">
        <f aca="false">IF(AA2&gt;=Assumptions!$B$52,AA88*AA17*Assumptions!$B$17+AA83*(Assumptions!$B$148*MAX(0,Assumptions!$B$152-Assumptions!$B$18)+Assumptions!$B$149*MAX(0,Assumptions!$B$153-Assumptions!$B$18)+Assumptions!$B$150*MAX(0,Assumptions!$B$154-Assumptions!$B$18)+Assumptions!$B$151*MAX(0,Assumptions!$B$155-Assumptions!$B$18))*Assumptions!$B$19/Assumptions!$B$7*AA7+AA83*(Assumptions!$B$146*Assumptions!$B$20+Assumptions!$B$147*Assumptions!$B$21)/12/Assumptions!$B$7*AA7,0)</f>
        <v>10925.9540075411</v>
      </c>
      <c r="AB95" s="55" t="n">
        <f aca="false">IF(AB2&gt;=Assumptions!$B$52,AB88*AB17*Assumptions!$B$17+AB83*(Assumptions!$B$148*MAX(0,Assumptions!$B$152-Assumptions!$B$18)+Assumptions!$B$149*MAX(0,Assumptions!$B$153-Assumptions!$B$18)+Assumptions!$B$150*MAX(0,Assumptions!$B$154-Assumptions!$B$18)+Assumptions!$B$151*MAX(0,Assumptions!$B$155-Assumptions!$B$18))*Assumptions!$B$19/Assumptions!$B$7*AB7+AB83*(Assumptions!$B$146*Assumptions!$B$20+Assumptions!$B$147*Assumptions!$B$21)/12/Assumptions!$B$7*AB7,0)</f>
        <v>22124.5157558896</v>
      </c>
      <c r="AC95" s="55" t="n">
        <f aca="false">IF(AC2&gt;=Assumptions!$B$52,AC88*AC17*Assumptions!$B$17+AC83*(Assumptions!$B$148*MAX(0,Assumptions!$B$152-Assumptions!$B$18)+Assumptions!$B$149*MAX(0,Assumptions!$B$153-Assumptions!$B$18)+Assumptions!$B$150*MAX(0,Assumptions!$B$154-Assumptions!$B$18)+Assumptions!$B$151*MAX(0,Assumptions!$B$155-Assumptions!$B$18))*Assumptions!$B$19/Assumptions!$B$7*AC7+AC83*(Assumptions!$B$146*Assumptions!$B$20+Assumptions!$B$147*Assumptions!$B$21)/12/Assumptions!$B$7*AC7,0)</f>
        <v>38298.4238725433</v>
      </c>
      <c r="AD95" s="55" t="n">
        <f aca="false">IF(AD2&gt;=Assumptions!$B$52,AD88*AD17*Assumptions!$B$17+AD83*(Assumptions!$B$148*MAX(0,Assumptions!$B$152-Assumptions!$B$18)+Assumptions!$B$149*MAX(0,Assumptions!$B$153-Assumptions!$B$18)+Assumptions!$B$150*MAX(0,Assumptions!$B$154-Assumptions!$B$18)+Assumptions!$B$151*MAX(0,Assumptions!$B$155-Assumptions!$B$18))*Assumptions!$B$19/Assumptions!$B$7*AD7+AD83*(Assumptions!$B$146*Assumptions!$B$20+Assumptions!$B$147*Assumptions!$B$21)/12/Assumptions!$B$7*AD7,0)</f>
        <v>58367.4494338293</v>
      </c>
      <c r="AE95" s="55" t="n">
        <f aca="false">IF(AE2&gt;=Assumptions!$B$52,AE88*AE17*Assumptions!$B$17+AE83*(Assumptions!$B$148*MAX(0,Assumptions!$B$152-Assumptions!$B$18)+Assumptions!$B$149*MAX(0,Assumptions!$B$153-Assumptions!$B$18)+Assumptions!$B$150*MAX(0,Assumptions!$B$154-Assumptions!$B$18)+Assumptions!$B$151*MAX(0,Assumptions!$B$155-Assumptions!$B$18))*Assumptions!$B$19/Assumptions!$B$7*AE7+AE83*(Assumptions!$B$146*Assumptions!$B$20+Assumptions!$B$147*Assumptions!$B$21)/12/Assumptions!$B$7*AE7,0)</f>
        <v>80262.6374136855</v>
      </c>
    </row>
    <row r="96" customFormat="false" ht="15" hidden="false" customHeight="false" outlineLevel="0" collapsed="false">
      <c r="A96" s="6" t="s">
        <v>481</v>
      </c>
      <c r="B96" s="23" t="s">
        <v>114</v>
      </c>
      <c r="C96" s="55" t="n">
        <f aca="false">IF(C2&gt;=Assumptions!$B$53,C83*C84*(1-Assumptions!$B$174)*Assumptions!$B$156*Assumptions!$B$157,0)</f>
        <v>0</v>
      </c>
      <c r="D96" s="55" t="n">
        <f aca="false">IF(D2&gt;=Assumptions!$B$53,D83*D84*(1-Assumptions!$B$174)*Assumptions!$B$156*Assumptions!$B$157,0)</f>
        <v>0</v>
      </c>
      <c r="E96" s="55" t="n">
        <f aca="false">IF(E2&gt;=Assumptions!$B$53,E83*E84*(1-Assumptions!$B$174)*Assumptions!$B$156*Assumptions!$B$157,0)</f>
        <v>0</v>
      </c>
      <c r="F96" s="55" t="n">
        <f aca="false">IF(F2&gt;=Assumptions!$B$53,F83*F84*(1-Assumptions!$B$174)*Assumptions!$B$156*Assumptions!$B$157,0)</f>
        <v>0</v>
      </c>
      <c r="G96" s="55" t="n">
        <f aca="false">IF(G2&gt;=Assumptions!$B$53,G83*G84*(1-Assumptions!$B$174)*Assumptions!$B$156*Assumptions!$B$157,0)</f>
        <v>0</v>
      </c>
      <c r="H96" s="55" t="n">
        <f aca="false">IF(H2&gt;=Assumptions!$B$53,H83*H84*(1-Assumptions!$B$174)*Assumptions!$B$156*Assumptions!$B$157,0)</f>
        <v>0</v>
      </c>
      <c r="I96" s="55" t="n">
        <f aca="false">IF(I2&gt;=Assumptions!$B$53,I83*I84*(1-Assumptions!$B$174)*Assumptions!$B$156*Assumptions!$B$157,0)</f>
        <v>0</v>
      </c>
      <c r="J96" s="55" t="n">
        <f aca="false">IF(J2&gt;=Assumptions!$B$53,J83*J84*(1-Assumptions!$B$174)*Assumptions!$B$156*Assumptions!$B$157,0)</f>
        <v>0</v>
      </c>
      <c r="K96" s="55" t="n">
        <f aca="false">IF(K2&gt;=Assumptions!$B$53,K83*K84*(1-Assumptions!$B$174)*Assumptions!$B$156*Assumptions!$B$157,0)</f>
        <v>0</v>
      </c>
      <c r="L96" s="55" t="n">
        <f aca="false">IF(L2&gt;=Assumptions!$B$53,L83*L84*(1-Assumptions!$B$174)*Assumptions!$B$156*Assumptions!$B$157,0)</f>
        <v>0</v>
      </c>
      <c r="M96" s="55" t="n">
        <f aca="false">IF(M2&gt;=Assumptions!$B$53,M83*M84*(1-Assumptions!$B$174)*Assumptions!$B$156*Assumptions!$B$157,0)</f>
        <v>0</v>
      </c>
      <c r="N96" s="55" t="n">
        <f aca="false">IF(N2&gt;=Assumptions!$B$53,N83*N84*(1-Assumptions!$B$174)*Assumptions!$B$156*Assumptions!$B$157,0)</f>
        <v>0</v>
      </c>
      <c r="O96" s="55" t="n">
        <f aca="false">IF(O2&gt;=Assumptions!$B$53,O83*O84*(1-Assumptions!$B$174)*Assumptions!$B$156*Assumptions!$B$157,0)</f>
        <v>0</v>
      </c>
      <c r="P96" s="55" t="n">
        <f aca="false">IF(P2&gt;=Assumptions!$B$53,P83*P84*(1-Assumptions!$B$174)*Assumptions!$B$156*Assumptions!$B$157,0)</f>
        <v>0</v>
      </c>
      <c r="Q96" s="55" t="n">
        <f aca="false">IF(Q2&gt;=Assumptions!$B$53,Q83*Q84*(1-Assumptions!$B$174)*Assumptions!$B$156*Assumptions!$B$157,0)</f>
        <v>0</v>
      </c>
      <c r="R96" s="55" t="n">
        <f aca="false">IF(R2&gt;=Assumptions!$B$53,R83*R84*(1-Assumptions!$B$174)*Assumptions!$B$156*Assumptions!$B$157,0)</f>
        <v>0</v>
      </c>
      <c r="S96" s="55" t="n">
        <f aca="false">IF(S2&gt;=Assumptions!$B$53,S83*S84*(1-Assumptions!$B$174)*Assumptions!$B$156*Assumptions!$B$157,0)</f>
        <v>0</v>
      </c>
      <c r="T96" s="55" t="n">
        <f aca="false">IF(T2&gt;=Assumptions!$B$53,T83*T84*(1-Assumptions!$B$174)*Assumptions!$B$156*Assumptions!$B$157,0)</f>
        <v>0</v>
      </c>
      <c r="U96" s="55" t="n">
        <f aca="false">IF(U2&gt;=Assumptions!$B$53,U83*U84*(1-Assumptions!$B$174)*Assumptions!$B$156*Assumptions!$B$157,0)</f>
        <v>0</v>
      </c>
      <c r="V96" s="55" t="n">
        <f aca="false">IF(V2&gt;=Assumptions!$B$53,V83*V84*(1-Assumptions!$B$174)*Assumptions!$B$156*Assumptions!$B$157,0)</f>
        <v>0</v>
      </c>
      <c r="W96" s="55" t="n">
        <f aca="false">IF(W2&gt;=Assumptions!$B$53,W83*W84*(1-Assumptions!$B$174)*Assumptions!$B$156*Assumptions!$B$157,0)</f>
        <v>101.951837755112</v>
      </c>
      <c r="X96" s="55" t="n">
        <f aca="false">IF(X2&gt;=Assumptions!$B$53,X83*X84*(1-Assumptions!$B$174)*Assumptions!$B$156*Assumptions!$B$157,0)</f>
        <v>213.259355194654</v>
      </c>
      <c r="Y96" s="55" t="n">
        <f aca="false">IF(Y2&gt;=Assumptions!$B$53,Y83*Y84*(1-Assumptions!$B$174)*Assumptions!$B$156*Assumptions!$B$157,0)</f>
        <v>340.25460988196</v>
      </c>
      <c r="Z96" s="55" t="n">
        <f aca="false">IF(Z2&gt;=Assumptions!$B$53,Z83*Z84*(1-Assumptions!$B$174)*Assumptions!$B$156*Assumptions!$B$157,0)</f>
        <v>524.303985218755</v>
      </c>
      <c r="AA96" s="55" t="n">
        <f aca="false">IF(AA2&gt;=Assumptions!$B$53,AA83*AA84*(1-Assumptions!$B$174)*Assumptions!$B$156*Assumptions!$B$157,0)</f>
        <v>10630.6126084739</v>
      </c>
      <c r="AB96" s="55" t="n">
        <f aca="false">IF(AB2&gt;=Assumptions!$B$53,AB83*AB84*(1-Assumptions!$B$174)*Assumptions!$B$156*Assumptions!$B$157,0)</f>
        <v>28747.7335508927</v>
      </c>
      <c r="AC96" s="55" t="n">
        <f aca="false">IF(AC2&gt;=Assumptions!$B$53,AC83*AC84*(1-Assumptions!$B$174)*Assumptions!$B$156*Assumptions!$B$157,0)</f>
        <v>59801.2439153075</v>
      </c>
      <c r="AD96" s="55" t="n">
        <f aca="false">IF(AD2&gt;=Assumptions!$B$53,AD83*AD84*(1-Assumptions!$B$174)*Assumptions!$B$156*Assumptions!$B$157,0)</f>
        <v>107858.973347412</v>
      </c>
      <c r="AE96" s="55" t="n">
        <f aca="false">IF(AE2&gt;=Assumptions!$B$53,AE83*AE84*(1-Assumptions!$B$174)*Assumptions!$B$156*Assumptions!$B$157,0)</f>
        <v>176667.512700899</v>
      </c>
    </row>
    <row r="97" customFormat="false" ht="15" hidden="false" customHeight="false" outlineLevel="0" collapsed="false">
      <c r="A97" s="6" t="s">
        <v>482</v>
      </c>
      <c r="B97" s="23" t="s">
        <v>114</v>
      </c>
      <c r="C97" s="55" t="n">
        <f aca="false">IF(C2&gt;=Assumptions!$B$53,(C96*Assumptions!$B$29*Assumptions!$B$30+C83*C85*(1-Assumptions!$B$174)*Assumptions!$B$27*Assumptions!$B$28)*C7/12,0)</f>
        <v>0</v>
      </c>
      <c r="D97" s="55" t="n">
        <f aca="false">IF(D2&gt;=Assumptions!$B$53,(D96*Assumptions!$B$29*Assumptions!$B$30+D83*D85*(1-Assumptions!$B$174)*Assumptions!$B$27*Assumptions!$B$28)*D7/12,0)</f>
        <v>0</v>
      </c>
      <c r="E97" s="55" t="n">
        <f aca="false">IF(E2&gt;=Assumptions!$B$53,(E96*Assumptions!$B$29*Assumptions!$B$30+E83*E85*(1-Assumptions!$B$174)*Assumptions!$B$27*Assumptions!$B$28)*E7/12,0)</f>
        <v>0</v>
      </c>
      <c r="F97" s="55" t="n">
        <f aca="false">IF(F2&gt;=Assumptions!$B$53,(F96*Assumptions!$B$29*Assumptions!$B$30+F83*F85*(1-Assumptions!$B$174)*Assumptions!$B$27*Assumptions!$B$28)*F7/12,0)</f>
        <v>0</v>
      </c>
      <c r="G97" s="55" t="n">
        <f aca="false">IF(G2&gt;=Assumptions!$B$53,(G96*Assumptions!$B$29*Assumptions!$B$30+G83*G85*(1-Assumptions!$B$174)*Assumptions!$B$27*Assumptions!$B$28)*G7/12,0)</f>
        <v>0</v>
      </c>
      <c r="H97" s="55" t="n">
        <f aca="false">IF(H2&gt;=Assumptions!$B$53,(H96*Assumptions!$B$29*Assumptions!$B$30+H83*H85*(1-Assumptions!$B$174)*Assumptions!$B$27*Assumptions!$B$28)*H7/12,0)</f>
        <v>0</v>
      </c>
      <c r="I97" s="55" t="n">
        <f aca="false">IF(I2&gt;=Assumptions!$B$53,(I96*Assumptions!$B$29*Assumptions!$B$30+I83*I85*(1-Assumptions!$B$174)*Assumptions!$B$27*Assumptions!$B$28)*I7/12,0)</f>
        <v>0</v>
      </c>
      <c r="J97" s="55" t="n">
        <f aca="false">IF(J2&gt;=Assumptions!$B$53,(J96*Assumptions!$B$29*Assumptions!$B$30+J83*J85*(1-Assumptions!$B$174)*Assumptions!$B$27*Assumptions!$B$28)*J7/12,0)</f>
        <v>0</v>
      </c>
      <c r="K97" s="55" t="n">
        <f aca="false">IF(K2&gt;=Assumptions!$B$53,(K96*Assumptions!$B$29*Assumptions!$B$30+K83*K85*(1-Assumptions!$B$174)*Assumptions!$B$27*Assumptions!$B$28)*K7/12,0)</f>
        <v>0</v>
      </c>
      <c r="L97" s="55" t="n">
        <f aca="false">IF(L2&gt;=Assumptions!$B$53,(L96*Assumptions!$B$29*Assumptions!$B$30+L83*L85*(1-Assumptions!$B$174)*Assumptions!$B$27*Assumptions!$B$28)*L7/12,0)</f>
        <v>0</v>
      </c>
      <c r="M97" s="55" t="n">
        <f aca="false">IF(M2&gt;=Assumptions!$B$53,(M96*Assumptions!$B$29*Assumptions!$B$30+M83*M85*(1-Assumptions!$B$174)*Assumptions!$B$27*Assumptions!$B$28)*M7/12,0)</f>
        <v>0</v>
      </c>
      <c r="N97" s="55" t="n">
        <f aca="false">IF(N2&gt;=Assumptions!$B$53,(N96*Assumptions!$B$29*Assumptions!$B$30+N83*N85*(1-Assumptions!$B$174)*Assumptions!$B$27*Assumptions!$B$28)*N7/12,0)</f>
        <v>0</v>
      </c>
      <c r="O97" s="55" t="n">
        <f aca="false">IF(O2&gt;=Assumptions!$B$53,(O96*Assumptions!$B$29*Assumptions!$B$30+O83*O85*(1-Assumptions!$B$174)*Assumptions!$B$27*Assumptions!$B$28)*O7/12,0)</f>
        <v>0</v>
      </c>
      <c r="P97" s="55" t="n">
        <f aca="false">IF(P2&gt;=Assumptions!$B$53,(P96*Assumptions!$B$29*Assumptions!$B$30+P83*P85*(1-Assumptions!$B$174)*Assumptions!$B$27*Assumptions!$B$28)*P7/12,0)</f>
        <v>0</v>
      </c>
      <c r="Q97" s="55" t="n">
        <f aca="false">IF(Q2&gt;=Assumptions!$B$53,(Q96*Assumptions!$B$29*Assumptions!$B$30+Q83*Q85*(1-Assumptions!$B$174)*Assumptions!$B$27*Assumptions!$B$28)*Q7/12,0)</f>
        <v>0</v>
      </c>
      <c r="R97" s="55" t="n">
        <f aca="false">IF(R2&gt;=Assumptions!$B$53,(R96*Assumptions!$B$29*Assumptions!$B$30+R83*R85*(1-Assumptions!$B$174)*Assumptions!$B$27*Assumptions!$B$28)*R7/12,0)</f>
        <v>0</v>
      </c>
      <c r="S97" s="55" t="n">
        <f aca="false">IF(S2&gt;=Assumptions!$B$53,(S96*Assumptions!$B$29*Assumptions!$B$30+S83*S85*(1-Assumptions!$B$174)*Assumptions!$B$27*Assumptions!$B$28)*S7/12,0)</f>
        <v>0</v>
      </c>
      <c r="T97" s="55" t="n">
        <f aca="false">IF(T2&gt;=Assumptions!$B$53,(T96*Assumptions!$B$29*Assumptions!$B$30+T83*T85*(1-Assumptions!$B$174)*Assumptions!$B$27*Assumptions!$B$28)*T7/12,0)</f>
        <v>0</v>
      </c>
      <c r="U97" s="55" t="n">
        <f aca="false">IF(U2&gt;=Assumptions!$B$53,(U96*Assumptions!$B$29*Assumptions!$B$30+U83*U85*(1-Assumptions!$B$174)*Assumptions!$B$27*Assumptions!$B$28)*U7/12,0)</f>
        <v>0</v>
      </c>
      <c r="V97" s="55" t="n">
        <f aca="false">IF(V2&gt;=Assumptions!$B$53,(V96*Assumptions!$B$29*Assumptions!$B$30+V83*V85*(1-Assumptions!$B$174)*Assumptions!$B$27*Assumptions!$B$28)*V7/12,0)</f>
        <v>0</v>
      </c>
      <c r="W97" s="55" t="n">
        <f aca="false">IF(W2&gt;=Assumptions!$B$53,(W96*Assumptions!$B$29*Assumptions!$B$30+W83*W85*(1-Assumptions!$B$174)*Assumptions!$B$27*Assumptions!$B$28)*W7/12,0)</f>
        <v>0.24213561466839</v>
      </c>
      <c r="X97" s="55" t="n">
        <f aca="false">IF(X2&gt;=Assumptions!$B$53,(X96*Assumptions!$B$29*Assumptions!$B$30+X83*X85*(1-Assumptions!$B$174)*Assumptions!$B$27*Assumptions!$B$28)*X7/12,0)</f>
        <v>0.506490968587303</v>
      </c>
      <c r="Y97" s="55" t="n">
        <f aca="false">IF(Y2&gt;=Assumptions!$B$53,(Y96*Assumptions!$B$29*Assumptions!$B$30+Y83*Y85*(1-Assumptions!$B$174)*Assumptions!$B$27*Assumptions!$B$28)*Y7/12,0)</f>
        <v>0.808104698469655</v>
      </c>
      <c r="Z97" s="55" t="n">
        <f aca="false">IF(Z2&gt;=Assumptions!$B$53,(Z96*Assumptions!$B$29*Assumptions!$B$30+Z83*Z85*(1-Assumptions!$B$174)*Assumptions!$B$27*Assumptions!$B$28)*Z7/12,0)</f>
        <v>1.24522196489454</v>
      </c>
      <c r="AA97" s="55" t="n">
        <f aca="false">IF(AA2&gt;=Assumptions!$B$53,(AA96*Assumptions!$B$29*Assumptions!$B$30+AA83*AA85*(1-Assumptions!$B$174)*Assumptions!$B$27*Assumptions!$B$28)*AA7/12,0)</f>
        <v>302.972459341507</v>
      </c>
      <c r="AB97" s="55" t="n">
        <f aca="false">IF(AB2&gt;=Assumptions!$B$53,(AB96*Assumptions!$B$29*Assumptions!$B$30+AB83*AB85*(1-Assumptions!$B$174)*Assumptions!$B$27*Assumptions!$B$28)*AB7/12,0)</f>
        <v>819.310406200442</v>
      </c>
      <c r="AC97" s="55" t="n">
        <f aca="false">IF(AC2&gt;=Assumptions!$B$53,(AC96*Assumptions!$B$29*Assumptions!$B$30+AC83*AC85*(1-Assumptions!$B$174)*Assumptions!$B$27*Assumptions!$B$28)*AC7/12,0)</f>
        <v>1704.33545158626</v>
      </c>
      <c r="AD97" s="55" t="n">
        <f aca="false">IF(AD2&gt;=Assumptions!$B$53,(AD96*Assumptions!$B$29*Assumptions!$B$30+AD83*AD85*(1-Assumptions!$B$174)*Assumptions!$B$27*Assumptions!$B$28)*AD7/12,0)</f>
        <v>3073.98074040123</v>
      </c>
      <c r="AE97" s="55" t="n">
        <f aca="false">IF(AE2&gt;=Assumptions!$B$53,(AE96*Assumptions!$B$29*Assumptions!$B$30+AE83*AE85*(1-Assumptions!$B$174)*Assumptions!$B$27*Assumptions!$B$28)*AE7/12,0)</f>
        <v>5035.02411197561</v>
      </c>
    </row>
    <row r="98" customFormat="false" ht="15" hidden="false" customHeight="false" outlineLevel="0" collapsed="false">
      <c r="A98" s="6" t="s">
        <v>483</v>
      </c>
      <c r="B98" s="23" t="s">
        <v>484</v>
      </c>
      <c r="C98" s="45" t="n">
        <f aca="false">IF(C2&gt;=Assumptions!$B$49,(C69+C71*Assumptions!$B$138)*Assumptions!$B$137*C7/12,0)</f>
        <v>0</v>
      </c>
      <c r="D98" s="45" t="n">
        <f aca="false">IF(D2&gt;=Assumptions!$B$49,(D69+D71*Assumptions!$B$138)*Assumptions!$B$137*D7/12,0)</f>
        <v>0</v>
      </c>
      <c r="E98" s="45" t="n">
        <f aca="false">IF(E2&gt;=Assumptions!$B$49,(E69+E71*Assumptions!$B$138)*Assumptions!$B$137*E7/12,0)</f>
        <v>0</v>
      </c>
      <c r="F98" s="45" t="n">
        <f aca="false">IF(F2&gt;=Assumptions!$B$49,(F69+F71*Assumptions!$B$138)*Assumptions!$B$137*F7/12,0)</f>
        <v>0</v>
      </c>
      <c r="G98" s="45" t="n">
        <f aca="false">IF(G2&gt;=Assumptions!$B$49,(G69+G71*Assumptions!$B$138)*Assumptions!$B$137*G7/12,0)</f>
        <v>0</v>
      </c>
      <c r="H98" s="45" t="n">
        <f aca="false">IF(H2&gt;=Assumptions!$B$49,(H69+H71*Assumptions!$B$138)*Assumptions!$B$137*H7/12,0)</f>
        <v>0</v>
      </c>
      <c r="I98" s="45" t="n">
        <f aca="false">IF(I2&gt;=Assumptions!$B$49,(I69+I71*Assumptions!$B$138)*Assumptions!$B$137*I7/12,0)</f>
        <v>0</v>
      </c>
      <c r="J98" s="45" t="n">
        <f aca="false">IF(J2&gt;=Assumptions!$B$49,(J69+J71*Assumptions!$B$138)*Assumptions!$B$137*J7/12,0)</f>
        <v>0</v>
      </c>
      <c r="K98" s="45" t="n">
        <f aca="false">IF(K2&gt;=Assumptions!$B$49,(K69+K71*Assumptions!$B$138)*Assumptions!$B$137*K7/12,0)</f>
        <v>0</v>
      </c>
      <c r="L98" s="45" t="n">
        <f aca="false">IF(L2&gt;=Assumptions!$B$49,(L69+L71*Assumptions!$B$138)*Assumptions!$B$137*L7/12,0)</f>
        <v>0</v>
      </c>
      <c r="M98" s="45" t="n">
        <f aca="false">IF(M2&gt;=Assumptions!$B$49,(M69+M71*Assumptions!$B$138)*Assumptions!$B$137*M7/12,0)</f>
        <v>0</v>
      </c>
      <c r="N98" s="45" t="n">
        <f aca="false">IF(N2&gt;=Assumptions!$B$49,(N69+N71*Assumptions!$B$138)*Assumptions!$B$137*N7/12,0)</f>
        <v>0</v>
      </c>
      <c r="O98" s="45" t="n">
        <f aca="false">IF(O2&gt;=Assumptions!$B$49,(O69+O71*Assumptions!$B$138)*Assumptions!$B$137*O7/12,0)</f>
        <v>0.367583585465883</v>
      </c>
      <c r="P98" s="45" t="n">
        <f aca="false">IF(P2&gt;=Assumptions!$B$49,(P69+P71*Assumptions!$B$138)*Assumptions!$B$137*P7/12,0)</f>
        <v>0.737217856484448</v>
      </c>
      <c r="Q98" s="45" t="n">
        <f aca="false">IF(Q2&gt;=Assumptions!$B$49,(Q69+Q71*Assumptions!$B$138)*Assumptions!$B$137*Q7/12,0)</f>
        <v>1.11023275662047</v>
      </c>
      <c r="R98" s="45" t="n">
        <f aca="false">IF(R2&gt;=Assumptions!$B$49,(R69+R71*Assumptions!$B$138)*Assumptions!$B$137*R7/12,0)</f>
        <v>1.5906237193864</v>
      </c>
      <c r="S98" s="45" t="n">
        <f aca="false">IF(S2&gt;=Assumptions!$B$49,(S69+S71*Assumptions!$B$138)*Assumptions!$B$137*S7/12,0)</f>
        <v>2.05058481602419</v>
      </c>
      <c r="T98" s="45" t="n">
        <f aca="false">IF(T2&gt;=Assumptions!$B$49,(T69+T71*Assumptions!$B$138)*Assumptions!$B$137*T7/12,0)</f>
        <v>2.4641689496779</v>
      </c>
      <c r="U98" s="45" t="n">
        <f aca="false">IF(U2&gt;=Assumptions!$B$49,(U69+U71*Assumptions!$B$138)*Assumptions!$B$137*U7/12,0)</f>
        <v>2.87945051033906</v>
      </c>
      <c r="V98" s="45" t="n">
        <f aca="false">IF(V2&gt;=Assumptions!$B$49,(V69+V71*Assumptions!$B$138)*Assumptions!$B$137*V7/12,0)</f>
        <v>3.30776949135478</v>
      </c>
      <c r="W98" s="45" t="n">
        <f aca="false">IF(W2&gt;=Assumptions!$B$49,(W69+W71*Assumptions!$B$138)*Assumptions!$B$137*W7/12,0)</f>
        <v>3.78346473881685</v>
      </c>
      <c r="X98" s="45" t="n">
        <f aca="false">IF(X2&gt;=Assumptions!$B$49,(X69+X71*Assumptions!$B$138)*Assumptions!$B$137*X7/12,0)</f>
        <v>4.41504895188073</v>
      </c>
      <c r="Y98" s="45" t="n">
        <f aca="false">IF(Y2&gt;=Assumptions!$B$49,(Y69+Y71*Assumptions!$B$138)*Assumptions!$B$137*Y7/12,0)</f>
        <v>5.02658090200232</v>
      </c>
      <c r="Z98" s="45" t="n">
        <f aca="false">IF(Z2&gt;=Assumptions!$B$49,(Z69+Z71*Assumptions!$B$138)*Assumptions!$B$137*Z7/12,0)</f>
        <v>5.59437227552617</v>
      </c>
      <c r="AA98" s="45" t="n">
        <f aca="false">IF(AA2&gt;=Assumptions!$B$49,(AA69+AA71*Assumptions!$B$138)*Assumptions!$B$137*AA7/12,0)</f>
        <v>194.697020600024</v>
      </c>
      <c r="AB98" s="45" t="n">
        <f aca="false">IF(AB2&gt;=Assumptions!$B$49,(AB69+AB71*Assumptions!$B$138)*Assumptions!$B$137*AB7/12,0)</f>
        <v>405.097816641299</v>
      </c>
      <c r="AC98" s="45" t="n">
        <f aca="false">IF(AC2&gt;=Assumptions!$B$49,(AC69+AC71*Assumptions!$B$138)*Assumptions!$B$137*AC7/12,0)</f>
        <v>714.059365598447</v>
      </c>
      <c r="AD98" s="45" t="n">
        <f aca="false">IF(AD2&gt;=Assumptions!$B$49,(AD69+AD71*Assumptions!$B$138)*Assumptions!$B$137*AD7/12,0)</f>
        <v>1105.15460996012</v>
      </c>
      <c r="AE98" s="45" t="n">
        <f aca="false">IF(AE2&gt;=Assumptions!$B$49,(AE69+AE71*Assumptions!$B$138)*Assumptions!$B$137*AE7/12,0)</f>
        <v>1539.18993303524</v>
      </c>
    </row>
    <row r="99" customFormat="false" ht="15" hidden="false" customHeight="false" outlineLevel="0" collapsed="false">
      <c r="A99" s="3" t="s">
        <v>487</v>
      </c>
      <c r="B99" s="23" t="s">
        <v>114</v>
      </c>
      <c r="C99" s="57" t="n">
        <f aca="false">C91+C92+C93+C94+C95+C97</f>
        <v>0</v>
      </c>
      <c r="D99" s="57" t="n">
        <f aca="false">D91+D92+D93+D94+D95+D97</f>
        <v>0</v>
      </c>
      <c r="E99" s="57" t="n">
        <f aca="false">E91+E92+E93+E94+E95+E97</f>
        <v>0</v>
      </c>
      <c r="F99" s="57" t="n">
        <f aca="false">F91+F92+F93+F94+F95+F97</f>
        <v>0</v>
      </c>
      <c r="G99" s="57" t="n">
        <f aca="false">G91+G92+G93+G94+G95+G97</f>
        <v>0</v>
      </c>
      <c r="H99" s="57" t="n">
        <f aca="false">H91+H92+H93+H94+H95+H97</f>
        <v>0</v>
      </c>
      <c r="I99" s="57" t="n">
        <f aca="false">I91+I92+I93+I94+I95+I97</f>
        <v>0</v>
      </c>
      <c r="J99" s="57" t="n">
        <f aca="false">J91+J92+J93+J94+J95+J97</f>
        <v>0</v>
      </c>
      <c r="K99" s="57" t="n">
        <f aca="false">K91+K92+K93+K94+K95+K97</f>
        <v>0</v>
      </c>
      <c r="L99" s="57" t="n">
        <f aca="false">L91+L92+L93+L94+L95+L97</f>
        <v>0</v>
      </c>
      <c r="M99" s="57" t="n">
        <f aca="false">M91+M92+M93+M94+M95+M97</f>
        <v>0</v>
      </c>
      <c r="N99" s="57" t="n">
        <f aca="false">N91+N92+N93+N94+N95+N97</f>
        <v>0</v>
      </c>
      <c r="O99" s="57" t="n">
        <f aca="false">O91+O92+O93+O94+O95+O97</f>
        <v>240.452174012898</v>
      </c>
      <c r="P99" s="57" t="n">
        <f aca="false">P91+P92+P93+P94+P95+P97</f>
        <v>463.820554740448</v>
      </c>
      <c r="Q99" s="57" t="n">
        <f aca="false">Q91+Q92+Q93+Q94+Q95+Q97</f>
        <v>672.28420260346</v>
      </c>
      <c r="R99" s="57" t="n">
        <f aca="false">R91+R92+R93+R94+R95+R97</f>
        <v>935.013098336746</v>
      </c>
      <c r="S99" s="57" t="n">
        <f aca="false">S91+S92+S93+S94+S95+S97</f>
        <v>1164.24570049002</v>
      </c>
      <c r="T99" s="57" t="n">
        <f aca="false">T91+T92+T93+T94+T95+T97</f>
        <v>1345.57563642258</v>
      </c>
      <c r="U99" s="57" t="n">
        <f aca="false">U91+U92+U93+U94+U95+U97</f>
        <v>1514.1210832792</v>
      </c>
      <c r="V99" s="57" t="n">
        <f aca="false">V91+V92+V93+V94+V95+V97</f>
        <v>1678.27965929254</v>
      </c>
      <c r="W99" s="57" t="n">
        <f aca="false">W91+W92+W93+W94+W95+W97</f>
        <v>1885.6707825225</v>
      </c>
      <c r="X99" s="57" t="n">
        <f aca="false">X91+X92+X93+X94+X95+X97</f>
        <v>2180.68336389278</v>
      </c>
      <c r="Y99" s="57" t="n">
        <f aca="false">Y91+Y92+Y93+Y94+Y95+Y97</f>
        <v>2441.506977097</v>
      </c>
      <c r="Z99" s="57" t="n">
        <f aca="false">Z91+Z92+Z93+Z94+Z95+Z97</f>
        <v>2662.35922595265</v>
      </c>
      <c r="AA99" s="57" t="n">
        <f aca="false">AA91+AA92+AA93+AA94+AA95+AA97</f>
        <v>78799.2459341358</v>
      </c>
      <c r="AB99" s="57" t="n">
        <f aca="false">AB91+AB92+AB93+AB94+AB95+AB97</f>
        <v>140954.077551672</v>
      </c>
      <c r="AC99" s="57" t="n">
        <f aca="false">AC91+AC92+AC93+AC94+AC95+AC97</f>
        <v>220688.515126715</v>
      </c>
      <c r="AD99" s="57" t="n">
        <f aca="false">AD91+AD92+AD93+AD94+AD95+AD97</f>
        <v>302538.804408399</v>
      </c>
      <c r="AE99" s="57" t="n">
        <f aca="false">AE91+AE92+AE93+AE94+AE95+AE97</f>
        <v>369189.400763024</v>
      </c>
    </row>
    <row r="101" customFormat="false" ht="15" hidden="false" customHeight="false" outlineLevel="0" collapsed="false">
      <c r="A101" s="46" t="s">
        <v>488</v>
      </c>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row>
    <row r="102" customFormat="false" ht="15" hidden="false" customHeight="false" outlineLevel="0" collapsed="false">
      <c r="A102" s="6" t="s">
        <v>446</v>
      </c>
      <c r="B102" s="23" t="s">
        <v>190</v>
      </c>
      <c r="C102" s="53" t="n">
        <f aca="false">INDEX(Assumptions!$B$100:$B$106,C5)*Assumptions!$B$129/12*C7/Assumptions!$B$126*(1+Assumptions!$B$132)*IF(C2&gt;=Assumptions!$B$57,1,0)</f>
        <v>162.5</v>
      </c>
      <c r="D102" s="53" t="n">
        <f aca="false">INDEX(Assumptions!$B$100:$B$106,D5)*Assumptions!$B$129/12*D7/Assumptions!$B$126*(1+Assumptions!$B$132)*IF(D2&gt;=Assumptions!$B$57,1,0)</f>
        <v>162.5</v>
      </c>
      <c r="E102" s="53" t="n">
        <f aca="false">INDEX(Assumptions!$B$100:$B$106,E5)*Assumptions!$B$129/12*E7/Assumptions!$B$126*(1+Assumptions!$B$132)*IF(E2&gt;=Assumptions!$B$57,1,0)</f>
        <v>162.5</v>
      </c>
      <c r="F102" s="53" t="n">
        <f aca="false">INDEX(Assumptions!$B$100:$B$106,F5)*Assumptions!$B$129/12*F7/Assumptions!$B$126*(1+Assumptions!$B$132)*IF(F2&gt;=Assumptions!$B$57,1,0)</f>
        <v>162.5</v>
      </c>
      <c r="G102" s="53" t="n">
        <f aca="false">INDEX(Assumptions!$B$100:$B$106,G5)*Assumptions!$B$129/12*G7/Assumptions!$B$126*(1+Assumptions!$B$132)*IF(G2&gt;=Assumptions!$B$57,1,0)</f>
        <v>162.5</v>
      </c>
      <c r="H102" s="53" t="n">
        <f aca="false">INDEX(Assumptions!$B$100:$B$106,H5)*Assumptions!$B$129/12*H7/Assumptions!$B$126*(1+Assumptions!$B$132)*IF(H2&gt;=Assumptions!$B$57,1,0)</f>
        <v>162.5</v>
      </c>
      <c r="I102" s="53" t="n">
        <f aca="false">INDEX(Assumptions!$B$100:$B$106,I5)*Assumptions!$B$129/12*I7/Assumptions!$B$126*(1+Assumptions!$B$132)*IF(I2&gt;=Assumptions!$B$57,1,0)</f>
        <v>162.5</v>
      </c>
      <c r="J102" s="53" t="n">
        <f aca="false">INDEX(Assumptions!$B$100:$B$106,J5)*Assumptions!$B$129/12*J7/Assumptions!$B$126*(1+Assumptions!$B$132)*IF(J2&gt;=Assumptions!$B$57,1,0)</f>
        <v>162.5</v>
      </c>
      <c r="K102" s="53" t="n">
        <f aca="false">INDEX(Assumptions!$B$100:$B$106,K5)*Assumptions!$B$129/12*K7/Assumptions!$B$126*(1+Assumptions!$B$132)*IF(K2&gt;=Assumptions!$B$57,1,0)</f>
        <v>162.5</v>
      </c>
      <c r="L102" s="53" t="n">
        <f aca="false">INDEX(Assumptions!$B$100:$B$106,L5)*Assumptions!$B$129/12*L7/Assumptions!$B$126*(1+Assumptions!$B$132)*IF(L2&gt;=Assumptions!$B$57,1,0)</f>
        <v>162.5</v>
      </c>
      <c r="M102" s="53" t="n">
        <f aca="false">INDEX(Assumptions!$B$100:$B$106,M5)*Assumptions!$B$129/12*M7/Assumptions!$B$126*(1+Assumptions!$B$132)*IF(M2&gt;=Assumptions!$B$57,1,0)</f>
        <v>162.5</v>
      </c>
      <c r="N102" s="53" t="n">
        <f aca="false">INDEX(Assumptions!$B$100:$B$106,N5)*Assumptions!$B$129/12*N7/Assumptions!$B$126*(1+Assumptions!$B$132)*IF(N2&gt;=Assumptions!$B$57,1,0)</f>
        <v>162.5</v>
      </c>
      <c r="O102" s="53" t="n">
        <f aca="false">INDEX(Assumptions!$B$100:$B$106,O5)*Assumptions!$B$129/12*O7/Assumptions!$B$126*(1+Assumptions!$B$132)*IF(O2&gt;=Assumptions!$B$57,1,0)</f>
        <v>487.5</v>
      </c>
      <c r="P102" s="53" t="n">
        <f aca="false">INDEX(Assumptions!$B$100:$B$106,P5)*Assumptions!$B$129/12*P7/Assumptions!$B$126*(1+Assumptions!$B$132)*IF(P2&gt;=Assumptions!$B$57,1,0)</f>
        <v>487.5</v>
      </c>
      <c r="Q102" s="53" t="n">
        <f aca="false">INDEX(Assumptions!$B$100:$B$106,Q5)*Assumptions!$B$129/12*Q7/Assumptions!$B$126*(1+Assumptions!$B$132)*IF(Q2&gt;=Assumptions!$B$57,1,0)</f>
        <v>487.5</v>
      </c>
      <c r="R102" s="53" t="n">
        <f aca="false">INDEX(Assumptions!$B$100:$B$106,R5)*Assumptions!$B$129/12*R7/Assumptions!$B$126*(1+Assumptions!$B$132)*IF(R2&gt;=Assumptions!$B$57,1,0)</f>
        <v>487.5</v>
      </c>
      <c r="S102" s="53" t="n">
        <f aca="false">INDEX(Assumptions!$B$100:$B$106,S5)*Assumptions!$B$129/12*S7/Assumptions!$B$126*(1+Assumptions!$B$132)*IF(S2&gt;=Assumptions!$B$57,1,0)</f>
        <v>487.5</v>
      </c>
      <c r="T102" s="53" t="n">
        <f aca="false">INDEX(Assumptions!$B$100:$B$106,T5)*Assumptions!$B$129/12*T7/Assumptions!$B$126*(1+Assumptions!$B$132)*IF(T2&gt;=Assumptions!$B$57,1,0)</f>
        <v>487.5</v>
      </c>
      <c r="U102" s="53" t="n">
        <f aca="false">INDEX(Assumptions!$B$100:$B$106,U5)*Assumptions!$B$129/12*U7/Assumptions!$B$126*(1+Assumptions!$B$132)*IF(U2&gt;=Assumptions!$B$57,1,0)</f>
        <v>487.5</v>
      </c>
      <c r="V102" s="53" t="n">
        <f aca="false">INDEX(Assumptions!$B$100:$B$106,V5)*Assumptions!$B$129/12*V7/Assumptions!$B$126*(1+Assumptions!$B$132)*IF(V2&gt;=Assumptions!$B$57,1,0)</f>
        <v>487.5</v>
      </c>
      <c r="W102" s="53" t="n">
        <f aca="false">INDEX(Assumptions!$B$100:$B$106,W5)*Assumptions!$B$129/12*W7/Assumptions!$B$126*(1+Assumptions!$B$132)*IF(W2&gt;=Assumptions!$B$57,1,0)</f>
        <v>487.5</v>
      </c>
      <c r="X102" s="53" t="n">
        <f aca="false">INDEX(Assumptions!$B$100:$B$106,X5)*Assumptions!$B$129/12*X7/Assumptions!$B$126*(1+Assumptions!$B$132)*IF(X2&gt;=Assumptions!$B$57,1,0)</f>
        <v>487.5</v>
      </c>
      <c r="Y102" s="53" t="n">
        <f aca="false">INDEX(Assumptions!$B$100:$B$106,Y5)*Assumptions!$B$129/12*Y7/Assumptions!$B$126*(1+Assumptions!$B$132)*IF(Y2&gt;=Assumptions!$B$57,1,0)</f>
        <v>487.5</v>
      </c>
      <c r="Z102" s="53" t="n">
        <f aca="false">INDEX(Assumptions!$B$100:$B$106,Z5)*Assumptions!$B$129/12*Z7/Assumptions!$B$126*(1+Assumptions!$B$132)*IF(Z2&gt;=Assumptions!$B$57,1,0)</f>
        <v>487.5</v>
      </c>
      <c r="AA102" s="53" t="n">
        <f aca="false">INDEX(Assumptions!$B$100:$B$106,AA5)*Assumptions!$B$129/12*AA7/Assumptions!$B$126*(1+Assumptions!$B$132)*IF(AA2&gt;=Assumptions!$B$57,1,0)</f>
        <v>8125</v>
      </c>
      <c r="AB102" s="53" t="n">
        <f aca="false">INDEX(Assumptions!$B$100:$B$106,AB5)*Assumptions!$B$129/12*AB7/Assumptions!$B$126*(1+Assumptions!$B$132)*IF(AB2&gt;=Assumptions!$B$57,1,0)</f>
        <v>13000</v>
      </c>
      <c r="AC102" s="53" t="n">
        <f aca="false">INDEX(Assumptions!$B$100:$B$106,AC5)*Assumptions!$B$129/12*AC7/Assumptions!$B$126*(1+Assumptions!$B$132)*IF(AC2&gt;=Assumptions!$B$57,1,0)</f>
        <v>19500</v>
      </c>
      <c r="AD102" s="53" t="n">
        <f aca="false">INDEX(Assumptions!$B$100:$B$106,AD5)*Assumptions!$B$129/12*AD7/Assumptions!$B$126*(1+Assumptions!$B$132)*IF(AD2&gt;=Assumptions!$B$57,1,0)</f>
        <v>27625</v>
      </c>
      <c r="AE102" s="53" t="n">
        <f aca="false">INDEX(Assumptions!$B$100:$B$106,AE5)*Assumptions!$B$129/12*AE7/Assumptions!$B$126*(1+Assumptions!$B$132)*IF(AE2&gt;=Assumptions!$B$57,1,0)</f>
        <v>35750</v>
      </c>
    </row>
    <row r="103" customFormat="false" ht="15" hidden="false" customHeight="false" outlineLevel="0" collapsed="false">
      <c r="A103" s="6" t="s">
        <v>447</v>
      </c>
      <c r="B103" s="23" t="s">
        <v>190</v>
      </c>
      <c r="C103" s="54" t="n">
        <v>0</v>
      </c>
      <c r="D103" s="54" t="n">
        <f aca="false">IF(D2&gt;=Assumptions!$B$55,C107*Assumptions!$B$130/12*Assumptions!$B$131*D7,0)</f>
        <v>0</v>
      </c>
      <c r="E103" s="54" t="n">
        <f aca="false">IF(E2&gt;=Assumptions!$B$55,D107*Assumptions!$B$130/12*Assumptions!$B$131*E7,0)</f>
        <v>0</v>
      </c>
      <c r="F103" s="54" t="n">
        <f aca="false">IF(F2&gt;=Assumptions!$B$55,E107*Assumptions!$B$130/12*Assumptions!$B$131*F7,0)</f>
        <v>0</v>
      </c>
      <c r="G103" s="54" t="n">
        <f aca="false">IF(G2&gt;=Assumptions!$B$55,F107*Assumptions!$B$130/12*Assumptions!$B$131*G7,0)</f>
        <v>0</v>
      </c>
      <c r="H103" s="54" t="n">
        <f aca="false">IF(H2&gt;=Assumptions!$B$55,G107*Assumptions!$B$130/12*Assumptions!$B$131*H7,0)</f>
        <v>0</v>
      </c>
      <c r="I103" s="54" t="n">
        <f aca="false">IF(I2&gt;=Assumptions!$B$55,H107*Assumptions!$B$130/12*Assumptions!$B$131*I7,0)</f>
        <v>0</v>
      </c>
      <c r="J103" s="54" t="n">
        <f aca="false">IF(J2&gt;=Assumptions!$B$55,I107*Assumptions!$B$130/12*Assumptions!$B$131*J7,0)</f>
        <v>0</v>
      </c>
      <c r="K103" s="54" t="n">
        <f aca="false">IF(K2&gt;=Assumptions!$B$55,J107*Assumptions!$B$130/12*Assumptions!$B$131*K7,0)</f>
        <v>0</v>
      </c>
      <c r="L103" s="54" t="n">
        <f aca="false">IF(L2&gt;=Assumptions!$B$55,K107*Assumptions!$B$130/12*Assumptions!$B$131*L7,0)</f>
        <v>0</v>
      </c>
      <c r="M103" s="54" t="n">
        <f aca="false">IF(M2&gt;=Assumptions!$B$55,L107*Assumptions!$B$130/12*Assumptions!$B$131*M7,0)</f>
        <v>0</v>
      </c>
      <c r="N103" s="54" t="n">
        <f aca="false">IF(N2&gt;=Assumptions!$B$55,M107*Assumptions!$B$130/12*Assumptions!$B$131*N7,0)</f>
        <v>0</v>
      </c>
      <c r="O103" s="54" t="n">
        <f aca="false">IF(O2&gt;=Assumptions!$B$55,N107*Assumptions!$B$130/12*Assumptions!$B$131*O7,0)</f>
        <v>49.3648525600531</v>
      </c>
      <c r="P103" s="54" t="n">
        <f aca="false">IF(P2&gt;=Assumptions!$B$55,O107*Assumptions!$B$130/12*Assumptions!$B$131*P7,0)</f>
        <v>64.670049408076</v>
      </c>
      <c r="Q103" s="54" t="n">
        <f aca="false">IF(Q2&gt;=Assumptions!$B$55,P107*Assumptions!$B$130/12*Assumptions!$B$131*Q7,0)</f>
        <v>78.7095129302573</v>
      </c>
      <c r="R103" s="54" t="n">
        <f aca="false">IF(R2&gt;=Assumptions!$B$55,Q107*Assumptions!$B$130/12*Assumptions!$B$131*R7,0)</f>
        <v>91.6546036538516</v>
      </c>
      <c r="S103" s="54" t="n">
        <f aca="false">IF(S2&gt;=Assumptions!$B$55,R107*Assumptions!$B$130/12*Assumptions!$B$131*S7,0)</f>
        <v>108.504048896778</v>
      </c>
      <c r="T103" s="54" t="n">
        <f aca="false">IF(T2&gt;=Assumptions!$B$55,S107*Assumptions!$B$130/12*Assumptions!$B$131*T7,0)</f>
        <v>122.895568725977</v>
      </c>
      <c r="U103" s="54" t="n">
        <f aca="false">IF(U2&gt;=Assumptions!$B$55,T107*Assumptions!$B$130/12*Assumptions!$B$131*U7,0)</f>
        <v>133.839618524663</v>
      </c>
      <c r="V103" s="54" t="n">
        <f aca="false">IF(V2&gt;=Assumptions!$B$55,U107*Assumptions!$B$130/12*Assumptions!$B$131*V7,0)</f>
        <v>143.867194124147</v>
      </c>
      <c r="W103" s="54" t="n">
        <f aca="false">IF(W2&gt;=Assumptions!$B$55,V107*Assumptions!$B$130/12*Assumptions!$B$131*W7,0)</f>
        <v>153.576441248339</v>
      </c>
      <c r="X103" s="54" t="n">
        <f aca="false">IF(X2&gt;=Assumptions!$B$55,W107*Assumptions!$B$130/12*Assumptions!$B$131*X7,0)</f>
        <v>164.558799062824</v>
      </c>
      <c r="Y103" s="54" t="n">
        <f aca="false">IF(Y2&gt;=Assumptions!$B$55,X107*Assumptions!$B$130/12*Assumptions!$B$131*Y7,0)</f>
        <v>181.616852770461</v>
      </c>
      <c r="Z103" s="54" t="n">
        <f aca="false">IF(Z2&gt;=Assumptions!$B$55,Y107*Assumptions!$B$130/12*Assumptions!$B$131*Z7,0)</f>
        <v>196.232919649206</v>
      </c>
      <c r="AA103" s="54" t="n">
        <f aca="false">IF(AA2&gt;=Assumptions!$B$55,Z107*Assumptions!$B$130/12*Assumptions!$B$131*AA7,0)</f>
        <v>2490.74560007367</v>
      </c>
      <c r="AB103" s="54" t="n">
        <f aca="false">IF(AB2&gt;=Assumptions!$B$55,AA107*Assumptions!$B$130/12*Assumptions!$B$131*AB7,0)</f>
        <v>4565.14680628669</v>
      </c>
      <c r="AC103" s="54" t="n">
        <f aca="false">IF(AC2&gt;=Assumptions!$B$55,AB107*Assumptions!$B$130/12*Assumptions!$B$131*AC7,0)</f>
        <v>7197.75865363728</v>
      </c>
      <c r="AD103" s="54" t="n">
        <f aca="false">IF(AD2&gt;=Assumptions!$B$55,AC107*Assumptions!$B$130/12*Assumptions!$B$131*AD7,0)</f>
        <v>9904.21356022277</v>
      </c>
      <c r="AE103" s="54" t="n">
        <f aca="false">IF(AE2&gt;=Assumptions!$B$55,AD107*Assumptions!$B$130/12*Assumptions!$B$131*AE7,0)</f>
        <v>11584.0542011576</v>
      </c>
    </row>
    <row r="104" customFormat="false" ht="15" hidden="false" customHeight="false" outlineLevel="0" collapsed="false">
      <c r="A104" s="6" t="s">
        <v>448</v>
      </c>
      <c r="B104" s="23" t="s">
        <v>190</v>
      </c>
      <c r="C104" s="54" t="n">
        <f aca="false">C102+C103+IF(C23=0,0,C20*Assumptions!$B$116/C23*IF(C2&gt;=Assumptions!$B$57,1,0))</f>
        <v>176.9</v>
      </c>
      <c r="D104" s="54" t="n">
        <f aca="false">D102+D103+IF(D23=0,0,D20*Assumptions!$B$116/D23*IF(D2&gt;=Assumptions!$B$57,1,0))</f>
        <v>176.9</v>
      </c>
      <c r="E104" s="54" t="n">
        <f aca="false">E102+E103+IF(E23=0,0,E20*Assumptions!$B$116/E23*IF(E2&gt;=Assumptions!$B$57,1,0))</f>
        <v>176.9</v>
      </c>
      <c r="F104" s="54" t="n">
        <f aca="false">F102+F103+IF(F23=0,0,F20*Assumptions!$B$116/F23*IF(F2&gt;=Assumptions!$B$57,1,0))</f>
        <v>176.9</v>
      </c>
      <c r="G104" s="54" t="n">
        <f aca="false">G102+G103+IF(G23=0,0,G20*Assumptions!$B$116/G23*IF(G2&gt;=Assumptions!$B$57,1,0))</f>
        <v>176.9</v>
      </c>
      <c r="H104" s="54" t="n">
        <f aca="false">H102+H103+IF(H23=0,0,H20*Assumptions!$B$116/H23*IF(H2&gt;=Assumptions!$B$57,1,0))</f>
        <v>176.9</v>
      </c>
      <c r="I104" s="54" t="n">
        <f aca="false">I102+I103+IF(I23=0,0,I20*Assumptions!$B$116/I23*IF(I2&gt;=Assumptions!$B$57,1,0))</f>
        <v>176.9</v>
      </c>
      <c r="J104" s="54" t="n">
        <f aca="false">J102+J103+IF(J23=0,0,J20*Assumptions!$B$116/J23*IF(J2&gt;=Assumptions!$B$57,1,0))</f>
        <v>176.9</v>
      </c>
      <c r="K104" s="54" t="n">
        <f aca="false">K102+K103+IF(K23=0,0,K20*Assumptions!$B$116/K23*IF(K2&gt;=Assumptions!$B$57,1,0))</f>
        <v>176.9</v>
      </c>
      <c r="L104" s="54" t="n">
        <f aca="false">L102+L103+IF(L23=0,0,L20*Assumptions!$B$116/L23*IF(L2&gt;=Assumptions!$B$57,1,0))</f>
        <v>176.9</v>
      </c>
      <c r="M104" s="54" t="n">
        <f aca="false">M102+M103+IF(M23=0,0,M20*Assumptions!$B$116/M23*IF(M2&gt;=Assumptions!$B$57,1,0))</f>
        <v>176.9</v>
      </c>
      <c r="N104" s="54" t="n">
        <f aca="false">N102+N103+IF(N23=0,0,N20*Assumptions!$B$116/N23*IF(N2&gt;=Assumptions!$B$57,1,0))</f>
        <v>176.9</v>
      </c>
      <c r="O104" s="54" t="n">
        <f aca="false">O102+O103+IF(O23=0,0,O20*Assumptions!$B$116/O23*IF(O2&gt;=Assumptions!$B$57,1,0))</f>
        <v>589.649852560053</v>
      </c>
      <c r="P104" s="54" t="n">
        <f aca="false">P102+P103+IF(P23=0,0,P20*Assumptions!$B$116/P23*IF(P2&gt;=Assumptions!$B$57,1,0))</f>
        <v>604.955049408076</v>
      </c>
      <c r="Q104" s="54" t="n">
        <f aca="false">Q102+Q103+IF(Q23=0,0,Q20*Assumptions!$B$116/Q23*IF(Q2&gt;=Assumptions!$B$57,1,0))</f>
        <v>618.994512930257</v>
      </c>
      <c r="R104" s="54" t="n">
        <f aca="false">R102+R103+IF(R23=0,0,R20*Assumptions!$B$116/R23*IF(R2&gt;=Assumptions!$B$57,1,0))</f>
        <v>631.939603653852</v>
      </c>
      <c r="S104" s="54" t="n">
        <f aca="false">S102+S103+IF(S23=0,0,S20*Assumptions!$B$116/S23*IF(S2&gt;=Assumptions!$B$57,1,0))</f>
        <v>648.789048896778</v>
      </c>
      <c r="T104" s="54" t="n">
        <f aca="false">T102+T103+IF(T23=0,0,T20*Assumptions!$B$116/T23*IF(T2&gt;=Assumptions!$B$57,1,0))</f>
        <v>663.180568725977</v>
      </c>
      <c r="U104" s="54" t="n">
        <f aca="false">U102+U103+IF(U23=0,0,U20*Assumptions!$B$116/U23*IF(U2&gt;=Assumptions!$B$57,1,0))</f>
        <v>674.124618524663</v>
      </c>
      <c r="V104" s="54" t="n">
        <f aca="false">V102+V103+IF(V23=0,0,V20*Assumptions!$B$116/V23*IF(V2&gt;=Assumptions!$B$57,1,0))</f>
        <v>684.152194124147</v>
      </c>
      <c r="W104" s="54" t="n">
        <f aca="false">W102+W103+IF(W23=0,0,W20*Assumptions!$B$116/W23*IF(W2&gt;=Assumptions!$B$57,1,0))</f>
        <v>693.861441248339</v>
      </c>
      <c r="X104" s="54" t="n">
        <f aca="false">X102+X103+IF(X23=0,0,X20*Assumptions!$B$116/X23*IF(X2&gt;=Assumptions!$B$57,1,0))</f>
        <v>704.843799062824</v>
      </c>
      <c r="Y104" s="54" t="n">
        <f aca="false">Y102+Y103+IF(Y23=0,0,Y20*Assumptions!$B$116/Y23*IF(Y2&gt;=Assumptions!$B$57,1,0))</f>
        <v>721.901852770461</v>
      </c>
      <c r="Z104" s="54" t="n">
        <f aca="false">Z102+Z103+IF(Z23=0,0,Z20*Assumptions!$B$116/Z23*IF(Z2&gt;=Assumptions!$B$57,1,0))</f>
        <v>736.517919649206</v>
      </c>
      <c r="AA104" s="54" t="n">
        <f aca="false">AA102+AA103+IF(AA23=0,0,AA20*Assumptions!$B$116/AA23*IF(AA2&gt;=Assumptions!$B$57,1,0))</f>
        <v>12559.7456000737</v>
      </c>
      <c r="AB104" s="54" t="n">
        <f aca="false">AB102+AB103+IF(AB23=0,0,AB20*Assumptions!$B$116/AB23*IF(AB2&gt;=Assumptions!$B$57,1,0))</f>
        <v>20481.1468062867</v>
      </c>
      <c r="AC104" s="54" t="n">
        <f aca="false">AC102+AC103+IF(AC23=0,0,AC20*Assumptions!$B$116/AC23*IF(AC2&gt;=Assumptions!$B$57,1,0))</f>
        <v>31071.7586536373</v>
      </c>
      <c r="AD104" s="54" t="n">
        <f aca="false">AD102+AD103+IF(AD23=0,0,AD20*Assumptions!$B$116/AD23*IF(AD2&gt;=Assumptions!$B$57,1,0))</f>
        <v>42680.8135602228</v>
      </c>
      <c r="AE104" s="54" t="n">
        <f aca="false">AE102+AE103+IF(AE23=0,0,AE20*Assumptions!$B$116/AE23*IF(AE2&gt;=Assumptions!$B$57,1,0))</f>
        <v>53360.4542011576</v>
      </c>
    </row>
    <row r="105" customFormat="false" ht="15" hidden="false" customHeight="false" outlineLevel="0" collapsed="false">
      <c r="A105" s="6" t="s">
        <v>449</v>
      </c>
      <c r="B105" s="23" t="s">
        <v>444</v>
      </c>
      <c r="C105" s="51" t="n">
        <v>1</v>
      </c>
      <c r="D105" s="51" t="n">
        <f aca="false">MAX(0,1-C110/Assumptions!$B$86)</f>
        <v>0.998570648</v>
      </c>
      <c r="E105" s="51" t="n">
        <f aca="false">MAX(0,1-D110/Assumptions!$B$86)</f>
        <v>0.997213997906192</v>
      </c>
      <c r="F105" s="51" t="n">
        <f aca="false">MAX(0,1-E110/Assumptions!$B$86)</f>
        <v>0.995915641236343</v>
      </c>
      <c r="G105" s="51" t="n">
        <f aca="false">MAX(0,1-F110/Assumptions!$B$86)</f>
        <v>0.994294808448543</v>
      </c>
      <c r="H105" s="51" t="n">
        <f aca="false">MAX(0,1-G110/Assumptions!$B$86)</f>
        <v>0.99283139739511</v>
      </c>
      <c r="I105" s="51" t="n">
        <f aca="false">MAX(0,1-H110/Assumptions!$B$86)</f>
        <v>0.991594949000748</v>
      </c>
      <c r="J105" s="51" t="n">
        <f aca="false">MAX(0,1-I110/Assumptions!$B$86)</f>
        <v>0.990402139604696</v>
      </c>
      <c r="K105" s="51" t="n">
        <f aca="false">MAX(0,1-J110/Assumptions!$B$86)</f>
        <v>0.989210765062923</v>
      </c>
      <c r="L105" s="51" t="n">
        <f aca="false">MAX(0,1-K110/Assumptions!$B$86)</f>
        <v>0.987908829163436</v>
      </c>
      <c r="M105" s="51" t="n">
        <f aca="false">MAX(0,1-L110/Assumptions!$B$86)</f>
        <v>0.986161218444646</v>
      </c>
      <c r="N105" s="51" t="n">
        <f aca="false">MAX(0,1-M110/Assumptions!$B$86)</f>
        <v>0.984556260784851</v>
      </c>
      <c r="O105" s="51" t="n">
        <f aca="false">MAX(0,1-N110/Assumptions!$B$86)</f>
        <v>0.983148983324386</v>
      </c>
      <c r="P105" s="51" t="n">
        <f aca="false">MAX(0,1-O110/Assumptions!$B$86)</f>
        <v>0.978464897007647</v>
      </c>
      <c r="Q105" s="51" t="n">
        <f aca="false">MAX(0,1-P110/Assumptions!$B$86)</f>
        <v>0.973918895496376</v>
      </c>
      <c r="R105" s="51" t="n">
        <f aca="false">MAX(0,1-Q110/Assumptions!$B$86)</f>
        <v>0.96948191616707</v>
      </c>
      <c r="S105" s="51" t="n">
        <f aca="false">MAX(0,1-R110/Assumptions!$B$86)</f>
        <v>0.96384549920283</v>
      </c>
      <c r="T105" s="51" t="n">
        <f aca="false">MAX(0,1-S110/Assumptions!$B$86)</f>
        <v>0.958642733595633</v>
      </c>
      <c r="U105" s="51" t="n">
        <f aca="false">MAX(0,1-T110/Assumptions!$B$86)</f>
        <v>0.954167030833405</v>
      </c>
      <c r="V105" s="51" t="n">
        <f aca="false">MAX(0,1-U110/Assumptions!$B$86)</f>
        <v>0.949793083930853</v>
      </c>
      <c r="W105" s="51" t="n">
        <f aca="false">MAX(0,1-V110/Assumptions!$B$86)</f>
        <v>0.945374423378974</v>
      </c>
      <c r="X105" s="51" t="n">
        <f aca="false">MAX(0,1-W110/Assumptions!$B$86)</f>
        <v>0.940494089461131</v>
      </c>
      <c r="Y105" s="51" t="n">
        <f aca="false">MAX(0,1-X110/Assumptions!$B$86)</f>
        <v>0.933865075191012</v>
      </c>
      <c r="Z105" s="51" t="n">
        <f aca="false">MAX(0,1-Y110/Assumptions!$B$86)</f>
        <v>0.927662813053246</v>
      </c>
      <c r="AA105" s="51" t="n">
        <f aca="false">MAX(0,1-Z110/Assumptions!$B$86)</f>
        <v>0.922142231548783</v>
      </c>
      <c r="AB105" s="51" t="n">
        <f aca="false">MAX(0,1-AA110/Assumptions!$B$86)</f>
        <v>0.829487256866087</v>
      </c>
      <c r="AC105" s="51" t="n">
        <f aca="false">MAX(0,1-AB110/Assumptions!$B$86)</f>
        <v>0.69357645461154</v>
      </c>
      <c r="AD105" s="51" t="n">
        <f aca="false">MAX(0,1-AC110/Assumptions!$B$86)</f>
        <v>0.521171332967259</v>
      </c>
      <c r="AE105" s="51" t="n">
        <f aca="false">MAX(0,1-AD110/Assumptions!$B$86)</f>
        <v>0.343219201004792</v>
      </c>
    </row>
    <row r="106" customFormat="false" ht="15" hidden="false" customHeight="false" outlineLevel="0" collapsed="false">
      <c r="A106" s="6" t="s">
        <v>450</v>
      </c>
      <c r="B106" s="23" t="s">
        <v>190</v>
      </c>
      <c r="C106" s="54" t="n">
        <f aca="false">C104*C105*C15</f>
        <v>178.669</v>
      </c>
      <c r="D106" s="54" t="n">
        <f aca="false">D104*D105*D15</f>
        <v>169.581261725952</v>
      </c>
      <c r="E106" s="54" t="n">
        <f aca="false">E104*E105*E15</f>
        <v>162.294583731237</v>
      </c>
      <c r="F106" s="54" t="n">
        <f aca="false">F104*F105*F15</f>
        <v>202.604098474915</v>
      </c>
      <c r="G106" s="54" t="n">
        <f aca="false">G104*G105*G15</f>
        <v>182.926381679129</v>
      </c>
      <c r="H106" s="54" t="n">
        <f aca="false">H104*H105*H15</f>
        <v>154.556049295292</v>
      </c>
      <c r="I106" s="54" t="n">
        <f aca="false">I104*I105*I15</f>
        <v>149.101174506497</v>
      </c>
      <c r="J106" s="54" t="n">
        <f aca="false">J104*J105*J15</f>
        <v>148.92181772166</v>
      </c>
      <c r="K106" s="54" t="n">
        <f aca="false">K104*K105*K15</f>
        <v>162.741987435857</v>
      </c>
      <c r="L106" s="54" t="n">
        <f aca="false">L104*L105*L15</f>
        <v>218.451339848765</v>
      </c>
      <c r="M106" s="54" t="n">
        <f aca="false">M104*M105*M15</f>
        <v>200.619707474286</v>
      </c>
      <c r="N106" s="54" t="n">
        <f aca="false">N104*N105*N15</f>
        <v>175.909682558169</v>
      </c>
      <c r="O106" s="54" t="n">
        <f aca="false">O104*O105*O15</f>
        <v>585.510789592408</v>
      </c>
      <c r="P106" s="54" t="n">
        <f aca="false">P104*P105*P15</f>
        <v>568.250188908796</v>
      </c>
      <c r="Q106" s="54" t="n">
        <f aca="false">Q104*Q105*Q15</f>
        <v>554.622416163245</v>
      </c>
      <c r="R106" s="54" t="n">
        <f aca="false">R104*R105*R15</f>
        <v>704.552120530024</v>
      </c>
      <c r="S106" s="54" t="n">
        <f aca="false">S104*S105*S15</f>
        <v>650.345700899694</v>
      </c>
      <c r="T106" s="54" t="n">
        <f aca="false">T104*T105*T15</f>
        <v>559.46284527846</v>
      </c>
      <c r="U106" s="54" t="n">
        <f aca="false">U104*U105*U15</f>
        <v>546.743362818973</v>
      </c>
      <c r="V106" s="54" t="n">
        <f aca="false">V104*V105*V15</f>
        <v>552.332568984948</v>
      </c>
      <c r="W106" s="54" t="n">
        <f aca="false">W104*W105*W15</f>
        <v>610.041739730299</v>
      </c>
      <c r="X106" s="54" t="n">
        <f aca="false">X104*X105*X15</f>
        <v>828.626783764894</v>
      </c>
      <c r="Y106" s="54" t="n">
        <f aca="false">Y104*Y105*Y15</f>
        <v>775.28276722072</v>
      </c>
      <c r="Z106" s="54" t="n">
        <f aca="false">Z104*Z105*Z15</f>
        <v>690.072688057966</v>
      </c>
      <c r="AA106" s="54" t="n">
        <f aca="false">AA104*AA105*AA15</f>
        <v>11581.8718353369</v>
      </c>
      <c r="AB106" s="54" t="n">
        <f aca="false">AB104*AB105*AB15</f>
        <v>16988.8502818184</v>
      </c>
      <c r="AC106" s="54" t="n">
        <f aca="false">AC104*AC105*AC15</f>
        <v>21550.6402055352</v>
      </c>
      <c r="AD106" s="54" t="n">
        <f aca="false">AD104*AD105*AD15</f>
        <v>22244.0164953083</v>
      </c>
      <c r="AE106" s="54" t="n">
        <f aca="false">AE104*AE105*AE15</f>
        <v>18314.3324561741</v>
      </c>
    </row>
    <row r="107" customFormat="false" ht="15" hidden="false" customHeight="false" outlineLevel="0" collapsed="false">
      <c r="A107" s="6" t="s">
        <v>451</v>
      </c>
      <c r="B107" s="23" t="s">
        <v>190</v>
      </c>
      <c r="C107" s="28" t="n">
        <f aca="false">C106*(1-Assumptions!$B$122)^(C7/2)</f>
        <v>174.273352344836</v>
      </c>
      <c r="D107" s="28" t="n">
        <f aca="false">C107*(1-Assumptions!$B$122)^D7+D106*(1-Assumptions!$B$122)^(D7/2)</f>
        <v>331.213016374406</v>
      </c>
      <c r="E107" s="28" t="n">
        <f aca="false">D107*(1-Assumptions!$B$122)^E7+E106*(1-Assumptions!$B$122)^(E7/2)</f>
        <v>473.418144020398</v>
      </c>
      <c r="F107" s="28" t="n">
        <f aca="false">E107*(1-Assumptions!$B$122)^F7+F106*(1-Assumptions!$B$122)^(F7/2)</f>
        <v>648.030042940469</v>
      </c>
      <c r="G107" s="28" t="n">
        <f aca="false">F107*(1-Assumptions!$B$122)^G7+G106*(1-Assumptions!$B$122)^(G7/2)</f>
        <v>794.962358566973</v>
      </c>
      <c r="H107" s="28" t="n">
        <f aca="false">G107*(1-Assumptions!$B$122)^H7+H106*(1-Assumptions!$B$122)^(H7/2)</f>
        <v>907.081535506214</v>
      </c>
      <c r="I107" s="28" t="n">
        <f aca="false">H107*(1-Assumptions!$B$122)^I7+I106*(1-Assumptions!$B$122)^(I7/2)</f>
        <v>1008.43114828689</v>
      </c>
      <c r="J107" s="28" t="n">
        <f aca="false">I107*(1-Assumptions!$B$122)^J7+J106*(1-Assumptions!$B$122)^(J7/2)</f>
        <v>1104.68031678338</v>
      </c>
      <c r="K107" s="28" t="n">
        <f aca="false">J107*(1-Assumptions!$B$122)^K7+K106*(1-Assumptions!$B$122)^(K7/2)</f>
        <v>1209.7320255715</v>
      </c>
      <c r="L107" s="28" t="n">
        <f aca="false">K107*(1-Assumptions!$B$122)^L7+L106*(1-Assumptions!$B$122)^(L7/2)</f>
        <v>1364.01709641503</v>
      </c>
      <c r="M107" s="28" t="n">
        <f aca="false">L107*(1-Assumptions!$B$122)^M7+M106*(1-Assumptions!$B$122)^(M7/2)</f>
        <v>1493.41111624799</v>
      </c>
      <c r="N107" s="28" t="n">
        <f aca="false">M107*(1-Assumptions!$B$122)^N7+N106*(1-Assumptions!$B$122)^(N7/2)</f>
        <v>1592.41459871139</v>
      </c>
      <c r="O107" s="28" t="n">
        <f aca="false">N107*(1-Assumptions!$B$122)^O7+O106*(1-Assumptions!$B$122)^(O7/2)</f>
        <v>2086.13062606697</v>
      </c>
      <c r="P107" s="28" t="n">
        <f aca="false">O107*(1-Assumptions!$B$122)^P7+P106*(1-Assumptions!$B$122)^(P7/2)</f>
        <v>2539.01654613733</v>
      </c>
      <c r="Q107" s="28" t="n">
        <f aca="false">P107*(1-Assumptions!$B$122)^Q7+Q106*(1-Assumptions!$B$122)^(Q7/2)</f>
        <v>2956.60011786618</v>
      </c>
      <c r="R107" s="28" t="n">
        <f aca="false">Q107*(1-Assumptions!$B$122)^R7+R106*(1-Assumptions!$B$122)^(R7/2)</f>
        <v>3500.13060957349</v>
      </c>
      <c r="S107" s="28" t="n">
        <f aca="false">R107*(1-Assumptions!$B$122)^S7+S106*(1-Assumptions!$B$122)^(S7/2)</f>
        <v>3964.37318470895</v>
      </c>
      <c r="T107" s="28" t="n">
        <f aca="false">S107*(1-Assumptions!$B$122)^T7+T106*(1-Assumptions!$B$122)^(T7/2)</f>
        <v>4317.40704918269</v>
      </c>
      <c r="U107" s="28" t="n">
        <f aca="false">T107*(1-Assumptions!$B$122)^U7+U106*(1-Assumptions!$B$122)^(U7/2)</f>
        <v>4640.87722981119</v>
      </c>
      <c r="V107" s="28" t="n">
        <f aca="false">U107*(1-Assumptions!$B$122)^V7+V106*(1-Assumptions!$B$122)^(V7/2)</f>
        <v>4954.07874994642</v>
      </c>
      <c r="W107" s="28" t="n">
        <f aca="false">V107*(1-Assumptions!$B$122)^W7+W106*(1-Assumptions!$B$122)^(W7/2)</f>
        <v>5308.34835686531</v>
      </c>
      <c r="X107" s="28" t="n">
        <f aca="false">W107*(1-Assumptions!$B$122)^X7+X106*(1-Assumptions!$B$122)^(X7/2)</f>
        <v>5858.60815388583</v>
      </c>
      <c r="Y107" s="28" t="n">
        <f aca="false">X107*(1-Assumptions!$B$122)^Y7+Y106*(1-Assumptions!$B$122)^(Y7/2)</f>
        <v>6330.09418223245</v>
      </c>
      <c r="Z107" s="28" t="n">
        <f aca="false">Y107*(1-Assumptions!$B$122)^Z7+Z106*(1-Assumptions!$B$122)^(Z7/2)</f>
        <v>6695.55268837007</v>
      </c>
      <c r="AA107" s="28" t="n">
        <f aca="false">Z107*(1-Assumptions!$B$122)^AA7+AA106*(1-Assumptions!$B$122)^(AA7/2)</f>
        <v>12271.9000168997</v>
      </c>
      <c r="AB107" s="28" t="n">
        <f aca="false">AA107*(1-Assumptions!$B$122)^AB7+AB106*(1-Assumptions!$B$122)^(AB7/2)</f>
        <v>19348.8135850464</v>
      </c>
      <c r="AC107" s="28" t="n">
        <f aca="false">AB107*(1-Assumptions!$B$122)^AC7+AC106*(1-Assumptions!$B$122)^(AC7/2)</f>
        <v>26624.2300005988</v>
      </c>
      <c r="AD107" s="28" t="n">
        <f aca="false">AC107*(1-Assumptions!$B$122)^AD7+AD106*(1-Assumptions!$B$122)^(AD7/2)</f>
        <v>31139.930648273</v>
      </c>
      <c r="AE107" s="28" t="n">
        <f aca="false">AD107*(1-Assumptions!$B$122)^AE7+AE106*(1-Assumptions!$B$122)^(AE7/2)</f>
        <v>30709.2343219147</v>
      </c>
    </row>
    <row r="108" customFormat="false" ht="15" hidden="false" customHeight="false" outlineLevel="0" collapsed="false">
      <c r="A108" s="6" t="s">
        <v>452</v>
      </c>
      <c r="B108" s="23" t="s">
        <v>190</v>
      </c>
      <c r="C108" s="54" t="n">
        <f aca="false">C106-C107</f>
        <v>4.39564765516386</v>
      </c>
      <c r="D108" s="54" t="n">
        <f aca="false">C107+D106-D107</f>
        <v>12.641597696382</v>
      </c>
      <c r="E108" s="54" t="n">
        <f aca="false">D107+E106-E107</f>
        <v>20.089456085245</v>
      </c>
      <c r="F108" s="54" t="n">
        <f aca="false">E107+F106-F107</f>
        <v>27.9921995548447</v>
      </c>
      <c r="G108" s="54" t="n">
        <f aca="false">F107+G106-G107</f>
        <v>35.9940660526252</v>
      </c>
      <c r="H108" s="54" t="n">
        <f aca="false">G107+H106-H107</f>
        <v>42.4368723560501</v>
      </c>
      <c r="I108" s="54" t="n">
        <f aca="false">H107+I106-I107</f>
        <v>47.751561725818</v>
      </c>
      <c r="J108" s="54" t="n">
        <f aca="false">I107+J106-J107</f>
        <v>52.6726492251698</v>
      </c>
      <c r="K108" s="54" t="n">
        <f aca="false">J107+K106-K107</f>
        <v>57.6902786477388</v>
      </c>
      <c r="L108" s="54" t="n">
        <f aca="false">K107+L106-L107</f>
        <v>64.166269005239</v>
      </c>
      <c r="M108" s="54" t="n">
        <f aca="false">L107+M106-M107</f>
        <v>71.2256876413294</v>
      </c>
      <c r="N108" s="54" t="n">
        <f aca="false">M107+N106-N107</f>
        <v>76.9062000947645</v>
      </c>
      <c r="O108" s="54" t="n">
        <f aca="false">N107+O106-O107</f>
        <v>91.7947622368292</v>
      </c>
      <c r="P108" s="54" t="n">
        <f aca="false">O107+P106-P107</f>
        <v>115.364268838432</v>
      </c>
      <c r="Q108" s="54" t="n">
        <f aca="false">P107+Q106-Q107</f>
        <v>137.038844434396</v>
      </c>
      <c r="R108" s="54" t="n">
        <f aca="false">Q107+R106-R107</f>
        <v>161.021628822715</v>
      </c>
      <c r="S108" s="54" t="n">
        <f aca="false">R107+S106-S107</f>
        <v>186.103125764239</v>
      </c>
      <c r="T108" s="54" t="n">
        <f aca="false">S107+T106-T107</f>
        <v>206.428980804721</v>
      </c>
      <c r="U108" s="54" t="n">
        <f aca="false">T107+U106-U107</f>
        <v>223.273182190469</v>
      </c>
      <c r="V108" s="54" t="n">
        <f aca="false">U107+V106-V107</f>
        <v>239.131048849713</v>
      </c>
      <c r="W108" s="54" t="n">
        <f aca="false">V107+W106-W107</f>
        <v>255.772132811419</v>
      </c>
      <c r="X108" s="54" t="n">
        <f aca="false">W107+X106-X107</f>
        <v>278.366986744371</v>
      </c>
      <c r="Y108" s="54" t="n">
        <f aca="false">X107+Y106-Y107</f>
        <v>303.796738874094</v>
      </c>
      <c r="Z108" s="54" t="n">
        <f aca="false">Y107+Z106-Z107</f>
        <v>324.614181920346</v>
      </c>
      <c r="AA108" s="54" t="n">
        <f aca="false">Z107+AA106-AA107</f>
        <v>6005.52450680731</v>
      </c>
      <c r="AB108" s="54" t="n">
        <f aca="false">AA107+AB106-AB107</f>
        <v>9911.93671367163</v>
      </c>
      <c r="AC108" s="54" t="n">
        <f aca="false">AB107+AC106-AC107</f>
        <v>14275.2237899828</v>
      </c>
      <c r="AD108" s="54" t="n">
        <f aca="false">AC107+AD106-AD107</f>
        <v>17728.3158476342</v>
      </c>
      <c r="AE108" s="54" t="n">
        <f aca="false">AD107+AE106-AE107</f>
        <v>18745.0287825324</v>
      </c>
    </row>
    <row r="109" customFormat="false" ht="15" hidden="false" customHeight="false" outlineLevel="0" collapsed="false">
      <c r="A109" s="6" t="s">
        <v>453</v>
      </c>
      <c r="B109" s="23" t="s">
        <v>190</v>
      </c>
      <c r="C109" s="45" t="n">
        <f aca="false">C108</f>
        <v>4.39564765516386</v>
      </c>
      <c r="D109" s="45" t="n">
        <f aca="false">C109+D108</f>
        <v>17.0372453515459</v>
      </c>
      <c r="E109" s="45" t="n">
        <f aca="false">D109+E108</f>
        <v>37.1267014367909</v>
      </c>
      <c r="F109" s="45" t="n">
        <f aca="false">E109+F108</f>
        <v>65.1189009916356</v>
      </c>
      <c r="G109" s="45" t="n">
        <f aca="false">F109+G108</f>
        <v>101.112967044261</v>
      </c>
      <c r="H109" s="45" t="n">
        <f aca="false">G109+H108</f>
        <v>143.549839400311</v>
      </c>
      <c r="I109" s="45" t="n">
        <f aca="false">H109+I108</f>
        <v>191.301401126129</v>
      </c>
      <c r="J109" s="45" t="n">
        <f aca="false">I109+J108</f>
        <v>243.974050351299</v>
      </c>
      <c r="K109" s="45" t="n">
        <f aca="false">J109+K108</f>
        <v>301.664328999037</v>
      </c>
      <c r="L109" s="45" t="n">
        <f aca="false">K109+L108</f>
        <v>365.830598004276</v>
      </c>
      <c r="M109" s="45" t="n">
        <f aca="false">L109+M108</f>
        <v>437.056285645606</v>
      </c>
      <c r="N109" s="45" t="n">
        <f aca="false">M109+N108</f>
        <v>513.96248574037</v>
      </c>
      <c r="O109" s="45" t="n">
        <f aca="false">N109+O108</f>
        <v>605.757247977199</v>
      </c>
      <c r="P109" s="45" t="n">
        <f aca="false">O109+P108</f>
        <v>721.121516815632</v>
      </c>
      <c r="Q109" s="45" t="n">
        <f aca="false">P109+Q108</f>
        <v>858.160361250028</v>
      </c>
      <c r="R109" s="45" t="n">
        <f aca="false">Q109+R108</f>
        <v>1019.18199007274</v>
      </c>
      <c r="S109" s="45" t="n">
        <f aca="false">R109+S108</f>
        <v>1205.28511583698</v>
      </c>
      <c r="T109" s="45" t="n">
        <f aca="false">S109+T108</f>
        <v>1411.7140966417</v>
      </c>
      <c r="U109" s="45" t="n">
        <f aca="false">T109+U108</f>
        <v>1634.98727883217</v>
      </c>
      <c r="V109" s="45" t="n">
        <f aca="false">U109+V108</f>
        <v>1874.11832768188</v>
      </c>
      <c r="W109" s="45" t="n">
        <f aca="false">V109+W108</f>
        <v>2129.8904604933</v>
      </c>
      <c r="X109" s="45" t="n">
        <f aca="false">W109+X108</f>
        <v>2408.25744723767</v>
      </c>
      <c r="Y109" s="45" t="n">
        <f aca="false">X109+Y108</f>
        <v>2712.05418611177</v>
      </c>
      <c r="Z109" s="45" t="n">
        <f aca="false">Y109+Z108</f>
        <v>3036.66836803211</v>
      </c>
      <c r="AA109" s="45" t="n">
        <f aca="false">Z109+AA108</f>
        <v>9042.19287483942</v>
      </c>
      <c r="AB109" s="45" t="n">
        <f aca="false">AA109+AB108</f>
        <v>18954.129588511</v>
      </c>
      <c r="AC109" s="45" t="n">
        <f aca="false">AB109+AC108</f>
        <v>33229.3533784938</v>
      </c>
      <c r="AD109" s="45" t="n">
        <f aca="false">AC109+AD108</f>
        <v>50957.669226128</v>
      </c>
      <c r="AE109" s="45" t="n">
        <f aca="false">AD109+AE108</f>
        <v>69702.6980086604</v>
      </c>
    </row>
    <row r="110" customFormat="false" ht="15" hidden="false" customHeight="false" outlineLevel="0" collapsed="false">
      <c r="A110" s="6" t="s">
        <v>454</v>
      </c>
      <c r="B110" s="23" t="s">
        <v>190</v>
      </c>
      <c r="C110" s="45" t="n">
        <f aca="false">C106</f>
        <v>178.669</v>
      </c>
      <c r="D110" s="45" t="n">
        <f aca="false">C110+D106</f>
        <v>348.250261725952</v>
      </c>
      <c r="E110" s="45" t="n">
        <f aca="false">D110+E106</f>
        <v>510.544845457189</v>
      </c>
      <c r="F110" s="45" t="n">
        <f aca="false">E110+F106</f>
        <v>713.148943932104</v>
      </c>
      <c r="G110" s="45" t="n">
        <f aca="false">F110+G106</f>
        <v>896.075325611233</v>
      </c>
      <c r="H110" s="45" t="n">
        <f aca="false">G110+H106</f>
        <v>1050.63137490653</v>
      </c>
      <c r="I110" s="45" t="n">
        <f aca="false">H110+I106</f>
        <v>1199.73254941302</v>
      </c>
      <c r="J110" s="45" t="n">
        <f aca="false">I110+J106</f>
        <v>1348.65436713468</v>
      </c>
      <c r="K110" s="45" t="n">
        <f aca="false">J110+K106</f>
        <v>1511.39635457054</v>
      </c>
      <c r="L110" s="45" t="n">
        <f aca="false">K110+L106</f>
        <v>1729.8476944193</v>
      </c>
      <c r="M110" s="45" t="n">
        <f aca="false">L110+M106</f>
        <v>1930.46740189359</v>
      </c>
      <c r="N110" s="45" t="n">
        <f aca="false">M110+N106</f>
        <v>2106.37708445176</v>
      </c>
      <c r="O110" s="45" t="n">
        <f aca="false">N110+O106</f>
        <v>2691.88787404417</v>
      </c>
      <c r="P110" s="45" t="n">
        <f aca="false">O110+P106</f>
        <v>3260.13806295296</v>
      </c>
      <c r="Q110" s="45" t="n">
        <f aca="false">P110+Q106</f>
        <v>3814.76047911621</v>
      </c>
      <c r="R110" s="45" t="n">
        <f aca="false">Q110+R106</f>
        <v>4519.31259964623</v>
      </c>
      <c r="S110" s="45" t="n">
        <f aca="false">R110+S106</f>
        <v>5169.65830054593</v>
      </c>
      <c r="T110" s="45" t="n">
        <f aca="false">S110+T106</f>
        <v>5729.12114582439</v>
      </c>
      <c r="U110" s="45" t="n">
        <f aca="false">T110+U106</f>
        <v>6275.86450864336</v>
      </c>
      <c r="V110" s="45" t="n">
        <f aca="false">U110+V106</f>
        <v>6828.19707762831</v>
      </c>
      <c r="W110" s="45" t="n">
        <f aca="false">V110+W106</f>
        <v>7438.23881735861</v>
      </c>
      <c r="X110" s="45" t="n">
        <f aca="false">W110+X106</f>
        <v>8266.8656011235</v>
      </c>
      <c r="Y110" s="45" t="n">
        <f aca="false">X110+Y106</f>
        <v>9042.14836834422</v>
      </c>
      <c r="Z110" s="45" t="n">
        <f aca="false">Y110+Z106</f>
        <v>9732.22105640219</v>
      </c>
      <c r="AA110" s="45" t="n">
        <f aca="false">Z110+AA106</f>
        <v>21314.0928917391</v>
      </c>
      <c r="AB110" s="45" t="n">
        <f aca="false">AA110+AB106</f>
        <v>38302.9431735575</v>
      </c>
      <c r="AC110" s="45" t="n">
        <f aca="false">AB110+AC106</f>
        <v>59853.5833790927</v>
      </c>
      <c r="AD110" s="45" t="n">
        <f aca="false">AC110+AD106</f>
        <v>82097.599874401</v>
      </c>
      <c r="AE110" s="45" t="n">
        <f aca="false">AD110+AE106</f>
        <v>100411.932330575</v>
      </c>
    </row>
    <row r="111" customFormat="false" ht="15" hidden="false" customHeight="false" outlineLevel="0" collapsed="false">
      <c r="A111" s="6" t="s">
        <v>455</v>
      </c>
      <c r="B111" s="23" t="s">
        <v>114</v>
      </c>
      <c r="C111" s="55" t="n">
        <f aca="false">IF(C2&gt;=Assumptions!$B$47,C107*Assumptions!$B$173*C7,0)</f>
        <v>5228.20057034509</v>
      </c>
      <c r="D111" s="55" t="n">
        <f aca="false">IF(D2&gt;=Assumptions!$B$47,D107*Assumptions!$B$173*D7,0)</f>
        <v>9936.39049123219</v>
      </c>
      <c r="E111" s="55" t="n">
        <f aca="false">IF(E2&gt;=Assumptions!$B$47,E107*Assumptions!$B$173*E7,0)</f>
        <v>14202.5443206119</v>
      </c>
      <c r="F111" s="55" t="n">
        <f aca="false">IF(F2&gt;=Assumptions!$B$47,F107*Assumptions!$B$173*F7,0)</f>
        <v>19440.9012882141</v>
      </c>
      <c r="G111" s="55" t="n">
        <f aca="false">IF(G2&gt;=Assumptions!$B$47,G107*Assumptions!$B$173*G7,0)</f>
        <v>23848.8707570092</v>
      </c>
      <c r="H111" s="55" t="n">
        <f aca="false">IF(H2&gt;=Assumptions!$B$47,H107*Assumptions!$B$173*H7,0)</f>
        <v>27212.4460651864</v>
      </c>
      <c r="I111" s="55" t="n">
        <f aca="false">IF(I2&gt;=Assumptions!$B$47,I107*Assumptions!$B$173*I7,0)</f>
        <v>30252.9344486068</v>
      </c>
      <c r="J111" s="55" t="n">
        <f aca="false">IF(J2&gt;=Assumptions!$B$47,J107*Assumptions!$B$173*J7,0)</f>
        <v>33140.4095035015</v>
      </c>
      <c r="K111" s="55" t="n">
        <f aca="false">IF(K2&gt;=Assumptions!$B$47,K107*Assumptions!$B$173*K7,0)</f>
        <v>36291.9607671451</v>
      </c>
      <c r="L111" s="55" t="n">
        <f aca="false">IF(L2&gt;=Assumptions!$B$47,L107*Assumptions!$B$173*L7,0)</f>
        <v>40920.5128924508</v>
      </c>
      <c r="M111" s="55" t="n">
        <f aca="false">IF(M2&gt;=Assumptions!$B$47,M107*Assumptions!$B$173*M7,0)</f>
        <v>44802.3334874396</v>
      </c>
      <c r="N111" s="55" t="n">
        <f aca="false">IF(N2&gt;=Assumptions!$B$47,N107*Assumptions!$B$173*N7,0)</f>
        <v>47772.4379613417</v>
      </c>
      <c r="O111" s="55" t="n">
        <f aca="false">IF(O2&gt;=Assumptions!$B$47,O107*Assumptions!$B$173*O7,0)</f>
        <v>62583.918782009</v>
      </c>
      <c r="P111" s="55" t="n">
        <f aca="false">IF(P2&gt;=Assumptions!$B$47,P107*Assumptions!$B$173*P7,0)</f>
        <v>76170.49638412</v>
      </c>
      <c r="Q111" s="55" t="n">
        <f aca="false">IF(Q2&gt;=Assumptions!$B$47,Q107*Assumptions!$B$173*Q7,0)</f>
        <v>88698.0035359854</v>
      </c>
      <c r="R111" s="55" t="n">
        <f aca="false">IF(R2&gt;=Assumptions!$B$47,R107*Assumptions!$B$173*R7,0)</f>
        <v>105003.918287205</v>
      </c>
      <c r="S111" s="55" t="n">
        <f aca="false">IF(S2&gt;=Assumptions!$B$47,S107*Assumptions!$B$173*S7,0)</f>
        <v>118931.195541268</v>
      </c>
      <c r="T111" s="55" t="n">
        <f aca="false">IF(T2&gt;=Assumptions!$B$47,T107*Assumptions!$B$173*T7,0)</f>
        <v>129522.211475481</v>
      </c>
      <c r="U111" s="55" t="n">
        <f aca="false">IF(U2&gt;=Assumptions!$B$47,U107*Assumptions!$B$173*U7,0)</f>
        <v>139226.316894336</v>
      </c>
      <c r="V111" s="55" t="n">
        <f aca="false">IF(V2&gt;=Assumptions!$B$47,V107*Assumptions!$B$173*V7,0)</f>
        <v>148622.362498393</v>
      </c>
      <c r="W111" s="55" t="n">
        <f aca="false">IF(W2&gt;=Assumptions!$B$47,W107*Assumptions!$B$173*W7,0)</f>
        <v>159250.450705959</v>
      </c>
      <c r="X111" s="55" t="n">
        <f aca="false">IF(X2&gt;=Assumptions!$B$47,X107*Assumptions!$B$173*X7,0)</f>
        <v>175758.244616575</v>
      </c>
      <c r="Y111" s="55" t="n">
        <f aca="false">IF(Y2&gt;=Assumptions!$B$47,Y107*Assumptions!$B$173*Y7,0)</f>
        <v>189902.825466974</v>
      </c>
      <c r="Z111" s="55" t="n">
        <f aca="false">IF(Z2&gt;=Assumptions!$B$47,Z107*Assumptions!$B$173*Z7,0)</f>
        <v>200866.580651102</v>
      </c>
      <c r="AA111" s="55" t="n">
        <f aca="false">IF(AA2&gt;=Assumptions!$B$47,AA107*Assumptions!$B$173*AA7,0)</f>
        <v>4417884.00608389</v>
      </c>
      <c r="AB111" s="55" t="n">
        <f aca="false">IF(AB2&gt;=Assumptions!$B$47,AB107*Assumptions!$B$173*AB7,0)</f>
        <v>6965572.89061672</v>
      </c>
      <c r="AC111" s="55" t="n">
        <f aca="false">IF(AC2&gt;=Assumptions!$B$47,AC107*Assumptions!$B$173*AC7,0)</f>
        <v>9584722.80021558</v>
      </c>
      <c r="AD111" s="55" t="n">
        <f aca="false">IF(AD2&gt;=Assumptions!$B$47,AD107*Assumptions!$B$173*AD7,0)</f>
        <v>11210375.0333783</v>
      </c>
      <c r="AE111" s="55" t="n">
        <f aca="false">IF(AE2&gt;=Assumptions!$B$47,AE107*Assumptions!$B$173*AE7,0)</f>
        <v>11055324.3558893</v>
      </c>
    </row>
    <row r="112" customFormat="false" ht="15" hidden="false" customHeight="false" outlineLevel="0" collapsed="false">
      <c r="A112" s="6" t="s">
        <v>456</v>
      </c>
      <c r="B112" s="23" t="s">
        <v>114</v>
      </c>
      <c r="C112" s="55" t="n">
        <f aca="false">IF(C2&gt;=Assumptions!$B$48,C107*Assumptions!$B$37*Assumptions!$B$139*Assumptions!$B$141*Assumptions!$B$34*Assumptions!$B$140/12*C7,0)</f>
        <v>345.642148817258</v>
      </c>
      <c r="D112" s="55" t="n">
        <f aca="false">IF(D2&gt;=Assumptions!$B$48,D107*Assumptions!$B$37*Assumptions!$B$139*Assumptions!$B$141*Assumptions!$B$34*Assumptions!$B$140/12*D7,0)</f>
        <v>656.905815809239</v>
      </c>
      <c r="E112" s="55" t="n">
        <f aca="false">IF(E2&gt;=Assumptions!$B$48,E107*Assumptions!$B$37*Assumptions!$B$139*Assumptions!$B$141*Assumptions!$B$34*Assumptions!$B$140/12*E7,0)</f>
        <v>938.945985640456</v>
      </c>
      <c r="F112" s="55" t="n">
        <f aca="false">IF(F2&gt;=Assumptions!$B$48,F107*Assumptions!$B$37*Assumptions!$B$139*Assumptions!$B$141*Assumptions!$B$34*Assumptions!$B$140/12*F7,0)</f>
        <v>1285.25958516526</v>
      </c>
      <c r="G112" s="55" t="n">
        <f aca="false">IF(G2&gt;=Assumptions!$B$48,G107*Assumptions!$B$37*Assumptions!$B$139*Assumptions!$B$141*Assumptions!$B$34*Assumptions!$B$140/12*G7,0)</f>
        <v>1576.67534449116</v>
      </c>
      <c r="H112" s="55" t="n">
        <f aca="false">IF(H2&gt;=Assumptions!$B$48,H107*Assumptions!$B$37*Assumptions!$B$139*Assumptions!$B$141*Assumptions!$B$34*Assumptions!$B$140/12*H7,0)</f>
        <v>1799.04504542066</v>
      </c>
      <c r="I112" s="55" t="n">
        <f aca="false">IF(I2&gt;=Assumptions!$B$48,I107*Assumptions!$B$37*Assumptions!$B$139*Assumptions!$B$141*Assumptions!$B$34*Assumptions!$B$140/12*I7,0)</f>
        <v>2000.05511076901</v>
      </c>
      <c r="J112" s="55" t="n">
        <f aca="false">IF(J2&gt;=Assumptions!$B$48,J107*Assumptions!$B$37*Assumptions!$B$139*Assumptions!$B$141*Assumptions!$B$34*Assumptions!$B$140/12*J7,0)</f>
        <v>2190.94929495371</v>
      </c>
      <c r="K112" s="55" t="n">
        <f aca="false">IF(K2&gt;=Assumptions!$B$48,K107*Assumptions!$B$37*Assumptions!$B$139*Assumptions!$B$141*Assumptions!$B$34*Assumptions!$B$140/12*K7,0)</f>
        <v>2399.30185071681</v>
      </c>
      <c r="L112" s="55" t="n">
        <f aca="false">IF(L2&gt;=Assumptions!$B$48,L107*Assumptions!$B$37*Assumptions!$B$139*Assumptions!$B$141*Assumptions!$B$34*Assumptions!$B$140/12*L7,0)</f>
        <v>2705.30057455647</v>
      </c>
      <c r="M112" s="55" t="n">
        <f aca="false">IF(M2&gt;=Assumptions!$B$48,M107*Assumptions!$B$37*Assumptions!$B$139*Assumptions!$B$141*Assumptions!$B$34*Assumptions!$B$140/12*M7,0)</f>
        <v>2961.93204722517</v>
      </c>
      <c r="N112" s="55" t="n">
        <f aca="false">IF(N2&gt;=Assumptions!$B$48,N107*Assumptions!$B$37*Assumptions!$B$139*Assumptions!$B$141*Assumptions!$B$34*Assumptions!$B$140/12*N7,0)</f>
        <v>3158.28895411092</v>
      </c>
      <c r="O112" s="55" t="n">
        <f aca="false">IF(O2&gt;=Assumptions!$B$48,O107*Assumptions!$B$37*Assumptions!$B$139*Assumptions!$B$141*Assumptions!$B$34*Assumptions!$B$140/12*O7,0)</f>
        <v>4137.49240836615</v>
      </c>
      <c r="P112" s="55" t="n">
        <f aca="false">IF(P2&gt;=Assumptions!$B$48,P107*Assumptions!$B$37*Assumptions!$B$139*Assumptions!$B$141*Assumptions!$B$34*Assumptions!$B$140/12*P7,0)</f>
        <v>5035.71614983904</v>
      </c>
      <c r="Q112" s="55" t="n">
        <f aca="false">IF(Q2&gt;=Assumptions!$B$48,Q107*Assumptions!$B$37*Assumptions!$B$139*Assumptions!$B$141*Assumptions!$B$34*Assumptions!$B$140/12*Q7,0)</f>
        <v>5863.92356710126</v>
      </c>
      <c r="R112" s="55" t="n">
        <f aca="false">IF(R2&gt;=Assumptions!$B$48,R107*Assumptions!$B$37*Assumptions!$B$139*Assumptions!$B$141*Assumptions!$B$34*Assumptions!$B$140/12*R7,0)</f>
        <v>6941.92570898742</v>
      </c>
      <c r="S112" s="55" t="n">
        <f aca="false">IF(S2&gt;=Assumptions!$B$48,S107*Assumptions!$B$37*Assumptions!$B$139*Assumptions!$B$141*Assumptions!$B$34*Assumptions!$B$140/12*S7,0)</f>
        <v>7862.67348300608</v>
      </c>
      <c r="T112" s="55" t="n">
        <f aca="false">IF(T2&gt;=Assumptions!$B$48,T107*Assumptions!$B$37*Assumptions!$B$139*Assumptions!$B$141*Assumptions!$B$34*Assumptions!$B$140/12*T7,0)</f>
        <v>8562.85731421232</v>
      </c>
      <c r="U112" s="55" t="n">
        <f aca="false">IF(U2&gt;=Assumptions!$B$48,U107*Assumptions!$B$37*Assumptions!$B$139*Assumptions!$B$141*Assumptions!$B$34*Assumptions!$B$140/12*U7,0)</f>
        <v>9204.40650579219</v>
      </c>
      <c r="V112" s="55" t="n">
        <f aca="false">IF(V2&gt;=Assumptions!$B$48,V107*Assumptions!$B$37*Assumptions!$B$139*Assumptions!$B$141*Assumptions!$B$34*Assumptions!$B$140/12*V7,0)</f>
        <v>9825.58952072707</v>
      </c>
      <c r="W112" s="55" t="n">
        <f aca="false">IF(W2&gt;=Assumptions!$B$48,W107*Assumptions!$B$37*Assumptions!$B$139*Assumptions!$B$141*Assumptions!$B$34*Assumptions!$B$140/12*W7,0)</f>
        <v>10528.2242411162</v>
      </c>
      <c r="X112" s="55" t="n">
        <f aca="false">IF(X2&gt;=Assumptions!$B$48,X107*Assumptions!$B$37*Assumptions!$B$139*Assumptions!$B$141*Assumptions!$B$34*Assumptions!$B$140/12*X7,0)</f>
        <v>11619.5728385402</v>
      </c>
      <c r="Y112" s="55" t="n">
        <f aca="false">IF(Y2&gt;=Assumptions!$B$48,Y107*Assumptions!$B$37*Assumptions!$B$139*Assumptions!$B$141*Assumptions!$B$34*Assumptions!$B$140/12*Y7,0)</f>
        <v>12554.686794761</v>
      </c>
      <c r="Z112" s="55" t="n">
        <f aca="false">IF(Z2&gt;=Assumptions!$B$48,Z107*Assumptions!$B$37*Assumptions!$B$139*Assumptions!$B$141*Assumptions!$B$34*Assumptions!$B$140/12*Z7,0)</f>
        <v>13279.512831934</v>
      </c>
      <c r="AA112" s="55" t="n">
        <f aca="false">IF(AA2&gt;=Assumptions!$B$48,AA107*Assumptions!$B$37*Assumptions!$B$139*Assumptions!$B$141*Assumptions!$B$34*Assumptions!$B$140/12*AA7,0)</f>
        <v>292071.220402213</v>
      </c>
      <c r="AB112" s="55" t="n">
        <f aca="false">IF(AB2&gt;=Assumptions!$B$48,AB107*Assumptions!$B$37*Assumptions!$B$139*Assumptions!$B$141*Assumptions!$B$34*Assumptions!$B$140/12*AB7,0)</f>
        <v>460501.763324105</v>
      </c>
      <c r="AC112" s="55" t="n">
        <f aca="false">IF(AC2&gt;=Assumptions!$B$48,AC107*Assumptions!$B$37*Assumptions!$B$139*Assumptions!$B$141*Assumptions!$B$34*Assumptions!$B$140/12*AC7,0)</f>
        <v>633656.674014252</v>
      </c>
      <c r="AD112" s="55" t="n">
        <f aca="false">IF(AD2&gt;=Assumptions!$B$48,AD107*Assumptions!$B$37*Assumptions!$B$139*Assumptions!$B$141*Assumptions!$B$34*Assumptions!$B$140/12*AD7,0)</f>
        <v>741130.349428898</v>
      </c>
      <c r="AE112" s="55" t="n">
        <f aca="false">IF(AE2&gt;=Assumptions!$B$48,AE107*Assumptions!$B$37*Assumptions!$B$139*Assumptions!$B$141*Assumptions!$B$34*Assumptions!$B$140/12*AE7,0)</f>
        <v>730879.77686157</v>
      </c>
    </row>
    <row r="113" customFormat="false" ht="15" hidden="false" customHeight="false" outlineLevel="0" collapsed="false">
      <c r="A113" s="6" t="s">
        <v>457</v>
      </c>
      <c r="B113" s="23" t="s">
        <v>47</v>
      </c>
      <c r="C113" s="54" t="n">
        <f aca="false">(C111+C112)*(1-Assumptions!$B$8)/C21/(1+Assumptions!$B$9)</f>
        <v>36.8789560745764</v>
      </c>
      <c r="D113" s="54" t="n">
        <f aca="false">(D111+D112)*(1-Assumptions!$B$8)/D21/(1+Assumptions!$B$9)</f>
        <v>70.0898336885732</v>
      </c>
      <c r="E113" s="54" t="n">
        <f aca="false">(E111+E112)*(1-Assumptions!$B$8)/E21/(1+Assumptions!$B$9)</f>
        <v>100.182653878656</v>
      </c>
      <c r="F113" s="54" t="n">
        <f aca="false">(F111+F112)*(1-Assumptions!$B$8)/F21/(1+Assumptions!$B$9)</f>
        <v>137.133251682213</v>
      </c>
      <c r="G113" s="54" t="n">
        <f aca="false">(G111+G112)*(1-Assumptions!$B$8)/G21/(1+Assumptions!$B$9)</f>
        <v>168.226418486072</v>
      </c>
      <c r="H113" s="54" t="n">
        <f aca="false">(H111+H112)*(1-Assumptions!$B$8)/H21/(1+Assumptions!$B$9)</f>
        <v>191.95258284698</v>
      </c>
      <c r="I113" s="54" t="n">
        <f aca="false">(I111+I112)*(1-Assumptions!$B$8)/I21/(1+Assumptions!$B$9)</f>
        <v>213.399739670578</v>
      </c>
      <c r="J113" s="54" t="n">
        <f aca="false">(J111+J112)*(1-Assumptions!$B$8)/J21/(1+Assumptions!$B$9)</f>
        <v>233.767563032196</v>
      </c>
      <c r="K113" s="54" t="n">
        <f aca="false">(K111+K112)*(1-Assumptions!$B$8)/K21/(1+Assumptions!$B$9)</f>
        <v>255.998141039844</v>
      </c>
      <c r="L113" s="54" t="n">
        <f aca="false">(L111+L112)*(1-Assumptions!$B$8)/L21/(1+Assumptions!$B$9)</f>
        <v>288.647265384125</v>
      </c>
      <c r="M113" s="54" t="n">
        <f aca="false">(M111+M112)*(1-Assumptions!$B$8)/M21/(1+Assumptions!$B$9)</f>
        <v>316.029055597756</v>
      </c>
      <c r="N113" s="54" t="n">
        <f aca="false">(N111+N112)*(1-Assumptions!$B$8)/N21/(1+Assumptions!$B$9)</f>
        <v>336.979734699708</v>
      </c>
      <c r="O113" s="54" t="n">
        <f aca="false">(O111+O112)*(1-Assumptions!$B$8)/O21/(1+Assumptions!$B$9)</f>
        <v>408.379035041151</v>
      </c>
      <c r="P113" s="54" t="n">
        <f aca="false">(P111+P112)*(1-Assumptions!$B$8)/P21/(1+Assumptions!$B$9)</f>
        <v>497.035571075401</v>
      </c>
      <c r="Q113" s="54" t="n">
        <f aca="false">(Q111+Q112)*(1-Assumptions!$B$8)/Q21/(1+Assumptions!$B$9)</f>
        <v>578.781351488574</v>
      </c>
      <c r="R113" s="54" t="n">
        <f aca="false">(R111+R112)*(1-Assumptions!$B$8)/R21/(1+Assumptions!$B$9)</f>
        <v>685.182386469472</v>
      </c>
      <c r="S113" s="54" t="n">
        <f aca="false">(S111+S112)*(1-Assumptions!$B$8)/S21/(1+Assumptions!$B$9)</f>
        <v>776.062090975929</v>
      </c>
      <c r="T113" s="54" t="n">
        <f aca="false">(T111+T112)*(1-Assumptions!$B$8)/T21/(1+Assumptions!$B$9)</f>
        <v>845.171679373298</v>
      </c>
      <c r="U113" s="54" t="n">
        <f aca="false">(U111+U112)*(1-Assumptions!$B$8)/U21/(1+Assumptions!$B$9)</f>
        <v>908.493907894866</v>
      </c>
      <c r="V113" s="54" t="n">
        <f aca="false">(V111+V112)*(1-Assumptions!$B$8)/V21/(1+Assumptions!$B$9)</f>
        <v>969.805952772608</v>
      </c>
      <c r="W113" s="54" t="n">
        <f aca="false">(W111+W112)*(1-Assumptions!$B$8)/W21/(1+Assumptions!$B$9)</f>
        <v>1039.15744898773</v>
      </c>
      <c r="X113" s="54" t="n">
        <f aca="false">(X111+X112)*(1-Assumptions!$B$8)/X21/(1+Assumptions!$B$9)</f>
        <v>1146.87580665973</v>
      </c>
      <c r="Y113" s="54" t="n">
        <f aca="false">(Y111+Y112)*(1-Assumptions!$B$8)/Y21/(1+Assumptions!$B$9)</f>
        <v>1239.17348298242</v>
      </c>
      <c r="Z113" s="54" t="n">
        <f aca="false">(Z111+Z112)*(1-Assumptions!$B$8)/Z21/(1+Assumptions!$B$9)</f>
        <v>1310.71530793776</v>
      </c>
      <c r="AA113" s="54" t="n">
        <f aca="false">(AA111+AA112)*(1-Assumptions!$B$8)/AA21/(1+Assumptions!$B$9)</f>
        <v>26667.9296059674</v>
      </c>
      <c r="AB113" s="54" t="n">
        <f aca="false">(AB111+AB112)*(1-Assumptions!$B$8)/AB21/(1+Assumptions!$B$9)</f>
        <v>38896.1071859026</v>
      </c>
      <c r="AC113" s="54" t="n">
        <f aca="false">(AC111+AC112)*(1-Assumptions!$B$8)/AC21/(1+Assumptions!$B$9)</f>
        <v>49511.1666935735</v>
      </c>
      <c r="AD113" s="54" t="n">
        <f aca="false">(AD111+AD112)*(1-Assumptions!$B$8)/AD21/(1+Assumptions!$B$9)</f>
        <v>53569.5565073215</v>
      </c>
      <c r="AE113" s="54" t="n">
        <f aca="false">(AE111+AE112)*(1-Assumptions!$B$8)/AE21/(1+Assumptions!$B$9)</f>
        <v>48870.1536215703</v>
      </c>
    </row>
    <row r="114" customFormat="false" ht="15" hidden="false" customHeight="false" outlineLevel="0" collapsed="false">
      <c r="A114" s="6" t="s">
        <v>458</v>
      </c>
      <c r="B114" s="23" t="s">
        <v>459</v>
      </c>
      <c r="C114" s="56" t="n">
        <f aca="false">(Assumptions!$B$136+Assumptions!$B$137*IF(C107+C109=0,1,(C107+C109*Assumptions!$B$138)/(C107+C109)))*C7/12</f>
        <v>0.0100738065527064</v>
      </c>
      <c r="D114" s="56" t="n">
        <f aca="false">(Assumptions!$B$136+Assumptions!$B$137*IF(D107+D109=0,1,(D107+D109*Assumptions!$B$138)/(D107+D109)))*D7/12</f>
        <v>0.0101467672581244</v>
      </c>
      <c r="E114" s="56" t="n">
        <f aca="false">(Assumptions!$B$136+Assumptions!$B$137*IF(E107+E109=0,1,(E107+E109*Assumptions!$B$138)/(E107+E109)))*E7/12</f>
        <v>0.0102181592964877</v>
      </c>
      <c r="F114" s="56" t="n">
        <f aca="false">(Assumptions!$B$136+Assumptions!$B$137*IF(F107+F109=0,1,(F107+F109*Assumptions!$B$138)/(F107+F109)))*F7/12</f>
        <v>0.0102739353463777</v>
      </c>
      <c r="G114" s="56" t="n">
        <f aca="false">(Assumptions!$B$136+Assumptions!$B$137*IF(G107+G109=0,1,(G107+G109*Assumptions!$B$138)/(G107+G109)))*G7/12</f>
        <v>0.0103385194218197</v>
      </c>
      <c r="H114" s="56" t="n">
        <f aca="false">(Assumptions!$B$136+Assumptions!$B$137*IF(H107+H109=0,1,(H107+H109*Assumptions!$B$138)/(H107+H109)))*H7/12</f>
        <v>0.0104098959240002</v>
      </c>
      <c r="I114" s="56" t="n">
        <f aca="false">(Assumptions!$B$136+Assumptions!$B$137*IF(I107+I109=0,1,(I107+I109*Assumptions!$B$138)/(I107+I109)))*I7/12</f>
        <v>0.0104783601175605</v>
      </c>
      <c r="J114" s="56" t="n">
        <f aca="false">(Assumptions!$B$136+Assumptions!$B$137*IF(J107+J109=0,1,(J107+J109*Assumptions!$B$138)/(J107+J109)))*J7/12</f>
        <v>0.0105427055062365</v>
      </c>
      <c r="K114" s="56" t="n">
        <f aca="false">(Assumptions!$B$136+Assumptions!$B$137*IF(K107+K109=0,1,(K107+K109*Assumptions!$B$138)/(K107+K109)))*K7/12</f>
        <v>0.0105987793898406</v>
      </c>
      <c r="L114" s="56" t="n">
        <f aca="false">(Assumptions!$B$136+Assumptions!$B$137*IF(L107+L109=0,1,(L107+L109*Assumptions!$B$138)/(L107+L109)))*L7/12</f>
        <v>0.0106344441753765</v>
      </c>
      <c r="M114" s="56" t="n">
        <f aca="false">(Assumptions!$B$136+Assumptions!$B$137*IF(M107+M109=0,1,(M107+M109*Assumptions!$B$138)/(M107+M109)))*M7/12</f>
        <v>0.010679197615899</v>
      </c>
      <c r="N114" s="56" t="n">
        <f aca="false">(Assumptions!$B$136+Assumptions!$B$137*IF(N107+N109=0,1,(N107+N109*Assumptions!$B$138)/(N107+N109)))*N7/12</f>
        <v>0.010732009225035</v>
      </c>
      <c r="O114" s="56" t="n">
        <f aca="false">(Assumptions!$B$136+Assumptions!$B$137*IF(O107+O109=0,1,(O107+O109*Assumptions!$B$138)/(O107+O109)))*O7/12</f>
        <v>0.0106750919165149</v>
      </c>
      <c r="P114" s="56" t="n">
        <f aca="false">(Assumptions!$B$136+Assumptions!$B$137*IF(P107+P109=0,1,(P107+P109*Assumptions!$B$138)/(P107+P109)))*P7/12</f>
        <v>0.0106635806547675</v>
      </c>
      <c r="Q114" s="56" t="n">
        <f aca="false">(Assumptions!$B$136+Assumptions!$B$137*IF(Q107+Q109=0,1,(Q107+Q109*Assumptions!$B$138)/(Q107+Q109)))*Q7/12</f>
        <v>0.0106748735858631</v>
      </c>
      <c r="R114" s="56" t="n">
        <f aca="false">(Assumptions!$B$136+Assumptions!$B$137*IF(R107+R109=0,1,(R107+R109*Assumptions!$B$138)/(R107+R109)))*R7/12</f>
        <v>0.0106765511132064</v>
      </c>
      <c r="S114" s="56" t="n">
        <f aca="false">(Assumptions!$B$136+Assumptions!$B$137*IF(S107+S109=0,1,(S107+S109*Assumptions!$B$138)/(S107+S109)))*S7/12</f>
        <v>0.0106994379777729</v>
      </c>
      <c r="T114" s="56" t="n">
        <f aca="false">(Assumptions!$B$136+Assumptions!$B$137*IF(T107+T109=0,1,(T107+T109*Assumptions!$B$138)/(T107+T109)))*T7/12</f>
        <v>0.0107392307095848</v>
      </c>
      <c r="U114" s="56" t="n">
        <f aca="false">(Assumptions!$B$136+Assumptions!$B$137*IF(U107+U109=0,1,(U107+U109*Assumptions!$B$138)/(U107+U109)))*U7/12</f>
        <v>0.0107815595492448</v>
      </c>
      <c r="V114" s="56" t="n">
        <f aca="false">(Assumptions!$B$136+Assumptions!$B$137*IF(V107+V109=0,1,(V107+V109*Assumptions!$B$138)/(V107+V109)))*V7/12</f>
        <v>0.0108234025642679</v>
      </c>
      <c r="W114" s="56" t="n">
        <f aca="false">(Assumptions!$B$136+Assumptions!$B$137*IF(W107+W109=0,1,(W107+W109*Assumptions!$B$138)/(W107+W109)))*W7/12</f>
        <v>0.0108590301465675</v>
      </c>
      <c r="X114" s="56" t="n">
        <f aca="false">(Assumptions!$B$136+Assumptions!$B$137*IF(X107+X109=0,1,(X107+X109*Assumptions!$B$138)/(X107+X109)))*X7/12</f>
        <v>0.010873943365032</v>
      </c>
      <c r="Y114" s="56" t="n">
        <f aca="false">(Assumptions!$B$136+Assumptions!$B$137*IF(Y107+Y109=0,1,(Y107+Y109*Assumptions!$B$138)/(Y107+Y109)))*Y7/12</f>
        <v>0.0108998041424336</v>
      </c>
      <c r="Z114" s="56" t="n">
        <f aca="false">(Assumptions!$B$136+Assumptions!$B$137*IF(Z107+Z109=0,1,(Z107+Z109*Assumptions!$B$138)/(Z107+Z109)))*Z7/12</f>
        <v>0.0109360663975161</v>
      </c>
      <c r="AA114" s="56" t="n">
        <f aca="false">(Assumptions!$B$136+Assumptions!$B$137*IF(AA107+AA109=0,1,(AA107+AA109*Assumptions!$B$138)/(AA107+AA109)))*AA7/12</f>
        <v>0.135272474655508</v>
      </c>
      <c r="AB114" s="56" t="n">
        <f aca="false">(Assumptions!$B$136+Assumptions!$B$137*IF(AB107+AB109=0,1,(AB107+AB109*Assumptions!$B$138)/(AB107+AB109)))*AB7/12</f>
        <v>0.137814523079716</v>
      </c>
      <c r="AC114" s="56" t="n">
        <f aca="false">(Assumptions!$B$136+Assumptions!$B$137*IF(AC107+AC109=0,1,(AC107+AC109*Assumptions!$B$138)/(AC107+AC109)))*AC7/12</f>
        <v>0.13998638434142</v>
      </c>
      <c r="AD114" s="56" t="n">
        <f aca="false">(Assumptions!$B$136+Assumptions!$B$137*IF(AD107+AD109=0,1,(AD107+AD109*Assumptions!$B$138)/(AD107+AD109)))*AD7/12</f>
        <v>0.142345063618755</v>
      </c>
      <c r="AE114" s="56" t="n">
        <f aca="false">(Assumptions!$B$136+Assumptions!$B$137*IF(AE107+AE109=0,1,(AE107+AE109*Assumptions!$B$138)/(AE107+AE109)))*AE7/12</f>
        <v>0.144990029273122</v>
      </c>
    </row>
    <row r="115" customFormat="false" ht="15" hidden="false" customHeight="false" outlineLevel="0" collapsed="false">
      <c r="A115" s="6" t="s">
        <v>460</v>
      </c>
      <c r="B115" s="23" t="s">
        <v>459</v>
      </c>
      <c r="C115" s="56" t="n">
        <f aca="false">Assumptions!$B$137*IF(C107+C109=0,1,(C107+C109*Assumptions!$B$138)/(C107+C109))*C7/12</f>
        <v>0.00507380655270635</v>
      </c>
      <c r="D115" s="56" t="n">
        <f aca="false">Assumptions!$B$137*IF(D107+D109=0,1,(D107+D109*Assumptions!$B$138)/(D107+D109))*D7/12</f>
        <v>0.00514676725812444</v>
      </c>
      <c r="E115" s="56" t="n">
        <f aca="false">Assumptions!$B$137*IF(E107+E109=0,1,(E107+E109*Assumptions!$B$138)/(E107+E109))*E7/12</f>
        <v>0.00521815929648772</v>
      </c>
      <c r="F115" s="56" t="n">
        <f aca="false">Assumptions!$B$137*IF(F107+F109=0,1,(F107+F109*Assumptions!$B$138)/(F107+F109))*F7/12</f>
        <v>0.00527393534637767</v>
      </c>
      <c r="G115" s="56" t="n">
        <f aca="false">Assumptions!$B$137*IF(G107+G109=0,1,(G107+G109*Assumptions!$B$138)/(G107+G109))*G7/12</f>
        <v>0.00533851942181966</v>
      </c>
      <c r="H115" s="56" t="n">
        <f aca="false">Assumptions!$B$137*IF(H107+H109=0,1,(H107+H109*Assumptions!$B$138)/(H107+H109))*H7/12</f>
        <v>0.00540989592400022</v>
      </c>
      <c r="I115" s="56" t="n">
        <f aca="false">Assumptions!$B$137*IF(I107+I109=0,1,(I107+I109*Assumptions!$B$138)/(I107+I109))*I7/12</f>
        <v>0.00547836011756051</v>
      </c>
      <c r="J115" s="56" t="n">
        <f aca="false">Assumptions!$B$137*IF(J107+J109=0,1,(J107+J109*Assumptions!$B$138)/(J107+J109))*J7/12</f>
        <v>0.0055427055062365</v>
      </c>
      <c r="K115" s="56" t="n">
        <f aca="false">Assumptions!$B$137*IF(K107+K109=0,1,(K107+K109*Assumptions!$B$138)/(K107+K109))*K7/12</f>
        <v>0.00559877938984064</v>
      </c>
      <c r="L115" s="56" t="n">
        <f aca="false">Assumptions!$B$137*IF(L107+L109=0,1,(L107+L109*Assumptions!$B$138)/(L107+L109))*L7/12</f>
        <v>0.00563444417537652</v>
      </c>
      <c r="M115" s="56" t="n">
        <f aca="false">Assumptions!$B$137*IF(M107+M109=0,1,(M107+M109*Assumptions!$B$138)/(M107+M109))*M7/12</f>
        <v>0.00567919761589898</v>
      </c>
      <c r="N115" s="56" t="n">
        <f aca="false">Assumptions!$B$137*IF(N107+N109=0,1,(N107+N109*Assumptions!$B$138)/(N107+N109))*N7/12</f>
        <v>0.00573200922503505</v>
      </c>
      <c r="O115" s="56" t="n">
        <f aca="false">Assumptions!$B$137*IF(O107+O109=0,1,(O107+O109*Assumptions!$B$138)/(O107+O109))*O7/12</f>
        <v>0.00567509191651486</v>
      </c>
      <c r="P115" s="56" t="n">
        <f aca="false">Assumptions!$B$137*IF(P107+P109=0,1,(P107+P109*Assumptions!$B$138)/(P107+P109))*P7/12</f>
        <v>0.00566358065476754</v>
      </c>
      <c r="Q115" s="56" t="n">
        <f aca="false">Assumptions!$B$137*IF(Q107+Q109=0,1,(Q107+Q109*Assumptions!$B$138)/(Q107+Q109))*Q7/12</f>
        <v>0.00567487358586312</v>
      </c>
      <c r="R115" s="56" t="n">
        <f aca="false">Assumptions!$B$137*IF(R107+R109=0,1,(R107+R109*Assumptions!$B$138)/(R107+R109))*R7/12</f>
        <v>0.00567655111320637</v>
      </c>
      <c r="S115" s="56" t="n">
        <f aca="false">Assumptions!$B$137*IF(S107+S109=0,1,(S107+S109*Assumptions!$B$138)/(S107+S109))*S7/12</f>
        <v>0.00569943797777294</v>
      </c>
      <c r="T115" s="56" t="n">
        <f aca="false">Assumptions!$B$137*IF(T107+T109=0,1,(T107+T109*Assumptions!$B$138)/(T107+T109))*T7/12</f>
        <v>0.00573923070958481</v>
      </c>
      <c r="U115" s="56" t="n">
        <f aca="false">Assumptions!$B$137*IF(U107+U109=0,1,(U107+U109*Assumptions!$B$138)/(U107+U109))*U7/12</f>
        <v>0.00578155954924476</v>
      </c>
      <c r="V115" s="56" t="n">
        <f aca="false">Assumptions!$B$137*IF(V107+V109=0,1,(V107+V109*Assumptions!$B$138)/(V107+V109))*V7/12</f>
        <v>0.00582340256426789</v>
      </c>
      <c r="W115" s="56" t="n">
        <f aca="false">Assumptions!$B$137*IF(W107+W109=0,1,(W107+W109*Assumptions!$B$138)/(W107+W109))*W7/12</f>
        <v>0.00585903014656754</v>
      </c>
      <c r="X115" s="56" t="n">
        <f aca="false">Assumptions!$B$137*IF(X107+X109=0,1,(X107+X109*Assumptions!$B$138)/(X107+X109))*X7/12</f>
        <v>0.00587394336503198</v>
      </c>
      <c r="Y115" s="56" t="n">
        <f aca="false">Assumptions!$B$137*IF(Y107+Y109=0,1,(Y107+Y109*Assumptions!$B$138)/(Y107+Y109))*Y7/12</f>
        <v>0.0058998041424336</v>
      </c>
      <c r="Z115" s="56" t="n">
        <f aca="false">Assumptions!$B$137*IF(Z107+Z109=0,1,(Z107+Z109*Assumptions!$B$138)/(Z107+Z109))*Z7/12</f>
        <v>0.00593606639751606</v>
      </c>
      <c r="AA115" s="56" t="n">
        <f aca="false">Assumptions!$B$137*IF(AA107+AA109=0,1,(AA107+AA109*Assumptions!$B$138)/(AA107+AA109))*AA7/12</f>
        <v>0.0752724746555075</v>
      </c>
      <c r="AB115" s="56" t="n">
        <f aca="false">Assumptions!$B$137*IF(AB107+AB109=0,1,(AB107+AB109*Assumptions!$B$138)/(AB107+AB109))*AB7/12</f>
        <v>0.0778145230797162</v>
      </c>
      <c r="AC115" s="56" t="n">
        <f aca="false">Assumptions!$B$137*IF(AC107+AC109=0,1,(AC107+AC109*Assumptions!$B$138)/(AC107+AC109))*AC7/12</f>
        <v>0.0799863843414201</v>
      </c>
      <c r="AD115" s="56" t="n">
        <f aca="false">Assumptions!$B$137*IF(AD107+AD109=0,1,(AD107+AD109*Assumptions!$B$138)/(AD107+AD109))*AD7/12</f>
        <v>0.0823450636187553</v>
      </c>
      <c r="AE115" s="56" t="n">
        <f aca="false">Assumptions!$B$137*IF(AE107+AE109=0,1,(AE107+AE109*Assumptions!$B$138)/(AE107+AE109))*AE7/12</f>
        <v>0.0849900292731216</v>
      </c>
    </row>
    <row r="116" customFormat="false" ht="15" hidden="false" customHeight="false" outlineLevel="0" collapsed="false">
      <c r="A116" s="6" t="s">
        <v>461</v>
      </c>
      <c r="B116" s="23" t="s">
        <v>47</v>
      </c>
      <c r="C116" s="45" t="n">
        <f aca="false">C113</f>
        <v>36.8789560745764</v>
      </c>
      <c r="D116" s="45" t="n">
        <f aca="false">C116*(1-D114)+D113</f>
        <v>106.594587579138</v>
      </c>
      <c r="E116" s="45" t="n">
        <f aca="false">D116*(1-E114)+E113</f>
        <v>205.688040981767</v>
      </c>
      <c r="F116" s="45" t="n">
        <f aca="false">E116*(1-F114)+F113</f>
        <v>340.708067029411</v>
      </c>
      <c r="G116" s="45" t="n">
        <f aca="false">F116*(1-G114)+G113</f>
        <v>505.412068547328</v>
      </c>
      <c r="H116" s="45" t="n">
        <f aca="false">G116*(1-H114)+H113</f>
        <v>692.103364361997</v>
      </c>
      <c r="I116" s="45" t="n">
        <f aca="false">H116*(1-I114)+I113</f>
        <v>898.250995742215</v>
      </c>
      <c r="J116" s="45" t="n">
        <f aca="false">I116*(1-J114)+J113</f>
        <v>1122.54856305562</v>
      </c>
      <c r="K116" s="45" t="n">
        <f aca="false">J116*(1-K114)+K113</f>
        <v>1366.64905952125</v>
      </c>
      <c r="L116" s="45" t="n">
        <f aca="false">K116*(1-L114)+L113</f>
        <v>1640.76277177457</v>
      </c>
      <c r="M116" s="45" t="n">
        <f aca="false">L116*(1-M114)+M113</f>
        <v>1939.26979749173</v>
      </c>
      <c r="N116" s="45" t="n">
        <f aca="false">M116*(1-N114)+N113</f>
        <v>2255.43727083493</v>
      </c>
      <c r="O116" s="45" t="n">
        <f aca="false">N116*(1-O114)+O113</f>
        <v>2639.73930569798</v>
      </c>
      <c r="P116" s="45" t="n">
        <f aca="false">O116*(1-P114)+P113</f>
        <v>3108.62580377951</v>
      </c>
      <c r="Q116" s="45" t="n">
        <f aca="false">P116*(1-Q114)+Q113</f>
        <v>3654.22296778699</v>
      </c>
      <c r="R116" s="45" t="n">
        <f aca="false">Q116*(1-R114)+R113</f>
        <v>4300.39085596183</v>
      </c>
      <c r="S116" s="45" t="n">
        <f aca="false">R116*(1-S114)+S113</f>
        <v>5030.44118169421</v>
      </c>
      <c r="T116" s="45" t="n">
        <f aca="false">S116*(1-T114)+T113</f>
        <v>5821.5897926463</v>
      </c>
      <c r="U116" s="45" t="n">
        <f aca="false">T116*(1-U114)+U113</f>
        <v>6667.31788352047</v>
      </c>
      <c r="V116" s="45" t="n">
        <f aca="false">U116*(1-V114)+V113</f>
        <v>7564.9607708158</v>
      </c>
      <c r="W116" s="45" t="n">
        <f aca="false">V116*(1-W114)+W113</f>
        <v>8521.97008273564</v>
      </c>
      <c r="X116" s="45" t="n">
        <f aca="false">W116*(1-X114)+X113</f>
        <v>9576.1784693572</v>
      </c>
      <c r="Y116" s="45" t="n">
        <f aca="false">X116*(1-Y114)+Y113</f>
        <v>10710.9734825906</v>
      </c>
      <c r="Z116" s="45" t="n">
        <f aca="false">Y116*(1-Z114)+Z113</f>
        <v>11904.5528733408</v>
      </c>
      <c r="AA116" s="45" t="n">
        <f aca="false">Z116*(1-AA114)+AA113</f>
        <v>36962.124152464</v>
      </c>
      <c r="AB116" s="45" t="n">
        <f aca="false">AA116*(1-AB114)+AB113</f>
        <v>70764.3138262815</v>
      </c>
      <c r="AC116" s="45" t="n">
        <f aca="false">AB116*(1-AC114)+AC113</f>
        <v>110369.440086912</v>
      </c>
      <c r="AD116" s="45" t="n">
        <f aca="false">AC116*(1-AD114)+AD113</f>
        <v>148228.451623496</v>
      </c>
      <c r="AE116" s="45" t="n">
        <f aca="false">AD116*(1-AE114)+AE113</f>
        <v>175606.957705066</v>
      </c>
    </row>
    <row r="117" customFormat="false" ht="15" hidden="false" customHeight="false" outlineLevel="0" collapsed="false">
      <c r="A117" s="6" t="s">
        <v>462</v>
      </c>
      <c r="B117" s="23" t="s">
        <v>47</v>
      </c>
      <c r="C117" s="45" t="n">
        <f aca="false">C113</f>
        <v>36.8789560745764</v>
      </c>
      <c r="D117" s="45" t="n">
        <f aca="false">C117*(1-D115)+D113</f>
        <v>106.778982359511</v>
      </c>
      <c r="E117" s="45" t="n">
        <f aca="false">D117*(1-E115)+E113</f>
        <v>206.404446498698</v>
      </c>
      <c r="F117" s="45" t="n">
        <f aca="false">E117*(1-F115)+F113</f>
        <v>342.449134474872</v>
      </c>
      <c r="G117" s="45" t="n">
        <f aca="false">F117*(1-G115)+G113</f>
        <v>508.847381605565</v>
      </c>
      <c r="H117" s="45" t="n">
        <f aca="false">G117*(1-H115)+H113</f>
        <v>698.047153076858</v>
      </c>
      <c r="I117" s="45" t="n">
        <f aca="false">H117*(1-I115)+I113</f>
        <v>907.622739063844</v>
      </c>
      <c r="J117" s="45" t="n">
        <f aca="false">I117*(1-J115)+J113</f>
        <v>1136.35961654265</v>
      </c>
      <c r="K117" s="45" t="n">
        <f aca="false">J117*(1-K115)+K113</f>
        <v>1385.99553078194</v>
      </c>
      <c r="L117" s="45" t="n">
        <f aca="false">K117*(1-L115)+L113</f>
        <v>1666.83348172056</v>
      </c>
      <c r="M117" s="45" t="n">
        <f aca="false">L117*(1-M115)+M113</f>
        <v>1973.39626058282</v>
      </c>
      <c r="N117" s="45" t="n">
        <f aca="false">M117*(1-N115)+N113</f>
        <v>2299.06446971222</v>
      </c>
      <c r="O117" s="45" t="n">
        <f aca="false">N117*(1-O115)+O113</f>
        <v>2694.39610256576</v>
      </c>
      <c r="P117" s="45" t="n">
        <f aca="false">O117*(1-P115)+P113</f>
        <v>3176.17174399839</v>
      </c>
      <c r="Q117" s="45" t="n">
        <f aca="false">P117*(1-Q115)+Q113</f>
        <v>3736.92872235278</v>
      </c>
      <c r="R117" s="45" t="n">
        <f aca="false">Q117*(1-R115)+R113</f>
        <v>4400.89824192341</v>
      </c>
      <c r="S117" s="45" t="n">
        <f aca="false">R117*(1-S115)+S113</f>
        <v>5151.87768632301</v>
      </c>
      <c r="T117" s="45" t="n">
        <f aca="false">S117*(1-T115)+T113</f>
        <v>5967.48155106694</v>
      </c>
      <c r="U117" s="45" t="n">
        <f aca="false">T117*(1-U115)+U113</f>
        <v>6841.47410901529</v>
      </c>
      <c r="V117" s="45" t="n">
        <f aca="false">U117*(1-V115)+V113</f>
        <v>7771.43940391808</v>
      </c>
      <c r="W117" s="45" t="n">
        <f aca="false">V117*(1-W115)+W113</f>
        <v>8765.06375515604</v>
      </c>
      <c r="X117" s="45" t="n">
        <f aca="false">W117*(1-X115)+X113</f>
        <v>9860.45407372708</v>
      </c>
      <c r="Y117" s="45" t="n">
        <f aca="false">X117*(1-Y115)+Y113</f>
        <v>11041.452808919</v>
      </c>
      <c r="Z117" s="45" t="n">
        <f aca="false">Y117*(1-Z115)+Z113</f>
        <v>12286.625319858</v>
      </c>
      <c r="AA117" s="45" t="n">
        <f aca="false">Z117*(1-AA115)+AA113</f>
        <v>38029.7102328347</v>
      </c>
      <c r="AB117" s="45" t="n">
        <f aca="false">AA117*(1-AB115)+AB113</f>
        <v>73966.5536541094</v>
      </c>
      <c r="AC117" s="45" t="n">
        <f aca="false">AB117*(1-AC115)+AC113</f>
        <v>117561.403158695</v>
      </c>
      <c r="AD117" s="45" t="n">
        <f aca="false">AC117*(1-AD115)+AD113</f>
        <v>161450.358443804</v>
      </c>
      <c r="AE117" s="45" t="n">
        <f aca="false">AD117*(1-AE115)+AE113</f>
        <v>196598.841375079</v>
      </c>
    </row>
    <row r="118" customFormat="false" ht="15" hidden="false" customHeight="false" outlineLevel="0" collapsed="false">
      <c r="A118" s="6" t="s">
        <v>463</v>
      </c>
      <c r="B118" s="23" t="s">
        <v>114</v>
      </c>
      <c r="C118" s="57" t="n">
        <f aca="false">C116*C21</f>
        <v>5216.89712630958</v>
      </c>
      <c r="D118" s="57" t="n">
        <f aca="false">D116*D21</f>
        <v>15078.8703589449</v>
      </c>
      <c r="E118" s="57" t="n">
        <f aca="false">E116*E21</f>
        <v>29096.6302772808</v>
      </c>
      <c r="F118" s="57" t="n">
        <f aca="false">F116*F21</f>
        <v>48196.5631619804</v>
      </c>
      <c r="G118" s="57" t="n">
        <f aca="false">G116*G21</f>
        <v>71495.5912167051</v>
      </c>
      <c r="H118" s="57" t="n">
        <f aca="false">H116*H21</f>
        <v>97904.941922648</v>
      </c>
      <c r="I118" s="57" t="n">
        <f aca="false">I116*I21</f>
        <v>127066.585857694</v>
      </c>
      <c r="J118" s="57" t="n">
        <f aca="false">J116*J21</f>
        <v>158795.719729848</v>
      </c>
      <c r="K118" s="57" t="n">
        <f aca="false">K116*K21</f>
        <v>193326.175959876</v>
      </c>
      <c r="L118" s="57" t="n">
        <f aca="false">L116*L21</f>
        <v>232102.30169523</v>
      </c>
      <c r="M118" s="57" t="n">
        <f aca="false">M116*M21</f>
        <v>274329.105553181</v>
      </c>
      <c r="N118" s="57" t="n">
        <f aca="false">N116*N21</f>
        <v>319054.156332309</v>
      </c>
      <c r="O118" s="57" t="n">
        <f aca="false">O116*O21</f>
        <v>403664.341480944</v>
      </c>
      <c r="P118" s="57" t="n">
        <f aca="false">P116*P21</f>
        <v>475365.648905065</v>
      </c>
      <c r="Q118" s="57" t="n">
        <f aca="false">Q116*Q21</f>
        <v>558797.417886022</v>
      </c>
      <c r="R118" s="57" t="n">
        <f aca="false">R116*R21</f>
        <v>657608.287013594</v>
      </c>
      <c r="S118" s="57" t="n">
        <f aca="false">S116*S21</f>
        <v>769246.312537023</v>
      </c>
      <c r="T118" s="57" t="n">
        <f aca="false">T116*T21</f>
        <v>890227.381525233</v>
      </c>
      <c r="U118" s="57" t="n">
        <f aca="false">U116*U21</f>
        <v>1019554.64961483</v>
      </c>
      <c r="V118" s="57" t="n">
        <f aca="false">V116*V21</f>
        <v>1156820.63804141</v>
      </c>
      <c r="W118" s="57" t="n">
        <f aca="false">W116*W21</f>
        <v>1303164.83682399</v>
      </c>
      <c r="X118" s="57" t="n">
        <f aca="false">X116*X21</f>
        <v>1464372.54898357</v>
      </c>
      <c r="Y118" s="57" t="n">
        <f aca="false">Y116*Y21</f>
        <v>1637903.4278639</v>
      </c>
      <c r="Z118" s="57" t="n">
        <f aca="false">Z116*Z21</f>
        <v>1820423.51146927</v>
      </c>
      <c r="AA118" s="57" t="n">
        <f aca="false">AA116*AA21</f>
        <v>6110010.59191397</v>
      </c>
      <c r="AB118" s="57" t="n">
        <f aca="false">AB116*AB21</f>
        <v>12645180.573168</v>
      </c>
      <c r="AC118" s="57" t="n">
        <f aca="false">AC116*AC21</f>
        <v>21319905.1832036</v>
      </c>
      <c r="AD118" s="57" t="n">
        <f aca="false">AD116*AD21</f>
        <v>30952354.8423841</v>
      </c>
      <c r="AE118" s="57" t="n">
        <f aca="false">AE116*AE21</f>
        <v>39639624.9276434</v>
      </c>
    </row>
    <row r="119" customFormat="false" ht="15" hidden="false" customHeight="false" outlineLevel="0" collapsed="false">
      <c r="A119" s="6" t="s">
        <v>464</v>
      </c>
      <c r="B119" s="23" t="s">
        <v>190</v>
      </c>
      <c r="C119" s="54" t="n">
        <f aca="false">C107+C109*Assumptions!$B$175</f>
        <v>178.669</v>
      </c>
      <c r="D119" s="54" t="n">
        <f aca="false">D107+D109*Assumptions!$B$175</f>
        <v>348.250261725952</v>
      </c>
      <c r="E119" s="54" t="n">
        <f aca="false">E107+E109*Assumptions!$B$175</f>
        <v>510.544845457189</v>
      </c>
      <c r="F119" s="54" t="n">
        <f aca="false">F107+F109*Assumptions!$B$175</f>
        <v>713.148943932104</v>
      </c>
      <c r="G119" s="54" t="n">
        <f aca="false">G107+G109*Assumptions!$B$175</f>
        <v>896.075325611234</v>
      </c>
      <c r="H119" s="54" t="n">
        <f aca="false">H107+H109*Assumptions!$B$175</f>
        <v>1050.63137490653</v>
      </c>
      <c r="I119" s="54" t="n">
        <f aca="false">I107+I109*Assumptions!$B$175</f>
        <v>1199.73254941302</v>
      </c>
      <c r="J119" s="54" t="n">
        <f aca="false">J107+J109*Assumptions!$B$175</f>
        <v>1348.65436713468</v>
      </c>
      <c r="K119" s="54" t="n">
        <f aca="false">K107+K109*Assumptions!$B$175</f>
        <v>1511.39635457054</v>
      </c>
      <c r="L119" s="54" t="n">
        <f aca="false">L107+L109*Assumptions!$B$175</f>
        <v>1729.8476944193</v>
      </c>
      <c r="M119" s="54" t="n">
        <f aca="false">M107+M109*Assumptions!$B$175</f>
        <v>1930.46740189359</v>
      </c>
      <c r="N119" s="54" t="n">
        <f aca="false">N107+N109*Assumptions!$B$175</f>
        <v>2106.37708445176</v>
      </c>
      <c r="O119" s="54" t="n">
        <f aca="false">O107+O109*Assumptions!$B$175</f>
        <v>2691.88787404417</v>
      </c>
      <c r="P119" s="54" t="n">
        <f aca="false">P107+P109*Assumptions!$B$175</f>
        <v>3260.13806295296</v>
      </c>
      <c r="Q119" s="54" t="n">
        <f aca="false">Q107+Q109*Assumptions!$B$175</f>
        <v>3814.76047911621</v>
      </c>
      <c r="R119" s="54" t="n">
        <f aca="false">R107+R109*Assumptions!$B$175</f>
        <v>4519.31259964623</v>
      </c>
      <c r="S119" s="54" t="n">
        <f aca="false">S107+S109*Assumptions!$B$175</f>
        <v>5169.65830054593</v>
      </c>
      <c r="T119" s="54" t="n">
        <f aca="false">T107+T109*Assumptions!$B$175</f>
        <v>5729.12114582439</v>
      </c>
      <c r="U119" s="54" t="n">
        <f aca="false">U107+U109*Assumptions!$B$175</f>
        <v>6275.86450864336</v>
      </c>
      <c r="V119" s="54" t="n">
        <f aca="false">V107+V109*Assumptions!$B$175</f>
        <v>6828.19707762831</v>
      </c>
      <c r="W119" s="54" t="n">
        <f aca="false">W107+W109*Assumptions!$B$175</f>
        <v>7438.23881735861</v>
      </c>
      <c r="X119" s="54" t="n">
        <f aca="false">X107+X109*Assumptions!$B$175</f>
        <v>8266.8656011235</v>
      </c>
      <c r="Y119" s="54" t="n">
        <f aca="false">Y107+Y109*Assumptions!$B$175</f>
        <v>9042.14836834422</v>
      </c>
      <c r="Z119" s="54" t="n">
        <f aca="false">Z107+Z109*Assumptions!$B$175</f>
        <v>9732.22105640219</v>
      </c>
      <c r="AA119" s="54" t="n">
        <f aca="false">AA107+AA109*Assumptions!$B$175</f>
        <v>21314.0928917391</v>
      </c>
      <c r="AB119" s="54" t="n">
        <f aca="false">AB107+AB109*Assumptions!$B$175</f>
        <v>38302.9431735575</v>
      </c>
      <c r="AC119" s="54" t="n">
        <f aca="false">AC107+AC109*Assumptions!$B$175</f>
        <v>59853.5833790927</v>
      </c>
      <c r="AD119" s="54" t="n">
        <f aca="false">AD107+AD109*Assumptions!$B$175</f>
        <v>82097.599874401</v>
      </c>
      <c r="AE119" s="54" t="n">
        <f aca="false">AE107+AE109*Assumptions!$B$175</f>
        <v>100411.932330575</v>
      </c>
    </row>
    <row r="120" customFormat="false" ht="15" hidden="false" customHeight="false" outlineLevel="0" collapsed="false">
      <c r="A120" s="6" t="s">
        <v>465</v>
      </c>
      <c r="B120" s="23" t="s">
        <v>190</v>
      </c>
      <c r="C120" s="45" t="n">
        <f aca="false">IF(C7&gt;1,C119*Assumptions!$B$134,IF(C2&gt;Assumptions!$B$135,INDEX($C$119:$AE$119,1,C2-Assumptions!$B$135)*Assumptions!$B$134,0))</f>
        <v>0</v>
      </c>
      <c r="D120" s="45" t="n">
        <f aca="false">IF(D7&gt;1,D119*Assumptions!$B$134,IF(D2&gt;Assumptions!$B$135,INDEX($C$119:$AE$119,1,D2-Assumptions!$B$135)*Assumptions!$B$134,0))</f>
        <v>0</v>
      </c>
      <c r="E120" s="45" t="n">
        <f aca="false">IF(E7&gt;1,E119*Assumptions!$B$134,IF(E2&gt;Assumptions!$B$135,INDEX($C$119:$AE$119,1,E2-Assumptions!$B$135)*Assumptions!$B$134,0))</f>
        <v>0</v>
      </c>
      <c r="F120" s="45" t="n">
        <f aca="false">IF(F7&gt;1,F119*Assumptions!$B$134,IF(F2&gt;Assumptions!$B$135,INDEX($C$119:$AE$119,1,F2-Assumptions!$B$135)*Assumptions!$B$134,0))</f>
        <v>0</v>
      </c>
      <c r="G120" s="45" t="n">
        <f aca="false">IF(G7&gt;1,G119*Assumptions!$B$134,IF(G2&gt;Assumptions!$B$135,INDEX($C$119:$AE$119,1,G2-Assumptions!$B$135)*Assumptions!$B$134,0))</f>
        <v>0</v>
      </c>
      <c r="H120" s="45" t="n">
        <f aca="false">IF(H7&gt;1,H119*Assumptions!$B$134,IF(H2&gt;Assumptions!$B$135,INDEX($C$119:$AE$119,1,H2-Assumptions!$B$135)*Assumptions!$B$134,0))</f>
        <v>0</v>
      </c>
      <c r="I120" s="45" t="n">
        <f aca="false">IF(I7&gt;1,I119*Assumptions!$B$134,IF(I2&gt;Assumptions!$B$135,INDEX($C$119:$AE$119,1,I2-Assumptions!$B$135)*Assumptions!$B$134,0))</f>
        <v>0</v>
      </c>
      <c r="J120" s="45" t="n">
        <f aca="false">IF(J7&gt;1,J119*Assumptions!$B$134,IF(J2&gt;Assumptions!$B$135,INDEX($C$119:$AE$119,1,J2-Assumptions!$B$135)*Assumptions!$B$134,0))</f>
        <v>0</v>
      </c>
      <c r="K120" s="45" t="n">
        <f aca="false">IF(K7&gt;1,K119*Assumptions!$B$134,IF(K2&gt;Assumptions!$B$135,INDEX($C$119:$AE$119,1,K2-Assumptions!$B$135)*Assumptions!$B$134,0))</f>
        <v>98.26795</v>
      </c>
      <c r="L120" s="45" t="n">
        <f aca="false">IF(L7&gt;1,L119*Assumptions!$B$134,IF(L2&gt;Assumptions!$B$135,INDEX($C$119:$AE$119,1,L2-Assumptions!$B$135)*Assumptions!$B$134,0))</f>
        <v>191.537643949274</v>
      </c>
      <c r="M120" s="45" t="n">
        <f aca="false">IF(M7&gt;1,M119*Assumptions!$B$134,IF(M2&gt;Assumptions!$B$135,INDEX($C$119:$AE$119,1,M2-Assumptions!$B$135)*Assumptions!$B$134,0))</f>
        <v>280.799665001454</v>
      </c>
      <c r="N120" s="45" t="n">
        <f aca="false">IF(N7&gt;1,N119*Assumptions!$B$134,IF(N2&gt;Assumptions!$B$135,INDEX($C$119:$AE$119,1,N2-Assumptions!$B$135)*Assumptions!$B$134,0))</f>
        <v>392.231919162657</v>
      </c>
      <c r="O120" s="45" t="n">
        <f aca="false">IF(O7&gt;1,O119*Assumptions!$B$134,IF(O2&gt;Assumptions!$B$135,INDEX($C$119:$AE$119,1,O2-Assumptions!$B$135)*Assumptions!$B$134,0))</f>
        <v>492.841429086179</v>
      </c>
      <c r="P120" s="45" t="n">
        <f aca="false">IF(P7&gt;1,P119*Assumptions!$B$134,IF(P2&gt;Assumptions!$B$135,INDEX($C$119:$AE$119,1,P2-Assumptions!$B$135)*Assumptions!$B$134,0))</f>
        <v>577.847256198589</v>
      </c>
      <c r="Q120" s="45" t="n">
        <f aca="false">IF(Q7&gt;1,Q119*Assumptions!$B$134,IF(Q2&gt;Assumptions!$B$135,INDEX($C$119:$AE$119,1,Q2-Assumptions!$B$135)*Assumptions!$B$134,0))</f>
        <v>659.852902177163</v>
      </c>
      <c r="R120" s="45" t="n">
        <f aca="false">IF(R7&gt;1,R119*Assumptions!$B$134,IF(R2&gt;Assumptions!$B$135,INDEX($C$119:$AE$119,1,R2-Assumptions!$B$135)*Assumptions!$B$134,0))</f>
        <v>741.759901924076</v>
      </c>
      <c r="S120" s="45" t="n">
        <f aca="false">IF(S7&gt;1,S119*Assumptions!$B$134,IF(S2&gt;Assumptions!$B$135,INDEX($C$119:$AE$119,1,S2-Assumptions!$B$135)*Assumptions!$B$134,0))</f>
        <v>831.267995013797</v>
      </c>
      <c r="T120" s="45" t="n">
        <f aca="false">IF(T7&gt;1,T119*Assumptions!$B$134,IF(T2&gt;Assumptions!$B$135,INDEX($C$119:$AE$119,1,T2-Assumptions!$B$135)*Assumptions!$B$134,0))</f>
        <v>951.416231930618</v>
      </c>
      <c r="U120" s="45" t="n">
        <f aca="false">IF(U7&gt;1,U119*Assumptions!$B$134,IF(U2&gt;Assumptions!$B$135,INDEX($C$119:$AE$119,1,U2-Assumptions!$B$135)*Assumptions!$B$134,0))</f>
        <v>1061.75707104148</v>
      </c>
      <c r="V120" s="45" t="n">
        <f aca="false">IF(V7&gt;1,V119*Assumptions!$B$134,IF(V2&gt;Assumptions!$B$135,INDEX($C$119:$AE$119,1,V2-Assumptions!$B$135)*Assumptions!$B$134,0))</f>
        <v>1158.50739644847</v>
      </c>
      <c r="W120" s="45" t="n">
        <f aca="false">IF(W7&gt;1,W119*Assumptions!$B$134,IF(W2&gt;Assumptions!$B$135,INDEX($C$119:$AE$119,1,W2-Assumptions!$B$135)*Assumptions!$B$134,0))</f>
        <v>1480.53833072429</v>
      </c>
      <c r="X120" s="45" t="n">
        <f aca="false">IF(X7&gt;1,X119*Assumptions!$B$134,IF(X2&gt;Assumptions!$B$135,INDEX($C$119:$AE$119,1,X2-Assumptions!$B$135)*Assumptions!$B$134,0))</f>
        <v>1793.07593462413</v>
      </c>
      <c r="Y120" s="45" t="n">
        <f aca="false">IF(Y7&gt;1,Y119*Assumptions!$B$134,IF(Y2&gt;Assumptions!$B$135,INDEX($C$119:$AE$119,1,Y2-Assumptions!$B$135)*Assumptions!$B$134,0))</f>
        <v>2098.11826351392</v>
      </c>
      <c r="Z120" s="45" t="n">
        <f aca="false">IF(Z7&gt;1,Z119*Assumptions!$B$134,IF(Z2&gt;Assumptions!$B$135,INDEX($C$119:$AE$119,1,Z2-Assumptions!$B$135)*Assumptions!$B$134,0))</f>
        <v>2485.62192980543</v>
      </c>
      <c r="AA120" s="45" t="n">
        <f aca="false">IF(AA7&gt;1,AA119*Assumptions!$B$134,IF(AA2&gt;Assumptions!$B$135,INDEX($C$119:$AE$119,1,AA2-Assumptions!$B$135)*Assumptions!$B$134,0))</f>
        <v>11722.7510904565</v>
      </c>
      <c r="AB120" s="45" t="n">
        <f aca="false">IF(AB7&gt;1,AB119*Assumptions!$B$134,IF(AB2&gt;Assumptions!$B$135,INDEX($C$119:$AE$119,1,AB2-Assumptions!$B$135)*Assumptions!$B$134,0))</f>
        <v>21066.6187454566</v>
      </c>
      <c r="AC120" s="45" t="n">
        <f aca="false">IF(AC7&gt;1,AC119*Assumptions!$B$134,IF(AC2&gt;Assumptions!$B$135,INDEX($C$119:$AE$119,1,AC2-Assumptions!$B$135)*Assumptions!$B$134,0))</f>
        <v>32919.470858501</v>
      </c>
      <c r="AD120" s="45" t="n">
        <f aca="false">IF(AD7&gt;1,AD119*Assumptions!$B$134,IF(AD2&gt;Assumptions!$B$135,INDEX($C$119:$AE$119,1,AD2-Assumptions!$B$135)*Assumptions!$B$134,0))</f>
        <v>45153.6799309206</v>
      </c>
      <c r="AE120" s="45" t="n">
        <f aca="false">IF(AE7&gt;1,AE119*Assumptions!$B$134,IF(AE2&gt;Assumptions!$B$135,INDEX($C$119:$AE$119,1,AE2-Assumptions!$B$135)*Assumptions!$B$134,0))</f>
        <v>55226.5627818163</v>
      </c>
    </row>
    <row r="121" customFormat="false" ht="15" hidden="false" customHeight="false" outlineLevel="0" collapsed="false">
      <c r="A121" s="6" t="s">
        <v>466</v>
      </c>
      <c r="B121" s="23" t="s">
        <v>467</v>
      </c>
      <c r="C121" s="28" t="n">
        <f aca="false">IF(C2&gt;=Assumptions!$B$51,C120*Assumptions!$B$143,0)</f>
        <v>0</v>
      </c>
      <c r="D121" s="28" t="n">
        <f aca="false">IF(D2&gt;=Assumptions!$B$51,D120*Assumptions!$B$143,0)</f>
        <v>0</v>
      </c>
      <c r="E121" s="28" t="n">
        <f aca="false">IF(E2&gt;=Assumptions!$B$51,E120*Assumptions!$B$143,0)</f>
        <v>0</v>
      </c>
      <c r="F121" s="28" t="n">
        <f aca="false">IF(F2&gt;=Assumptions!$B$51,F120*Assumptions!$B$143,0)</f>
        <v>0</v>
      </c>
      <c r="G121" s="28" t="n">
        <f aca="false">IF(G2&gt;=Assumptions!$B$51,G120*Assumptions!$B$143,0)</f>
        <v>0</v>
      </c>
      <c r="H121" s="28" t="n">
        <f aca="false">IF(H2&gt;=Assumptions!$B$51,H120*Assumptions!$B$143,0)</f>
        <v>0</v>
      </c>
      <c r="I121" s="28" t="n">
        <f aca="false">IF(I2&gt;=Assumptions!$B$51,I120*Assumptions!$B$143,0)</f>
        <v>0</v>
      </c>
      <c r="J121" s="28" t="n">
        <f aca="false">IF(J2&gt;=Assumptions!$B$51,J120*Assumptions!$B$143,0)</f>
        <v>0</v>
      </c>
      <c r="K121" s="28" t="n">
        <f aca="false">IF(K2&gt;=Assumptions!$B$51,K120*Assumptions!$B$143,0)</f>
        <v>0</v>
      </c>
      <c r="L121" s="28" t="n">
        <f aca="false">IF(L2&gt;=Assumptions!$B$51,L120*Assumptions!$B$143,0)</f>
        <v>0</v>
      </c>
      <c r="M121" s="28" t="n">
        <f aca="false">IF(M2&gt;=Assumptions!$B$51,M120*Assumptions!$B$143,0)</f>
        <v>0</v>
      </c>
      <c r="N121" s="28" t="n">
        <f aca="false">IF(N2&gt;=Assumptions!$B$51,N120*Assumptions!$B$143,0)</f>
        <v>0</v>
      </c>
      <c r="O121" s="28" t="n">
        <f aca="false">IF(O2&gt;=Assumptions!$B$51,O120*Assumptions!$B$143,0)</f>
        <v>88.7114572355121</v>
      </c>
      <c r="P121" s="28" t="n">
        <f aca="false">IF(P2&gt;=Assumptions!$B$51,P120*Assumptions!$B$143,0)</f>
        <v>104.012506115746</v>
      </c>
      <c r="Q121" s="28" t="n">
        <f aca="false">IF(Q2&gt;=Assumptions!$B$51,Q120*Assumptions!$B$143,0)</f>
        <v>118.773522391889</v>
      </c>
      <c r="R121" s="28" t="n">
        <f aca="false">IF(R2&gt;=Assumptions!$B$51,R120*Assumptions!$B$143,0)</f>
        <v>133.516782346334</v>
      </c>
      <c r="S121" s="28" t="n">
        <f aca="false">IF(S2&gt;=Assumptions!$B$51,S120*Assumptions!$B$143,0)</f>
        <v>149.628239102483</v>
      </c>
      <c r="T121" s="28" t="n">
        <f aca="false">IF(T2&gt;=Assumptions!$B$51,T120*Assumptions!$B$143,0)</f>
        <v>171.254921747511</v>
      </c>
      <c r="U121" s="28" t="n">
        <f aca="false">IF(U2&gt;=Assumptions!$B$51,U120*Assumptions!$B$143,0)</f>
        <v>191.116272787466</v>
      </c>
      <c r="V121" s="28" t="n">
        <f aca="false">IF(V2&gt;=Assumptions!$B$51,V120*Assumptions!$B$143,0)</f>
        <v>208.531331360724</v>
      </c>
      <c r="W121" s="28" t="n">
        <f aca="false">IF(W2&gt;=Assumptions!$B$51,W120*Assumptions!$B$143,0)</f>
        <v>266.496899530373</v>
      </c>
      <c r="X121" s="28" t="n">
        <f aca="false">IF(X2&gt;=Assumptions!$B$51,X120*Assumptions!$B$143,0)</f>
        <v>322.753668232343</v>
      </c>
      <c r="Y121" s="28" t="n">
        <f aca="false">IF(Y2&gt;=Assumptions!$B$51,Y120*Assumptions!$B$143,0)</f>
        <v>377.661287432505</v>
      </c>
      <c r="Z121" s="28" t="n">
        <f aca="false">IF(Z2&gt;=Assumptions!$B$51,Z120*Assumptions!$B$143,0)</f>
        <v>447.411947364977</v>
      </c>
      <c r="AA121" s="28" t="n">
        <f aca="false">IF(AA2&gt;=Assumptions!$B$51,AA120*Assumptions!$B$143,0)</f>
        <v>2110.09519628217</v>
      </c>
      <c r="AB121" s="28" t="n">
        <f aca="false">IF(AB2&gt;=Assumptions!$B$51,AB120*Assumptions!$B$143,0)</f>
        <v>3791.99137418219</v>
      </c>
      <c r="AC121" s="28" t="n">
        <f aca="false">IF(AC2&gt;=Assumptions!$B$51,AC120*Assumptions!$B$143,0)</f>
        <v>5925.50475453018</v>
      </c>
      <c r="AD121" s="28" t="n">
        <f aca="false">IF(AD2&gt;=Assumptions!$B$51,AD120*Assumptions!$B$143,0)</f>
        <v>8127.6623875657</v>
      </c>
      <c r="AE121" s="28" t="n">
        <f aca="false">IF(AE2&gt;=Assumptions!$B$51,AE120*Assumptions!$B$143,0)</f>
        <v>9940.78130072694</v>
      </c>
    </row>
    <row r="122" customFormat="false" ht="15" hidden="false" customHeight="false" outlineLevel="0" collapsed="false">
      <c r="A122" s="6" t="s">
        <v>468</v>
      </c>
      <c r="B122" s="23" t="s">
        <v>114</v>
      </c>
      <c r="C122" s="55" t="n">
        <f aca="false">IF(C107=0,0,C118/C107*Assumptions!$B$31)</f>
        <v>14.9675697865353</v>
      </c>
      <c r="D122" s="55" t="n">
        <f aca="false">IF(D107=0,0,D118/D107*Assumptions!$B$31)</f>
        <v>22.7631005025171</v>
      </c>
      <c r="E122" s="55" t="n">
        <f aca="false">IF(E107=0,0,E118/E107*Assumptions!$B$31)</f>
        <v>30.7303708621982</v>
      </c>
      <c r="F122" s="55" t="n">
        <f aca="false">IF(F107=0,0,F118/F107*Assumptions!$B$31)</f>
        <v>37.1869820597253</v>
      </c>
      <c r="G122" s="55" t="n">
        <f aca="false">IF(G107=0,0,G118/G107*Assumptions!$B$31)</f>
        <v>44.9679097671905</v>
      </c>
      <c r="H122" s="55" t="n">
        <f aca="false">IF(H107=0,0,H118/H107*Assumptions!$B$31)</f>
        <v>53.9670019123531</v>
      </c>
      <c r="I122" s="55" t="n">
        <f aca="false">IF(I107=0,0,I118/I107*Assumptions!$B$31)</f>
        <v>63.0021127736645</v>
      </c>
      <c r="J122" s="55" t="n">
        <f aca="false">IF(J107=0,0,J118/J107*Assumptions!$B$31)</f>
        <v>71.8740604486509</v>
      </c>
      <c r="K122" s="55" t="n">
        <f aca="false">IF(K107=0,0,K118/K107*Assumptions!$B$31)</f>
        <v>79.9045457478672</v>
      </c>
      <c r="L122" s="55" t="n">
        <f aca="false">IF(L107=0,0,L118/L107*Assumptions!$B$31)</f>
        <v>85.0804224907636</v>
      </c>
      <c r="M122" s="55" t="n">
        <f aca="false">IF(M107=0,0,M118/M107*Assumptions!$B$31)</f>
        <v>91.8464790333151</v>
      </c>
      <c r="N122" s="55" t="n">
        <f aca="false">IF(N107=0,0,N118/N107*Assumptions!$B$31)</f>
        <v>100.179361766243</v>
      </c>
      <c r="O122" s="55" t="n">
        <f aca="false">IF(O107=0,0,O118/O107*Assumptions!$B$31)</f>
        <v>96.749536303482</v>
      </c>
      <c r="P122" s="55" t="n">
        <f aca="false">IF(P107=0,0,P118/P107*Assumptions!$B$31)</f>
        <v>93.6121605092039</v>
      </c>
      <c r="Q122" s="55" t="n">
        <f aca="false">IF(Q107=0,0,Q118/Q107*Assumptions!$B$31)</f>
        <v>94.4999992574772</v>
      </c>
      <c r="R122" s="55" t="n">
        <f aca="false">IF(R107=0,0,R118/R107*Assumptions!$B$31)</f>
        <v>93.9405354210092</v>
      </c>
      <c r="S122" s="55" t="n">
        <f aca="false">IF(S107=0,0,S118/S107*Assumptions!$B$31)</f>
        <v>97.0199167303543</v>
      </c>
      <c r="T122" s="55" t="n">
        <f aca="false">IF(T107=0,0,T118/T107*Assumptions!$B$31)</f>
        <v>103.097457731459</v>
      </c>
      <c r="U122" s="55" t="n">
        <f aca="false">IF(U107=0,0,U118/U107*Assumptions!$B$31)</f>
        <v>109.845035661104</v>
      </c>
      <c r="V122" s="55" t="n">
        <f aca="false">IF(V107=0,0,V118/V107*Assumptions!$B$31)</f>
        <v>116.754365082905</v>
      </c>
      <c r="W122" s="55" t="n">
        <f aca="false">IF(W107=0,0,W118/W107*Assumptions!$B$31)</f>
        <v>122.746732996395</v>
      </c>
      <c r="X122" s="55" t="n">
        <f aca="false">IF(X107=0,0,X118/X107*Assumptions!$B$31)</f>
        <v>124.976147108618</v>
      </c>
      <c r="Y122" s="55" t="n">
        <f aca="false">IF(Y107=0,0,Y118/Y107*Assumptions!$B$31)</f>
        <v>129.374333201963</v>
      </c>
      <c r="Z122" s="55" t="n">
        <f aca="false">IF(Z107=0,0,Z118/Z107*Assumptions!$B$31)</f>
        <v>135.94273663407</v>
      </c>
      <c r="AA122" s="55" t="n">
        <f aca="false">IF(AA107=0,0,AA118/AA107*Assumptions!$B$31)</f>
        <v>248.943137717054</v>
      </c>
      <c r="AB122" s="55" t="n">
        <f aca="false">IF(AB107=0,0,AB118/AB107*Assumptions!$B$31)</f>
        <v>326.768887342547</v>
      </c>
      <c r="AC122" s="55" t="n">
        <f aca="false">IF(AC107=0,0,AC118/AC107*Assumptions!$B$31)</f>
        <v>400.385385468877</v>
      </c>
      <c r="AD122" s="55" t="n">
        <f aca="false">IF(AD107=0,0,AD118/AD107*Assumptions!$B$31)</f>
        <v>496.988178811192</v>
      </c>
      <c r="AE122" s="55" t="n">
        <f aca="false">IF(AE107=0,0,AE118/AE107*Assumptions!$B$31)</f>
        <v>645.402365166686</v>
      </c>
    </row>
    <row r="123" customFormat="false" ht="15" hidden="false" customHeight="false" outlineLevel="0" collapsed="false">
      <c r="A123" s="6" t="s">
        <v>469</v>
      </c>
      <c r="B123" s="23" t="s">
        <v>76</v>
      </c>
      <c r="C123" s="55" t="n">
        <f aca="false">C122*Assumptions!$B$156*Assumptions!$B$158</f>
        <v>15.7159482758621</v>
      </c>
      <c r="D123" s="55" t="n">
        <f aca="false">D122*Assumptions!$B$156*Assumptions!$B$158</f>
        <v>23.901255527643</v>
      </c>
      <c r="E123" s="55" t="n">
        <f aca="false">E122*Assumptions!$B$156*Assumptions!$B$158</f>
        <v>32.2668894053081</v>
      </c>
      <c r="F123" s="55" t="n">
        <f aca="false">F122*Assumptions!$B$156*Assumptions!$B$158</f>
        <v>39.0463311627115</v>
      </c>
      <c r="G123" s="55" t="n">
        <f aca="false">G122*Assumptions!$B$156*Assumptions!$B$158</f>
        <v>47.21630525555</v>
      </c>
      <c r="H123" s="55" t="n">
        <f aca="false">H122*Assumptions!$B$156*Assumptions!$B$158</f>
        <v>56.6653520079707</v>
      </c>
      <c r="I123" s="55" t="n">
        <f aca="false">I122*Assumptions!$B$156*Assumptions!$B$158</f>
        <v>66.1522184123477</v>
      </c>
      <c r="J123" s="55" t="n">
        <f aca="false">J122*Assumptions!$B$156*Assumptions!$B$158</f>
        <v>75.4677634710835</v>
      </c>
      <c r="K123" s="55" t="n">
        <f aca="false">K122*Assumptions!$B$156*Assumptions!$B$158</f>
        <v>83.8997730352606</v>
      </c>
      <c r="L123" s="55" t="n">
        <f aca="false">L122*Assumptions!$B$156*Assumptions!$B$158</f>
        <v>89.3344436153018</v>
      </c>
      <c r="M123" s="55" t="n">
        <f aca="false">M122*Assumptions!$B$156*Assumptions!$B$158</f>
        <v>96.4388029849809</v>
      </c>
      <c r="N123" s="55" t="n">
        <f aca="false">N122*Assumptions!$B$156*Assumptions!$B$158</f>
        <v>105.188329854555</v>
      </c>
      <c r="O123" s="55" t="n">
        <f aca="false">O122*Assumptions!$B$156*Assumptions!$B$158</f>
        <v>101.587013118656</v>
      </c>
      <c r="P123" s="55" t="n">
        <f aca="false">P122*Assumptions!$B$156*Assumptions!$B$158</f>
        <v>98.2927685346641</v>
      </c>
      <c r="Q123" s="55" t="n">
        <f aca="false">Q122*Assumptions!$B$156*Assumptions!$B$158</f>
        <v>99.2249992203511</v>
      </c>
      <c r="R123" s="55" t="n">
        <f aca="false">R122*Assumptions!$B$156*Assumptions!$B$158</f>
        <v>98.6375621920596</v>
      </c>
      <c r="S123" s="55" t="n">
        <f aca="false">S122*Assumptions!$B$156*Assumptions!$B$158</f>
        <v>101.870912566872</v>
      </c>
      <c r="T123" s="55" t="n">
        <f aca="false">T122*Assumptions!$B$156*Assumptions!$B$158</f>
        <v>108.252330618032</v>
      </c>
      <c r="U123" s="55" t="n">
        <f aca="false">U122*Assumptions!$B$156*Assumptions!$B$158</f>
        <v>115.337287444159</v>
      </c>
      <c r="V123" s="55" t="n">
        <f aca="false">V122*Assumptions!$B$156*Assumptions!$B$158</f>
        <v>122.59208333705</v>
      </c>
      <c r="W123" s="55" t="n">
        <f aca="false">W122*Assumptions!$B$156*Assumptions!$B$158</f>
        <v>128.884069646214</v>
      </c>
      <c r="X123" s="55" t="n">
        <f aca="false">X122*Assumptions!$B$156*Assumptions!$B$158</f>
        <v>131.224954464049</v>
      </c>
      <c r="Y123" s="55" t="n">
        <f aca="false">Y122*Assumptions!$B$156*Assumptions!$B$158</f>
        <v>135.843049862061</v>
      </c>
      <c r="Z123" s="55" t="n">
        <f aca="false">Z122*Assumptions!$B$156*Assumptions!$B$158</f>
        <v>142.739873465774</v>
      </c>
      <c r="AA123" s="55" t="n">
        <f aca="false">AA122*Assumptions!$B$156*Assumptions!$B$158</f>
        <v>261.390294602907</v>
      </c>
      <c r="AB123" s="55" t="n">
        <f aca="false">AB122*Assumptions!$B$156*Assumptions!$B$158</f>
        <v>343.107331709675</v>
      </c>
      <c r="AC123" s="55" t="n">
        <f aca="false">AC122*Assumptions!$B$156*Assumptions!$B$158</f>
        <v>420.404654742321</v>
      </c>
      <c r="AD123" s="55" t="n">
        <f aca="false">AD122*Assumptions!$B$156*Assumptions!$B$158</f>
        <v>521.837587751752</v>
      </c>
      <c r="AE123" s="55" t="n">
        <f aca="false">AE122*Assumptions!$B$156*Assumptions!$B$158</f>
        <v>677.67248342502</v>
      </c>
    </row>
    <row r="124" customFormat="false" ht="15" hidden="false" customHeight="false" outlineLevel="0" collapsed="false">
      <c r="A124" s="6" t="s">
        <v>470</v>
      </c>
      <c r="B124" s="23" t="s">
        <v>114</v>
      </c>
      <c r="C124" s="55" t="n">
        <f aca="false">C123/12*C16</f>
        <v>1.44062859195402</v>
      </c>
      <c r="D124" s="55" t="n">
        <f aca="false">D123/12*D16</f>
        <v>1.99177129397025</v>
      </c>
      <c r="E124" s="55" t="n">
        <f aca="false">E123/12*E16</f>
        <v>2.6351293014335</v>
      </c>
      <c r="F124" s="55" t="n">
        <f aca="false">F123/12*F16</f>
        <v>3.18878371162144</v>
      </c>
      <c r="G124" s="55" t="n">
        <f aca="false">G123/12*G16</f>
        <v>3.93469210462916</v>
      </c>
      <c r="H124" s="55" t="n">
        <f aca="false">H123/12*H16</f>
        <v>4.48600703396435</v>
      </c>
      <c r="I124" s="55" t="n">
        <f aca="false">I123/12*I16</f>
        <v>4.85116268357217</v>
      </c>
      <c r="J124" s="55" t="n">
        <f aca="false">J123/12*J16</f>
        <v>5.66008226033126</v>
      </c>
      <c r="K124" s="55" t="n">
        <f aca="false">K123/12*K16</f>
        <v>6.99164775293838</v>
      </c>
      <c r="L124" s="55" t="n">
        <f aca="false">L123/12*L16</f>
        <v>7.59342770730065</v>
      </c>
      <c r="M124" s="55" t="n">
        <f aca="false">M123/12*M16</f>
        <v>8.43839526118583</v>
      </c>
      <c r="N124" s="55" t="n">
        <f aca="false">N123/12*N16</f>
        <v>9.99289133618271</v>
      </c>
      <c r="O124" s="55" t="n">
        <f aca="false">O123/12*O16</f>
        <v>9.31214286921014</v>
      </c>
      <c r="P124" s="55" t="n">
        <f aca="false">P123/12*P16</f>
        <v>8.19106404455534</v>
      </c>
      <c r="Q124" s="55" t="n">
        <f aca="false">Q123/12*Q16</f>
        <v>8.10337493632867</v>
      </c>
      <c r="R124" s="55" t="n">
        <f aca="false">R123/12*R16</f>
        <v>8.05540091235154</v>
      </c>
      <c r="S124" s="55" t="n">
        <f aca="false">S123/12*S16</f>
        <v>8.489242713906</v>
      </c>
      <c r="T124" s="55" t="n">
        <f aca="false">T123/12*T16</f>
        <v>8.56997617392756</v>
      </c>
      <c r="U124" s="55" t="n">
        <f aca="false">U123/12*U16</f>
        <v>8.45806774590503</v>
      </c>
      <c r="V124" s="55" t="n">
        <f aca="false">V123/12*V16</f>
        <v>9.19440625027875</v>
      </c>
      <c r="W124" s="55" t="n">
        <f aca="false">W123/12*W16</f>
        <v>10.7403391371845</v>
      </c>
      <c r="X124" s="55" t="n">
        <f aca="false">X123/12*X16</f>
        <v>11.1541211294442</v>
      </c>
      <c r="Y124" s="55" t="n">
        <f aca="false">Y123/12*Y16</f>
        <v>11.8862668629304</v>
      </c>
      <c r="Z124" s="55" t="n">
        <f aca="false">Z123/12*Z16</f>
        <v>13.5602879792485</v>
      </c>
      <c r="AA124" s="55" t="n">
        <f aca="false">AA123/12*AA16</f>
        <v>21.7825245502423</v>
      </c>
      <c r="AB124" s="55" t="n">
        <f aca="false">AB123/12*AB16</f>
        <v>28.5922776424729</v>
      </c>
      <c r="AC124" s="55" t="n">
        <f aca="false">AC123/12*AC16</f>
        <v>35.0337212285267</v>
      </c>
      <c r="AD124" s="55" t="n">
        <f aca="false">AD123/12*AD16</f>
        <v>43.4864656459793</v>
      </c>
      <c r="AE124" s="55" t="n">
        <f aca="false">AE123/12*AE16</f>
        <v>56.472706952085</v>
      </c>
    </row>
    <row r="125" customFormat="false" ht="15" hidden="false" customHeight="false" outlineLevel="0" collapsed="false">
      <c r="A125" s="6" t="s">
        <v>471</v>
      </c>
      <c r="B125" s="23" t="s">
        <v>472</v>
      </c>
      <c r="C125" s="45" t="n">
        <f aca="false">C121*C124*Assumptions!$B$7*C7</f>
        <v>0</v>
      </c>
      <c r="D125" s="45" t="n">
        <f aca="false">D121*D124*Assumptions!$B$7*D7</f>
        <v>0</v>
      </c>
      <c r="E125" s="45" t="n">
        <f aca="false">E121*E124*Assumptions!$B$7*E7</f>
        <v>0</v>
      </c>
      <c r="F125" s="45" t="n">
        <f aca="false">F121*F124*Assumptions!$B$7*F7</f>
        <v>0</v>
      </c>
      <c r="G125" s="45" t="n">
        <f aca="false">G121*G124*Assumptions!$B$7*G7</f>
        <v>0</v>
      </c>
      <c r="H125" s="45" t="n">
        <f aca="false">H121*H124*Assumptions!$B$7*H7</f>
        <v>0</v>
      </c>
      <c r="I125" s="45" t="n">
        <f aca="false">I121*I124*Assumptions!$B$7*I7</f>
        <v>0</v>
      </c>
      <c r="J125" s="45" t="n">
        <f aca="false">J121*J124*Assumptions!$B$7*J7</f>
        <v>0</v>
      </c>
      <c r="K125" s="45" t="n">
        <f aca="false">K121*K124*Assumptions!$B$7*K7</f>
        <v>0</v>
      </c>
      <c r="L125" s="45" t="n">
        <f aca="false">L121*L124*Assumptions!$B$7*L7</f>
        <v>0</v>
      </c>
      <c r="M125" s="45" t="n">
        <f aca="false">M121*M124*Assumptions!$B$7*M7</f>
        <v>0</v>
      </c>
      <c r="N125" s="45" t="n">
        <f aca="false">N121*N124*Assumptions!$B$7*N7</f>
        <v>0</v>
      </c>
      <c r="O125" s="45" t="n">
        <f aca="false">O121*O124*Assumptions!$B$7*O7</f>
        <v>3033.82934797018</v>
      </c>
      <c r="P125" s="45" t="n">
        <f aca="false">P121*P124*Assumptions!$B$7*P7</f>
        <v>3128.87120618319</v>
      </c>
      <c r="Q125" s="45" t="n">
        <f aca="false">Q121*Q124*Assumptions!$B$7*Q7</f>
        <v>3534.65779689229</v>
      </c>
      <c r="R125" s="45" t="n">
        <f aca="false">R121*R124*Assumptions!$B$7*R7</f>
        <v>3949.88836992553</v>
      </c>
      <c r="S125" s="45" t="n">
        <f aca="false">S121*S124*Assumptions!$B$7*S7</f>
        <v>4664.9212857414</v>
      </c>
      <c r="T125" s="45" t="n">
        <f aca="false">T121*T124*Assumptions!$B$7*T7</f>
        <v>5389.94682498909</v>
      </c>
      <c r="U125" s="45" t="n">
        <f aca="false">U121*U124*Assumptions!$B$7*U7</f>
        <v>5936.50217002964</v>
      </c>
      <c r="V125" s="45" t="n">
        <f aca="false">V121*V124*Assumptions!$B$7*V7</f>
        <v>7041.36422398322</v>
      </c>
      <c r="W125" s="45" t="n">
        <f aca="false">W121*W124*Assumptions!$B$7*W7</f>
        <v>10511.6758511692</v>
      </c>
      <c r="X125" s="45" t="n">
        <f aca="false">X121*X124*Assumptions!$B$7*X7</f>
        <v>13221.1230670762</v>
      </c>
      <c r="Y125" s="45" t="n">
        <f aca="false">Y121*Y124*Assumptions!$B$7*Y7</f>
        <v>16485.7895027452</v>
      </c>
      <c r="Z125" s="45" t="n">
        <f aca="false">Z121*Z124*Assumptions!$B$7*Z7</f>
        <v>22281.1854925945</v>
      </c>
      <c r="AA125" s="45" t="n">
        <f aca="false">AA121*AA124*Assumptions!$B$7*AA7</f>
        <v>2025598.24234919</v>
      </c>
      <c r="AB125" s="45" t="n">
        <f aca="false">AB121*AB124*Assumptions!$B$7*AB7</f>
        <v>4778143.00520629</v>
      </c>
      <c r="AC125" s="45" t="n">
        <f aca="false">AC121*AC124*Assumptions!$B$7*AC7</f>
        <v>9148600.66889446</v>
      </c>
      <c r="AD125" s="45" t="n">
        <f aca="false">AD121*AD124*Assumptions!$B$7*AD7</f>
        <v>15576246.7245397</v>
      </c>
      <c r="AE125" s="45" t="n">
        <f aca="false">AE121*AE124*Assumptions!$B$7*AE7</f>
        <v>24740141.2859606</v>
      </c>
    </row>
    <row r="126" customFormat="false" ht="15" hidden="false" customHeight="false" outlineLevel="0" collapsed="false">
      <c r="A126" s="6" t="s">
        <v>471</v>
      </c>
      <c r="B126" s="23" t="s">
        <v>114</v>
      </c>
      <c r="C126" s="55" t="n">
        <f aca="false">C125/Assumptions!$B$7</f>
        <v>0</v>
      </c>
      <c r="D126" s="55" t="n">
        <f aca="false">D125/Assumptions!$B$7</f>
        <v>0</v>
      </c>
      <c r="E126" s="55" t="n">
        <f aca="false">E125/Assumptions!$B$7</f>
        <v>0</v>
      </c>
      <c r="F126" s="55" t="n">
        <f aca="false">F125/Assumptions!$B$7</f>
        <v>0</v>
      </c>
      <c r="G126" s="55" t="n">
        <f aca="false">G125/Assumptions!$B$7</f>
        <v>0</v>
      </c>
      <c r="H126" s="55" t="n">
        <f aca="false">H125/Assumptions!$B$7</f>
        <v>0</v>
      </c>
      <c r="I126" s="55" t="n">
        <f aca="false">I125/Assumptions!$B$7</f>
        <v>0</v>
      </c>
      <c r="J126" s="55" t="n">
        <f aca="false">J125/Assumptions!$B$7</f>
        <v>0</v>
      </c>
      <c r="K126" s="55" t="n">
        <f aca="false">K125/Assumptions!$B$7</f>
        <v>0</v>
      </c>
      <c r="L126" s="55" t="n">
        <f aca="false">L125/Assumptions!$B$7</f>
        <v>0</v>
      </c>
      <c r="M126" s="55" t="n">
        <f aca="false">M125/Assumptions!$B$7</f>
        <v>0</v>
      </c>
      <c r="N126" s="55" t="n">
        <f aca="false">N125/Assumptions!$B$7</f>
        <v>0</v>
      </c>
      <c r="O126" s="55" t="n">
        <f aca="false">O125/Assumptions!$B$7</f>
        <v>826.093763912915</v>
      </c>
      <c r="P126" s="55" t="n">
        <f aca="false">P125/Assumptions!$B$7</f>
        <v>851.973099028779</v>
      </c>
      <c r="Q126" s="55" t="n">
        <f aca="false">Q125/Assumptions!$B$7</f>
        <v>962.466384449908</v>
      </c>
      <c r="R126" s="55" t="n">
        <f aca="false">R125/Assumptions!$B$7</f>
        <v>1075.5312103269</v>
      </c>
      <c r="S126" s="55" t="n">
        <f aca="false">S125/Assumptions!$B$7</f>
        <v>1270.23043859534</v>
      </c>
      <c r="T126" s="55" t="n">
        <f aca="false">T125/Assumptions!$B$7</f>
        <v>1467.650599044</v>
      </c>
      <c r="U126" s="55" t="n">
        <f aca="false">U125/Assumptions!$B$7</f>
        <v>1616.47438258125</v>
      </c>
      <c r="V126" s="55" t="n">
        <f aca="false">V125/Assumptions!$B$7</f>
        <v>1917.32177644199</v>
      </c>
      <c r="W126" s="55" t="n">
        <f aca="false">W125/Assumptions!$B$7</f>
        <v>2862.26707996439</v>
      </c>
      <c r="X126" s="55" t="n">
        <f aca="false">X125/Assumptions!$B$7</f>
        <v>3600.03351043599</v>
      </c>
      <c r="Y126" s="55" t="n">
        <f aca="false">Y125/Assumptions!$B$7</f>
        <v>4488.9828462206</v>
      </c>
      <c r="Z126" s="55" t="n">
        <f aca="false">Z125/Assumptions!$B$7</f>
        <v>6067.03485162547</v>
      </c>
      <c r="AA126" s="55" t="n">
        <f aca="false">AA125/Assumptions!$B$7</f>
        <v>551558.404996376</v>
      </c>
      <c r="AB126" s="55" t="n">
        <f aca="false">AB125/Assumptions!$B$7</f>
        <v>1301060.04226175</v>
      </c>
      <c r="AC126" s="55" t="n">
        <f aca="false">AC125/Assumptions!$B$7</f>
        <v>2491109.78050224</v>
      </c>
      <c r="AD126" s="55" t="n">
        <f aca="false">AD125/Assumptions!$B$7</f>
        <v>4241319.73438793</v>
      </c>
      <c r="AE126" s="55" t="n">
        <f aca="false">AE125/Assumptions!$B$7</f>
        <v>6736593.95124863</v>
      </c>
    </row>
    <row r="127" customFormat="false" ht="15" hidden="false" customHeight="false" outlineLevel="0" collapsed="false">
      <c r="A127" s="6" t="s">
        <v>473</v>
      </c>
      <c r="B127" s="23" t="s">
        <v>472</v>
      </c>
      <c r="C127" s="45" t="n">
        <f aca="false">IF(Assumptions!$B$144=0,0,C122*Assumptions!$B$156*Assumptions!$B$7/Assumptions!$B$144)</f>
        <v>6.87105000513136</v>
      </c>
      <c r="D127" s="45" t="n">
        <f aca="false">IF(Assumptions!$B$144=0,0,D122*Assumptions!$B$156*Assumptions!$B$7/Assumptions!$B$144)</f>
        <v>10.4496858244368</v>
      </c>
      <c r="E127" s="45" t="n">
        <f aca="false">IF(Assumptions!$B$144=0,0,E122*Assumptions!$B$156*Assumptions!$B$7/Assumptions!$B$144)</f>
        <v>14.1071608739279</v>
      </c>
      <c r="F127" s="45" t="n">
        <f aca="false">IF(Assumptions!$B$144=0,0,F122*Assumptions!$B$156*Assumptions!$B$7/Assumptions!$B$144)</f>
        <v>17.0711489517926</v>
      </c>
      <c r="G127" s="45" t="n">
        <f aca="false">IF(Assumptions!$B$144=0,0,G122*Assumptions!$B$156*Assumptions!$B$7/Assumptions!$B$144)</f>
        <v>20.6430810775009</v>
      </c>
      <c r="H127" s="45" t="n">
        <f aca="false">IF(Assumptions!$B$144=0,0,H122*Assumptions!$B$156*Assumptions!$B$7/Assumptions!$B$144)</f>
        <v>24.7742268153896</v>
      </c>
      <c r="I127" s="45" t="n">
        <f aca="false">IF(Assumptions!$B$144=0,0,I122*Assumptions!$B$156*Assumptions!$B$7/Assumptions!$B$144)</f>
        <v>28.9219073951604</v>
      </c>
      <c r="J127" s="45" t="n">
        <f aca="false">IF(Assumptions!$B$144=0,0,J122*Assumptions!$B$156*Assumptions!$B$7/Assumptions!$B$144)</f>
        <v>32.9946858747088</v>
      </c>
      <c r="K127" s="45" t="n">
        <f aca="false">IF(Assumptions!$B$144=0,0,K122*Assumptions!$B$156*Assumptions!$B$7/Assumptions!$B$144)</f>
        <v>36.6811805323803</v>
      </c>
      <c r="L127" s="45" t="n">
        <f aca="false">IF(Assumptions!$B$144=0,0,L122*Assumptions!$B$156*Assumptions!$B$7/Assumptions!$B$144)</f>
        <v>39.0572314496662</v>
      </c>
      <c r="M127" s="45" t="n">
        <f aca="false">IF(Assumptions!$B$144=0,0,M122*Assumptions!$B$156*Assumptions!$B$7/Assumptions!$B$144)</f>
        <v>42.1632742812312</v>
      </c>
      <c r="N127" s="45" t="n">
        <f aca="false">IF(Assumptions!$B$144=0,0,N122*Assumptions!$B$156*Assumptions!$B$7/Assumptions!$B$144)</f>
        <v>45.9885882608158</v>
      </c>
      <c r="O127" s="45" t="n">
        <f aca="false">IF(Assumptions!$B$144=0,0,O122*Assumptions!$B$156*Assumptions!$B$7/Assumptions!$B$144)</f>
        <v>44.4140840093172</v>
      </c>
      <c r="P127" s="45" t="n">
        <f aca="false">IF(Assumptions!$B$144=0,0,P122*Assumptions!$B$156*Assumptions!$B$7/Assumptions!$B$144)</f>
        <v>42.9738324337564</v>
      </c>
      <c r="Q127" s="45" t="n">
        <f aca="false">IF(Assumptions!$B$144=0,0,Q122*Assumptions!$B$156*Assumptions!$B$7/Assumptions!$B$144)</f>
        <v>43.3814059091356</v>
      </c>
      <c r="R127" s="45" t="n">
        <f aca="false">IF(Assumptions!$B$144=0,0,R122*Assumptions!$B$156*Assumptions!$B$7/Assumptions!$B$144)</f>
        <v>43.124577041707</v>
      </c>
      <c r="S127" s="45" t="n">
        <f aca="false">IF(Assumptions!$B$144=0,0,S122*Assumptions!$B$156*Assumptions!$B$7/Assumptions!$B$144)</f>
        <v>44.5382055240283</v>
      </c>
      <c r="T127" s="45" t="n">
        <f aca="false">IF(Assumptions!$B$144=0,0,T122*Assumptions!$B$156*Assumptions!$B$7/Assumptions!$B$144)</f>
        <v>47.3281766898481</v>
      </c>
      <c r="U127" s="45" t="n">
        <f aca="false">IF(Assumptions!$B$144=0,0,U122*Assumptions!$B$156*Assumptions!$B$7/Assumptions!$B$144)</f>
        <v>50.4257366831757</v>
      </c>
      <c r="V127" s="45" t="n">
        <f aca="false">IF(Assumptions!$B$144=0,0,V122*Assumptions!$B$156*Assumptions!$B$7/Assumptions!$B$144)</f>
        <v>53.597550720871</v>
      </c>
      <c r="W127" s="45" t="n">
        <f aca="false">IF(Assumptions!$B$144=0,0,W122*Assumptions!$B$156*Assumptions!$B$7/Assumptions!$B$144)</f>
        <v>56.3484221161574</v>
      </c>
      <c r="X127" s="45" t="n">
        <f aca="false">IF(Assumptions!$B$144=0,0,X122*Assumptions!$B$156*Assumptions!$B$7/Assumptions!$B$144)</f>
        <v>57.3718625320499</v>
      </c>
      <c r="Y127" s="45" t="n">
        <f aca="false">IF(Assumptions!$B$144=0,0,Y122*Assumptions!$B$156*Assumptions!$B$7/Assumptions!$B$144)</f>
        <v>59.3909048355263</v>
      </c>
      <c r="Z127" s="45" t="n">
        <f aca="false">IF(Assumptions!$B$144=0,0,Z122*Assumptions!$B$156*Assumptions!$B$7/Assumptions!$B$144)</f>
        <v>62.4062125360779</v>
      </c>
      <c r="AA127" s="45" t="n">
        <f aca="false">IF(Assumptions!$B$144=0,0,AA122*Assumptions!$B$156*Assumptions!$B$7/Assumptions!$B$144)</f>
        <v>114.280459158235</v>
      </c>
      <c r="AB127" s="45" t="n">
        <f aca="false">IF(Assumptions!$B$144=0,0,AB122*Assumptions!$B$156*Assumptions!$B$7/Assumptions!$B$144)</f>
        <v>150.007342345688</v>
      </c>
      <c r="AC127" s="45" t="n">
        <f aca="false">IF(Assumptions!$B$144=0,0,AC122*Assumptions!$B$156*Assumptions!$B$7/Assumptions!$B$144)</f>
        <v>183.801916016806</v>
      </c>
      <c r="AD127" s="45" t="n">
        <f aca="false">IF(Assumptions!$B$144=0,0,AD122*Assumptions!$B$156*Assumptions!$B$7/Assumptions!$B$144)</f>
        <v>228.148635835513</v>
      </c>
      <c r="AE127" s="45" t="n">
        <f aca="false">IF(Assumptions!$B$144=0,0,AE122*Assumptions!$B$156*Assumptions!$B$7/Assumptions!$B$144)</f>
        <v>296.280023259332</v>
      </c>
    </row>
    <row r="128" customFormat="false" ht="15" hidden="false" customHeight="false" outlineLevel="0" collapsed="false">
      <c r="A128" s="6" t="s">
        <v>474</v>
      </c>
      <c r="B128" s="23" t="s">
        <v>475</v>
      </c>
      <c r="C128" s="45" t="n">
        <f aca="false">C121*Assumptions!$B$158*Assumptions!$B$144*C7/12*(1+Assumptions!$B$16)</f>
        <v>0</v>
      </c>
      <c r="D128" s="45" t="n">
        <f aca="false">D121*Assumptions!$B$158*Assumptions!$B$144*D7/12*(1+Assumptions!$B$16)</f>
        <v>0</v>
      </c>
      <c r="E128" s="45" t="n">
        <f aca="false">E121*Assumptions!$B$158*Assumptions!$B$144*E7/12*(1+Assumptions!$B$16)</f>
        <v>0</v>
      </c>
      <c r="F128" s="45" t="n">
        <f aca="false">F121*Assumptions!$B$158*Assumptions!$B$144*F7/12*(1+Assumptions!$B$16)</f>
        <v>0</v>
      </c>
      <c r="G128" s="45" t="n">
        <f aca="false">G121*Assumptions!$B$158*Assumptions!$B$144*G7/12*(1+Assumptions!$B$16)</f>
        <v>0</v>
      </c>
      <c r="H128" s="45" t="n">
        <f aca="false">H121*Assumptions!$B$158*Assumptions!$B$144*H7/12*(1+Assumptions!$B$16)</f>
        <v>0</v>
      </c>
      <c r="I128" s="45" t="n">
        <f aca="false">I121*Assumptions!$B$158*Assumptions!$B$144*I7/12*(1+Assumptions!$B$16)</f>
        <v>0</v>
      </c>
      <c r="J128" s="45" t="n">
        <f aca="false">J121*Assumptions!$B$158*Assumptions!$B$144*J7/12*(1+Assumptions!$B$16)</f>
        <v>0</v>
      </c>
      <c r="K128" s="45" t="n">
        <f aca="false">K121*Assumptions!$B$158*Assumptions!$B$144*K7/12*(1+Assumptions!$B$16)</f>
        <v>0</v>
      </c>
      <c r="L128" s="45" t="n">
        <f aca="false">L121*Assumptions!$B$158*Assumptions!$B$144*L7/12*(1+Assumptions!$B$16)</f>
        <v>0</v>
      </c>
      <c r="M128" s="45" t="n">
        <f aca="false">M121*Assumptions!$B$158*Assumptions!$B$144*M7/12*(1+Assumptions!$B$16)</f>
        <v>0</v>
      </c>
      <c r="N128" s="45" t="n">
        <f aca="false">N121*Assumptions!$B$158*Assumptions!$B$144*N7/12*(1+Assumptions!$B$16)</f>
        <v>0</v>
      </c>
      <c r="O128" s="45" t="n">
        <f aca="false">O121*Assumptions!$B$158*Assumptions!$B$144*O7/12*(1+Assumptions!$B$16)</f>
        <v>65.82390126875</v>
      </c>
      <c r="P128" s="45" t="n">
        <f aca="false">P121*Assumptions!$B$158*Assumptions!$B$144*P7/12*(1+Assumptions!$B$16)</f>
        <v>77.1772795378835</v>
      </c>
      <c r="Q128" s="45" t="n">
        <f aca="false">Q121*Assumptions!$B$158*Assumptions!$B$144*Q7/12*(1+Assumptions!$B$16)</f>
        <v>88.1299536147818</v>
      </c>
      <c r="R128" s="45" t="n">
        <f aca="false">R121*Assumptions!$B$158*Assumptions!$B$144*R7/12*(1+Assumptions!$B$16)</f>
        <v>99.0694525009795</v>
      </c>
      <c r="S128" s="45" t="n">
        <f aca="false">S121*Assumptions!$B$158*Assumptions!$B$144*S7/12*(1+Assumptions!$B$16)</f>
        <v>111.024153414043</v>
      </c>
      <c r="T128" s="45" t="n">
        <f aca="false">T121*Assumptions!$B$158*Assumptions!$B$144*T7/12*(1+Assumptions!$B$16)</f>
        <v>127.071151936653</v>
      </c>
      <c r="U128" s="45" t="n">
        <f aca="false">U121*Assumptions!$B$158*Assumptions!$B$144*U7/12*(1+Assumptions!$B$16)</f>
        <v>141.808274408299</v>
      </c>
      <c r="V128" s="45" t="n">
        <f aca="false">V121*Assumptions!$B$158*Assumptions!$B$144*V7/12*(1+Assumptions!$B$16)</f>
        <v>154.730247869657</v>
      </c>
      <c r="W128" s="45" t="n">
        <f aca="false">W121*Assumptions!$B$158*Assumptions!$B$144*W7/12*(1+Assumptions!$B$16)</f>
        <v>197.740699451536</v>
      </c>
      <c r="X128" s="45" t="n">
        <f aca="false">X121*Assumptions!$B$158*Assumptions!$B$144*X7/12*(1+Assumptions!$B$16)</f>
        <v>239.483221828399</v>
      </c>
      <c r="Y128" s="45" t="n">
        <f aca="false">Y121*Assumptions!$B$158*Assumptions!$B$144*Y7/12*(1+Assumptions!$B$16)</f>
        <v>280.224675274918</v>
      </c>
      <c r="Z128" s="45" t="n">
        <f aca="false">Z121*Assumptions!$B$158*Assumptions!$B$144*Z7/12*(1+Assumptions!$B$16)</f>
        <v>331.979664944813</v>
      </c>
      <c r="AA128" s="45" t="n">
        <f aca="false">AA121*Assumptions!$B$158*Assumptions!$B$144*AA7/12*(1+Assumptions!$B$16)</f>
        <v>18788.2876276965</v>
      </c>
      <c r="AB128" s="45" t="n">
        <f aca="false">AB121*Assumptions!$B$158*Assumptions!$B$144*AB7/12*(1+Assumptions!$B$16)</f>
        <v>33763.8911957182</v>
      </c>
      <c r="AC128" s="45" t="n">
        <f aca="false">AC121*Assumptions!$B$158*Assumptions!$B$144*AC7/12*(1+Assumptions!$B$16)</f>
        <v>52760.6943343367</v>
      </c>
      <c r="AD128" s="45" t="n">
        <f aca="false">AD121*Assumptions!$B$158*Assumptions!$B$144*AD7/12*(1+Assumptions!$B$16)</f>
        <v>72368.705898885</v>
      </c>
      <c r="AE128" s="45" t="n">
        <f aca="false">AE121*Assumptions!$B$158*Assumptions!$B$144*AE7/12*(1+Assumptions!$B$16)</f>
        <v>88512.7167016727</v>
      </c>
    </row>
    <row r="129" customFormat="false" ht="15" hidden="false" customHeight="false" outlineLevel="0" collapsed="false">
      <c r="A129" s="6" t="s">
        <v>476</v>
      </c>
      <c r="B129" s="23" t="s">
        <v>114</v>
      </c>
      <c r="C129" s="55" t="n">
        <f aca="false">C111*Assumptions!$B$8</f>
        <v>261.410028517254</v>
      </c>
      <c r="D129" s="55" t="n">
        <f aca="false">D111*Assumptions!$B$8</f>
        <v>496.819524561609</v>
      </c>
      <c r="E129" s="55" t="n">
        <f aca="false">E111*Assumptions!$B$8</f>
        <v>710.127216030597</v>
      </c>
      <c r="F129" s="55" t="n">
        <f aca="false">F111*Assumptions!$B$8</f>
        <v>972.045064410703</v>
      </c>
      <c r="G129" s="55" t="n">
        <f aca="false">G111*Assumptions!$B$8</f>
        <v>1192.44353785046</v>
      </c>
      <c r="H129" s="55" t="n">
        <f aca="false">H111*Assumptions!$B$8</f>
        <v>1360.62230325932</v>
      </c>
      <c r="I129" s="55" t="n">
        <f aca="false">I111*Assumptions!$B$8</f>
        <v>1512.64672243034</v>
      </c>
      <c r="J129" s="55" t="n">
        <f aca="false">J111*Assumptions!$B$8</f>
        <v>1657.02047517508</v>
      </c>
      <c r="K129" s="55" t="n">
        <f aca="false">K111*Assumptions!$B$8</f>
        <v>1814.59803835725</v>
      </c>
      <c r="L129" s="55" t="n">
        <f aca="false">L111*Assumptions!$B$8</f>
        <v>2046.02564462254</v>
      </c>
      <c r="M129" s="55" t="n">
        <f aca="false">M111*Assumptions!$B$8</f>
        <v>2240.11667437198</v>
      </c>
      <c r="N129" s="55" t="n">
        <f aca="false">N111*Assumptions!$B$8</f>
        <v>2388.62189806708</v>
      </c>
      <c r="O129" s="55" t="n">
        <f aca="false">O111*Assumptions!$B$8</f>
        <v>3129.19593910045</v>
      </c>
      <c r="P129" s="55" t="n">
        <f aca="false">P111*Assumptions!$B$8</f>
        <v>3808.524819206</v>
      </c>
      <c r="Q129" s="55" t="n">
        <f aca="false">Q111*Assumptions!$B$8</f>
        <v>4434.90017679927</v>
      </c>
      <c r="R129" s="55" t="n">
        <f aca="false">R111*Assumptions!$B$8</f>
        <v>5250.19591436024</v>
      </c>
      <c r="S129" s="55" t="n">
        <f aca="false">S111*Assumptions!$B$8</f>
        <v>5946.55977706342</v>
      </c>
      <c r="T129" s="55" t="n">
        <f aca="false">T111*Assumptions!$B$8</f>
        <v>6476.11057377403</v>
      </c>
      <c r="U129" s="55" t="n">
        <f aca="false">U111*Assumptions!$B$8</f>
        <v>6961.31584471678</v>
      </c>
      <c r="V129" s="55" t="n">
        <f aca="false">V111*Assumptions!$B$8</f>
        <v>7431.11812491964</v>
      </c>
      <c r="W129" s="55" t="n">
        <f aca="false">W111*Assumptions!$B$8</f>
        <v>7962.52253529796</v>
      </c>
      <c r="X129" s="55" t="n">
        <f aca="false">X111*Assumptions!$B$8</f>
        <v>8787.91223082874</v>
      </c>
      <c r="Y129" s="55" t="n">
        <f aca="false">Y111*Assumptions!$B$8</f>
        <v>9495.14127334868</v>
      </c>
      <c r="Z129" s="55" t="n">
        <f aca="false">Z111*Assumptions!$B$8</f>
        <v>10043.3290325551</v>
      </c>
      <c r="AA129" s="55" t="n">
        <f aca="false">AA111*Assumptions!$B$8</f>
        <v>220894.200304195</v>
      </c>
      <c r="AB129" s="55" t="n">
        <f aca="false">AB111*Assumptions!$B$8</f>
        <v>348278.644530836</v>
      </c>
      <c r="AC129" s="55" t="n">
        <f aca="false">AC111*Assumptions!$B$8</f>
        <v>479236.140010779</v>
      </c>
      <c r="AD129" s="55" t="n">
        <f aca="false">AD111*Assumptions!$B$8</f>
        <v>560518.751668915</v>
      </c>
      <c r="AE129" s="55" t="n">
        <f aca="false">AE111*Assumptions!$B$8</f>
        <v>552766.217794465</v>
      </c>
    </row>
    <row r="130" customFormat="false" ht="15" hidden="false" customHeight="false" outlineLevel="0" collapsed="false">
      <c r="A130" s="6" t="s">
        <v>477</v>
      </c>
      <c r="B130" s="23" t="s">
        <v>114</v>
      </c>
      <c r="C130" s="55" t="n">
        <f aca="false">C112*Assumptions!$B$8</f>
        <v>17.2821074408629</v>
      </c>
      <c r="D130" s="55" t="n">
        <f aca="false">D112*Assumptions!$B$8</f>
        <v>32.8452907904619</v>
      </c>
      <c r="E130" s="55" t="n">
        <f aca="false">E112*Assumptions!$B$8</f>
        <v>46.9472992820228</v>
      </c>
      <c r="F130" s="55" t="n">
        <f aca="false">F112*Assumptions!$B$8</f>
        <v>64.2629792582631</v>
      </c>
      <c r="G130" s="55" t="n">
        <f aca="false">G112*Assumptions!$B$8</f>
        <v>78.8337672245581</v>
      </c>
      <c r="H130" s="55" t="n">
        <f aca="false">H112*Assumptions!$B$8</f>
        <v>89.9522522710329</v>
      </c>
      <c r="I130" s="55" t="n">
        <f aca="false">I112*Assumptions!$B$8</f>
        <v>100.00275553845</v>
      </c>
      <c r="J130" s="55" t="n">
        <f aca="false">J112*Assumptions!$B$8</f>
        <v>109.547464747686</v>
      </c>
      <c r="K130" s="55" t="n">
        <f aca="false">K112*Assumptions!$B$8</f>
        <v>119.965092535841</v>
      </c>
      <c r="L130" s="55" t="n">
        <f aca="false">L112*Assumptions!$B$8</f>
        <v>135.265028727824</v>
      </c>
      <c r="M130" s="55" t="n">
        <f aca="false">M112*Assumptions!$B$8</f>
        <v>148.096602361259</v>
      </c>
      <c r="N130" s="55" t="n">
        <f aca="false">N112*Assumptions!$B$8</f>
        <v>157.914447705546</v>
      </c>
      <c r="O130" s="55" t="n">
        <f aca="false">O112*Assumptions!$B$8</f>
        <v>206.874620418308</v>
      </c>
      <c r="P130" s="55" t="n">
        <f aca="false">P112*Assumptions!$B$8</f>
        <v>251.785807491952</v>
      </c>
      <c r="Q130" s="55" t="n">
        <f aca="false">Q112*Assumptions!$B$8</f>
        <v>293.196178355063</v>
      </c>
      <c r="R130" s="55" t="n">
        <f aca="false">R112*Assumptions!$B$8</f>
        <v>347.096285449371</v>
      </c>
      <c r="S130" s="55" t="n">
        <f aca="false">S112*Assumptions!$B$8</f>
        <v>393.133674150304</v>
      </c>
      <c r="T130" s="55" t="n">
        <f aca="false">T112*Assumptions!$B$8</f>
        <v>428.142865710616</v>
      </c>
      <c r="U130" s="55" t="n">
        <f aca="false">U112*Assumptions!$B$8</f>
        <v>460.22032528961</v>
      </c>
      <c r="V130" s="55" t="n">
        <f aca="false">V112*Assumptions!$B$8</f>
        <v>491.279476036354</v>
      </c>
      <c r="W130" s="55" t="n">
        <f aca="false">W112*Assumptions!$B$8</f>
        <v>526.411212055809</v>
      </c>
      <c r="X130" s="55" t="n">
        <f aca="false">X112*Assumptions!$B$8</f>
        <v>580.978641927011</v>
      </c>
      <c r="Y130" s="55" t="n">
        <f aca="false">Y112*Assumptions!$B$8</f>
        <v>627.734339738051</v>
      </c>
      <c r="Z130" s="55" t="n">
        <f aca="false">Z112*Assumptions!$B$8</f>
        <v>663.975641596699</v>
      </c>
      <c r="AA130" s="55" t="n">
        <f aca="false">AA112*Assumptions!$B$8</f>
        <v>14603.5610201106</v>
      </c>
      <c r="AB130" s="55" t="n">
        <f aca="false">AB112*Assumptions!$B$8</f>
        <v>23025.0881662053</v>
      </c>
      <c r="AC130" s="55" t="n">
        <f aca="false">AC112*Assumptions!$B$8</f>
        <v>31682.8337007126</v>
      </c>
      <c r="AD130" s="55" t="n">
        <f aca="false">AD112*Assumptions!$B$8</f>
        <v>37056.5174714449</v>
      </c>
      <c r="AE130" s="55" t="n">
        <f aca="false">AE112*Assumptions!$B$8</f>
        <v>36543.9888430785</v>
      </c>
    </row>
    <row r="131" customFormat="false" ht="15" hidden="false" customHeight="false" outlineLevel="0" collapsed="false">
      <c r="A131" s="6" t="s">
        <v>478</v>
      </c>
      <c r="B131" s="23" t="s">
        <v>114</v>
      </c>
      <c r="C131" s="55" t="n">
        <f aca="false">C126*IF(Assumptions!$B$174=1,MIN(Assumptions!$B$14,1%),Assumptions!$B$14)*(1-Assumptions!$B$142)</f>
        <v>0</v>
      </c>
      <c r="D131" s="55" t="n">
        <f aca="false">D126*IF(Assumptions!$B$174=1,MIN(Assumptions!$B$14,1%),Assumptions!$B$14)*(1-Assumptions!$B$142)</f>
        <v>0</v>
      </c>
      <c r="E131" s="55" t="n">
        <f aca="false">E126*IF(Assumptions!$B$174=1,MIN(Assumptions!$B$14,1%),Assumptions!$B$14)*(1-Assumptions!$B$142)</f>
        <v>0</v>
      </c>
      <c r="F131" s="55" t="n">
        <f aca="false">F126*IF(Assumptions!$B$174=1,MIN(Assumptions!$B$14,1%),Assumptions!$B$14)*(1-Assumptions!$B$142)</f>
        <v>0</v>
      </c>
      <c r="G131" s="55" t="n">
        <f aca="false">G126*IF(Assumptions!$B$174=1,MIN(Assumptions!$B$14,1%),Assumptions!$B$14)*(1-Assumptions!$B$142)</f>
        <v>0</v>
      </c>
      <c r="H131" s="55" t="n">
        <f aca="false">H126*IF(Assumptions!$B$174=1,MIN(Assumptions!$B$14,1%),Assumptions!$B$14)*(1-Assumptions!$B$142)</f>
        <v>0</v>
      </c>
      <c r="I131" s="55" t="n">
        <f aca="false">I126*IF(Assumptions!$B$174=1,MIN(Assumptions!$B$14,1%),Assumptions!$B$14)*(1-Assumptions!$B$142)</f>
        <v>0</v>
      </c>
      <c r="J131" s="55" t="n">
        <f aca="false">J126*IF(Assumptions!$B$174=1,MIN(Assumptions!$B$14,1%),Assumptions!$B$14)*(1-Assumptions!$B$142)</f>
        <v>0</v>
      </c>
      <c r="K131" s="55" t="n">
        <f aca="false">K126*IF(Assumptions!$B$174=1,MIN(Assumptions!$B$14,1%),Assumptions!$B$14)*(1-Assumptions!$B$142)</f>
        <v>0</v>
      </c>
      <c r="L131" s="55" t="n">
        <f aca="false">L126*IF(Assumptions!$B$174=1,MIN(Assumptions!$B$14,1%),Assumptions!$B$14)*(1-Assumptions!$B$142)</f>
        <v>0</v>
      </c>
      <c r="M131" s="55" t="n">
        <f aca="false">M126*IF(Assumptions!$B$174=1,MIN(Assumptions!$B$14,1%),Assumptions!$B$14)*(1-Assumptions!$B$142)</f>
        <v>0</v>
      </c>
      <c r="N131" s="55" t="n">
        <f aca="false">N126*IF(Assumptions!$B$174=1,MIN(Assumptions!$B$14,1%),Assumptions!$B$14)*(1-Assumptions!$B$142)</f>
        <v>0</v>
      </c>
      <c r="O131" s="55" t="n">
        <f aca="false">O126*IF(Assumptions!$B$174=1,MIN(Assumptions!$B$14,1%),Assumptions!$B$14)*(1-Assumptions!$B$142)</f>
        <v>4.16351257012109</v>
      </c>
      <c r="P131" s="55" t="n">
        <f aca="false">P126*IF(Assumptions!$B$174=1,MIN(Assumptions!$B$14,1%),Assumptions!$B$14)*(1-Assumptions!$B$142)</f>
        <v>4.29394441910505</v>
      </c>
      <c r="Q131" s="55" t="n">
        <f aca="false">Q126*IF(Assumptions!$B$174=1,MIN(Assumptions!$B$14,1%),Assumptions!$B$14)*(1-Assumptions!$B$142)</f>
        <v>4.85083057762754</v>
      </c>
      <c r="R131" s="55" t="n">
        <f aca="false">R126*IF(Assumptions!$B$174=1,MIN(Assumptions!$B$14,1%),Assumptions!$B$14)*(1-Assumptions!$B$142)</f>
        <v>5.42067730004756</v>
      </c>
      <c r="S131" s="55" t="n">
        <f aca="false">S126*IF(Assumptions!$B$174=1,MIN(Assumptions!$B$14,1%),Assumptions!$B$14)*(1-Assumptions!$B$142)</f>
        <v>6.40196141052053</v>
      </c>
      <c r="T131" s="55" t="n">
        <f aca="false">T126*IF(Assumptions!$B$174=1,MIN(Assumptions!$B$14,1%),Assumptions!$B$14)*(1-Assumptions!$B$142)</f>
        <v>7.39695901918176</v>
      </c>
      <c r="U131" s="55" t="n">
        <f aca="false">U126*IF(Assumptions!$B$174=1,MIN(Assumptions!$B$14,1%),Assumptions!$B$14)*(1-Assumptions!$B$142)</f>
        <v>8.14703088820949</v>
      </c>
      <c r="V131" s="55" t="n">
        <f aca="false">V126*IF(Assumptions!$B$174=1,MIN(Assumptions!$B$14,1%),Assumptions!$B$14)*(1-Assumptions!$B$142)</f>
        <v>9.66330175326764</v>
      </c>
      <c r="W131" s="55" t="n">
        <f aca="false">W126*IF(Assumptions!$B$174=1,MIN(Assumptions!$B$14,1%),Assumptions!$B$14)*(1-Assumptions!$B$142)</f>
        <v>14.4258260830205</v>
      </c>
      <c r="X131" s="55" t="n">
        <f aca="false">X126*IF(Assumptions!$B$174=1,MIN(Assumptions!$B$14,1%),Assumptions!$B$14)*(1-Assumptions!$B$142)</f>
        <v>18.1441688925974</v>
      </c>
      <c r="Y131" s="55" t="n">
        <f aca="false">Y126*IF(Assumptions!$B$174=1,MIN(Assumptions!$B$14,1%),Assumptions!$B$14)*(1-Assumptions!$B$142)</f>
        <v>22.6244735449518</v>
      </c>
      <c r="Z131" s="55" t="n">
        <f aca="false">Z126*IF(Assumptions!$B$174=1,MIN(Assumptions!$B$14,1%),Assumptions!$B$14)*(1-Assumptions!$B$142)</f>
        <v>30.5778556521924</v>
      </c>
      <c r="AA131" s="55" t="n">
        <f aca="false">AA126*IF(Assumptions!$B$174=1,MIN(Assumptions!$B$14,1%),Assumptions!$B$14)*(1-Assumptions!$B$142)</f>
        <v>2779.85436118174</v>
      </c>
      <c r="AB131" s="55" t="n">
        <f aca="false">AB126*IF(Assumptions!$B$174=1,MIN(Assumptions!$B$14,1%),Assumptions!$B$14)*(1-Assumptions!$B$142)</f>
        <v>6557.34261299924</v>
      </c>
      <c r="AC131" s="55" t="n">
        <f aca="false">AC126*IF(Assumptions!$B$174=1,MIN(Assumptions!$B$14,1%),Assumptions!$B$14)*(1-Assumptions!$B$142)</f>
        <v>12555.1932937313</v>
      </c>
      <c r="AD131" s="55" t="n">
        <f aca="false">AD126*IF(Assumptions!$B$174=1,MIN(Assumptions!$B$14,1%),Assumptions!$B$14)*(1-Assumptions!$B$142)</f>
        <v>21376.2514613152</v>
      </c>
      <c r="AE131" s="55" t="n">
        <f aca="false">AE126*IF(Assumptions!$B$174=1,MIN(Assumptions!$B$14,1%),Assumptions!$B$14)*(1-Assumptions!$B$142)</f>
        <v>33952.4335142931</v>
      </c>
    </row>
    <row r="132" customFormat="false" ht="15" hidden="false" customHeight="false" outlineLevel="0" collapsed="false">
      <c r="A132" s="6" t="s">
        <v>479</v>
      </c>
      <c r="B132" s="23" t="s">
        <v>114</v>
      </c>
      <c r="C132" s="55" t="n">
        <f aca="false">IF(C2&gt;=Assumptions!$B$50,C107*Assumptions!$B$159*Assumptions!$B$25/12*C7,0)</f>
        <v>0</v>
      </c>
      <c r="D132" s="55" t="n">
        <f aca="false">IF(D2&gt;=Assumptions!$B$50,D107*Assumptions!$B$159*Assumptions!$B$25/12*D7,0)</f>
        <v>0</v>
      </c>
      <c r="E132" s="55" t="n">
        <f aca="false">IF(E2&gt;=Assumptions!$B$50,E107*Assumptions!$B$159*Assumptions!$B$25/12*E7,0)</f>
        <v>0</v>
      </c>
      <c r="F132" s="55" t="n">
        <f aca="false">IF(F2&gt;=Assumptions!$B$50,F107*Assumptions!$B$159*Assumptions!$B$25/12*F7,0)</f>
        <v>0</v>
      </c>
      <c r="G132" s="55" t="n">
        <f aca="false">IF(G2&gt;=Assumptions!$B$50,G107*Assumptions!$B$159*Assumptions!$B$25/12*G7,0)</f>
        <v>0</v>
      </c>
      <c r="H132" s="55" t="n">
        <f aca="false">IF(H2&gt;=Assumptions!$B$50,H107*Assumptions!$B$159*Assumptions!$B$25/12*H7,0)</f>
        <v>0</v>
      </c>
      <c r="I132" s="55" t="n">
        <f aca="false">IF(I2&gt;=Assumptions!$B$50,I107*Assumptions!$B$159*Assumptions!$B$25/12*I7,0)</f>
        <v>2016.86229657379</v>
      </c>
      <c r="J132" s="55" t="n">
        <f aca="false">IF(J2&gt;=Assumptions!$B$50,J107*Assumptions!$B$159*Assumptions!$B$25/12*J7,0)</f>
        <v>2209.36063356677</v>
      </c>
      <c r="K132" s="55" t="n">
        <f aca="false">IF(K2&gt;=Assumptions!$B$50,K107*Assumptions!$B$159*Assumptions!$B$25/12*K7,0)</f>
        <v>2419.464051143</v>
      </c>
      <c r="L132" s="55" t="n">
        <f aca="false">IF(L2&gt;=Assumptions!$B$50,L107*Assumptions!$B$159*Assumptions!$B$25/12*L7,0)</f>
        <v>2728.03419283006</v>
      </c>
      <c r="M132" s="55" t="n">
        <f aca="false">IF(M2&gt;=Assumptions!$B$50,M107*Assumptions!$B$159*Assumptions!$B$25/12*M7,0)</f>
        <v>2986.82223249597</v>
      </c>
      <c r="N132" s="55" t="n">
        <f aca="false">IF(N2&gt;=Assumptions!$B$50,N107*Assumptions!$B$159*Assumptions!$B$25/12*N7,0)</f>
        <v>3184.82919742278</v>
      </c>
      <c r="O132" s="55" t="n">
        <f aca="false">IF(O2&gt;=Assumptions!$B$50,O107*Assumptions!$B$159*Assumptions!$B$25/12*O7,0)</f>
        <v>4172.26125213394</v>
      </c>
      <c r="P132" s="55" t="n">
        <f aca="false">IF(P2&gt;=Assumptions!$B$50,P107*Assumptions!$B$159*Assumptions!$B$25/12*P7,0)</f>
        <v>5078.03309227466</v>
      </c>
      <c r="Q132" s="55" t="n">
        <f aca="false">IF(Q2&gt;=Assumptions!$B$50,Q107*Assumptions!$B$159*Assumptions!$B$25/12*Q7,0)</f>
        <v>5913.20023573236</v>
      </c>
      <c r="R132" s="55" t="n">
        <f aca="false">IF(R2&gt;=Assumptions!$B$50,R107*Assumptions!$B$159*Assumptions!$B$25/12*R7,0)</f>
        <v>7000.26121914698</v>
      </c>
      <c r="S132" s="55" t="n">
        <f aca="false">IF(S2&gt;=Assumptions!$B$50,S107*Assumptions!$B$159*Assumptions!$B$25/12*S7,0)</f>
        <v>7928.74636941789</v>
      </c>
      <c r="T132" s="55" t="n">
        <f aca="false">IF(T2&gt;=Assumptions!$B$50,T107*Assumptions!$B$159*Assumptions!$B$25/12*T7,0)</f>
        <v>8634.81409836537</v>
      </c>
      <c r="U132" s="55" t="n">
        <f aca="false">IF(U2&gt;=Assumptions!$B$50,U107*Assumptions!$B$159*Assumptions!$B$25/12*U7,0)</f>
        <v>9281.75445962238</v>
      </c>
      <c r="V132" s="55" t="n">
        <f aca="false">IF(V2&gt;=Assumptions!$B$50,V107*Assumptions!$B$159*Assumptions!$B$25/12*V7,0)</f>
        <v>9908.15749989285</v>
      </c>
      <c r="W132" s="55" t="n">
        <f aca="false">IF(W2&gt;=Assumptions!$B$50,W107*Assumptions!$B$159*Assumptions!$B$25/12*W7,0)</f>
        <v>10616.6967137306</v>
      </c>
      <c r="X132" s="55" t="n">
        <f aca="false">IF(X2&gt;=Assumptions!$B$50,X107*Assumptions!$B$159*Assumptions!$B$25/12*X7,0)</f>
        <v>11717.2163077717</v>
      </c>
      <c r="Y132" s="55" t="n">
        <f aca="false">IF(Y2&gt;=Assumptions!$B$50,Y107*Assumptions!$B$159*Assumptions!$B$25/12*Y7,0)</f>
        <v>12660.1883644649</v>
      </c>
      <c r="Z132" s="55" t="n">
        <f aca="false">IF(Z2&gt;=Assumptions!$B$50,Z107*Assumptions!$B$159*Assumptions!$B$25/12*Z7,0)</f>
        <v>13391.1053767401</v>
      </c>
      <c r="AA132" s="55" t="n">
        <f aca="false">IF(AA2&gt;=Assumptions!$B$50,AA107*Assumptions!$B$159*Assumptions!$B$25/12*AA7,0)</f>
        <v>294525.600405593</v>
      </c>
      <c r="AB132" s="55" t="n">
        <f aca="false">IF(AB2&gt;=Assumptions!$B$50,AB107*Assumptions!$B$159*Assumptions!$B$25/12*AB7,0)</f>
        <v>464371.526041115</v>
      </c>
      <c r="AC132" s="55" t="n">
        <f aca="false">IF(AC2&gt;=Assumptions!$B$50,AC107*Assumptions!$B$159*Assumptions!$B$25/12*AC7,0)</f>
        <v>638981.520014372</v>
      </c>
      <c r="AD132" s="55" t="n">
        <f aca="false">IF(AD2&gt;=Assumptions!$B$50,AD107*Assumptions!$B$159*Assumptions!$B$25/12*AD7,0)</f>
        <v>747358.335558553</v>
      </c>
      <c r="AE132" s="55" t="n">
        <f aca="false">IF(AE2&gt;=Assumptions!$B$50,AE107*Assumptions!$B$159*Assumptions!$B$25/12*AE7,0)</f>
        <v>737021.623725953</v>
      </c>
    </row>
    <row r="133" customFormat="false" ht="15" hidden="false" customHeight="false" outlineLevel="0" collapsed="false">
      <c r="A133" s="6" t="s">
        <v>480</v>
      </c>
      <c r="B133" s="23" t="s">
        <v>114</v>
      </c>
      <c r="C133" s="55" t="n">
        <f aca="false">IF(C2&gt;=Assumptions!$B$52,C126*C17*Assumptions!$B$17+C121*(Assumptions!$B$148*MAX(0,Assumptions!$B$152-Assumptions!$B$18)+Assumptions!$B$149*MAX(0,Assumptions!$B$153-Assumptions!$B$18)+Assumptions!$B$150*MAX(0,Assumptions!$B$154-Assumptions!$B$18)+Assumptions!$B$151*MAX(0,Assumptions!$B$155-Assumptions!$B$18))*Assumptions!$B$19/Assumptions!$B$7*C7+C121*(Assumptions!$B$146*Assumptions!$B$20+Assumptions!$B$147*Assumptions!$B$21)/12/Assumptions!$B$7*C7,0)</f>
        <v>0</v>
      </c>
      <c r="D133" s="55" t="n">
        <f aca="false">IF(D2&gt;=Assumptions!$B$52,D126*D17*Assumptions!$B$17+D121*(Assumptions!$B$148*MAX(0,Assumptions!$B$152-Assumptions!$B$18)+Assumptions!$B$149*MAX(0,Assumptions!$B$153-Assumptions!$B$18)+Assumptions!$B$150*MAX(0,Assumptions!$B$154-Assumptions!$B$18)+Assumptions!$B$151*MAX(0,Assumptions!$B$155-Assumptions!$B$18))*Assumptions!$B$19/Assumptions!$B$7*D7+D121*(Assumptions!$B$146*Assumptions!$B$20+Assumptions!$B$147*Assumptions!$B$21)/12/Assumptions!$B$7*D7,0)</f>
        <v>0</v>
      </c>
      <c r="E133" s="55" t="n">
        <f aca="false">IF(E2&gt;=Assumptions!$B$52,E126*E17*Assumptions!$B$17+E121*(Assumptions!$B$148*MAX(0,Assumptions!$B$152-Assumptions!$B$18)+Assumptions!$B$149*MAX(0,Assumptions!$B$153-Assumptions!$B$18)+Assumptions!$B$150*MAX(0,Assumptions!$B$154-Assumptions!$B$18)+Assumptions!$B$151*MAX(0,Assumptions!$B$155-Assumptions!$B$18))*Assumptions!$B$19/Assumptions!$B$7*E7+E121*(Assumptions!$B$146*Assumptions!$B$20+Assumptions!$B$147*Assumptions!$B$21)/12/Assumptions!$B$7*E7,0)</f>
        <v>0</v>
      </c>
      <c r="F133" s="55" t="n">
        <f aca="false">IF(F2&gt;=Assumptions!$B$52,F126*F17*Assumptions!$B$17+F121*(Assumptions!$B$148*MAX(0,Assumptions!$B$152-Assumptions!$B$18)+Assumptions!$B$149*MAX(0,Assumptions!$B$153-Assumptions!$B$18)+Assumptions!$B$150*MAX(0,Assumptions!$B$154-Assumptions!$B$18)+Assumptions!$B$151*MAX(0,Assumptions!$B$155-Assumptions!$B$18))*Assumptions!$B$19/Assumptions!$B$7*F7+F121*(Assumptions!$B$146*Assumptions!$B$20+Assumptions!$B$147*Assumptions!$B$21)/12/Assumptions!$B$7*F7,0)</f>
        <v>0</v>
      </c>
      <c r="G133" s="55" t="n">
        <f aca="false">IF(G2&gt;=Assumptions!$B$52,G126*G17*Assumptions!$B$17+G121*(Assumptions!$B$148*MAX(0,Assumptions!$B$152-Assumptions!$B$18)+Assumptions!$B$149*MAX(0,Assumptions!$B$153-Assumptions!$B$18)+Assumptions!$B$150*MAX(0,Assumptions!$B$154-Assumptions!$B$18)+Assumptions!$B$151*MAX(0,Assumptions!$B$155-Assumptions!$B$18))*Assumptions!$B$19/Assumptions!$B$7*G7+G121*(Assumptions!$B$146*Assumptions!$B$20+Assumptions!$B$147*Assumptions!$B$21)/12/Assumptions!$B$7*G7,0)</f>
        <v>0</v>
      </c>
      <c r="H133" s="55" t="n">
        <f aca="false">IF(H2&gt;=Assumptions!$B$52,H126*H17*Assumptions!$B$17+H121*(Assumptions!$B$148*MAX(0,Assumptions!$B$152-Assumptions!$B$18)+Assumptions!$B$149*MAX(0,Assumptions!$B$153-Assumptions!$B$18)+Assumptions!$B$150*MAX(0,Assumptions!$B$154-Assumptions!$B$18)+Assumptions!$B$151*MAX(0,Assumptions!$B$155-Assumptions!$B$18))*Assumptions!$B$19/Assumptions!$B$7*H7+H121*(Assumptions!$B$146*Assumptions!$B$20+Assumptions!$B$147*Assumptions!$B$21)/12/Assumptions!$B$7*H7,0)</f>
        <v>0</v>
      </c>
      <c r="I133" s="55" t="n">
        <f aca="false">IF(I2&gt;=Assumptions!$B$52,I126*I17*Assumptions!$B$17+I121*(Assumptions!$B$148*MAX(0,Assumptions!$B$152-Assumptions!$B$18)+Assumptions!$B$149*MAX(0,Assumptions!$B$153-Assumptions!$B$18)+Assumptions!$B$150*MAX(0,Assumptions!$B$154-Assumptions!$B$18)+Assumptions!$B$151*MAX(0,Assumptions!$B$155-Assumptions!$B$18))*Assumptions!$B$19/Assumptions!$B$7*I7+I121*(Assumptions!$B$146*Assumptions!$B$20+Assumptions!$B$147*Assumptions!$B$21)/12/Assumptions!$B$7*I7,0)</f>
        <v>0</v>
      </c>
      <c r="J133" s="55" t="n">
        <f aca="false">IF(J2&gt;=Assumptions!$B$52,J126*J17*Assumptions!$B$17+J121*(Assumptions!$B$148*MAX(0,Assumptions!$B$152-Assumptions!$B$18)+Assumptions!$B$149*MAX(0,Assumptions!$B$153-Assumptions!$B$18)+Assumptions!$B$150*MAX(0,Assumptions!$B$154-Assumptions!$B$18)+Assumptions!$B$151*MAX(0,Assumptions!$B$155-Assumptions!$B$18))*Assumptions!$B$19/Assumptions!$B$7*J7+J121*(Assumptions!$B$146*Assumptions!$B$20+Assumptions!$B$147*Assumptions!$B$21)/12/Assumptions!$B$7*J7,0)</f>
        <v>0</v>
      </c>
      <c r="K133" s="55" t="n">
        <f aca="false">IF(K2&gt;=Assumptions!$B$52,K126*K17*Assumptions!$B$17+K121*(Assumptions!$B$148*MAX(0,Assumptions!$B$152-Assumptions!$B$18)+Assumptions!$B$149*MAX(0,Assumptions!$B$153-Assumptions!$B$18)+Assumptions!$B$150*MAX(0,Assumptions!$B$154-Assumptions!$B$18)+Assumptions!$B$151*MAX(0,Assumptions!$B$155-Assumptions!$B$18))*Assumptions!$B$19/Assumptions!$B$7*K7+K121*(Assumptions!$B$146*Assumptions!$B$20+Assumptions!$B$147*Assumptions!$B$21)/12/Assumptions!$B$7*K7,0)</f>
        <v>0</v>
      </c>
      <c r="L133" s="55" t="n">
        <f aca="false">IF(L2&gt;=Assumptions!$B$52,L126*L17*Assumptions!$B$17+L121*(Assumptions!$B$148*MAX(0,Assumptions!$B$152-Assumptions!$B$18)+Assumptions!$B$149*MAX(0,Assumptions!$B$153-Assumptions!$B$18)+Assumptions!$B$150*MAX(0,Assumptions!$B$154-Assumptions!$B$18)+Assumptions!$B$151*MAX(0,Assumptions!$B$155-Assumptions!$B$18))*Assumptions!$B$19/Assumptions!$B$7*L7+L121*(Assumptions!$B$146*Assumptions!$B$20+Assumptions!$B$147*Assumptions!$B$21)/12/Assumptions!$B$7*L7,0)</f>
        <v>0</v>
      </c>
      <c r="M133" s="55" t="n">
        <f aca="false">IF(M2&gt;=Assumptions!$B$52,M126*M17*Assumptions!$B$17+M121*(Assumptions!$B$148*MAX(0,Assumptions!$B$152-Assumptions!$B$18)+Assumptions!$B$149*MAX(0,Assumptions!$B$153-Assumptions!$B$18)+Assumptions!$B$150*MAX(0,Assumptions!$B$154-Assumptions!$B$18)+Assumptions!$B$151*MAX(0,Assumptions!$B$155-Assumptions!$B$18))*Assumptions!$B$19/Assumptions!$B$7*M7+M121*(Assumptions!$B$146*Assumptions!$B$20+Assumptions!$B$147*Assumptions!$B$21)/12/Assumptions!$B$7*M7,0)</f>
        <v>0</v>
      </c>
      <c r="N133" s="55" t="n">
        <f aca="false">IF(N2&gt;=Assumptions!$B$52,N126*N17*Assumptions!$B$17+N121*(Assumptions!$B$148*MAX(0,Assumptions!$B$152-Assumptions!$B$18)+Assumptions!$B$149*MAX(0,Assumptions!$B$153-Assumptions!$B$18)+Assumptions!$B$150*MAX(0,Assumptions!$B$154-Assumptions!$B$18)+Assumptions!$B$151*MAX(0,Assumptions!$B$155-Assumptions!$B$18))*Assumptions!$B$19/Assumptions!$B$7*N7+N121*(Assumptions!$B$146*Assumptions!$B$20+Assumptions!$B$147*Assumptions!$B$21)/12/Assumptions!$B$7*N7,0)</f>
        <v>0</v>
      </c>
      <c r="O133" s="55" t="n">
        <f aca="false">IF(O2&gt;=Assumptions!$B$52,O126*O17*Assumptions!$B$17+O121*(Assumptions!$B$148*MAX(0,Assumptions!$B$152-Assumptions!$B$18)+Assumptions!$B$149*MAX(0,Assumptions!$B$153-Assumptions!$B$18)+Assumptions!$B$150*MAX(0,Assumptions!$B$154-Assumptions!$B$18)+Assumptions!$B$151*MAX(0,Assumptions!$B$155-Assumptions!$B$18))*Assumptions!$B$19/Assumptions!$B$7*O7+O121*(Assumptions!$B$146*Assumptions!$B$20+Assumptions!$B$147*Assumptions!$B$21)/12/Assumptions!$B$7*O7,0)</f>
        <v>302.359993436891</v>
      </c>
      <c r="P133" s="55" t="n">
        <f aca="false">IF(P2&gt;=Assumptions!$B$52,P126*P17*Assumptions!$B$17+P121*(Assumptions!$B$148*MAX(0,Assumptions!$B$152-Assumptions!$B$18)+Assumptions!$B$149*MAX(0,Assumptions!$B$153-Assumptions!$B$18)+Assumptions!$B$150*MAX(0,Assumptions!$B$154-Assumptions!$B$18)+Assumptions!$B$151*MAX(0,Assumptions!$B$155-Assumptions!$B$18))*Assumptions!$B$19/Assumptions!$B$7*P7+P121*(Assumptions!$B$146*Assumptions!$B$20+Assumptions!$B$147*Assumptions!$B$21)/12/Assumptions!$B$7*P7,0)</f>
        <v>353.91294290443</v>
      </c>
      <c r="Q133" s="55" t="n">
        <f aca="false">IF(Q2&gt;=Assumptions!$B$52,Q126*Q17*Assumptions!$B$17+Q121*(Assumptions!$B$148*MAX(0,Assumptions!$B$152-Assumptions!$B$18)+Assumptions!$B$149*MAX(0,Assumptions!$B$153-Assumptions!$B$18)+Assumptions!$B$150*MAX(0,Assumptions!$B$154-Assumptions!$B$18)+Assumptions!$B$151*MAX(0,Assumptions!$B$155-Assumptions!$B$18))*Assumptions!$B$19/Assumptions!$B$7*Q7+Q121*(Assumptions!$B$146*Assumptions!$B$20+Assumptions!$B$147*Assumptions!$B$21)/12/Assumptions!$B$7*Q7,0)</f>
        <v>404.085324102612</v>
      </c>
      <c r="R133" s="55" t="n">
        <f aca="false">IF(R2&gt;=Assumptions!$B$52,R126*R17*Assumptions!$B$17+R121*(Assumptions!$B$148*MAX(0,Assumptions!$B$152-Assumptions!$B$18)+Assumptions!$B$149*MAX(0,Assumptions!$B$153-Assumptions!$B$18)+Assumptions!$B$150*MAX(0,Assumptions!$B$154-Assumptions!$B$18)+Assumptions!$B$151*MAX(0,Assumptions!$B$155-Assumptions!$B$18))*Assumptions!$B$19/Assumptions!$B$7*R7+R121*(Assumptions!$B$146*Assumptions!$B$20+Assumptions!$B$147*Assumptions!$B$21)/12/Assumptions!$B$7*R7,0)</f>
        <v>454.579211896943</v>
      </c>
      <c r="S133" s="55" t="n">
        <f aca="false">IF(S2&gt;=Assumptions!$B$52,S126*S17*Assumptions!$B$17+S121*(Assumptions!$B$148*MAX(0,Assumptions!$B$152-Assumptions!$B$18)+Assumptions!$B$149*MAX(0,Assumptions!$B$153-Assumptions!$B$18)+Assumptions!$B$150*MAX(0,Assumptions!$B$154-Assumptions!$B$18)+Assumptions!$B$151*MAX(0,Assumptions!$B$155-Assumptions!$B$18))*Assumptions!$B$19/Assumptions!$B$7*S7+S121*(Assumptions!$B$146*Assumptions!$B$20+Assumptions!$B$147*Assumptions!$B$21)/12/Assumptions!$B$7*S7,0)</f>
        <v>510.223192950896</v>
      </c>
      <c r="T133" s="55" t="n">
        <f aca="false">IF(T2&gt;=Assumptions!$B$52,T126*T17*Assumptions!$B$17+T121*(Assumptions!$B$148*MAX(0,Assumptions!$B$152-Assumptions!$B$18)+Assumptions!$B$149*MAX(0,Assumptions!$B$153-Assumptions!$B$18)+Assumptions!$B$150*MAX(0,Assumptions!$B$154-Assumptions!$B$18)+Assumptions!$B$151*MAX(0,Assumptions!$B$155-Assumptions!$B$18))*Assumptions!$B$19/Assumptions!$B$7*T7+T121*(Assumptions!$B$146*Assumptions!$B$20+Assumptions!$B$147*Assumptions!$B$21)/12/Assumptions!$B$7*T7,0)</f>
        <v>589.321747594296</v>
      </c>
      <c r="U133" s="55" t="n">
        <f aca="false">IF(U2&gt;=Assumptions!$B$52,U126*U17*Assumptions!$B$17+U121*(Assumptions!$B$148*MAX(0,Assumptions!$B$152-Assumptions!$B$18)+Assumptions!$B$149*MAX(0,Assumptions!$B$153-Assumptions!$B$18)+Assumptions!$B$150*MAX(0,Assumptions!$B$154-Assumptions!$B$18)+Assumptions!$B$151*MAX(0,Assumptions!$B$155-Assumptions!$B$18))*Assumptions!$B$19/Assumptions!$B$7*U7+U121*(Assumptions!$B$146*Assumptions!$B$20+Assumptions!$B$147*Assumptions!$B$21)/12/Assumptions!$B$7*U7,0)</f>
        <v>658.849962605206</v>
      </c>
      <c r="V133" s="55" t="n">
        <f aca="false">IF(V2&gt;=Assumptions!$B$52,V126*V17*Assumptions!$B$17+V121*(Assumptions!$B$148*MAX(0,Assumptions!$B$152-Assumptions!$B$18)+Assumptions!$B$149*MAX(0,Assumptions!$B$153-Assumptions!$B$18)+Assumptions!$B$150*MAX(0,Assumptions!$B$154-Assumptions!$B$18)+Assumptions!$B$151*MAX(0,Assumptions!$B$155-Assumptions!$B$18))*Assumptions!$B$19/Assumptions!$B$7*V7+V121*(Assumptions!$B$146*Assumptions!$B$20+Assumptions!$B$147*Assumptions!$B$21)/12/Assumptions!$B$7*V7,0)</f>
        <v>719.150323967281</v>
      </c>
      <c r="W133" s="55" t="n">
        <f aca="false">IF(W2&gt;=Assumptions!$B$52,W126*W17*Assumptions!$B$17+W121*(Assumptions!$B$148*MAX(0,Assumptions!$B$152-Assumptions!$B$18)+Assumptions!$B$149*MAX(0,Assumptions!$B$153-Assumptions!$B$18)+Assumptions!$B$150*MAX(0,Assumptions!$B$154-Assumptions!$B$18)+Assumptions!$B$151*MAX(0,Assumptions!$B$155-Assumptions!$B$18))*Assumptions!$B$19/Assumptions!$B$7*W7+W121*(Assumptions!$B$146*Assumptions!$B$20+Assumptions!$B$147*Assumptions!$B$21)/12/Assumptions!$B$7*W7,0)</f>
        <v>913.206795988206</v>
      </c>
      <c r="X133" s="55" t="n">
        <f aca="false">IF(X2&gt;=Assumptions!$B$52,X126*X17*Assumptions!$B$17+X121*(Assumptions!$B$148*MAX(0,Assumptions!$B$152-Assumptions!$B$18)+Assumptions!$B$149*MAX(0,Assumptions!$B$153-Assumptions!$B$18)+Assumptions!$B$150*MAX(0,Assumptions!$B$154-Assumptions!$B$18)+Assumptions!$B$151*MAX(0,Assumptions!$B$155-Assumptions!$B$18))*Assumptions!$B$19/Assumptions!$B$7*X7+X121*(Assumptions!$B$146*Assumptions!$B$20+Assumptions!$B$147*Assumptions!$B$21)/12/Assumptions!$B$7*X7,0)</f>
        <v>1110.49985315961</v>
      </c>
      <c r="Y133" s="55" t="n">
        <f aca="false">IF(Y2&gt;=Assumptions!$B$52,Y126*Y17*Assumptions!$B$17+Y121*(Assumptions!$B$148*MAX(0,Assumptions!$B$152-Assumptions!$B$18)+Assumptions!$B$149*MAX(0,Assumptions!$B$153-Assumptions!$B$18)+Assumptions!$B$150*MAX(0,Assumptions!$B$154-Assumptions!$B$18)+Assumptions!$B$151*MAX(0,Assumptions!$B$155-Assumptions!$B$18))*Assumptions!$B$19/Assumptions!$B$7*Y7+Y121*(Assumptions!$B$146*Assumptions!$B$20+Assumptions!$B$147*Assumptions!$B$21)/12/Assumptions!$B$7*Y7,0)</f>
        <v>1299.87151630978</v>
      </c>
      <c r="Z133" s="55" t="n">
        <f aca="false">IF(Z2&gt;=Assumptions!$B$52,Z126*Z17*Assumptions!$B$17+Z121*(Assumptions!$B$148*MAX(0,Assumptions!$B$152-Assumptions!$B$18)+Assumptions!$B$149*MAX(0,Assumptions!$B$153-Assumptions!$B$18)+Assumptions!$B$150*MAX(0,Assumptions!$B$154-Assumptions!$B$18)+Assumptions!$B$151*MAX(0,Assumptions!$B$155-Assumptions!$B$18))*Assumptions!$B$19/Assumptions!$B$7*Z7+Z121*(Assumptions!$B$146*Assumptions!$B$20+Assumptions!$B$147*Assumptions!$B$21)/12/Assumptions!$B$7*Z7,0)</f>
        <v>1536.76816636609</v>
      </c>
      <c r="AA133" s="55" t="n">
        <f aca="false">IF(AA2&gt;=Assumptions!$B$52,AA126*AA17*Assumptions!$B$17+AA121*(Assumptions!$B$148*MAX(0,Assumptions!$B$152-Assumptions!$B$18)+Assumptions!$B$149*MAX(0,Assumptions!$B$153-Assumptions!$B$18)+Assumptions!$B$150*MAX(0,Assumptions!$B$154-Assumptions!$B$18)+Assumptions!$B$151*MAX(0,Assumptions!$B$155-Assumptions!$B$18))*Assumptions!$B$19/Assumptions!$B$7*AA7+AA121*(Assumptions!$B$146*Assumptions!$B$20+Assumptions!$B$147*Assumptions!$B$21)/12/Assumptions!$B$7*AA7,0)</f>
        <v>88843.8847154157</v>
      </c>
      <c r="AB133" s="55" t="n">
        <f aca="false">IF(AB2&gt;=Assumptions!$B$52,AB126*AB17*Assumptions!$B$17+AB121*(Assumptions!$B$148*MAX(0,Assumptions!$B$152-Assumptions!$B$18)+Assumptions!$B$149*MAX(0,Assumptions!$B$153-Assumptions!$B$18)+Assumptions!$B$150*MAX(0,Assumptions!$B$154-Assumptions!$B$18)+Assumptions!$B$151*MAX(0,Assumptions!$B$155-Assumptions!$B$18))*Assumptions!$B$19/Assumptions!$B$7*AB7+AB121*(Assumptions!$B$146*Assumptions!$B$20+Assumptions!$B$147*Assumptions!$B$21)/12/Assumptions!$B$7*AB7,0)</f>
        <v>161765.907406885</v>
      </c>
      <c r="AC133" s="55" t="n">
        <f aca="false">IF(AC2&gt;=Assumptions!$B$52,AC126*AC17*Assumptions!$B$17+AC121*(Assumptions!$B$148*MAX(0,Assumptions!$B$152-Assumptions!$B$18)+Assumptions!$B$149*MAX(0,Assumptions!$B$153-Assumptions!$B$18)+Assumptions!$B$150*MAX(0,Assumptions!$B$154-Assumptions!$B$18)+Assumptions!$B$151*MAX(0,Assumptions!$B$155-Assumptions!$B$18))*Assumptions!$B$19/Assumptions!$B$7*AC7+AC121*(Assumptions!$B$146*Assumptions!$B$20+Assumptions!$B$147*Assumptions!$B$21)/12/Assumptions!$B$7*AC7,0)</f>
        <v>255895.912510388</v>
      </c>
      <c r="AD133" s="55" t="n">
        <f aca="false">IF(AD2&gt;=Assumptions!$B$52,AD126*AD17*Assumptions!$B$17+AD121*(Assumptions!$B$148*MAX(0,Assumptions!$B$152-Assumptions!$B$18)+Assumptions!$B$149*MAX(0,Assumptions!$B$153-Assumptions!$B$18)+Assumptions!$B$150*MAX(0,Assumptions!$B$154-Assumptions!$B$18)+Assumptions!$B$151*MAX(0,Assumptions!$B$155-Assumptions!$B$18))*Assumptions!$B$19/Assumptions!$B$7*AD7+AD121*(Assumptions!$B$146*Assumptions!$B$20+Assumptions!$B$147*Assumptions!$B$21)/12/Assumptions!$B$7*AD7,0)</f>
        <v>356603.206895943</v>
      </c>
      <c r="AE133" s="55" t="n">
        <f aca="false">IF(AE2&gt;=Assumptions!$B$52,AE126*AE17*Assumptions!$B$17+AE121*(Assumptions!$B$148*MAX(0,Assumptions!$B$152-Assumptions!$B$18)+Assumptions!$B$149*MAX(0,Assumptions!$B$153-Assumptions!$B$18)+Assumptions!$B$150*MAX(0,Assumptions!$B$154-Assumptions!$B$18)+Assumptions!$B$151*MAX(0,Assumptions!$B$155-Assumptions!$B$18))*Assumptions!$B$19/Assumptions!$B$7*AE7+AE121*(Assumptions!$B$146*Assumptions!$B$20+Assumptions!$B$147*Assumptions!$B$21)/12/Assumptions!$B$7*AE7,0)</f>
        <v>446688.269947499</v>
      </c>
    </row>
    <row r="134" customFormat="false" ht="15" hidden="false" customHeight="false" outlineLevel="0" collapsed="false">
      <c r="A134" s="6" t="s">
        <v>481</v>
      </c>
      <c r="B134" s="23" t="s">
        <v>114</v>
      </c>
      <c r="C134" s="55" t="n">
        <f aca="false">IF(C2&gt;=Assumptions!$B$53,C121*C122*(1-Assumptions!$B$174)*Assumptions!$B$156*Assumptions!$B$157,0)</f>
        <v>0</v>
      </c>
      <c r="D134" s="55" t="n">
        <f aca="false">IF(D2&gt;=Assumptions!$B$53,D121*D122*(1-Assumptions!$B$174)*Assumptions!$B$156*Assumptions!$B$157,0)</f>
        <v>0</v>
      </c>
      <c r="E134" s="55" t="n">
        <f aca="false">IF(E2&gt;=Assumptions!$B$53,E121*E122*(1-Assumptions!$B$174)*Assumptions!$B$156*Assumptions!$B$157,0)</f>
        <v>0</v>
      </c>
      <c r="F134" s="55" t="n">
        <f aca="false">IF(F2&gt;=Assumptions!$B$53,F121*F122*(1-Assumptions!$B$174)*Assumptions!$B$156*Assumptions!$B$157,0)</f>
        <v>0</v>
      </c>
      <c r="G134" s="55" t="n">
        <f aca="false">IF(G2&gt;=Assumptions!$B$53,G121*G122*(1-Assumptions!$B$174)*Assumptions!$B$156*Assumptions!$B$157,0)</f>
        <v>0</v>
      </c>
      <c r="H134" s="55" t="n">
        <f aca="false">IF(H2&gt;=Assumptions!$B$53,H121*H122*(1-Assumptions!$B$174)*Assumptions!$B$156*Assumptions!$B$157,0)</f>
        <v>0</v>
      </c>
      <c r="I134" s="55" t="n">
        <f aca="false">IF(I2&gt;=Assumptions!$B$53,I121*I122*(1-Assumptions!$B$174)*Assumptions!$B$156*Assumptions!$B$157,0)</f>
        <v>0</v>
      </c>
      <c r="J134" s="55" t="n">
        <f aca="false">IF(J2&gt;=Assumptions!$B$53,J121*J122*(1-Assumptions!$B$174)*Assumptions!$B$156*Assumptions!$B$157,0)</f>
        <v>0</v>
      </c>
      <c r="K134" s="55" t="n">
        <f aca="false">IF(K2&gt;=Assumptions!$B$53,K121*K122*(1-Assumptions!$B$174)*Assumptions!$B$156*Assumptions!$B$157,0)</f>
        <v>0</v>
      </c>
      <c r="L134" s="55" t="n">
        <f aca="false">IF(L2&gt;=Assumptions!$B$53,L121*L122*(1-Assumptions!$B$174)*Assumptions!$B$156*Assumptions!$B$157,0)</f>
        <v>0</v>
      </c>
      <c r="M134" s="55" t="n">
        <f aca="false">IF(M2&gt;=Assumptions!$B$53,M121*M122*(1-Assumptions!$B$174)*Assumptions!$B$156*Assumptions!$B$157,0)</f>
        <v>0</v>
      </c>
      <c r="N134" s="55" t="n">
        <f aca="false">IF(N2&gt;=Assumptions!$B$53,N121*N122*(1-Assumptions!$B$174)*Assumptions!$B$156*Assumptions!$B$157,0)</f>
        <v>0</v>
      </c>
      <c r="O134" s="55" t="n">
        <f aca="false">IF(O2&gt;=Assumptions!$B$53,O121*O122*(1-Assumptions!$B$174)*Assumptions!$B$156*Assumptions!$B$157,0)</f>
        <v>1802.38639399181</v>
      </c>
      <c r="P134" s="55" t="n">
        <f aca="false">IF(P2&gt;=Assumptions!$B$53,P121*P122*(1-Assumptions!$B$174)*Assumptions!$B$156*Assumptions!$B$157,0)</f>
        <v>2044.73543766907</v>
      </c>
      <c r="Q134" s="55" t="n">
        <f aca="false">IF(Q2&gt;=Assumptions!$B$53,Q121*Q122*(1-Assumptions!$B$174)*Assumptions!$B$156*Assumptions!$B$157,0)</f>
        <v>2357.06053334671</v>
      </c>
      <c r="R134" s="55" t="n">
        <f aca="false">IF(R2&gt;=Assumptions!$B$53,R121*R122*(1-Assumptions!$B$174)*Assumptions!$B$156*Assumptions!$B$157,0)</f>
        <v>2633.95398447403</v>
      </c>
      <c r="S134" s="55" t="n">
        <f aca="false">IF(S2&gt;=Assumptions!$B$53,S121*S122*(1-Assumptions!$B$174)*Assumptions!$B$156*Assumptions!$B$157,0)</f>
        <v>3048.55305262882</v>
      </c>
      <c r="T134" s="55" t="n">
        <f aca="false">IF(T2&gt;=Assumptions!$B$53,T121*T122*(1-Assumptions!$B$174)*Assumptions!$B$156*Assumptions!$B$157,0)</f>
        <v>3707.74888179537</v>
      </c>
      <c r="U134" s="55" t="n">
        <f aca="false">IF(U2&gt;=Assumptions!$B$53,U121*U122*(1-Assumptions!$B$174)*Assumptions!$B$156*Assumptions!$B$157,0)</f>
        <v>4408.56649794886</v>
      </c>
      <c r="V134" s="55" t="n">
        <f aca="false">IF(V2&gt;=Assumptions!$B$53,V121*V122*(1-Assumptions!$B$174)*Assumptions!$B$156*Assumptions!$B$157,0)</f>
        <v>5112.85807051198</v>
      </c>
      <c r="W134" s="55" t="n">
        <f aca="false">IF(W2&gt;=Assumptions!$B$53,W121*W122*(1-Assumptions!$B$174)*Assumptions!$B$156*Assumptions!$B$157,0)</f>
        <v>6869.44099191454</v>
      </c>
      <c r="X134" s="55" t="n">
        <f aca="false">IF(X2&gt;=Assumptions!$B$53,X121*X122*(1-Assumptions!$B$174)*Assumptions!$B$156*Assumptions!$B$157,0)</f>
        <v>8470.66708337879</v>
      </c>
      <c r="Y134" s="55" t="n">
        <f aca="false">IF(Y2&gt;=Assumptions!$B$53,Y121*Y122*(1-Assumptions!$B$174)*Assumptions!$B$156*Assumptions!$B$157,0)</f>
        <v>10260.5322199328</v>
      </c>
      <c r="Z134" s="55" t="n">
        <f aca="false">IF(Z2&gt;=Assumptions!$B$53,Z121*Z122*(1-Assumptions!$B$174)*Assumptions!$B$156*Assumptions!$B$157,0)</f>
        <v>12772.7049507905</v>
      </c>
      <c r="AA134" s="55" t="n">
        <f aca="false">IF(AA2&gt;=Assumptions!$B$53,AA121*AA122*(1-Assumptions!$B$174)*Assumptions!$B$156*Assumptions!$B$157,0)</f>
        <v>110311.680999275</v>
      </c>
      <c r="AB134" s="55" t="n">
        <f aca="false">IF(AB2&gt;=Assumptions!$B$53,AB121*AB122*(1-Assumptions!$B$174)*Assumptions!$B$156*Assumptions!$B$157,0)</f>
        <v>260212.008452351</v>
      </c>
      <c r="AC134" s="55" t="n">
        <f aca="false">IF(AC2&gt;=Assumptions!$B$53,AC121*AC122*(1-Assumptions!$B$174)*Assumptions!$B$156*Assumptions!$B$157,0)</f>
        <v>498221.956100447</v>
      </c>
      <c r="AD134" s="55" t="n">
        <f aca="false">IF(AD2&gt;=Assumptions!$B$53,AD121*AD122*(1-Assumptions!$B$174)*Assumptions!$B$156*Assumptions!$B$157,0)</f>
        <v>848263.946877586</v>
      </c>
      <c r="AE134" s="55" t="n">
        <f aca="false">IF(AE2&gt;=Assumptions!$B$53,AE121*AE122*(1-Assumptions!$B$174)*Assumptions!$B$156*Assumptions!$B$157,0)</f>
        <v>1347318.79024973</v>
      </c>
    </row>
    <row r="135" customFormat="false" ht="15" hidden="false" customHeight="false" outlineLevel="0" collapsed="false">
      <c r="A135" s="6" t="s">
        <v>482</v>
      </c>
      <c r="B135" s="23" t="s">
        <v>114</v>
      </c>
      <c r="C135" s="55" t="n">
        <f aca="false">IF(C2&gt;=Assumptions!$B$53,(C134*Assumptions!$B$29*Assumptions!$B$30+C121*C123*(1-Assumptions!$B$174)*Assumptions!$B$27*Assumptions!$B$28)*C7/12,0)</f>
        <v>0</v>
      </c>
      <c r="D135" s="55" t="n">
        <f aca="false">IF(D2&gt;=Assumptions!$B$53,(D134*Assumptions!$B$29*Assumptions!$B$30+D121*D123*(1-Assumptions!$B$174)*Assumptions!$B$27*Assumptions!$B$28)*D7/12,0)</f>
        <v>0</v>
      </c>
      <c r="E135" s="55" t="n">
        <f aca="false">IF(E2&gt;=Assumptions!$B$53,(E134*Assumptions!$B$29*Assumptions!$B$30+E121*E123*(1-Assumptions!$B$174)*Assumptions!$B$27*Assumptions!$B$28)*E7/12,0)</f>
        <v>0</v>
      </c>
      <c r="F135" s="55" t="n">
        <f aca="false">IF(F2&gt;=Assumptions!$B$53,(F134*Assumptions!$B$29*Assumptions!$B$30+F121*F123*(1-Assumptions!$B$174)*Assumptions!$B$27*Assumptions!$B$28)*F7/12,0)</f>
        <v>0</v>
      </c>
      <c r="G135" s="55" t="n">
        <f aca="false">IF(G2&gt;=Assumptions!$B$53,(G134*Assumptions!$B$29*Assumptions!$B$30+G121*G123*(1-Assumptions!$B$174)*Assumptions!$B$27*Assumptions!$B$28)*G7/12,0)</f>
        <v>0</v>
      </c>
      <c r="H135" s="55" t="n">
        <f aca="false">IF(H2&gt;=Assumptions!$B$53,(H134*Assumptions!$B$29*Assumptions!$B$30+H121*H123*(1-Assumptions!$B$174)*Assumptions!$B$27*Assumptions!$B$28)*H7/12,0)</f>
        <v>0</v>
      </c>
      <c r="I135" s="55" t="n">
        <f aca="false">IF(I2&gt;=Assumptions!$B$53,(I134*Assumptions!$B$29*Assumptions!$B$30+I121*I123*(1-Assumptions!$B$174)*Assumptions!$B$27*Assumptions!$B$28)*I7/12,0)</f>
        <v>0</v>
      </c>
      <c r="J135" s="55" t="n">
        <f aca="false">IF(J2&gt;=Assumptions!$B$53,(J134*Assumptions!$B$29*Assumptions!$B$30+J121*J123*(1-Assumptions!$B$174)*Assumptions!$B$27*Assumptions!$B$28)*J7/12,0)</f>
        <v>0</v>
      </c>
      <c r="K135" s="55" t="n">
        <f aca="false">IF(K2&gt;=Assumptions!$B$53,(K134*Assumptions!$B$29*Assumptions!$B$30+K121*K123*(1-Assumptions!$B$174)*Assumptions!$B$27*Assumptions!$B$28)*K7/12,0)</f>
        <v>0</v>
      </c>
      <c r="L135" s="55" t="n">
        <f aca="false">IF(L2&gt;=Assumptions!$B$53,(L134*Assumptions!$B$29*Assumptions!$B$30+L121*L123*(1-Assumptions!$B$174)*Assumptions!$B$27*Assumptions!$B$28)*L7/12,0)</f>
        <v>0</v>
      </c>
      <c r="M135" s="55" t="n">
        <f aca="false">IF(M2&gt;=Assumptions!$B$53,(M134*Assumptions!$B$29*Assumptions!$B$30+M121*M123*(1-Assumptions!$B$174)*Assumptions!$B$27*Assumptions!$B$28)*M7/12,0)</f>
        <v>0</v>
      </c>
      <c r="N135" s="55" t="n">
        <f aca="false">IF(N2&gt;=Assumptions!$B$53,(N134*Assumptions!$B$29*Assumptions!$B$30+N121*N123*(1-Assumptions!$B$174)*Assumptions!$B$27*Assumptions!$B$28)*N7/12,0)</f>
        <v>0</v>
      </c>
      <c r="O135" s="55" t="n">
        <f aca="false">IF(O2&gt;=Assumptions!$B$53,(O134*Assumptions!$B$29*Assumptions!$B$30+O121*O123*(1-Assumptions!$B$174)*Assumptions!$B$27*Assumptions!$B$28)*O7/12,0)</f>
        <v>4.28066768573056</v>
      </c>
      <c r="P135" s="55" t="n">
        <f aca="false">IF(P2&gt;=Assumptions!$B$53,(P134*Assumptions!$B$29*Assumptions!$B$30+P121*P123*(1-Assumptions!$B$174)*Assumptions!$B$27*Assumptions!$B$28)*P7/12,0)</f>
        <v>4.85624666446404</v>
      </c>
      <c r="Q135" s="55" t="n">
        <f aca="false">IF(Q2&gt;=Assumptions!$B$53,(Q134*Assumptions!$B$29*Assumptions!$B$30+Q121*Q123*(1-Assumptions!$B$174)*Assumptions!$B$27*Assumptions!$B$28)*Q7/12,0)</f>
        <v>5.59801876669844</v>
      </c>
      <c r="R135" s="55" t="n">
        <f aca="false">IF(R2&gt;=Assumptions!$B$53,(R134*Assumptions!$B$29*Assumptions!$B$30+R121*R123*(1-Assumptions!$B$174)*Assumptions!$B$27*Assumptions!$B$28)*R7/12,0)</f>
        <v>6.25564071312583</v>
      </c>
      <c r="S135" s="55" t="n">
        <f aca="false">IF(S2&gt;=Assumptions!$B$53,(S134*Assumptions!$B$29*Assumptions!$B$30+S121*S123*(1-Assumptions!$B$174)*Assumptions!$B$27*Assumptions!$B$28)*S7/12,0)</f>
        <v>7.24031349999345</v>
      </c>
      <c r="T135" s="55" t="n">
        <f aca="false">IF(T2&gt;=Assumptions!$B$53,(T134*Assumptions!$B$29*Assumptions!$B$30+T121*T123*(1-Assumptions!$B$174)*Assumptions!$B$27*Assumptions!$B$28)*T7/12,0)</f>
        <v>8.805903594264</v>
      </c>
      <c r="U135" s="55" t="n">
        <f aca="false">IF(U2&gt;=Assumptions!$B$53,(U134*Assumptions!$B$29*Assumptions!$B$30+U121*U123*(1-Assumptions!$B$174)*Assumptions!$B$27*Assumptions!$B$28)*U7/12,0)</f>
        <v>10.4703454326285</v>
      </c>
      <c r="V135" s="55" t="n">
        <f aca="false">IF(V2&gt;=Assumptions!$B$53,(V134*Assumptions!$B$29*Assumptions!$B$30+V121*V123*(1-Assumptions!$B$174)*Assumptions!$B$27*Assumptions!$B$28)*V7/12,0)</f>
        <v>12.1430379174659</v>
      </c>
      <c r="W135" s="55" t="n">
        <f aca="false">IF(W2&gt;=Assumptions!$B$53,(W134*Assumptions!$B$29*Assumptions!$B$30+W121*W123*(1-Assumptions!$B$174)*Assumptions!$B$27*Assumptions!$B$28)*W7/12,0)</f>
        <v>16.314922355797</v>
      </c>
      <c r="X135" s="55" t="n">
        <f aca="false">IF(X2&gt;=Assumptions!$B$53,(X134*Assumptions!$B$29*Assumptions!$B$30+X121*X123*(1-Assumptions!$B$174)*Assumptions!$B$27*Assumptions!$B$28)*X7/12,0)</f>
        <v>20.1178343230246</v>
      </c>
      <c r="Y135" s="55" t="n">
        <f aca="false">IF(Y2&gt;=Assumptions!$B$53,(Y134*Assumptions!$B$29*Assumptions!$B$30+Y121*Y123*(1-Assumptions!$B$174)*Assumptions!$B$27*Assumptions!$B$28)*Y7/12,0)</f>
        <v>24.3687640223404</v>
      </c>
      <c r="Z135" s="55" t="n">
        <f aca="false">IF(Z2&gt;=Assumptions!$B$53,(Z134*Assumptions!$B$29*Assumptions!$B$30+Z121*Z123*(1-Assumptions!$B$174)*Assumptions!$B$27*Assumptions!$B$28)*Z7/12,0)</f>
        <v>30.3351742581273</v>
      </c>
      <c r="AA135" s="55" t="n">
        <f aca="false">IF(AA2&gt;=Assumptions!$B$53,(AA134*Assumptions!$B$29*Assumptions!$B$30+AA121*AA123*(1-Assumptions!$B$174)*Assumptions!$B$27*Assumptions!$B$28)*AA7/12,0)</f>
        <v>3143.88290847934</v>
      </c>
      <c r="AB135" s="55" t="n">
        <f aca="false">IF(AB2&gt;=Assumptions!$B$53,(AB134*Assumptions!$B$29*Assumptions!$B$30+AB121*AB123*(1-Assumptions!$B$174)*Assumptions!$B$27*Assumptions!$B$28)*AB7/12,0)</f>
        <v>7416.042240892</v>
      </c>
      <c r="AC135" s="55" t="n">
        <f aca="false">IF(AC2&gt;=Assumptions!$B$53,(AC134*Assumptions!$B$29*Assumptions!$B$30+AC121*AC123*(1-Assumptions!$B$174)*Assumptions!$B$27*Assumptions!$B$28)*AC7/12,0)</f>
        <v>14199.3257488627</v>
      </c>
      <c r="AD135" s="55" t="n">
        <f aca="false">IF(AD2&gt;=Assumptions!$B$53,(AD134*Assumptions!$B$29*Assumptions!$B$30+AD121*AD123*(1-Assumptions!$B$174)*Assumptions!$B$27*Assumptions!$B$28)*AD7/12,0)</f>
        <v>24175.5224860112</v>
      </c>
      <c r="AE135" s="55" t="n">
        <f aca="false">IF(AE2&gt;=Assumptions!$B$53,(AE134*Assumptions!$B$29*Assumptions!$B$30+AE121*AE123*(1-Assumptions!$B$174)*Assumptions!$B$27*Assumptions!$B$28)*AE7/12,0)</f>
        <v>38398.5855221172</v>
      </c>
    </row>
    <row r="136" customFormat="false" ht="15" hidden="false" customHeight="false" outlineLevel="0" collapsed="false">
      <c r="A136" s="6" t="s">
        <v>483</v>
      </c>
      <c r="B136" s="23" t="s">
        <v>484</v>
      </c>
      <c r="C136" s="45" t="n">
        <f aca="false">IF(C2&gt;=Assumptions!$B$49,(C107+C109*Assumptions!$B$138)*Assumptions!$B$137*C7/12,0)</f>
        <v>0.906531942965492</v>
      </c>
      <c r="D136" s="45" t="n">
        <f aca="false">IF(D2&gt;=Assumptions!$B$49,(D107+D109*Assumptions!$B$138)*Assumptions!$B$137*D7/12,0)</f>
        <v>1.7923630446844</v>
      </c>
      <c r="E136" s="45" t="n">
        <f aca="false">IF(E2&gt;=Assumptions!$B$49,(E107+E109*Assumptions!$B$138)*Assumptions!$B$137*E7/12,0)</f>
        <v>2.66410433159632</v>
      </c>
      <c r="F136" s="45" t="n">
        <f aca="false">IF(F2&gt;=Assumptions!$B$49,(F107+F109*Assumptions!$B$138)*Assumptions!$B$137*F7/12,0)</f>
        <v>3.76110142263543</v>
      </c>
      <c r="G136" s="45" t="n">
        <f aca="false">IF(G2&gt;=Assumptions!$B$49,(G107+G109*Assumptions!$B$138)*Assumptions!$B$137*G7/12,0)</f>
        <v>4.78371552918895</v>
      </c>
      <c r="H136" s="45" t="n">
        <f aca="false">IF(H2&gt;=Assumptions!$B$49,(H107+H109*Assumptions!$B$138)*Assumptions!$B$137*H7/12,0)</f>
        <v>5.68380639273356</v>
      </c>
      <c r="I136" s="45" t="n">
        <f aca="false">IF(I2&gt;=Assumptions!$B$49,(I107+I109*Assumptions!$B$138)*Assumptions!$B$137*I7/12,0)</f>
        <v>6.5725669504435</v>
      </c>
      <c r="J136" s="45" t="n">
        <f aca="false">IF(J2&gt;=Assumptions!$B$49,(J107+J109*Assumptions!$B$138)*Assumptions!$B$137*J7/12,0)</f>
        <v>7.47519398672731</v>
      </c>
      <c r="K136" s="45" t="n">
        <f aca="false">IF(K2&gt;=Assumptions!$B$49,(K107+K109*Assumptions!$B$138)*Assumptions!$B$137*K7/12,0)</f>
        <v>8.46197475984981</v>
      </c>
      <c r="L136" s="45" t="n">
        <f aca="false">IF(L2&gt;=Assumptions!$B$49,(L107+L109*Assumptions!$B$138)*Assumptions!$B$137*L7/12,0)</f>
        <v>9.74673026610935</v>
      </c>
      <c r="M136" s="45" t="n">
        <f aca="false">IF(M2&gt;=Assumptions!$B$49,(M107+M109*Assumptions!$B$138)*Assumptions!$B$137*M7/12,0)</f>
        <v>10.9635058664048</v>
      </c>
      <c r="N136" s="45" t="n">
        <f aca="false">IF(N2&gt;=Assumptions!$B$49,(N107+N109*Assumptions!$B$138)*Assumptions!$B$137*N7/12,0)</f>
        <v>12.0737728794799</v>
      </c>
      <c r="O136" s="45" t="n">
        <f aca="false">IF(O2&gt;=Assumptions!$B$49,(O107+O109*Assumptions!$B$138)*Assumptions!$B$137*O7/12,0)</f>
        <v>15.2767111141524</v>
      </c>
      <c r="P136" s="45" t="n">
        <f aca="false">IF(P2&gt;=Assumptions!$B$49,(P107+P109*Assumptions!$B$138)*Assumptions!$B$137*P7/12,0)</f>
        <v>18.4640548652117</v>
      </c>
      <c r="Q136" s="45" t="n">
        <f aca="false">IF(Q2&gt;=Assumptions!$B$49,(Q107+Q109*Assumptions!$B$138)*Assumptions!$B$137*Q7/12,0)</f>
        <v>21.6482834793311</v>
      </c>
      <c r="R136" s="45" t="n">
        <f aca="false">IF(R2&gt;=Assumptions!$B$49,(R107+R109*Assumptions!$B$138)*Assumptions!$B$137*R7/12,0)</f>
        <v>25.6541089684494</v>
      </c>
      <c r="S136" s="45" t="n">
        <f aca="false">IF(S2&gt;=Assumptions!$B$49,(S107+S109*Assumptions!$B$138)*Assumptions!$B$137*S7/12,0)</f>
        <v>29.4641468502406</v>
      </c>
      <c r="T136" s="45" t="n">
        <f aca="false">IF(T2&gt;=Assumptions!$B$49,(T107+T109*Assumptions!$B$138)*Assumptions!$B$137*T7/12,0)</f>
        <v>32.880748019047</v>
      </c>
      <c r="U136" s="45" t="n">
        <f aca="false">IF(U2&gt;=Assumptions!$B$49,(U107+U109*Assumptions!$B$138)*Assumptions!$B$137*U7/12,0)</f>
        <v>36.2842843797133</v>
      </c>
      <c r="V136" s="45" t="n">
        <f aca="false">IF(V2&gt;=Assumptions!$B$49,(V107+V109*Assumptions!$B$138)*Assumptions!$B$137*V7/12,0)</f>
        <v>39.7633403711872</v>
      </c>
      <c r="W136" s="45" t="n">
        <f aca="false">IF(W2&gt;=Assumptions!$B$49,(W107+W109*Assumptions!$B$138)*Assumptions!$B$137*W7/12,0)</f>
        <v>43.580865468273</v>
      </c>
      <c r="X136" s="45" t="n">
        <f aca="false">IF(X2&gt;=Assumptions!$B$49,(X107+X109*Assumptions!$B$138)*Assumptions!$B$137*X7/12,0)</f>
        <v>48.5591003473305</v>
      </c>
      <c r="Y136" s="45" t="n">
        <f aca="false">IF(Y2&gt;=Assumptions!$B$49,(Y107+Y109*Assumptions!$B$138)*Assumptions!$B$137*Y7/12,0)</f>
        <v>53.3469044000564</v>
      </c>
      <c r="Z136" s="45" t="n">
        <f aca="false">IF(Z2&gt;=Assumptions!$B$49,(Z107+Z109*Assumptions!$B$138)*Assumptions!$B$137*Z7/12,0)</f>
        <v>57.7711103861073</v>
      </c>
      <c r="AA136" s="45" t="n">
        <f aca="false">IF(AA2&gt;=Assumptions!$B$49,(AA107+AA109*Assumptions!$B$138)*Assumptions!$B$137*AA7/12,0)</f>
        <v>1604.36451699857</v>
      </c>
      <c r="AB136" s="45" t="n">
        <f aca="false">IF(AB2&gt;=Assumptions!$B$49,(AB107+AB109*Assumptions!$B$138)*Assumptions!$B$137*AB7/12,0)</f>
        <v>2980.52525559985</v>
      </c>
      <c r="AC136" s="45" t="n">
        <f aca="false">IF(AC2&gt;=Assumptions!$B$49,(AC107+AC109*Assumptions!$B$138)*Assumptions!$B$137*AC7/12,0)</f>
        <v>4787.47172437134</v>
      </c>
      <c r="AD136" s="45" t="n">
        <f aca="false">IF(AD2&gt;=Assumptions!$B$49,(AD107+AD109*Assumptions!$B$138)*Assumptions!$B$137*AD7/12,0)</f>
        <v>6760.33208460467</v>
      </c>
      <c r="AE136" s="45" t="n">
        <f aca="false">IF(AE2&gt;=Assumptions!$B$49,(AE107+AE109*Assumptions!$B$138)*Assumptions!$B$137*AE7/12,0)</f>
        <v>8534.01306814628</v>
      </c>
    </row>
    <row r="137" customFormat="false" ht="15" hidden="false" customHeight="false" outlineLevel="0" collapsed="false">
      <c r="A137" s="3" t="s">
        <v>489</v>
      </c>
      <c r="B137" s="23" t="s">
        <v>114</v>
      </c>
      <c r="C137" s="57" t="n">
        <f aca="false">C129+C130+C131+C132+C133+C135</f>
        <v>278.692135958117</v>
      </c>
      <c r="D137" s="57" t="n">
        <f aca="false">D129+D130+D131+D132+D133+D135</f>
        <v>529.664815352071</v>
      </c>
      <c r="E137" s="57" t="n">
        <f aca="false">E129+E130+E131+E132+E133+E135</f>
        <v>757.07451531262</v>
      </c>
      <c r="F137" s="57" t="n">
        <f aca="false">F129+F130+F131+F132+F133+F135</f>
        <v>1036.30804366897</v>
      </c>
      <c r="G137" s="57" t="n">
        <f aca="false">G129+G130+G131+G132+G133+G135</f>
        <v>1271.27730507502</v>
      </c>
      <c r="H137" s="57" t="n">
        <f aca="false">H129+H130+H131+H132+H133+H135</f>
        <v>1450.57455553035</v>
      </c>
      <c r="I137" s="57" t="n">
        <f aca="false">I129+I130+I131+I132+I133+I135</f>
        <v>3629.51177454258</v>
      </c>
      <c r="J137" s="57" t="n">
        <f aca="false">J129+J130+J131+J132+J133+J135</f>
        <v>3975.92857348953</v>
      </c>
      <c r="K137" s="57" t="n">
        <f aca="false">K129+K130+K131+K132+K133+K135</f>
        <v>4354.0271820361</v>
      </c>
      <c r="L137" s="57" t="n">
        <f aca="false">L129+L130+L131+L132+L133+L135</f>
        <v>4909.32486618042</v>
      </c>
      <c r="M137" s="57" t="n">
        <f aca="false">M129+M130+M131+M132+M133+M135</f>
        <v>5375.03550922921</v>
      </c>
      <c r="N137" s="57" t="n">
        <f aca="false">N129+N130+N131+N132+N133+N135</f>
        <v>5731.36554319541</v>
      </c>
      <c r="O137" s="57" t="n">
        <f aca="false">O129+O130+O131+O132+O133+O135</f>
        <v>7819.13598534544</v>
      </c>
      <c r="P137" s="57" t="n">
        <f aca="false">P129+P130+P131+P132+P133+P135</f>
        <v>9501.40685296061</v>
      </c>
      <c r="Q137" s="57" t="n">
        <f aca="false">Q129+Q130+Q131+Q132+Q133+Q135</f>
        <v>11055.8307643336</v>
      </c>
      <c r="R137" s="57" t="n">
        <f aca="false">R129+R130+R131+R132+R133+R135</f>
        <v>13063.8089488667</v>
      </c>
      <c r="S137" s="57" t="n">
        <f aca="false">S129+S130+S131+S132+S133+S135</f>
        <v>14792.305288493</v>
      </c>
      <c r="T137" s="57" t="n">
        <f aca="false">T129+T130+T131+T132+T133+T135</f>
        <v>16144.5921480578</v>
      </c>
      <c r="U137" s="57" t="n">
        <f aca="false">U129+U130+U131+U132+U133+U135</f>
        <v>17380.7579685548</v>
      </c>
      <c r="V137" s="57" t="n">
        <f aca="false">V129+V130+V131+V132+V133+V135</f>
        <v>18571.5117644869</v>
      </c>
      <c r="W137" s="57" t="n">
        <f aca="false">W129+W130+W131+W132+W133+W135</f>
        <v>20049.5780055114</v>
      </c>
      <c r="X137" s="57" t="n">
        <f aca="false">X129+X130+X131+X132+X133+X135</f>
        <v>22234.8690369026</v>
      </c>
      <c r="Y137" s="57" t="n">
        <f aca="false">Y129+Y130+Y131+Y132+Y133+Y135</f>
        <v>24129.9287314287</v>
      </c>
      <c r="Z137" s="57" t="n">
        <f aca="false">Z129+Z130+Z131+Z132+Z133+Z135</f>
        <v>25696.0912471684</v>
      </c>
      <c r="AA137" s="57" t="n">
        <f aca="false">AA129+AA130+AA131+AA132+AA133+AA135</f>
        <v>624790.983714975</v>
      </c>
      <c r="AB137" s="57" t="n">
        <f aca="false">AB129+AB130+AB131+AB132+AB133+AB135</f>
        <v>1011414.55099893</v>
      </c>
      <c r="AC137" s="57" t="n">
        <f aca="false">AC129+AC130+AC131+AC132+AC133+AC135</f>
        <v>1432550.92527885</v>
      </c>
      <c r="AD137" s="57" t="n">
        <f aca="false">AD129+AD130+AD131+AD132+AD133+AD135</f>
        <v>1747088.58554218</v>
      </c>
      <c r="AE137" s="57" t="n">
        <f aca="false">AE129+AE130+AE131+AE132+AE133+AE135</f>
        <v>1845371.11934741</v>
      </c>
    </row>
    <row r="139" customFormat="false" ht="15" hidden="false" customHeight="false" outlineLevel="0" collapsed="false">
      <c r="A139" s="46" t="s">
        <v>490</v>
      </c>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c r="AD139" s="47"/>
      <c r="AE139" s="47"/>
    </row>
    <row r="140" customFormat="false" ht="15" hidden="false" customHeight="false" outlineLevel="0" collapsed="false">
      <c r="A140" s="6" t="s">
        <v>491</v>
      </c>
      <c r="B140" s="23" t="s">
        <v>114</v>
      </c>
      <c r="C140" s="58" t="n">
        <f aca="false">IF(C2&gt;=Assumptions!$B$54,INDEX(Assumptions!$B$160:$B$166,C5)*Assumptions!$B$170,0)</f>
        <v>0</v>
      </c>
      <c r="D140" s="58" t="n">
        <f aca="false">IF(D2&gt;=Assumptions!$B$54,INDEX(Assumptions!$B$160:$B$166,D5)*Assumptions!$B$170,0)</f>
        <v>0</v>
      </c>
      <c r="E140" s="58" t="n">
        <f aca="false">IF(E2&gt;=Assumptions!$B$54,INDEX(Assumptions!$B$160:$B$166,E5)*Assumptions!$B$170,0)</f>
        <v>0</v>
      </c>
      <c r="F140" s="58" t="n">
        <f aca="false">IF(F2&gt;=Assumptions!$B$54,INDEX(Assumptions!$B$160:$B$166,F5)*Assumptions!$B$170,0)</f>
        <v>0</v>
      </c>
      <c r="G140" s="58" t="n">
        <f aca="false">IF(G2&gt;=Assumptions!$B$54,INDEX(Assumptions!$B$160:$B$166,G5)*Assumptions!$B$170,0)</f>
        <v>0</v>
      </c>
      <c r="H140" s="58" t="n">
        <f aca="false">IF(H2&gt;=Assumptions!$B$54,INDEX(Assumptions!$B$160:$B$166,H5)*Assumptions!$B$170,0)</f>
        <v>0</v>
      </c>
      <c r="I140" s="58" t="n">
        <f aca="false">IF(I2&gt;=Assumptions!$B$54,INDEX(Assumptions!$B$160:$B$166,I5)*Assumptions!$B$170,0)</f>
        <v>0</v>
      </c>
      <c r="J140" s="58" t="n">
        <f aca="false">IF(J2&gt;=Assumptions!$B$54,INDEX(Assumptions!$B$160:$B$166,J5)*Assumptions!$B$170,0)</f>
        <v>0</v>
      </c>
      <c r="K140" s="58" t="n">
        <f aca="false">IF(K2&gt;=Assumptions!$B$54,INDEX(Assumptions!$B$160:$B$166,K5)*Assumptions!$B$170,0)</f>
        <v>0</v>
      </c>
      <c r="L140" s="58" t="n">
        <f aca="false">IF(L2&gt;=Assumptions!$B$54,INDEX(Assumptions!$B$160:$B$166,L5)*Assumptions!$B$170,0)</f>
        <v>0</v>
      </c>
      <c r="M140" s="58" t="n">
        <f aca="false">IF(M2&gt;=Assumptions!$B$54,INDEX(Assumptions!$B$160:$B$166,M5)*Assumptions!$B$170,0)</f>
        <v>0</v>
      </c>
      <c r="N140" s="58" t="n">
        <f aca="false">IF(N2&gt;=Assumptions!$B$54,INDEX(Assumptions!$B$160:$B$166,N5)*Assumptions!$B$170,0)</f>
        <v>0</v>
      </c>
      <c r="O140" s="58" t="n">
        <f aca="false">IF(O2&gt;=Assumptions!$B$54,INDEX(Assumptions!$B$160:$B$166,O5)*Assumptions!$B$170,0)</f>
        <v>18900000</v>
      </c>
      <c r="P140" s="58" t="n">
        <f aca="false">IF(P2&gt;=Assumptions!$B$54,INDEX(Assumptions!$B$160:$B$166,P5)*Assumptions!$B$170,0)</f>
        <v>18900000</v>
      </c>
      <c r="Q140" s="58" t="n">
        <f aca="false">IF(Q2&gt;=Assumptions!$B$54,INDEX(Assumptions!$B$160:$B$166,Q5)*Assumptions!$B$170,0)</f>
        <v>18900000</v>
      </c>
      <c r="R140" s="58" t="n">
        <f aca="false">IF(R2&gt;=Assumptions!$B$54,INDEX(Assumptions!$B$160:$B$166,R5)*Assumptions!$B$170,0)</f>
        <v>18900000</v>
      </c>
      <c r="S140" s="58" t="n">
        <f aca="false">IF(S2&gt;=Assumptions!$B$54,INDEX(Assumptions!$B$160:$B$166,S5)*Assumptions!$B$170,0)</f>
        <v>18900000</v>
      </c>
      <c r="T140" s="58" t="n">
        <f aca="false">IF(T2&gt;=Assumptions!$B$54,INDEX(Assumptions!$B$160:$B$166,T5)*Assumptions!$B$170,0)</f>
        <v>18900000</v>
      </c>
      <c r="U140" s="58" t="n">
        <f aca="false">IF(U2&gt;=Assumptions!$B$54,INDEX(Assumptions!$B$160:$B$166,U5)*Assumptions!$B$170,0)</f>
        <v>18900000</v>
      </c>
      <c r="V140" s="58" t="n">
        <f aca="false">IF(V2&gt;=Assumptions!$B$54,INDEX(Assumptions!$B$160:$B$166,V5)*Assumptions!$B$170,0)</f>
        <v>18900000</v>
      </c>
      <c r="W140" s="58" t="n">
        <f aca="false">IF(W2&gt;=Assumptions!$B$54,INDEX(Assumptions!$B$160:$B$166,W5)*Assumptions!$B$170,0)</f>
        <v>18900000</v>
      </c>
      <c r="X140" s="58" t="n">
        <f aca="false">IF(X2&gt;=Assumptions!$B$54,INDEX(Assumptions!$B$160:$B$166,X5)*Assumptions!$B$170,0)</f>
        <v>18900000</v>
      </c>
      <c r="Y140" s="58" t="n">
        <f aca="false">IF(Y2&gt;=Assumptions!$B$54,INDEX(Assumptions!$B$160:$B$166,Y5)*Assumptions!$B$170,0)</f>
        <v>18900000</v>
      </c>
      <c r="Z140" s="58" t="n">
        <f aca="false">IF(Z2&gt;=Assumptions!$B$54,INDEX(Assumptions!$B$160:$B$166,Z5)*Assumptions!$B$170,0)</f>
        <v>18900000</v>
      </c>
      <c r="AA140" s="58" t="n">
        <f aca="false">IF(AA2&gt;=Assumptions!$B$54,INDEX(Assumptions!$B$160:$B$166,AA5)*Assumptions!$B$170,0)</f>
        <v>56700000</v>
      </c>
      <c r="AB140" s="58" t="n">
        <f aca="false">IF(AB2&gt;=Assumptions!$B$54,INDEX(Assumptions!$B$160:$B$166,AB5)*Assumptions!$B$170,0)</f>
        <v>94500000</v>
      </c>
      <c r="AC140" s="58" t="n">
        <f aca="false">IF(AC2&gt;=Assumptions!$B$54,INDEX(Assumptions!$B$160:$B$166,AC5)*Assumptions!$B$170,0)</f>
        <v>132300000</v>
      </c>
      <c r="AD140" s="58" t="n">
        <f aca="false">IF(AD2&gt;=Assumptions!$B$54,INDEX(Assumptions!$B$160:$B$166,AD5)*Assumptions!$B$170,0)</f>
        <v>170100000</v>
      </c>
      <c r="AE140" s="58" t="n">
        <f aca="false">IF(AE2&gt;=Assumptions!$B$54,INDEX(Assumptions!$B$160:$B$166,AE5)*Assumptions!$B$170,0)</f>
        <v>207900000</v>
      </c>
    </row>
    <row r="141" customFormat="false" ht="15" hidden="false" customHeight="false" outlineLevel="0" collapsed="false">
      <c r="A141" s="6" t="s">
        <v>132</v>
      </c>
      <c r="B141" s="23" t="s">
        <v>114</v>
      </c>
      <c r="C141" s="57" t="n">
        <f aca="false">C140*Assumptions!$B$26*C7/12</f>
        <v>0</v>
      </c>
      <c r="D141" s="57" t="n">
        <f aca="false">D140*Assumptions!$B$26*D7/12</f>
        <v>0</v>
      </c>
      <c r="E141" s="57" t="n">
        <f aca="false">E140*Assumptions!$B$26*E7/12</f>
        <v>0</v>
      </c>
      <c r="F141" s="57" t="n">
        <f aca="false">F140*Assumptions!$B$26*F7/12</f>
        <v>0</v>
      </c>
      <c r="G141" s="57" t="n">
        <f aca="false">G140*Assumptions!$B$26*G7/12</f>
        <v>0</v>
      </c>
      <c r="H141" s="57" t="n">
        <f aca="false">H140*Assumptions!$B$26*H7/12</f>
        <v>0</v>
      </c>
      <c r="I141" s="57" t="n">
        <f aca="false">I140*Assumptions!$B$26*I7/12</f>
        <v>0</v>
      </c>
      <c r="J141" s="57" t="n">
        <f aca="false">J140*Assumptions!$B$26*J7/12</f>
        <v>0</v>
      </c>
      <c r="K141" s="57" t="n">
        <f aca="false">K140*Assumptions!$B$26*K7/12</f>
        <v>0</v>
      </c>
      <c r="L141" s="57" t="n">
        <f aca="false">L140*Assumptions!$B$26*L7/12</f>
        <v>0</v>
      </c>
      <c r="M141" s="57" t="n">
        <f aca="false">M140*Assumptions!$B$26*M7/12</f>
        <v>0</v>
      </c>
      <c r="N141" s="57" t="n">
        <f aca="false">N140*Assumptions!$B$26*N7/12</f>
        <v>0</v>
      </c>
      <c r="O141" s="57" t="n">
        <f aca="false">O140*Assumptions!$B$26*O7/12</f>
        <v>9843.75</v>
      </c>
      <c r="P141" s="57" t="n">
        <f aca="false">P140*Assumptions!$B$26*P7/12</f>
        <v>9843.75</v>
      </c>
      <c r="Q141" s="57" t="n">
        <f aca="false">Q140*Assumptions!$B$26*Q7/12</f>
        <v>9843.75</v>
      </c>
      <c r="R141" s="57" t="n">
        <f aca="false">R140*Assumptions!$B$26*R7/12</f>
        <v>9843.75</v>
      </c>
      <c r="S141" s="57" t="n">
        <f aca="false">S140*Assumptions!$B$26*S7/12</f>
        <v>9843.75</v>
      </c>
      <c r="T141" s="57" t="n">
        <f aca="false">T140*Assumptions!$B$26*T7/12</f>
        <v>9843.75</v>
      </c>
      <c r="U141" s="57" t="n">
        <f aca="false">U140*Assumptions!$B$26*U7/12</f>
        <v>9843.75</v>
      </c>
      <c r="V141" s="57" t="n">
        <f aca="false">V140*Assumptions!$B$26*V7/12</f>
        <v>9843.75</v>
      </c>
      <c r="W141" s="57" t="n">
        <f aca="false">W140*Assumptions!$B$26*W7/12</f>
        <v>9843.75</v>
      </c>
      <c r="X141" s="57" t="n">
        <f aca="false">X140*Assumptions!$B$26*X7/12</f>
        <v>9843.75</v>
      </c>
      <c r="Y141" s="57" t="n">
        <f aca="false">Y140*Assumptions!$B$26*Y7/12</f>
        <v>9843.75</v>
      </c>
      <c r="Z141" s="57" t="n">
        <f aca="false">Z140*Assumptions!$B$26*Z7/12</f>
        <v>9843.75</v>
      </c>
      <c r="AA141" s="57" t="n">
        <f aca="false">AA140*Assumptions!$B$26*AA7/12</f>
        <v>354375</v>
      </c>
      <c r="AB141" s="57" t="n">
        <f aca="false">AB140*Assumptions!$B$26*AB7/12</f>
        <v>590625</v>
      </c>
      <c r="AC141" s="57" t="n">
        <f aca="false">AC140*Assumptions!$B$26*AC7/12</f>
        <v>826875</v>
      </c>
      <c r="AD141" s="57" t="n">
        <f aca="false">AD140*Assumptions!$B$26*AD7/12</f>
        <v>1063125</v>
      </c>
      <c r="AE141" s="57" t="n">
        <f aca="false">AE140*Assumptions!$B$26*AE7/12</f>
        <v>1299375</v>
      </c>
    </row>
    <row r="142" customFormat="false" ht="15" hidden="false" customHeight="false" outlineLevel="0" collapsed="false">
      <c r="A142" s="9" t="s">
        <v>492</v>
      </c>
    </row>
    <row r="144" customFormat="false" ht="15" hidden="false" customHeight="false" outlineLevel="0" collapsed="false">
      <c r="A144" s="46" t="s">
        <v>493</v>
      </c>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c r="AD144" s="47"/>
      <c r="AE144" s="47"/>
    </row>
    <row r="145" customFormat="false" ht="15" hidden="false" customHeight="false" outlineLevel="0" collapsed="false">
      <c r="A145" s="3" t="s">
        <v>494</v>
      </c>
      <c r="B145" s="23" t="s">
        <v>207</v>
      </c>
      <c r="C145" s="45" t="n">
        <f aca="false">C31+C69+C107</f>
        <v>251.480277935574</v>
      </c>
      <c r="D145" s="45" t="n">
        <f aca="false">D31+D69+D107</f>
        <v>478.011831484714</v>
      </c>
      <c r="E145" s="45" t="n">
        <f aca="false">E31+E69+E107</f>
        <v>683.333667764708</v>
      </c>
      <c r="F145" s="45" t="n">
        <f aca="false">F31+F69+F107</f>
        <v>935.513221147477</v>
      </c>
      <c r="G145" s="45" t="n">
        <f aca="false">G31+G69+G107</f>
        <v>1147.79798975556</v>
      </c>
      <c r="H145" s="45" t="n">
        <f aca="false">H31+H69+H107</f>
        <v>1309.85152205358</v>
      </c>
      <c r="I145" s="45" t="n">
        <f aca="false">I31+I69+I107</f>
        <v>1456.39051524538</v>
      </c>
      <c r="J145" s="45" t="n">
        <f aca="false">J31+J69+J107</f>
        <v>1595.60265462936</v>
      </c>
      <c r="K145" s="45" t="n">
        <f aca="false">K31+K69+K107</f>
        <v>1747.58884970459</v>
      </c>
      <c r="L145" s="45" t="n">
        <f aca="false">L31+L69+L107</f>
        <v>1970.83764949742</v>
      </c>
      <c r="M145" s="45" t="n">
        <f aca="false">M31+M69+M107</f>
        <v>2158.17548445685</v>
      </c>
      <c r="N145" s="45" t="n">
        <f aca="false">N31+N69+N107</f>
        <v>2301.61401378486</v>
      </c>
      <c r="O145" s="45" t="n">
        <f aca="false">O31+O69+O107</f>
        <v>3092.52373526986</v>
      </c>
      <c r="P145" s="45" t="n">
        <f aca="false">P31+P69+P107</f>
        <v>3819.70468225755</v>
      </c>
      <c r="Q145" s="45" t="n">
        <f aca="false">Q31+Q69+Q107</f>
        <v>4491.7702361173</v>
      </c>
      <c r="R145" s="45" t="n">
        <f aca="false">R31+R69+R107</f>
        <v>5364.62420050301</v>
      </c>
      <c r="S145" s="45" t="n">
        <f aca="false">S31+S69+S107</f>
        <v>6112.91356429346</v>
      </c>
      <c r="T145" s="45" t="n">
        <f aca="false">T31+T69+T107</f>
        <v>6685.30243357939</v>
      </c>
      <c r="U145" s="45" t="n">
        <f aca="false">U31+U69+U107</f>
        <v>7211.38099503394</v>
      </c>
      <c r="V145" s="45" t="n">
        <f aca="false">V31+V69+V107</f>
        <v>7721.86397112056</v>
      </c>
      <c r="W145" s="45" t="n">
        <f aca="false">W31+W69+W107</f>
        <v>8298.92052767662</v>
      </c>
      <c r="X145" s="45" t="n">
        <f aca="false">X31+X69+X107</f>
        <v>9191.30396012823</v>
      </c>
      <c r="Y145" s="45" t="n">
        <f aca="false">Y31+Y69+Y107</f>
        <v>9959.596605214</v>
      </c>
      <c r="Z145" s="45" t="n">
        <f aca="false">Z31+Z69+Z107</f>
        <v>10559.3050972055</v>
      </c>
      <c r="AA145" s="45" t="n">
        <f aca="false">AA31+AA69+AA107</f>
        <v>20156.8093499209</v>
      </c>
      <c r="AB145" s="45" t="n">
        <f aca="false">AB31+AB69+AB107</f>
        <v>32759.3321039159</v>
      </c>
      <c r="AC145" s="45" t="n">
        <f aca="false">AC31+AC69+AC107</f>
        <v>46976.6503863533</v>
      </c>
      <c r="AD145" s="45" t="n">
        <f aca="false">AD31+AD69+AD107</f>
        <v>58177.4026631928</v>
      </c>
      <c r="AE145" s="45" t="n">
        <f aca="false">AE31+AE69+AE107</f>
        <v>62599.1124981996</v>
      </c>
    </row>
    <row r="146" customFormat="false" ht="15" hidden="false" customHeight="false" outlineLevel="0" collapsed="false">
      <c r="A146" s="3" t="s">
        <v>495</v>
      </c>
      <c r="B146" s="23" t="s">
        <v>207</v>
      </c>
      <c r="C146" s="45" t="n">
        <f aca="false">C33+C71+C109</f>
        <v>6.34301618207331</v>
      </c>
      <c r="D146" s="45" t="n">
        <f aca="false">D33+D71+D109</f>
        <v>24.5867380310394</v>
      </c>
      <c r="E146" s="45" t="n">
        <f aca="false">E33+E71+E109</f>
        <v>53.5824057114196</v>
      </c>
      <c r="F146" s="45" t="n">
        <f aca="false">F33+F71+F109</f>
        <v>93.9900928451403</v>
      </c>
      <c r="G146" s="45" t="n">
        <f aca="false">G33+G71+G109</f>
        <v>145.956346707378</v>
      </c>
      <c r="H146" s="45" t="n">
        <f aca="false">H33+H71+H109</f>
        <v>207.232700135016</v>
      </c>
      <c r="I146" s="45" t="n">
        <f aca="false">I33+I71+I109</f>
        <v>276.192036150173</v>
      </c>
      <c r="J146" s="45" t="n">
        <f aca="false">J33+J71+J109</f>
        <v>352.267860034575</v>
      </c>
      <c r="K146" s="45" t="n">
        <f aca="false">K33+K71+K109</f>
        <v>435.602111587888</v>
      </c>
      <c r="L146" s="45" t="n">
        <f aca="false">L33+L71+L109</f>
        <v>528.306497078326</v>
      </c>
      <c r="M146" s="45" t="n">
        <f aca="false">M33+M71+M109</f>
        <v>631.228460090131</v>
      </c>
      <c r="N146" s="45" t="n">
        <f aca="false">N33+N71+N109</f>
        <v>742.377252635484</v>
      </c>
      <c r="O146" s="45" t="n">
        <f aca="false">O33+O71+O109</f>
        <v>877.003839328856</v>
      </c>
      <c r="P146" s="45" t="n">
        <f aca="false">P33+P71+P109</f>
        <v>1049.43001280676</v>
      </c>
      <c r="Q146" s="45" t="n">
        <f aca="false">Q33+Q71+Q109</f>
        <v>1256.69774598881</v>
      </c>
      <c r="R146" s="45" t="n">
        <f aca="false">R33+R71+R109</f>
        <v>1502.51550931467</v>
      </c>
      <c r="S146" s="45" t="n">
        <f aca="false">S33+S71+S109</f>
        <v>1788.6812784345</v>
      </c>
      <c r="T146" s="45" t="n">
        <f aca="false">T33+T71+T109</f>
        <v>2107.69380349193</v>
      </c>
      <c r="U146" s="45" t="n">
        <f aca="false">U33+U71+U109</f>
        <v>2454.05747627006</v>
      </c>
      <c r="V146" s="45" t="n">
        <f aca="false">V33+V71+V109</f>
        <v>2826.23959898881</v>
      </c>
      <c r="W146" s="45" t="n">
        <f aca="false">W33+W71+W109</f>
        <v>3225.53565284314</v>
      </c>
      <c r="X146" s="45" t="n">
        <f aca="false">X33+X71+X109</f>
        <v>3661.53689425511</v>
      </c>
      <c r="Y146" s="45" t="n">
        <f aca="false">Y33+Y71+Y109</f>
        <v>4138.87114615953</v>
      </c>
      <c r="Z146" s="45" t="n">
        <f aca="false">Z33+Z71+Z109</f>
        <v>4650.23335355799</v>
      </c>
      <c r="AA146" s="45" t="n">
        <f aca="false">AA33+AA71+AA109</f>
        <v>14401.1750350038</v>
      </c>
      <c r="AB146" s="45" t="n">
        <f aca="false">AB33+AB71+AB109</f>
        <v>31022.6367781484</v>
      </c>
      <c r="AC146" s="45" t="n">
        <f aca="false">AC33+AC71+AC109</f>
        <v>55853.6500359049</v>
      </c>
      <c r="AD146" s="45" t="n">
        <f aca="false">AD33+AD71+AD109</f>
        <v>88260.4751546423</v>
      </c>
      <c r="AE146" s="45" t="n">
        <f aca="false">AE33+AE71+AE109</f>
        <v>125101.874831457</v>
      </c>
    </row>
    <row r="147" customFormat="false" ht="15" hidden="false" customHeight="false" outlineLevel="0" collapsed="false">
      <c r="A147" s="6" t="s">
        <v>496</v>
      </c>
      <c r="B147" s="23" t="s">
        <v>207</v>
      </c>
      <c r="C147" s="45" t="n">
        <f aca="false">C34+C72+C110</f>
        <v>257.823294117647</v>
      </c>
      <c r="D147" s="45" t="n">
        <f aca="false">D34+D72+D110</f>
        <v>502.598569515753</v>
      </c>
      <c r="E147" s="45" t="n">
        <f aca="false">E34+E72+E110</f>
        <v>736.916073476127</v>
      </c>
      <c r="F147" s="45" t="n">
        <f aca="false">F34+F72+F110</f>
        <v>1029.50331399262</v>
      </c>
      <c r="G147" s="45" t="n">
        <f aca="false">G34+G72+G110</f>
        <v>1293.75433646294</v>
      </c>
      <c r="H147" s="45" t="n">
        <f aca="false">H34+H72+H110</f>
        <v>1517.0842221886</v>
      </c>
      <c r="I147" s="45" t="n">
        <f aca="false">I34+I72+I110</f>
        <v>1732.58255139556</v>
      </c>
      <c r="J147" s="45" t="n">
        <f aca="false">J34+J72+J110</f>
        <v>1947.87051466393</v>
      </c>
      <c r="K147" s="45" t="n">
        <f aca="false">K34+K72+K110</f>
        <v>2183.19096129248</v>
      </c>
      <c r="L147" s="45" t="n">
        <f aca="false">L34+L72+L110</f>
        <v>2499.14414657575</v>
      </c>
      <c r="M147" s="45" t="n">
        <f aca="false">M34+M72+M110</f>
        <v>2789.40394454698</v>
      </c>
      <c r="N147" s="45" t="n">
        <f aca="false">N34+N72+N110</f>
        <v>3043.99126642035</v>
      </c>
      <c r="O147" s="45" t="n">
        <f aca="false">O34+O72+O110</f>
        <v>3969.52757459872</v>
      </c>
      <c r="P147" s="45" t="n">
        <f aca="false">P34+P72+P110</f>
        <v>4869.13469506431</v>
      </c>
      <c r="Q147" s="45" t="n">
        <f aca="false">Q34+Q72+Q110</f>
        <v>5748.4679821061</v>
      </c>
      <c r="R147" s="45" t="n">
        <f aca="false">R34+R72+R110</f>
        <v>6867.13970981768</v>
      </c>
      <c r="S147" s="45" t="n">
        <f aca="false">S34+S72+S110</f>
        <v>7901.59484272796</v>
      </c>
      <c r="T147" s="45" t="n">
        <f aca="false">T34+T72+T110</f>
        <v>8792.99623707132</v>
      </c>
      <c r="U147" s="45" t="n">
        <f aca="false">U34+U72+U110</f>
        <v>9665.43847130399</v>
      </c>
      <c r="V147" s="45" t="n">
        <f aca="false">V34+V72+V110</f>
        <v>10548.1035701094</v>
      </c>
      <c r="W147" s="45" t="n">
        <f aca="false">W34+W72+W110</f>
        <v>11524.4561805198</v>
      </c>
      <c r="X147" s="45" t="n">
        <f aca="false">X34+X72+X110</f>
        <v>12852.8408543833</v>
      </c>
      <c r="Y147" s="45" t="n">
        <f aca="false">Y34+Y72+Y110</f>
        <v>14098.4677513735</v>
      </c>
      <c r="Z147" s="45" t="n">
        <f aca="false">Z34+Z72+Z110</f>
        <v>15209.5384507635</v>
      </c>
      <c r="AA147" s="45" t="n">
        <f aca="false">AA34+AA72+AA110</f>
        <v>34557.9843849247</v>
      </c>
      <c r="AB147" s="45" t="n">
        <f aca="false">AB34+AB72+AB110</f>
        <v>63781.9688820643</v>
      </c>
      <c r="AC147" s="45" t="n">
        <f aca="false">AC34+AC72+AC110</f>
        <v>102830.300422258</v>
      </c>
      <c r="AD147" s="45" t="n">
        <f aca="false">AD34+AD72+AD110</f>
        <v>146437.877817835</v>
      </c>
      <c r="AE147" s="45" t="n">
        <f aca="false">AE34+AE72+AE110</f>
        <v>187700.987329657</v>
      </c>
    </row>
    <row r="148" customFormat="false" ht="15" hidden="false" customHeight="false" outlineLevel="0" collapsed="false">
      <c r="A148" s="3" t="s">
        <v>497</v>
      </c>
      <c r="B148" s="23" t="s">
        <v>207</v>
      </c>
      <c r="C148" s="45" t="n">
        <f aca="false">C30+C68+C106</f>
        <v>257.823294117647</v>
      </c>
      <c r="D148" s="45" t="n">
        <f aca="false">D30+D68+D106</f>
        <v>244.775275398106</v>
      </c>
      <c r="E148" s="45" t="n">
        <f aca="false">E30+E68+E106</f>
        <v>234.317503960374</v>
      </c>
      <c r="F148" s="45" t="n">
        <f aca="false">F30+F68+F106</f>
        <v>292.58724051649</v>
      </c>
      <c r="G148" s="45" t="n">
        <f aca="false">G30+G68+G106</f>
        <v>264.251022470318</v>
      </c>
      <c r="H148" s="45" t="n">
        <f aca="false">H30+H68+H106</f>
        <v>223.329885725665</v>
      </c>
      <c r="I148" s="45" t="n">
        <f aca="false">I30+I68+I106</f>
        <v>215.498329206956</v>
      </c>
      <c r="J148" s="45" t="n">
        <f aca="false">J30+J68+J106</f>
        <v>215.287963268377</v>
      </c>
      <c r="K148" s="45" t="n">
        <f aca="false">K30+K68+K106</f>
        <v>235.320446628543</v>
      </c>
      <c r="L148" s="45" t="n">
        <f aca="false">L30+L68+L106</f>
        <v>315.95318528327</v>
      </c>
      <c r="M148" s="45" t="n">
        <f aca="false">M30+M68+M106</f>
        <v>290.259797971232</v>
      </c>
      <c r="N148" s="45" t="n">
        <f aca="false">N30+N68+N106</f>
        <v>254.587321873369</v>
      </c>
      <c r="O148" s="45" t="n">
        <f aca="false">O30+O68+O106</f>
        <v>925.536308178372</v>
      </c>
      <c r="P148" s="45" t="n">
        <f aca="false">P30+P68+P106</f>
        <v>899.607120465592</v>
      </c>
      <c r="Q148" s="45" t="n">
        <f aca="false">Q30+Q68+Q106</f>
        <v>879.333287041792</v>
      </c>
      <c r="R148" s="45" t="n">
        <f aca="false">R30+R68+R106</f>
        <v>1118.67172771158</v>
      </c>
      <c r="S148" s="45" t="n">
        <f aca="false">S30+S68+S106</f>
        <v>1034.45513291028</v>
      </c>
      <c r="T148" s="45" t="n">
        <f aca="false">T30+T68+T106</f>
        <v>891.401394343352</v>
      </c>
      <c r="U148" s="45" t="n">
        <f aca="false">U30+U68+U106</f>
        <v>872.44223423268</v>
      </c>
      <c r="V148" s="45" t="n">
        <f aca="false">V30+V68+V106</f>
        <v>882.665098805376</v>
      </c>
      <c r="W148" s="45" t="n">
        <f aca="false">W30+W68+W106</f>
        <v>976.352610410381</v>
      </c>
      <c r="X148" s="45" t="n">
        <f aca="false">X30+X68+X106</f>
        <v>1328.38467386359</v>
      </c>
      <c r="Y148" s="45" t="n">
        <f aca="false">Y30+Y68+Y106</f>
        <v>1245.62689699018</v>
      </c>
      <c r="Z148" s="45" t="n">
        <f aca="false">Z30+Z68+Z106</f>
        <v>1111.07069938992</v>
      </c>
      <c r="AA148" s="45" t="n">
        <f aca="false">AA30+AA68+AA106</f>
        <v>19348.4459341612</v>
      </c>
      <c r="AB148" s="45" t="n">
        <f aca="false">AB30+AB68+AB106</f>
        <v>29223.9844971396</v>
      </c>
      <c r="AC148" s="45" t="n">
        <f aca="false">AC30+AC68+AC106</f>
        <v>39048.3315401938</v>
      </c>
      <c r="AD148" s="45" t="n">
        <f aca="false">AD30+AD68+AD106</f>
        <v>43607.577395577</v>
      </c>
      <c r="AE148" s="45" t="n">
        <f aca="false">AE30+AE68+AE106</f>
        <v>41263.1095118219</v>
      </c>
    </row>
    <row r="149" customFormat="false" ht="15" hidden="false" customHeight="false" outlineLevel="0" collapsed="false">
      <c r="A149" s="3" t="s">
        <v>498</v>
      </c>
      <c r="B149" s="23" t="s">
        <v>207</v>
      </c>
      <c r="C149" s="45" t="n">
        <f aca="false">C45+C83+C121</f>
        <v>0</v>
      </c>
      <c r="D149" s="45" t="n">
        <f aca="false">D45+D83+D121</f>
        <v>0</v>
      </c>
      <c r="E149" s="45" t="n">
        <f aca="false">E45+E83+E121</f>
        <v>0</v>
      </c>
      <c r="F149" s="45" t="n">
        <f aca="false">F45+F83+F121</f>
        <v>0</v>
      </c>
      <c r="G149" s="45" t="n">
        <f aca="false">G45+G83+G121</f>
        <v>0</v>
      </c>
      <c r="H149" s="45" t="n">
        <f aca="false">H45+H83+H121</f>
        <v>0</v>
      </c>
      <c r="I149" s="45" t="n">
        <f aca="false">I45+I83+I121</f>
        <v>0</v>
      </c>
      <c r="J149" s="45" t="n">
        <f aca="false">J45+J83+J121</f>
        <v>0</v>
      </c>
      <c r="K149" s="45" t="n">
        <f aca="false">K45+K83+K121</f>
        <v>0</v>
      </c>
      <c r="L149" s="45" t="n">
        <f aca="false">L45+L83+L121</f>
        <v>0</v>
      </c>
      <c r="M149" s="45" t="n">
        <f aca="false">M45+M83+M121</f>
        <v>0</v>
      </c>
      <c r="N149" s="45" t="n">
        <f aca="false">N45+N83+N121</f>
        <v>0</v>
      </c>
      <c r="O149" s="45" t="n">
        <f aca="false">O45+O83+O121</f>
        <v>128.081679309831</v>
      </c>
      <c r="P149" s="45" t="n">
        <f aca="false">P45+P83+P121</f>
        <v>150.191337996671</v>
      </c>
      <c r="Q149" s="45" t="n">
        <f aca="false">Q45+Q83+Q121</f>
        <v>171.52567258816</v>
      </c>
      <c r="R149" s="45" t="n">
        <f aca="false">R45+R83+R121</f>
        <v>192.839180951729</v>
      </c>
      <c r="S149" s="45" t="n">
        <f aca="false">S45+S83+S121</f>
        <v>216.135905167955</v>
      </c>
      <c r="T149" s="45" t="n">
        <f aca="false">T45+T83+T121</f>
        <v>247.415270510999</v>
      </c>
      <c r="U149" s="45" t="n">
        <f aca="false">U45+U83+U121</f>
        <v>276.150990510151</v>
      </c>
      <c r="V149" s="45" t="n">
        <f aca="false">V45+V83+V121</f>
        <v>301.355135375614</v>
      </c>
      <c r="W149" s="45" t="n">
        <f aca="false">W45+W83+W121</f>
        <v>392.983229885273</v>
      </c>
      <c r="X149" s="45" t="n">
        <f aca="false">X45+X83+X121</f>
        <v>482.044334811367</v>
      </c>
      <c r="Y149" s="45" t="n">
        <f aca="false">Y45+Y83+Y121</f>
        <v>569.098330228504</v>
      </c>
      <c r="Z149" s="45" t="n">
        <f aca="false">Z45+Z83+Z121</f>
        <v>679.846831271951</v>
      </c>
      <c r="AA149" s="45" t="n">
        <f aca="false">AA45+AA83+AA121</f>
        <v>3421.24045410754</v>
      </c>
      <c r="AB149" s="45" t="n">
        <f aca="false">AB45+AB83+AB121</f>
        <v>6314.41491932437</v>
      </c>
      <c r="AC149" s="45" t="n">
        <f aca="false">AC45+AC83+AC121</f>
        <v>10180.1997418036</v>
      </c>
      <c r="AD149" s="45" t="n">
        <f aca="false">AD45+AD83+AD121</f>
        <v>14497.3499039657</v>
      </c>
      <c r="AE149" s="45" t="n">
        <f aca="false">AE45+AE83+AE121</f>
        <v>18582.397745636</v>
      </c>
    </row>
    <row r="150" customFormat="false" ht="15" hidden="false" customHeight="false" outlineLevel="0" collapsed="false">
      <c r="A150" s="6" t="s">
        <v>499</v>
      </c>
      <c r="B150" s="23" t="s">
        <v>207</v>
      </c>
      <c r="C150" s="45" t="n">
        <f aca="false">C40+C78+C116</f>
        <v>55.6929884563148</v>
      </c>
      <c r="D150" s="45" t="n">
        <f aca="false">D40+D78+D116</f>
        <v>160.990127176879</v>
      </c>
      <c r="E150" s="45" t="n">
        <f aca="false">E40+E78+E116</f>
        <v>310.68065374113</v>
      </c>
      <c r="F150" s="45" t="n">
        <f aca="false">F40+F78+F116</f>
        <v>514.67683520512</v>
      </c>
      <c r="G150" s="45" t="n">
        <f aca="false">G40+G78+G116</f>
        <v>763.562420862896</v>
      </c>
      <c r="H150" s="45" t="n">
        <f aca="false">H40+H78+H116</f>
        <v>1045.71476859401</v>
      </c>
      <c r="I150" s="45" t="n">
        <f aca="false">I40+I78+I116</f>
        <v>1357.31746167741</v>
      </c>
      <c r="J150" s="45" t="n">
        <f aca="false">J40+J78+J116</f>
        <v>1696.40500588085</v>
      </c>
      <c r="K150" s="45" t="n">
        <f aca="false">K40+K78+K116</f>
        <v>2065.49038711174</v>
      </c>
      <c r="L150" s="45" t="n">
        <f aca="false">L40+L78+L116</f>
        <v>2480.04488638953</v>
      </c>
      <c r="M150" s="45" t="n">
        <f aca="false">M40+M78+M116</f>
        <v>2931.58182680076</v>
      </c>
      <c r="N150" s="45" t="n">
        <f aca="false">N40+N78+N116</f>
        <v>3409.92095871356</v>
      </c>
      <c r="O150" s="45" t="n">
        <f aca="false">O40+O78+O116</f>
        <v>4004.9731353679</v>
      </c>
      <c r="P150" s="45" t="n">
        <f aca="false">P40+P78+P116</f>
        <v>4740.691556302</v>
      </c>
      <c r="Q150" s="45" t="n">
        <f aca="false">Q40+Q78+Q116</f>
        <v>5604.3452637277</v>
      </c>
      <c r="R150" s="45" t="n">
        <f aca="false">R40+R78+R116</f>
        <v>6635.27650454539</v>
      </c>
      <c r="S150" s="45" t="n">
        <f aca="false">S40+S78+S116</f>
        <v>7806.35934498633</v>
      </c>
      <c r="T150" s="45" t="n">
        <f aca="false">T40+T78+T116</f>
        <v>9080.31703590992</v>
      </c>
      <c r="U150" s="45" t="n">
        <f aca="false">U40+U78+U116</f>
        <v>10446.5651212376</v>
      </c>
      <c r="V150" s="45" t="n">
        <f aca="false">V40+V78+V116</f>
        <v>11900.8613004913</v>
      </c>
      <c r="W150" s="45" t="n">
        <f aca="false">W40+W78+W116</f>
        <v>13455.708196902</v>
      </c>
      <c r="X150" s="45" t="n">
        <f aca="false">X40+X78+X116</f>
        <v>15174.0668538513</v>
      </c>
      <c r="Y150" s="45" t="n">
        <f aca="false">Y40+Y78+Y116</f>
        <v>17028.8446900368</v>
      </c>
      <c r="Z150" s="45" t="n">
        <f aca="false">Z40+Z78+Z116</f>
        <v>18984.1673378964</v>
      </c>
      <c r="AA150" s="45" t="n">
        <f aca="false">AA40+AA78+AA116</f>
        <v>61836.6586803199</v>
      </c>
      <c r="AB150" s="45" t="n">
        <f aca="false">AB40+AB78+AB116</f>
        <v>121688.258428563</v>
      </c>
      <c r="AC150" s="45" t="n">
        <f aca="false">AC40+AC78+AC116</f>
        <v>195560.611506421</v>
      </c>
      <c r="AD150" s="45" t="n">
        <f aca="false">AD40+AD78+AD116</f>
        <v>272222.387900632</v>
      </c>
      <c r="AE150" s="45" t="n">
        <f aca="false">AE40+AE78+AE116</f>
        <v>337339.091234944</v>
      </c>
    </row>
    <row r="151" customFormat="false" ht="15" hidden="false" customHeight="false" outlineLevel="0" collapsed="false">
      <c r="A151" s="3" t="s">
        <v>500</v>
      </c>
      <c r="B151" s="23" t="s">
        <v>207</v>
      </c>
      <c r="C151" s="45" t="n">
        <f aca="false">C41+C79+C117</f>
        <v>55.6929884563148</v>
      </c>
      <c r="D151" s="45" t="n">
        <f aca="false">D41+D79+D117</f>
        <v>161.268592119161</v>
      </c>
      <c r="E151" s="45" t="n">
        <f aca="false">E41+E79+E117</f>
        <v>311.762616252297</v>
      </c>
      <c r="F151" s="45" t="n">
        <f aca="false">F41+F79+F117</f>
        <v>517.30649483905</v>
      </c>
      <c r="G151" s="45" t="n">
        <f aca="false">G41+G79+G117</f>
        <v>768.751426389235</v>
      </c>
      <c r="H151" s="45" t="n">
        <f aca="false">H41+H79+H117</f>
        <v>1054.69351480327</v>
      </c>
      <c r="I151" s="45" t="n">
        <f aca="false">I41+I79+I117</f>
        <v>1371.47559419057</v>
      </c>
      <c r="J151" s="45" t="n">
        <f aca="false">J41+J79+J117</f>
        <v>1717.27125387126</v>
      </c>
      <c r="K151" s="45" t="n">
        <f aca="false">K41+K79+K117</f>
        <v>2094.72183926914</v>
      </c>
      <c r="L151" s="45" t="n">
        <f aca="false">L41+L79+L117</f>
        <v>2519.43909582298</v>
      </c>
      <c r="M151" s="45" t="n">
        <f aca="false">M41+M79+M117</f>
        <v>2983.15254667847</v>
      </c>
      <c r="N151" s="45" t="n">
        <f aca="false">N41+N79+N117</f>
        <v>3475.85400431012</v>
      </c>
      <c r="O151" s="45" t="n">
        <f aca="false">O41+O79+O117</f>
        <v>4087.58170633109</v>
      </c>
      <c r="P151" s="45" t="n">
        <f aca="false">P41+P79+P117</f>
        <v>4842.8572962685</v>
      </c>
      <c r="Q151" s="45" t="n">
        <f aca="false">Q41+Q79+Q117</f>
        <v>5729.63494511724</v>
      </c>
      <c r="R151" s="45" t="n">
        <f aca="false">R41+R79+R117</f>
        <v>6787.87711556648</v>
      </c>
      <c r="S151" s="45" t="n">
        <f aca="false">S41+S79+S117</f>
        <v>7991.26723255354</v>
      </c>
      <c r="T151" s="45" t="n">
        <f aca="false">T41+T79+T117</f>
        <v>9303.19641484048</v>
      </c>
      <c r="U151" s="45" t="n">
        <f aca="false">U41+U79+U117</f>
        <v>10713.558803271</v>
      </c>
      <c r="V151" s="45" t="n">
        <f aca="false">V41+V79+V117</f>
        <v>12218.5347902357</v>
      </c>
      <c r="W151" s="45" t="n">
        <f aca="false">W41+W79+W117</f>
        <v>13831.027126803</v>
      </c>
      <c r="X151" s="45" t="n">
        <f aca="false">X41+X79+X117</f>
        <v>15614.4628534712</v>
      </c>
      <c r="Y151" s="45" t="n">
        <f aca="false">Y41+Y79+Y117</f>
        <v>17542.516753194</v>
      </c>
      <c r="Z151" s="45" t="n">
        <f aca="false">Z41+Z79+Z117</f>
        <v>19579.9393808762</v>
      </c>
      <c r="AA151" s="45" t="n">
        <f aca="false">AA41+AA79+AA117</f>
        <v>63526.7524838895</v>
      </c>
      <c r="AB151" s="45" t="n">
        <f aca="false">AB41+AB79+AB117</f>
        <v>126957.464924801</v>
      </c>
      <c r="AC151" s="45" t="n">
        <f aca="false">AC41+AC79+AC117</f>
        <v>207711.72391368</v>
      </c>
      <c r="AD151" s="45" t="n">
        <f aca="false">AD41+AD79+AD117</f>
        <v>295113.7821755</v>
      </c>
      <c r="AE151" s="45" t="n">
        <f aca="false">AE41+AE79+AE117</f>
        <v>374638.943694224</v>
      </c>
    </row>
    <row r="152" customFormat="false" ht="15" hidden="false" customHeight="false" outlineLevel="0" collapsed="false">
      <c r="A152" s="6" t="s">
        <v>501</v>
      </c>
      <c r="B152" s="23" t="s">
        <v>207</v>
      </c>
      <c r="C152" s="54" t="n">
        <f aca="false">C37+C75+C113</f>
        <v>55.6929884563148</v>
      </c>
      <c r="D152" s="54" t="n">
        <f aca="false">D37+D75+D113</f>
        <v>105.862241927265</v>
      </c>
      <c r="E152" s="54" t="n">
        <f aca="false">E37+E75+E113</f>
        <v>151.335545033654</v>
      </c>
      <c r="F152" s="54" t="n">
        <f aca="false">F37+F75+F113</f>
        <v>207.188078792705</v>
      </c>
      <c r="G152" s="54" t="n">
        <f aca="false">G37+G75+G113</f>
        <v>254.206541898854</v>
      </c>
      <c r="H152" s="54" t="n">
        <f aca="false">H37+H75+H113</f>
        <v>290.100870857604</v>
      </c>
      <c r="I152" s="54" t="n">
        <f aca="false">I37+I75+I113</f>
        <v>322.559921495914</v>
      </c>
      <c r="J152" s="54" t="n">
        <f aca="false">J37+J75+J113</f>
        <v>353.397100026231</v>
      </c>
      <c r="K152" s="54" t="n">
        <f aca="false">K37+K75+K113</f>
        <v>387.064824871027</v>
      </c>
      <c r="L152" s="54" t="n">
        <f aca="false">L37+L75+L113</f>
        <v>436.519252880622</v>
      </c>
      <c r="M152" s="54" t="n">
        <f aca="false">M37+M75+M113</f>
        <v>478.020978654045</v>
      </c>
      <c r="N152" s="54" t="n">
        <f aca="false">N37+N75+N113</f>
        <v>509.7997331417</v>
      </c>
      <c r="O152" s="54" t="n">
        <f aca="false">O37+O75+O113</f>
        <v>631.448393114828</v>
      </c>
      <c r="P152" s="54" t="n">
        <f aca="false">P37+P75+P113</f>
        <v>778.411570207279</v>
      </c>
      <c r="Q152" s="54" t="n">
        <f aca="false">Q37+Q75+Q113</f>
        <v>914.232938673212</v>
      </c>
      <c r="R152" s="54" t="n">
        <f aca="false">R37+R75+R113</f>
        <v>1090.72401041645</v>
      </c>
      <c r="S152" s="54" t="n">
        <f aca="false">S37+S75+S113</f>
        <v>1242.01606560119</v>
      </c>
      <c r="T152" s="54" t="n">
        <f aca="false">T37+T75+T113</f>
        <v>1357.71110495965</v>
      </c>
      <c r="U152" s="54" t="n">
        <f aca="false">U37+U75+U113</f>
        <v>1464.04550655384</v>
      </c>
      <c r="V152" s="54" t="n">
        <f aca="false">V37+V75+V113</f>
        <v>1567.23815790303</v>
      </c>
      <c r="W152" s="54" t="n">
        <f aca="false">W37+W75+W113</f>
        <v>1683.9291663838</v>
      </c>
      <c r="X152" s="54" t="n">
        <f aca="false">X37+X75+X113</f>
        <v>1864.49949714396</v>
      </c>
      <c r="Y152" s="54" t="n">
        <f aca="false">Y37+Y75+Y113</f>
        <v>2019.96793441166</v>
      </c>
      <c r="Z152" s="54" t="n">
        <f aca="false">Z37+Z75+Z113</f>
        <v>2141.31675055762</v>
      </c>
      <c r="AA152" s="54" t="n">
        <f aca="false">AA37+AA75+AA113</f>
        <v>45416.2661976285</v>
      </c>
      <c r="AB152" s="54" t="n">
        <f aca="false">AB37+AB75+AB113</f>
        <v>68355.5743681696</v>
      </c>
      <c r="AC152" s="54" t="n">
        <f aca="false">AC37+AC75+AC113</f>
        <v>90855.3831627003</v>
      </c>
      <c r="AD152" s="54" t="n">
        <f aca="false">AD37+AD75+AD113</f>
        <v>104374.366880159</v>
      </c>
      <c r="AE152" s="54" t="n">
        <f aca="false">AE37+AE75+AE113</f>
        <v>104321.248101379</v>
      </c>
    </row>
    <row r="153" customFormat="false" ht="15" hidden="false" customHeight="false" outlineLevel="0" collapsed="false">
      <c r="A153" s="3" t="s">
        <v>502</v>
      </c>
      <c r="B153" s="23" t="s">
        <v>207</v>
      </c>
      <c r="C153" s="55" t="n">
        <f aca="false">C42+C80+C118</f>
        <v>7878.33014703029</v>
      </c>
      <c r="D153" s="55" t="n">
        <f aca="false">D42+D80+D118</f>
        <v>22773.6633904413</v>
      </c>
      <c r="E153" s="55" t="n">
        <f aca="false">E42+E80+E118</f>
        <v>43948.8852782203</v>
      </c>
      <c r="F153" s="55" t="n">
        <f aca="false">F42+F80+F118</f>
        <v>72806.1851081163</v>
      </c>
      <c r="G153" s="55" t="n">
        <f aca="false">G42+G80+G118</f>
        <v>108013.540055265</v>
      </c>
      <c r="H153" s="55" t="n">
        <f aca="false">H42+H80+H118</f>
        <v>147926.811165308</v>
      </c>
      <c r="I153" s="55" t="n">
        <f aca="false">I42+I80+I118</f>
        <v>192006.128128887</v>
      </c>
      <c r="J153" s="55" t="n">
        <f aca="false">J42+J80+J118</f>
        <v>239973.452131905</v>
      </c>
      <c r="K153" s="55" t="n">
        <f aca="false">K42+K80+K118</f>
        <v>292184.270160827</v>
      </c>
      <c r="L153" s="55" t="n">
        <f aca="false">L42+L80+L118</f>
        <v>350827.149628663</v>
      </c>
      <c r="M153" s="55" t="n">
        <f aca="false">M42+M80+M118</f>
        <v>414701.565219235</v>
      </c>
      <c r="N153" s="55" t="n">
        <f aca="false">N42+N80+N118</f>
        <v>482367.41881962</v>
      </c>
      <c r="O153" s="55" t="n">
        <f aca="false">O42+O80+O118</f>
        <v>612433.523207203</v>
      </c>
      <c r="P153" s="55" t="n">
        <f aca="false">P42+P80+P118</f>
        <v>724938.303986394</v>
      </c>
      <c r="Q153" s="55" t="n">
        <f aca="false">Q42+Q80+Q118</f>
        <v>857006.726168481</v>
      </c>
      <c r="R153" s="55" t="n">
        <f aca="false">R42+R80+R118</f>
        <v>1014654.93769396</v>
      </c>
      <c r="S153" s="55" t="n">
        <f aca="false">S42+S80+S118</f>
        <v>1193734.88797005</v>
      </c>
      <c r="T153" s="55" t="n">
        <f aca="false">T42+T80+T118</f>
        <v>1388546.2813797</v>
      </c>
      <c r="U153" s="55" t="n">
        <f aca="false">U42+U80+U118</f>
        <v>1597470.56131634</v>
      </c>
      <c r="V153" s="55" t="n">
        <f aca="false">V42+V80+V118</f>
        <v>1819859.00257247</v>
      </c>
      <c r="W153" s="55" t="n">
        <f aca="false">W42+W80+W118</f>
        <v>2057623.48453799</v>
      </c>
      <c r="X153" s="55" t="n">
        <f aca="false">X42+X80+X118</f>
        <v>2320391.90041462</v>
      </c>
      <c r="Y153" s="55" t="n">
        <f aca="false">Y42+Y80+Y118</f>
        <v>2604021.29981067</v>
      </c>
      <c r="Z153" s="55" t="n">
        <f aca="false">Z42+Z80+Z118</f>
        <v>2903025.83685994</v>
      </c>
      <c r="AA153" s="55" t="n">
        <f aca="false">AA42+AA80+AA118</f>
        <v>10221886.5438267</v>
      </c>
      <c r="AB153" s="55" t="n">
        <f aca="false">AB42+AB80+AB118</f>
        <v>21744999.9620009</v>
      </c>
      <c r="AC153" s="55" t="n">
        <f aca="false">AC42+AC80+AC118</f>
        <v>37776160.6075286</v>
      </c>
      <c r="AD153" s="55" t="n">
        <f aca="false">AD42+AD80+AD118</f>
        <v>56844174.3407233</v>
      </c>
      <c r="AE153" s="55" t="n">
        <f aca="false">AE42+AE80+AE118</f>
        <v>76147296.3528226</v>
      </c>
    </row>
    <row r="154" customFormat="false" ht="15" hidden="false" customHeight="false" outlineLevel="0" collapsed="false">
      <c r="A154" s="6" t="s">
        <v>503</v>
      </c>
      <c r="B154" s="23" t="s">
        <v>207</v>
      </c>
      <c r="C154" s="45" t="n">
        <f aca="false">C44+C82+C120</f>
        <v>0</v>
      </c>
      <c r="D154" s="45" t="n">
        <f aca="false">D44+D82+D120</f>
        <v>0</v>
      </c>
      <c r="E154" s="45" t="n">
        <f aca="false">E44+E82+E120</f>
        <v>0</v>
      </c>
      <c r="F154" s="45" t="n">
        <f aca="false">F44+F82+F120</f>
        <v>0</v>
      </c>
      <c r="G154" s="45" t="n">
        <f aca="false">G44+G82+G120</f>
        <v>0</v>
      </c>
      <c r="H154" s="45" t="n">
        <f aca="false">H44+H82+H120</f>
        <v>0</v>
      </c>
      <c r="I154" s="45" t="n">
        <f aca="false">I44+I82+I120</f>
        <v>0</v>
      </c>
      <c r="J154" s="45" t="n">
        <f aca="false">J44+J82+J120</f>
        <v>0</v>
      </c>
      <c r="K154" s="45" t="n">
        <f aca="false">K44+K82+K120</f>
        <v>141.802811764706</v>
      </c>
      <c r="L154" s="45" t="n">
        <f aca="false">L44+L82+L120</f>
        <v>276.429213233664</v>
      </c>
      <c r="M154" s="45" t="n">
        <f aca="false">M44+M82+M120</f>
        <v>405.30384041187</v>
      </c>
      <c r="N154" s="45" t="n">
        <f aca="false">N44+N82+N120</f>
        <v>566.22682269594</v>
      </c>
      <c r="O154" s="45" t="n">
        <f aca="false">O44+O82+O120</f>
        <v>711.564885054615</v>
      </c>
      <c r="P154" s="45" t="n">
        <f aca="false">P44+P82+P120</f>
        <v>834.39632220373</v>
      </c>
      <c r="Q154" s="45" t="n">
        <f aca="false">Q44+Q82+Q120</f>
        <v>952.920403267556</v>
      </c>
      <c r="R154" s="45" t="n">
        <f aca="false">R44+R82+R120</f>
        <v>1071.32878306516</v>
      </c>
      <c r="S154" s="45" t="n">
        <f aca="false">S44+S82+S120</f>
        <v>1200.75502871086</v>
      </c>
      <c r="T154" s="45" t="n">
        <f aca="false">T44+T82+T120</f>
        <v>1374.52928061666</v>
      </c>
      <c r="U154" s="45" t="n">
        <f aca="false">U44+U82+U120</f>
        <v>1534.17216950084</v>
      </c>
      <c r="V154" s="45" t="n">
        <f aca="false">V44+V82+V120</f>
        <v>1674.19519653119</v>
      </c>
      <c r="W154" s="45" t="n">
        <f aca="false">W44+W82+W120</f>
        <v>2183.2401660293</v>
      </c>
      <c r="X154" s="45" t="n">
        <f aca="false">X44+X82+X120</f>
        <v>2678.02408228537</v>
      </c>
      <c r="Y154" s="45" t="n">
        <f aca="false">Y44+Y82+Y120</f>
        <v>3161.65739015836</v>
      </c>
      <c r="Z154" s="45" t="n">
        <f aca="false">Z44+Z82+Z120</f>
        <v>3776.92684039973</v>
      </c>
      <c r="AA154" s="45" t="n">
        <f aca="false">AA44+AA82+AA120</f>
        <v>19006.8914117086</v>
      </c>
      <c r="AB154" s="45" t="n">
        <f aca="false">AB44+AB82+AB120</f>
        <v>35080.0828851354</v>
      </c>
      <c r="AC154" s="45" t="n">
        <f aca="false">AC44+AC82+AC120</f>
        <v>56556.665232242</v>
      </c>
      <c r="AD154" s="45" t="n">
        <f aca="false">AD44+AD82+AD120</f>
        <v>80540.8327998093</v>
      </c>
      <c r="AE154" s="45" t="n">
        <f aca="false">AE44+AE82+AE120</f>
        <v>103235.543031311</v>
      </c>
    </row>
    <row r="155" customFormat="false" ht="15" hidden="false" customHeight="false" outlineLevel="0" collapsed="false">
      <c r="A155" s="6" t="s">
        <v>504</v>
      </c>
      <c r="B155" s="23" t="s">
        <v>207</v>
      </c>
      <c r="C155" s="55" t="n">
        <f aca="false">C35+C73+C111</f>
        <v>7822.35327019387</v>
      </c>
      <c r="D155" s="55" t="n">
        <f aca="false">D35+D73+D111</f>
        <v>14868.8306789385</v>
      </c>
      <c r="E155" s="55" t="n">
        <f aca="false">E35+E73+E111</f>
        <v>21255.7059184207</v>
      </c>
      <c r="F155" s="55" t="n">
        <f aca="false">F35+F73+F111</f>
        <v>29100.3360759695</v>
      </c>
      <c r="G155" s="55" t="n">
        <f aca="false">G35+G73+G111</f>
        <v>35704.1479649456</v>
      </c>
      <c r="H155" s="55" t="n">
        <f aca="false">H35+H73+H111</f>
        <v>40745.517613178</v>
      </c>
      <c r="I155" s="55" t="n">
        <f aca="false">I35+I73+I111</f>
        <v>45304.369178412</v>
      </c>
      <c r="J155" s="55" t="n">
        <f aca="false">J35+J73+J111</f>
        <v>49635.4000551262</v>
      </c>
      <c r="K155" s="55" t="n">
        <f aca="false">K35+K73+K111</f>
        <v>54363.9500580168</v>
      </c>
      <c r="L155" s="55" t="n">
        <f aca="false">L35+L73+L111</f>
        <v>61309.6834760192</v>
      </c>
      <c r="M155" s="55" t="n">
        <f aca="false">M35+M73+M111</f>
        <v>67138.4162592573</v>
      </c>
      <c r="N155" s="55" t="n">
        <f aca="false">N35+N73+N111</f>
        <v>71601.5383078104</v>
      </c>
      <c r="O155" s="55" t="n">
        <f aca="false">O35+O73+O111</f>
        <v>95861.6737210732</v>
      </c>
      <c r="P155" s="55" t="n">
        <f aca="false">P35+P73+P111</f>
        <v>118165.667605495</v>
      </c>
      <c r="Q155" s="55" t="n">
        <f aca="false">Q35+Q73+Q111</f>
        <v>138778.16267882</v>
      </c>
      <c r="R155" s="55" t="n">
        <f aca="false">R35+R73+R111</f>
        <v>165562.537190442</v>
      </c>
      <c r="S155" s="55" t="n">
        <f aca="false">S35+S73+S111</f>
        <v>188521.792094863</v>
      </c>
      <c r="T155" s="55" t="n">
        <f aca="false">T35+T73+T111</f>
        <v>206078.133064405</v>
      </c>
      <c r="U155" s="55" t="n">
        <f aca="false">U35+U73+U111</f>
        <v>222213.431300388</v>
      </c>
      <c r="V155" s="55" t="n">
        <f aca="false">V35+V73+V111</f>
        <v>237871.483187482</v>
      </c>
      <c r="W155" s="55" t="n">
        <f aca="false">W35+W73+W111</f>
        <v>255577.439247362</v>
      </c>
      <c r="X155" s="55" t="n">
        <f aca="false">X35+X73+X111</f>
        <v>282976.300625742</v>
      </c>
      <c r="Y155" s="55" t="n">
        <f aca="false">Y35+Y73+Y111</f>
        <v>306564.899172545</v>
      </c>
      <c r="Z155" s="55" t="n">
        <f aca="false">Z35+Z73+Z111</f>
        <v>324975.187642719</v>
      </c>
      <c r="AA155" s="55" t="n">
        <f aca="false">AA35+AA73+AA111</f>
        <v>7446758.46865739</v>
      </c>
      <c r="AB155" s="55" t="n">
        <f aca="false">AB35+AB73+AB111</f>
        <v>12110734.3483984</v>
      </c>
      <c r="AC155" s="55" t="n">
        <f aca="false">AC35+AC73+AC111</f>
        <v>17390620.2470883</v>
      </c>
      <c r="AD155" s="55" t="n">
        <f aca="false">AD35+AD73+AD111</f>
        <v>21579459.9520042</v>
      </c>
      <c r="AE155" s="55" t="n">
        <f aca="false">AE35+AE73+AE111</f>
        <v>23289190.4434722</v>
      </c>
    </row>
    <row r="156" customFormat="false" ht="15" hidden="false" customHeight="false" outlineLevel="0" collapsed="false">
      <c r="A156" s="6" t="s">
        <v>505</v>
      </c>
      <c r="B156" s="23" t="s">
        <v>207</v>
      </c>
      <c r="C156" s="55" t="n">
        <f aca="false">C36+C74+C112</f>
        <v>595.020518475341</v>
      </c>
      <c r="D156" s="55" t="n">
        <f aca="false">D36+D74+D112</f>
        <v>1131.06598861553</v>
      </c>
      <c r="E156" s="55" t="n">
        <f aca="false">E36+E74+E112</f>
        <v>1616.97312733458</v>
      </c>
      <c r="F156" s="55" t="n">
        <f aca="false">F36+F74+F112</f>
        <v>2213.8302507739</v>
      </c>
      <c r="G156" s="55" t="n">
        <f aca="false">G36+G74+G112</f>
        <v>2716.33443323029</v>
      </c>
      <c r="H156" s="55" t="n">
        <f aca="false">H36+H74+H112</f>
        <v>3099.99210196866</v>
      </c>
      <c r="I156" s="55" t="n">
        <f aca="false">I36+I74+I112</f>
        <v>3446.96386604492</v>
      </c>
      <c r="J156" s="55" t="n">
        <f aca="false">J36+J74+J112</f>
        <v>3776.62844619621</v>
      </c>
      <c r="K156" s="55" t="n">
        <f aca="false">K36+K74+K112</f>
        <v>4136.57939266668</v>
      </c>
      <c r="L156" s="55" t="n">
        <f aca="false">L36+L74+L112</f>
        <v>4665.3309610126</v>
      </c>
      <c r="M156" s="55" t="n">
        <f aca="false">M36+M74+M112</f>
        <v>5109.12095653979</v>
      </c>
      <c r="N156" s="55" t="n">
        <f aca="false">N36+N74+N112</f>
        <v>5449.00306479824</v>
      </c>
      <c r="O156" s="55" t="n">
        <f aca="false">O36+O74+O112</f>
        <v>7305.05196128383</v>
      </c>
      <c r="P156" s="55" t="n">
        <f aca="false">P36+P74+P112</f>
        <v>9012.06189257262</v>
      </c>
      <c r="Q156" s="55" t="n">
        <f aca="false">Q36+Q74+Q112</f>
        <v>10590.2098157521</v>
      </c>
      <c r="R156" s="55" t="n">
        <f aca="false">R36+R74+R112</f>
        <v>12641.1386835599</v>
      </c>
      <c r="S156" s="55" t="n">
        <f aca="false">S36+S74+S112</f>
        <v>14400.1444087539</v>
      </c>
      <c r="T156" s="55" t="n">
        <f aca="false">T36+T74+T112</f>
        <v>15746.1848823355</v>
      </c>
      <c r="U156" s="55" t="n">
        <f aca="false">U36+U74+U112</f>
        <v>16983.9169042199</v>
      </c>
      <c r="V156" s="55" t="n">
        <f aca="false">V36+V74+V112</f>
        <v>18185.5927007476</v>
      </c>
      <c r="W156" s="55" t="n">
        <f aca="false">W36+W74+W112</f>
        <v>19544.7406031243</v>
      </c>
      <c r="X156" s="55" t="n">
        <f aca="false">X36+X74+X112</f>
        <v>21647.6563818813</v>
      </c>
      <c r="Y156" s="55" t="n">
        <f aca="false">Y36+Y74+Y112</f>
        <v>23459.660314629</v>
      </c>
      <c r="Z156" s="55" t="n">
        <f aca="false">Z36+Z74+Z112</f>
        <v>24875.4734922145</v>
      </c>
      <c r="AA156" s="55" t="n">
        <f aca="false">AA36+AA74+AA112</f>
        <v>574433.408838009</v>
      </c>
      <c r="AB156" s="55" t="n">
        <f aca="false">AB36+AB74+AB112</f>
        <v>939764.403183866</v>
      </c>
      <c r="AC156" s="55" t="n">
        <f aca="false">AC36+AC74+AC112</f>
        <v>1360599.8196674</v>
      </c>
      <c r="AD156" s="55" t="n">
        <f aca="false">AD36+AD74+AD112</f>
        <v>1706728.86355599</v>
      </c>
      <c r="AE156" s="55" t="n">
        <f aca="false">AE36+AE74+AE112</f>
        <v>1870368.80463915</v>
      </c>
    </row>
    <row r="157" customFormat="false" ht="15" hidden="false" customHeight="false" outlineLevel="0" collapsed="false">
      <c r="A157" s="6" t="s">
        <v>506</v>
      </c>
      <c r="B157" s="23" t="s">
        <v>207</v>
      </c>
      <c r="C157" s="55" t="n">
        <f aca="false">C50+C88+C126</f>
        <v>0</v>
      </c>
      <c r="D157" s="55" t="n">
        <f aca="false">D50+D88+D126</f>
        <v>0</v>
      </c>
      <c r="E157" s="55" t="n">
        <f aca="false">E50+E88+E126</f>
        <v>0</v>
      </c>
      <c r="F157" s="55" t="n">
        <f aca="false">F50+F88+F126</f>
        <v>0</v>
      </c>
      <c r="G157" s="55" t="n">
        <f aca="false">G50+G88+G126</f>
        <v>0</v>
      </c>
      <c r="H157" s="55" t="n">
        <f aca="false">H50+H88+H126</f>
        <v>0</v>
      </c>
      <c r="I157" s="55" t="n">
        <f aca="false">I50+I88+I126</f>
        <v>0</v>
      </c>
      <c r="J157" s="55" t="n">
        <f aca="false">J50+J88+J126</f>
        <v>0</v>
      </c>
      <c r="K157" s="55" t="n">
        <f aca="false">K50+K88+K126</f>
        <v>0</v>
      </c>
      <c r="L157" s="55" t="n">
        <f aca="false">L50+L88+L126</f>
        <v>0</v>
      </c>
      <c r="M157" s="55" t="n">
        <f aca="false">M50+M88+M126</f>
        <v>0</v>
      </c>
      <c r="N157" s="55" t="n">
        <f aca="false">N50+N88+N126</f>
        <v>0</v>
      </c>
      <c r="O157" s="55" t="n">
        <f aca="false">O50+O88+O126</f>
        <v>1245.0591356297</v>
      </c>
      <c r="P157" s="55" t="n">
        <f aca="false">P50+P88+P126</f>
        <v>1283.01555241274</v>
      </c>
      <c r="Q157" s="55" t="n">
        <f aca="false">Q50+Q88+Q126</f>
        <v>1448.87367168283</v>
      </c>
      <c r="R157" s="55" t="n">
        <f aca="false">R50+R88+R126</f>
        <v>1618.53924198073</v>
      </c>
      <c r="S157" s="55" t="n">
        <f aca="false">S50+S88+S126</f>
        <v>1911.3757401409</v>
      </c>
      <c r="T157" s="55" t="n">
        <f aca="false">T50+T88+T126</f>
        <v>2208.67832097764</v>
      </c>
      <c r="U157" s="55" t="n">
        <f aca="false">U50+U88+U126</f>
        <v>2432.88103694719</v>
      </c>
      <c r="V157" s="55" t="n">
        <f aca="false">V50+V88+V126</f>
        <v>2885.8240087406</v>
      </c>
      <c r="W157" s="55" t="n">
        <f aca="false">W50+W88+W126</f>
        <v>4358.2018997565</v>
      </c>
      <c r="X157" s="55" t="n">
        <f aca="false">X50+X88+X126</f>
        <v>5524.25375233351</v>
      </c>
      <c r="Y157" s="55" t="n">
        <f aca="false">Y50+Y88+Y126</f>
        <v>6929.73444366881</v>
      </c>
      <c r="Z157" s="55" t="n">
        <f aca="false">Z50+Z88+Z126</f>
        <v>9422.68503311008</v>
      </c>
      <c r="AA157" s="55" t="n">
        <f aca="false">AA50+AA88+AA126</f>
        <v>911609.606148021</v>
      </c>
      <c r="AB157" s="55" t="n">
        <f aca="false">AB50+AB88+AB126</f>
        <v>2201315.76621394</v>
      </c>
      <c r="AC157" s="55" t="n">
        <f aca="false">AC50+AC88+AC126</f>
        <v>4299332.04290563</v>
      </c>
      <c r="AD157" s="55" t="n">
        <f aca="false">AD50+AD88+AD126</f>
        <v>7446246.44338812</v>
      </c>
      <c r="AE157" s="55" t="n">
        <f aca="false">AE50+AE88+AE126</f>
        <v>11932426.2445837</v>
      </c>
    </row>
    <row r="158" customFormat="false" ht="15" hidden="false" customHeight="false" outlineLevel="0" collapsed="false">
      <c r="A158" s="6" t="s">
        <v>507</v>
      </c>
      <c r="B158" s="23" t="s">
        <v>114</v>
      </c>
      <c r="C158" s="57" t="n">
        <f aca="false">C151*C21</f>
        <v>7878.33014703029</v>
      </c>
      <c r="D158" s="57" t="n">
        <f aca="false">D151*D21</f>
        <v>22813.0550411765</v>
      </c>
      <c r="E158" s="57" t="n">
        <f aca="false">E151*E21</f>
        <v>44101.9396950499</v>
      </c>
      <c r="F158" s="57" t="n">
        <f aca="false">F151*F21</f>
        <v>73178.176759932</v>
      </c>
      <c r="G158" s="57" t="n">
        <f aca="false">G151*G21</f>
        <v>108747.576777021</v>
      </c>
      <c r="H158" s="57" t="n">
        <f aca="false">H151*H21</f>
        <v>149196.94460407</v>
      </c>
      <c r="I158" s="57" t="n">
        <f aca="false">I151*I21</f>
        <v>194008.937554198</v>
      </c>
      <c r="J158" s="57" t="n">
        <f aca="false">J151*J21</f>
        <v>242925.191572629</v>
      </c>
      <c r="K158" s="57" t="n">
        <f aca="false">K151*K21</f>
        <v>296319.351383012</v>
      </c>
      <c r="L158" s="57" t="n">
        <f aca="false">L151*L21</f>
        <v>356399.854495118</v>
      </c>
      <c r="M158" s="57" t="n">
        <f aca="false">M151*M21</f>
        <v>421996.759253137</v>
      </c>
      <c r="N158" s="57" t="n">
        <f aca="false">N151*N21</f>
        <v>491694.30744971</v>
      </c>
      <c r="O158" s="57" t="n">
        <f aca="false">O151*O21</f>
        <v>625065.882139981</v>
      </c>
      <c r="P158" s="57" t="n">
        <f aca="false">P151*P21</f>
        <v>740561.311173684</v>
      </c>
      <c r="Q158" s="57" t="n">
        <f aca="false">Q151*Q21</f>
        <v>876165.806242524</v>
      </c>
      <c r="R158" s="57" t="n">
        <f aca="false">R151*R21</f>
        <v>1037990.35760624</v>
      </c>
      <c r="S158" s="57" t="n">
        <f aca="false">S151*S21</f>
        <v>1222010.6803971</v>
      </c>
      <c r="T158" s="57" t="n">
        <f aca="false">T151*T21</f>
        <v>1422628.60819565</v>
      </c>
      <c r="U158" s="57" t="n">
        <f aca="false">U151*U21</f>
        <v>1638298.77060389</v>
      </c>
      <c r="V158" s="57" t="n">
        <f aca="false">V151*V21</f>
        <v>1868437.07987231</v>
      </c>
      <c r="W158" s="57" t="n">
        <f aca="false">W151*W21</f>
        <v>2115016.60224351</v>
      </c>
      <c r="X158" s="57" t="n">
        <f aca="false">X151*X21</f>
        <v>2387736.49038746</v>
      </c>
      <c r="Y158" s="57" t="n">
        <f aca="false">Y151*Y21</f>
        <v>2682571.13791928</v>
      </c>
      <c r="Z158" s="57" t="n">
        <f aca="false">Z151*Z21</f>
        <v>2994130.26102907</v>
      </c>
      <c r="AA158" s="57" t="n">
        <f aca="false">AA151*AA21</f>
        <v>10501266.8900033</v>
      </c>
      <c r="AB158" s="57" t="n">
        <f aca="false">AB151*AB21</f>
        <v>22686577.2065115</v>
      </c>
      <c r="AC158" s="57" t="n">
        <f aca="false">AC151*AC21</f>
        <v>40123373.4246744</v>
      </c>
      <c r="AD158" s="57" t="n">
        <f aca="false">AD151*AD21</f>
        <v>61624245.5798964</v>
      </c>
      <c r="AE158" s="57" t="n">
        <f aca="false">AE151*AE21</f>
        <v>84566963.663645</v>
      </c>
    </row>
    <row r="159" customFormat="false" ht="15" hidden="false" customHeight="false" outlineLevel="0" collapsed="false">
      <c r="A159" s="9" t="s">
        <v>508</v>
      </c>
    </row>
    <row r="160" customFormat="false" ht="15" hidden="false" customHeight="false" outlineLevel="0" collapsed="false">
      <c r="A160" s="6" t="s">
        <v>509</v>
      </c>
      <c r="B160" s="23" t="s">
        <v>114</v>
      </c>
      <c r="C160" s="55" t="n">
        <f aca="false">C151*Assumptions!$B$6</f>
        <v>7878.33014703029</v>
      </c>
      <c r="D160" s="55" t="n">
        <f aca="false">D151*Assumptions!$B$6</f>
        <v>22813.0550411765</v>
      </c>
      <c r="E160" s="55" t="n">
        <f aca="false">E151*Assumptions!$B$6</f>
        <v>44101.9396950499</v>
      </c>
      <c r="F160" s="55" t="n">
        <f aca="false">F151*Assumptions!$B$6</f>
        <v>73178.176759932</v>
      </c>
      <c r="G160" s="55" t="n">
        <f aca="false">G151*Assumptions!$B$6</f>
        <v>108747.576777021</v>
      </c>
      <c r="H160" s="55" t="n">
        <f aca="false">H151*Assumptions!$B$6</f>
        <v>149196.94460407</v>
      </c>
      <c r="I160" s="55" t="n">
        <f aca="false">I151*Assumptions!$B$6</f>
        <v>194008.937554198</v>
      </c>
      <c r="J160" s="55" t="n">
        <f aca="false">J151*Assumptions!$B$6</f>
        <v>242925.191572629</v>
      </c>
      <c r="K160" s="55" t="n">
        <f aca="false">K151*Assumptions!$B$6</f>
        <v>296319.351383012</v>
      </c>
      <c r="L160" s="55" t="n">
        <f aca="false">L151*Assumptions!$B$6</f>
        <v>356399.854495118</v>
      </c>
      <c r="M160" s="55" t="n">
        <f aca="false">M151*Assumptions!$B$6</f>
        <v>421996.759253137</v>
      </c>
      <c r="N160" s="55" t="n">
        <f aca="false">N151*Assumptions!$B$6</f>
        <v>491694.30744971</v>
      </c>
      <c r="O160" s="55" t="n">
        <f aca="false">O151*Assumptions!$B$6</f>
        <v>578229.308177596</v>
      </c>
      <c r="P160" s="55" t="n">
        <f aca="false">P151*Assumptions!$B$6</f>
        <v>685070.593130142</v>
      </c>
      <c r="Q160" s="55" t="n">
        <f aca="false">Q151*Assumptions!$B$6</f>
        <v>810514.159336285</v>
      </c>
      <c r="R160" s="55" t="n">
        <f aca="false">R151*Assumptions!$B$6</f>
        <v>960213.096768034</v>
      </c>
      <c r="S160" s="55" t="n">
        <f aca="false">S151*Assumptions!$B$6</f>
        <v>1130444.66271702</v>
      </c>
      <c r="T160" s="55" t="n">
        <f aca="false">T151*Assumptions!$B$6</f>
        <v>1316030.16484334</v>
      </c>
      <c r="U160" s="55" t="n">
        <f aca="false">U151*Assumptions!$B$6</f>
        <v>1515540.02831072</v>
      </c>
      <c r="V160" s="55" t="n">
        <f aca="false">V151*Assumptions!$B$6</f>
        <v>1728433.93142675</v>
      </c>
      <c r="W160" s="55" t="n">
        <f aca="false">W151*Assumptions!$B$6</f>
        <v>1956537.09735755</v>
      </c>
      <c r="X160" s="55" t="n">
        <f aca="false">X151*Assumptions!$B$6</f>
        <v>2208821.91525204</v>
      </c>
      <c r="Y160" s="55" t="n">
        <f aca="false">Y151*Assumptions!$B$6</f>
        <v>2481564.41990683</v>
      </c>
      <c r="Z160" s="55" t="n">
        <f aca="false">Z151*Assumptions!$B$6</f>
        <v>2769778.22481875</v>
      </c>
      <c r="AA160" s="55" t="n">
        <f aca="false">AA151*Assumptions!$B$6</f>
        <v>8986494.40637101</v>
      </c>
      <c r="AB160" s="55" t="n">
        <f aca="false">AB151*Assumptions!$B$6</f>
        <v>17959402.9882623</v>
      </c>
      <c r="AC160" s="55" t="n">
        <f aca="false">AC151*Assumptions!$B$6</f>
        <v>29382900.4648291</v>
      </c>
      <c r="AD160" s="55" t="n">
        <f aca="false">AD151*Assumptions!$B$6</f>
        <v>41746795.6265462</v>
      </c>
      <c r="AE160" s="55" t="n">
        <f aca="false">AE151*Assumptions!$B$6</f>
        <v>52996424.9749849</v>
      </c>
    </row>
    <row r="161" customFormat="false" ht="15" hidden="false" customHeight="false" outlineLevel="0" collapsed="false">
      <c r="A161" s="6" t="s">
        <v>510</v>
      </c>
      <c r="B161" s="23" t="s">
        <v>114</v>
      </c>
      <c r="C161" s="55" t="n">
        <f aca="false">C158-C160</f>
        <v>0</v>
      </c>
      <c r="D161" s="55" t="n">
        <f aca="false">D158-D160</f>
        <v>0</v>
      </c>
      <c r="E161" s="55" t="n">
        <f aca="false">E158-E160</f>
        <v>0</v>
      </c>
      <c r="F161" s="55" t="n">
        <f aca="false">F158-F160</f>
        <v>0</v>
      </c>
      <c r="G161" s="55" t="n">
        <f aca="false">G158-G160</f>
        <v>0</v>
      </c>
      <c r="H161" s="55" t="n">
        <f aca="false">H158-H160</f>
        <v>0</v>
      </c>
      <c r="I161" s="55" t="n">
        <f aca="false">I158-I160</f>
        <v>0</v>
      </c>
      <c r="J161" s="55" t="n">
        <f aca="false">J158-J160</f>
        <v>0</v>
      </c>
      <c r="K161" s="55" t="n">
        <f aca="false">K158-K160</f>
        <v>0</v>
      </c>
      <c r="L161" s="55" t="n">
        <f aca="false">L158-L160</f>
        <v>0</v>
      </c>
      <c r="M161" s="55" t="n">
        <f aca="false">M158-M160</f>
        <v>0</v>
      </c>
      <c r="N161" s="55" t="n">
        <f aca="false">N158-N160</f>
        <v>0</v>
      </c>
      <c r="O161" s="55" t="n">
        <f aca="false">O158-O160</f>
        <v>46836.5739623852</v>
      </c>
      <c r="P161" s="55" t="n">
        <f aca="false">P158-P160</f>
        <v>55490.7180435415</v>
      </c>
      <c r="Q161" s="55" t="n">
        <f aca="false">Q158-Q160</f>
        <v>65651.6469062391</v>
      </c>
      <c r="R161" s="55" t="n">
        <f aca="false">R158-R160</f>
        <v>77777.2608382107</v>
      </c>
      <c r="S161" s="55" t="n">
        <f aca="false">S158-S160</f>
        <v>91566.017680079</v>
      </c>
      <c r="T161" s="55" t="n">
        <f aca="false">T158-T160</f>
        <v>106598.44335231</v>
      </c>
      <c r="U161" s="55" t="n">
        <f aca="false">U158-U160</f>
        <v>122758.742293168</v>
      </c>
      <c r="V161" s="55" t="n">
        <f aca="false">V158-V160</f>
        <v>140003.148445566</v>
      </c>
      <c r="W161" s="55" t="n">
        <f aca="false">W158-W160</f>
        <v>158479.504885961</v>
      </c>
      <c r="X161" s="55" t="n">
        <f aca="false">X158-X160</f>
        <v>178914.575135415</v>
      </c>
      <c r="Y161" s="55" t="n">
        <f aca="false">Y158-Y160</f>
        <v>201006.718012453</v>
      </c>
      <c r="Z161" s="55" t="n">
        <f aca="false">Z158-Z160</f>
        <v>224352.036210319</v>
      </c>
      <c r="AA161" s="55" t="n">
        <f aca="false">AA158-AA160</f>
        <v>1514772.48363231</v>
      </c>
      <c r="AB161" s="55" t="n">
        <f aca="false">AB158-AB160</f>
        <v>4727174.21824918</v>
      </c>
      <c r="AC161" s="55" t="n">
        <f aca="false">AC158-AC160</f>
        <v>10740472.9598453</v>
      </c>
      <c r="AD161" s="55" t="n">
        <f aca="false">AD158-AD160</f>
        <v>19877449.9533502</v>
      </c>
      <c r="AE161" s="55" t="n">
        <f aca="false">AE158-AE160</f>
        <v>31570538.6886601</v>
      </c>
    </row>
    <row r="162" customFormat="false" ht="15" hidden="false" customHeight="false" outlineLevel="0" collapsed="false">
      <c r="A162" s="9" t="s">
        <v>511</v>
      </c>
    </row>
    <row r="163" customFormat="false" ht="15" hidden="false" customHeight="false" outlineLevel="0" collapsed="false">
      <c r="A163" s="6" t="s">
        <v>512</v>
      </c>
      <c r="B163" s="23" t="s">
        <v>513</v>
      </c>
      <c r="C163" s="59" t="n">
        <f aca="false">C145+C146-C147</f>
        <v>0</v>
      </c>
      <c r="D163" s="59" t="n">
        <f aca="false">D145+D146-D147</f>
        <v>0</v>
      </c>
      <c r="E163" s="59" t="n">
        <f aca="false">E145+E146-E147</f>
        <v>0</v>
      </c>
      <c r="F163" s="59" t="n">
        <f aca="false">F145+F146-F147</f>
        <v>0</v>
      </c>
      <c r="G163" s="59" t="n">
        <f aca="false">G145+G146-G147</f>
        <v>0</v>
      </c>
      <c r="H163" s="59" t="n">
        <f aca="false">H145+H146-H147</f>
        <v>0</v>
      </c>
      <c r="I163" s="59" t="n">
        <f aca="false">I145+I146-I147</f>
        <v>0</v>
      </c>
      <c r="J163" s="59" t="n">
        <f aca="false">J145+J146-J147</f>
        <v>0</v>
      </c>
      <c r="K163" s="59" t="n">
        <f aca="false">K145+K146-K147</f>
        <v>0</v>
      </c>
      <c r="L163" s="59" t="n">
        <f aca="false">L145+L146-L147</f>
        <v>0</v>
      </c>
      <c r="M163" s="59" t="n">
        <f aca="false">M145+M146-M147</f>
        <v>0</v>
      </c>
      <c r="N163" s="59" t="n">
        <f aca="false">N145+N146-N147</f>
        <v>0</v>
      </c>
      <c r="O163" s="59" t="n">
        <f aca="false">O145+O146-O147</f>
        <v>0</v>
      </c>
      <c r="P163" s="59" t="n">
        <f aca="false">P145+P146-P147</f>
        <v>0</v>
      </c>
      <c r="Q163" s="59" t="n">
        <f aca="false">Q145+Q146-Q147</f>
        <v>0</v>
      </c>
      <c r="R163" s="59" t="n">
        <f aca="false">R145+R146-R147</f>
        <v>0</v>
      </c>
      <c r="S163" s="59" t="n">
        <f aca="false">S145+S146-S147</f>
        <v>0</v>
      </c>
      <c r="T163" s="59" t="n">
        <f aca="false">T145+T146-T147</f>
        <v>0</v>
      </c>
      <c r="U163" s="59" t="n">
        <f aca="false">U145+U146-U147</f>
        <v>0</v>
      </c>
      <c r="V163" s="59" t="n">
        <f aca="false">V145+V146-V147</f>
        <v>0</v>
      </c>
      <c r="W163" s="59" t="n">
        <f aca="false">W145+W146-W147</f>
        <v>0</v>
      </c>
      <c r="X163" s="59" t="n">
        <f aca="false">X145+X146-X147</f>
        <v>0</v>
      </c>
      <c r="Y163" s="59" t="n">
        <f aca="false">Y145+Y146-Y147</f>
        <v>0</v>
      </c>
      <c r="Z163" s="59" t="n">
        <f aca="false">Z145+Z146-Z147</f>
        <v>0</v>
      </c>
      <c r="AA163" s="59" t="n">
        <f aca="false">AA145+AA146-AA147</f>
        <v>0</v>
      </c>
      <c r="AB163" s="59" t="n">
        <f aca="false">AB145+AB146-AB147</f>
        <v>0</v>
      </c>
      <c r="AC163" s="59" t="n">
        <f aca="false">AC145+AC146-AC147</f>
        <v>0</v>
      </c>
      <c r="AD163" s="59" t="n">
        <f aca="false">AD145+AD146-AD147</f>
        <v>0</v>
      </c>
      <c r="AE163" s="59" t="n">
        <f aca="false">AE145+AE146-AE147</f>
        <v>0</v>
      </c>
    </row>
    <row r="164" customFormat="false" ht="15" hidden="false" customHeight="false" outlineLevel="0" collapsed="false">
      <c r="A164" s="6" t="s">
        <v>514</v>
      </c>
      <c r="B164" s="23" t="s">
        <v>47</v>
      </c>
      <c r="C164" s="59" t="n">
        <f aca="false">C151-C150</f>
        <v>0</v>
      </c>
      <c r="D164" s="59" t="n">
        <f aca="false">D151-D150</f>
        <v>0.278464942281573</v>
      </c>
      <c r="E164" s="59" t="n">
        <f aca="false">E151-E150</f>
        <v>1.08196251116669</v>
      </c>
      <c r="F164" s="59" t="n">
        <f aca="false">F151-F150</f>
        <v>2.62965963393026</v>
      </c>
      <c r="G164" s="59" t="n">
        <f aca="false">G151-G150</f>
        <v>5.18900552633954</v>
      </c>
      <c r="H164" s="59" t="n">
        <f aca="false">H151-H150</f>
        <v>8.97874620925859</v>
      </c>
      <c r="I164" s="59" t="n">
        <f aca="false">I151-I150</f>
        <v>14.1581325131574</v>
      </c>
      <c r="J164" s="59" t="n">
        <f aca="false">J151-J150</f>
        <v>20.8662479904183</v>
      </c>
      <c r="K164" s="59" t="n">
        <f aca="false">K151-K150</f>
        <v>29.2314521573999</v>
      </c>
      <c r="L164" s="59" t="n">
        <f aca="false">L151-L150</f>
        <v>39.3942094334443</v>
      </c>
      <c r="M164" s="59" t="n">
        <f aca="false">M151-M150</f>
        <v>51.5707198777159</v>
      </c>
      <c r="N164" s="59" t="n">
        <f aca="false">N151-N150</f>
        <v>65.9330455965633</v>
      </c>
      <c r="O164" s="59" t="n">
        <f aca="false">O151-O150</f>
        <v>82.6085709631889</v>
      </c>
      <c r="P164" s="59" t="n">
        <f aca="false">P151-P150</f>
        <v>102.165739966502</v>
      </c>
      <c r="Q164" s="59" t="n">
        <f aca="false">Q151-Q150</f>
        <v>125.28968138954</v>
      </c>
      <c r="R164" s="59" t="n">
        <f aca="false">R151-R150</f>
        <v>152.600611021082</v>
      </c>
      <c r="S164" s="59" t="n">
        <f aca="false">S151-S150</f>
        <v>184.907887567211</v>
      </c>
      <c r="T164" s="59" t="n">
        <f aca="false">T151-T150</f>
        <v>222.879378930564</v>
      </c>
      <c r="U164" s="59" t="n">
        <f aca="false">U151-U150</f>
        <v>266.993682033448</v>
      </c>
      <c r="V164" s="59" t="n">
        <f aca="false">V151-V150</f>
        <v>317.673489744415</v>
      </c>
      <c r="W164" s="59" t="n">
        <f aca="false">W151-W150</f>
        <v>375.318929900985</v>
      </c>
      <c r="X164" s="59" t="n">
        <f aca="false">X151-X150</f>
        <v>440.395999619916</v>
      </c>
      <c r="Y164" s="59" t="n">
        <f aca="false">Y151-Y150</f>
        <v>513.67206315721</v>
      </c>
      <c r="Z164" s="59" t="n">
        <f aca="false">Z151-Z150</f>
        <v>595.772042979868</v>
      </c>
      <c r="AA164" s="59" t="n">
        <f aca="false">AA151-AA150</f>
        <v>1690.09380356965</v>
      </c>
      <c r="AB164" s="59" t="n">
        <f aca="false">AB151-AB150</f>
        <v>5269.20649623728</v>
      </c>
      <c r="AC164" s="59" t="n">
        <f aca="false">AC151-AC150</f>
        <v>12151.1124072588</v>
      </c>
      <c r="AD164" s="59" t="n">
        <f aca="false">AD151-AD150</f>
        <v>22891.3942748681</v>
      </c>
      <c r="AE164" s="59" t="n">
        <f aca="false">AE151-AE150</f>
        <v>37299.8524592803</v>
      </c>
    </row>
    <row r="165" customFormat="false" ht="15" hidden="false" customHeight="false" outlineLevel="0" collapsed="false">
      <c r="A165" s="6" t="s">
        <v>515</v>
      </c>
      <c r="B165" s="23" t="s">
        <v>114</v>
      </c>
      <c r="C165" s="55" t="n">
        <f aca="false">IF(C145=0,0,C153/C145)</f>
        <v>31.3278250354432</v>
      </c>
      <c r="D165" s="55" t="n">
        <f aca="false">IF(D145=0,0,D153/D145)</f>
        <v>47.6424680111073</v>
      </c>
      <c r="E165" s="55" t="n">
        <f aca="false">IF(E145=0,0,E153/E145)</f>
        <v>64.3154103938476</v>
      </c>
      <c r="F165" s="55" t="n">
        <f aca="false">IF(F145=0,0,F153/F145)</f>
        <v>77.8248596196364</v>
      </c>
      <c r="G165" s="55" t="n">
        <f aca="false">IF(G145=0,0,G153/G145)</f>
        <v>94.1050089121244</v>
      </c>
      <c r="H165" s="55" t="n">
        <f aca="false">IF(H145=0,0,H153/H145)</f>
        <v>112.934030059673</v>
      </c>
      <c r="I165" s="55" t="n">
        <f aca="false">IF(I145=0,0,I153/I145)</f>
        <v>131.836980616793</v>
      </c>
      <c r="J165" s="55" t="n">
        <f aca="false">IF(J145=0,0,J153/J145)</f>
        <v>150.396749112734</v>
      </c>
      <c r="K165" s="55" t="n">
        <f aca="false">IF(K145=0,0,K153/K145)</f>
        <v>167.192798357701</v>
      </c>
      <c r="L165" s="55" t="n">
        <f aca="false">IF(L145=0,0,L153/L145)</f>
        <v>178.009157536709</v>
      </c>
      <c r="M165" s="55" t="n">
        <f aca="false">IF(M145=0,0,M153/M145)</f>
        <v>192.153774429332</v>
      </c>
      <c r="N165" s="55" t="n">
        <f aca="false">IF(N145=0,0,N153/N145)</f>
        <v>209.577894438693</v>
      </c>
      <c r="O165" s="55" t="n">
        <f aca="false">IF(O145=0,0,O153/O145)</f>
        <v>198.03680606311</v>
      </c>
      <c r="P165" s="55" t="n">
        <f aca="false">IF(P145=0,0,P153/P145)</f>
        <v>189.789097401618</v>
      </c>
      <c r="Q165" s="55" t="n">
        <f aca="false">IF(Q145=0,0,Q153/Q145)</f>
        <v>190.794871758463</v>
      </c>
      <c r="R165" s="55" t="n">
        <f aca="false">IF(R145=0,0,R153/R145)</f>
        <v>189.138120354977</v>
      </c>
      <c r="S165" s="55" t="n">
        <f aca="false">IF(S145=0,0,S153/S145)</f>
        <v>195.280838738315</v>
      </c>
      <c r="T165" s="55" t="n">
        <f aca="false">IF(T145=0,0,T153/T145)</f>
        <v>207.701341139814</v>
      </c>
      <c r="U165" s="55" t="n">
        <f aca="false">IF(U145=0,0,U153/U145)</f>
        <v>221.520754820252</v>
      </c>
      <c r="V165" s="55" t="n">
        <f aca="false">IF(V145=0,0,V153/V145)</f>
        <v>235.676128118633</v>
      </c>
      <c r="W165" s="55" t="n">
        <f aca="false">IF(W145=0,0,W153/W145)</f>
        <v>247.938690059253</v>
      </c>
      <c r="X165" s="55" t="n">
        <f aca="false">IF(X145=0,0,X153/X145)</f>
        <v>252.455136994756</v>
      </c>
      <c r="Y165" s="55" t="n">
        <f aca="false">IF(Y145=0,0,Y153/Y145)</f>
        <v>261.458511125584</v>
      </c>
      <c r="Z165" s="55" t="n">
        <f aca="false">IF(Z145=0,0,Z153/Z145)</f>
        <v>274.925841249557</v>
      </c>
      <c r="AA165" s="55" t="n">
        <f aca="false">IF(AA145=0,0,AA153/AA145)</f>
        <v>507.11828277856</v>
      </c>
      <c r="AB165" s="55" t="n">
        <f aca="false">IF(AB145=0,0,AB153/AB145)</f>
        <v>663.780320460246</v>
      </c>
      <c r="AC165" s="55" t="n">
        <f aca="false">IF(AC145=0,0,AC153/AC145)</f>
        <v>804.147598793093</v>
      </c>
      <c r="AD165" s="55" t="n">
        <f aca="false">IF(AD145=0,0,AD153/AD145)</f>
        <v>977.083399027146</v>
      </c>
      <c r="AE165" s="55" t="n">
        <f aca="false">IF(AE145=0,0,AE153/AE145)</f>
        <v>1216.42773058504</v>
      </c>
    </row>
    <row r="166" customFormat="false" ht="15" hidden="false" customHeight="false" outlineLevel="0" collapsed="false">
      <c r="A166" s="6" t="s">
        <v>516</v>
      </c>
      <c r="B166" s="23" t="s">
        <v>114</v>
      </c>
      <c r="C166" s="55" t="n">
        <f aca="false">C45*C46+C83*C84+C121*C122</f>
        <v>0</v>
      </c>
      <c r="D166" s="55" t="n">
        <f aca="false">D45*D46+D83*D84+D121*D122</f>
        <v>0</v>
      </c>
      <c r="E166" s="55" t="n">
        <f aca="false">E45*E46+E83*E84+E121*E122</f>
        <v>0</v>
      </c>
      <c r="F166" s="55" t="n">
        <f aca="false">F45*F46+F83*F84+F121*F122</f>
        <v>0</v>
      </c>
      <c r="G166" s="55" t="n">
        <f aca="false">G45*G46+G83*G84+G121*G122</f>
        <v>0</v>
      </c>
      <c r="H166" s="55" t="n">
        <f aca="false">H45*H46+H83*H84+H121*H122</f>
        <v>0</v>
      </c>
      <c r="I166" s="55" t="n">
        <f aca="false">I45*I46+I83*I84+I121*I122</f>
        <v>0</v>
      </c>
      <c r="J166" s="55" t="n">
        <f aca="false">J45*J46+J83*J84+J121*J122</f>
        <v>0</v>
      </c>
      <c r="K166" s="55" t="n">
        <f aca="false">K45*K46+K83*K84+K121*K122</f>
        <v>0</v>
      </c>
      <c r="L166" s="55" t="n">
        <f aca="false">L45*L46+L83*L84+L121*L122</f>
        <v>0</v>
      </c>
      <c r="M166" s="55" t="n">
        <f aca="false">M45*M46+M83*M84+M121*M122</f>
        <v>0</v>
      </c>
      <c r="N166" s="55" t="n">
        <f aca="false">N45*N46+N83*N84+N121*N122</f>
        <v>0</v>
      </c>
      <c r="O166" s="55" t="n">
        <f aca="false">O45*O46+O83*O84+O121*O122</f>
        <v>12935.6793312176</v>
      </c>
      <c r="P166" s="55" t="n">
        <f aca="false">P45*P46+P83*P84+P121*P122</f>
        <v>14663.034884717</v>
      </c>
      <c r="Q166" s="55" t="n">
        <f aca="false">Q45*Q46+Q83*Q84+Q121*Q122</f>
        <v>16896.4859671467</v>
      </c>
      <c r="R166" s="55" t="n">
        <f aca="false">R45*R46+R83*R84+R121*R122</f>
        <v>18875.0932009415</v>
      </c>
      <c r="S166" s="55" t="n">
        <f aca="false">S45*S46+S83*S84+S121*S122</f>
        <v>21844.2941730388</v>
      </c>
      <c r="T166" s="55" t="n">
        <f aca="false">T45*T46+T83*T84+T121*T122</f>
        <v>26570.5662674001</v>
      </c>
      <c r="U166" s="55" t="n">
        <f aca="false">U45*U46+U83*U84+U121*U122</f>
        <v>31595.8576226907</v>
      </c>
      <c r="V166" s="55" t="n">
        <f aca="false">V45*V46+V83*V84+V121*V122</f>
        <v>36645.3842379759</v>
      </c>
      <c r="W166" s="55" t="n">
        <f aca="false">W45*W46+W83*W84+W121*W122</f>
        <v>49808.0217115028</v>
      </c>
      <c r="X166" s="55" t="n">
        <f aca="false">X45*X46+X83*X84+X121*X122</f>
        <v>61896.4005863699</v>
      </c>
      <c r="Y166" s="55" t="n">
        <f aca="false">Y45*Y46+Y83*Y84+Y121*Y122</f>
        <v>75425.6810195245</v>
      </c>
      <c r="Z166" s="55" t="n">
        <f aca="false">Z45*Z46+Z83*Z84+Z121*Z122</f>
        <v>94463.0078507276</v>
      </c>
      <c r="AA166" s="55" t="n">
        <f aca="false">AA45*AA46+AA83*AA84+AA121*AA122</f>
        <v>868199.624902877</v>
      </c>
      <c r="AB166" s="55" t="n">
        <f aca="false">AB45*AB46+AB83*AB84+AB121*AB122</f>
        <v>2096491.20591804</v>
      </c>
      <c r="AC166" s="55" t="n">
        <f aca="false">AC45*AC46+AC83*AC84+AC121*AC122</f>
        <v>4094601.94562441</v>
      </c>
      <c r="AD166" s="55" t="n">
        <f aca="false">AD45*AD46+AD83*AD84+AD121*AD122</f>
        <v>7091663.27941726</v>
      </c>
      <c r="AE166" s="55" t="n">
        <f aca="false">AE45*AE46+AE83*AE84+AE121*AE122</f>
        <v>11364215.4710321</v>
      </c>
    </row>
    <row r="167" customFormat="false" ht="15" hidden="false" customHeight="false" outlineLevel="0" collapsed="false">
      <c r="A167" s="6" t="s">
        <v>517</v>
      </c>
      <c r="B167" s="23" t="s">
        <v>444</v>
      </c>
      <c r="C167" s="60" t="n">
        <f aca="false">IF(C166=0,0,((C50+C88+C126)/C7)/C166)</f>
        <v>0</v>
      </c>
      <c r="D167" s="60" t="n">
        <f aca="false">IF(D166=0,0,((D50+D88+D126)/D7)/D166)</f>
        <v>0</v>
      </c>
      <c r="E167" s="60" t="n">
        <f aca="false">IF(E166=0,0,((E50+E88+E126)/E7)/E166)</f>
        <v>0</v>
      </c>
      <c r="F167" s="60" t="n">
        <f aca="false">IF(F166=0,0,((F50+F88+F126)/F7)/F166)</f>
        <v>0</v>
      </c>
      <c r="G167" s="60" t="n">
        <f aca="false">IF(G166=0,0,((G50+G88+G126)/G7)/G166)</f>
        <v>0</v>
      </c>
      <c r="H167" s="60" t="n">
        <f aca="false">IF(H166=0,0,((H50+H88+H126)/H7)/H166)</f>
        <v>0</v>
      </c>
      <c r="I167" s="60" t="n">
        <f aca="false">IF(I166=0,0,((I50+I88+I126)/I7)/I166)</f>
        <v>0</v>
      </c>
      <c r="J167" s="60" t="n">
        <f aca="false">IF(J166=0,0,((J50+J88+J126)/J7)/J166)</f>
        <v>0</v>
      </c>
      <c r="K167" s="60" t="n">
        <f aca="false">IF(K166=0,0,((K50+K88+K126)/K7)/K166)</f>
        <v>0</v>
      </c>
      <c r="L167" s="60" t="n">
        <f aca="false">IF(L166=0,0,((L50+L88+L126)/L7)/L166)</f>
        <v>0</v>
      </c>
      <c r="M167" s="60" t="n">
        <f aca="false">IF(M166=0,0,((M50+M88+M126)/M7)/M166)</f>
        <v>0</v>
      </c>
      <c r="N167" s="60" t="n">
        <f aca="false">IF(N166=0,0,((N50+N88+N126)/N7)/N166)</f>
        <v>0</v>
      </c>
      <c r="O167" s="60" t="n">
        <f aca="false">IF(O166=0,0,((O50+O88+O126)/O7)/O166)</f>
        <v>0.09625</v>
      </c>
      <c r="P167" s="60" t="n">
        <f aca="false">IF(P166=0,0,((P50+P88+P126)/P7)/P166)</f>
        <v>0.0875</v>
      </c>
      <c r="Q167" s="60" t="n">
        <f aca="false">IF(Q166=0,0,((Q50+Q88+Q126)/Q7)/Q166)</f>
        <v>0.08575</v>
      </c>
      <c r="R167" s="60" t="n">
        <f aca="false">IF(R166=0,0,((R50+R88+R126)/R7)/R166)</f>
        <v>0.08575</v>
      </c>
      <c r="S167" s="60" t="n">
        <f aca="false">IF(S166=0,0,((S50+S88+S126)/S7)/S166)</f>
        <v>0.0875</v>
      </c>
      <c r="T167" s="60" t="n">
        <f aca="false">IF(T166=0,0,((T50+T88+T126)/T7)/T166)</f>
        <v>0.083125</v>
      </c>
      <c r="U167" s="60" t="n">
        <f aca="false">IF(U166=0,0,((U50+U88+U126)/U7)/U166)</f>
        <v>0.077</v>
      </c>
      <c r="V167" s="60" t="n">
        <f aca="false">IF(V166=0,0,((V50+V88+V126)/V7)/V166)</f>
        <v>0.07875</v>
      </c>
      <c r="W167" s="60" t="n">
        <f aca="false">IF(W166=0,0,((W50+W88+W126)/W7)/W166)</f>
        <v>0.0875</v>
      </c>
      <c r="X167" s="60" t="n">
        <f aca="false">IF(X166=0,0,((X50+X88+X126)/X7)/X166)</f>
        <v>0.08925</v>
      </c>
      <c r="Y167" s="60" t="n">
        <f aca="false">IF(Y166=0,0,((Y50+Y88+Y126)/Y7)/Y166)</f>
        <v>0.091875</v>
      </c>
      <c r="Z167" s="60" t="n">
        <f aca="false">IF(Z166=0,0,((Z50+Z88+Z126)/Z7)/Z166)</f>
        <v>0.09975</v>
      </c>
      <c r="AA167" s="60" t="n">
        <f aca="false">IF(AA166=0,0,((AA50+AA88+AA126)/AA7)/AA166)</f>
        <v>0.0875</v>
      </c>
      <c r="AB167" s="60" t="n">
        <f aca="false">IF(AB166=0,0,((AB50+AB88+AB126)/AB7)/AB166)</f>
        <v>0.0875</v>
      </c>
      <c r="AC167" s="60" t="n">
        <f aca="false">IF(AC166=0,0,((AC50+AC88+AC126)/AC7)/AC166)</f>
        <v>0.0875</v>
      </c>
      <c r="AD167" s="60" t="n">
        <f aca="false">IF(AD166=0,0,((AD50+AD88+AD126)/AD7)/AD166)</f>
        <v>0.0875</v>
      </c>
      <c r="AE167" s="60" t="n">
        <f aca="false">IF(AE166=0,0,((AE50+AE88+AE126)/AE7)/AE166)</f>
        <v>0.0875</v>
      </c>
    </row>
    <row r="169" customFormat="false" ht="15" hidden="false" customHeight="false" outlineLevel="0" collapsed="false">
      <c r="A169" s="6" t="s">
        <v>117</v>
      </c>
      <c r="B169" s="23" t="s">
        <v>114</v>
      </c>
      <c r="C169" s="55" t="n">
        <f aca="false">C53+C91+C129</f>
        <v>391.117663509693</v>
      </c>
      <c r="D169" s="55" t="n">
        <f aca="false">D53+D91+D129</f>
        <v>743.441533946926</v>
      </c>
      <c r="E169" s="55" t="n">
        <f aca="false">E53+E91+E129</f>
        <v>1062.78529592104</v>
      </c>
      <c r="F169" s="55" t="n">
        <f aca="false">F53+F91+F129</f>
        <v>1455.01680379848</v>
      </c>
      <c r="G169" s="55" t="n">
        <f aca="false">G53+G91+G129</f>
        <v>1785.20739824728</v>
      </c>
      <c r="H169" s="55" t="n">
        <f aca="false">H53+H91+H129</f>
        <v>2037.2758806589</v>
      </c>
      <c r="I169" s="55" t="n">
        <f aca="false">I53+I91+I129</f>
        <v>2265.2184589206</v>
      </c>
      <c r="J169" s="55" t="n">
        <f aca="false">J53+J91+J129</f>
        <v>2481.77000275631</v>
      </c>
      <c r="K169" s="55" t="n">
        <f aca="false">K53+K91+K129</f>
        <v>2718.19750290084</v>
      </c>
      <c r="L169" s="55" t="n">
        <f aca="false">L53+L91+L129</f>
        <v>3065.48417380096</v>
      </c>
      <c r="M169" s="55" t="n">
        <f aca="false">M53+M91+M129</f>
        <v>3356.92081296287</v>
      </c>
      <c r="N169" s="55" t="n">
        <f aca="false">N53+N91+N129</f>
        <v>3580.07691539052</v>
      </c>
      <c r="O169" s="55" t="n">
        <f aca="false">O53+O91+O129</f>
        <v>4793.08368605366</v>
      </c>
      <c r="P169" s="55" t="n">
        <f aca="false">P53+P91+P129</f>
        <v>5908.28338027476</v>
      </c>
      <c r="Q169" s="55" t="n">
        <f aca="false">Q53+Q91+Q129</f>
        <v>6938.90813394099</v>
      </c>
      <c r="R169" s="55" t="n">
        <f aca="false">R53+R91+R129</f>
        <v>8278.12685952212</v>
      </c>
      <c r="S169" s="55" t="n">
        <f aca="false">S53+S91+S129</f>
        <v>9426.08960474313</v>
      </c>
      <c r="T169" s="55" t="n">
        <f aca="false">T53+T91+T129</f>
        <v>10303.9066532203</v>
      </c>
      <c r="U169" s="55" t="n">
        <f aca="false">U53+U91+U129</f>
        <v>11110.6715650194</v>
      </c>
      <c r="V169" s="55" t="n">
        <f aca="false">V53+V91+V129</f>
        <v>11893.5741593741</v>
      </c>
      <c r="W169" s="55" t="n">
        <f aca="false">W53+W91+W129</f>
        <v>12778.8719623681</v>
      </c>
      <c r="X169" s="55" t="n">
        <f aca="false">X53+X91+X129</f>
        <v>14148.8150312871</v>
      </c>
      <c r="Y169" s="55" t="n">
        <f aca="false">Y53+Y91+Y129</f>
        <v>15328.2449586272</v>
      </c>
      <c r="Z169" s="55" t="n">
        <f aca="false">Z53+Z91+Z129</f>
        <v>16248.7593821359</v>
      </c>
      <c r="AA169" s="55" t="n">
        <f aca="false">AA53+AA91+AA129</f>
        <v>372337.92343287</v>
      </c>
      <c r="AB169" s="55" t="n">
        <f aca="false">AB53+AB91+AB129</f>
        <v>605536.71741992</v>
      </c>
      <c r="AC169" s="55" t="n">
        <f aca="false">AC53+AC91+AC129</f>
        <v>869531.012354416</v>
      </c>
      <c r="AD169" s="55" t="n">
        <f aca="false">AD53+AD91+AD129</f>
        <v>1078972.99760021</v>
      </c>
      <c r="AE169" s="55" t="n">
        <f aca="false">AE53+AE91+AE129</f>
        <v>1164459.52217361</v>
      </c>
    </row>
    <row r="170" customFormat="false" ht="15" hidden="false" customHeight="false" outlineLevel="0" collapsed="false">
      <c r="A170" s="6" t="s">
        <v>120</v>
      </c>
      <c r="B170" s="23" t="s">
        <v>114</v>
      </c>
      <c r="C170" s="55" t="n">
        <f aca="false">C54+C92+C130</f>
        <v>29.751025923767</v>
      </c>
      <c r="D170" s="55" t="n">
        <f aca="false">D54+D92+D130</f>
        <v>56.5532994307766</v>
      </c>
      <c r="E170" s="55" t="n">
        <f aca="false">E54+E92+E130</f>
        <v>80.8486563667288</v>
      </c>
      <c r="F170" s="55" t="n">
        <f aca="false">F54+F92+F130</f>
        <v>110.691512538695</v>
      </c>
      <c r="G170" s="55" t="n">
        <f aca="false">G54+G92+G130</f>
        <v>135.816721661515</v>
      </c>
      <c r="H170" s="55" t="n">
        <f aca="false">H54+H92+H130</f>
        <v>154.999605098433</v>
      </c>
      <c r="I170" s="55" t="n">
        <f aca="false">I54+I92+I130</f>
        <v>172.348193302246</v>
      </c>
      <c r="J170" s="55" t="n">
        <f aca="false">J54+J92+J130</f>
        <v>188.83142230981</v>
      </c>
      <c r="K170" s="55" t="n">
        <f aca="false">K54+K92+K130</f>
        <v>206.828969633334</v>
      </c>
      <c r="L170" s="55" t="n">
        <f aca="false">L54+L92+L130</f>
        <v>233.26654805063</v>
      </c>
      <c r="M170" s="55" t="n">
        <f aca="false">M54+M92+M130</f>
        <v>255.45604782699</v>
      </c>
      <c r="N170" s="55" t="n">
        <f aca="false">N54+N92+N130</f>
        <v>272.450153239912</v>
      </c>
      <c r="O170" s="55" t="n">
        <f aca="false">O54+O92+O130</f>
        <v>365.252598064191</v>
      </c>
      <c r="P170" s="55" t="n">
        <f aca="false">P54+P92+P130</f>
        <v>450.603094628631</v>
      </c>
      <c r="Q170" s="55" t="n">
        <f aca="false">Q54+Q92+Q130</f>
        <v>529.510490787603</v>
      </c>
      <c r="R170" s="55" t="n">
        <f aca="false">R54+R92+R130</f>
        <v>632.056934177997</v>
      </c>
      <c r="S170" s="55" t="n">
        <f aca="false">S54+S92+S130</f>
        <v>720.007220437696</v>
      </c>
      <c r="T170" s="55" t="n">
        <f aca="false">T54+T92+T130</f>
        <v>787.309244116775</v>
      </c>
      <c r="U170" s="55" t="n">
        <f aca="false">U54+U92+U130</f>
        <v>849.195845210995</v>
      </c>
      <c r="V170" s="55" t="n">
        <f aca="false">V54+V92+V130</f>
        <v>909.279635037379</v>
      </c>
      <c r="W170" s="55" t="n">
        <f aca="false">W54+W92+W130</f>
        <v>977.237030156217</v>
      </c>
      <c r="X170" s="55" t="n">
        <f aca="false">X54+X92+X130</f>
        <v>1082.38281909407</v>
      </c>
      <c r="Y170" s="55" t="n">
        <f aca="false">Y54+Y92+Y130</f>
        <v>1172.98301573145</v>
      </c>
      <c r="Z170" s="55" t="n">
        <f aca="false">Z54+Z92+Z130</f>
        <v>1243.77367461072</v>
      </c>
      <c r="AA170" s="55" t="n">
        <f aca="false">AA54+AA92+AA130</f>
        <v>28721.6704419004</v>
      </c>
      <c r="AB170" s="55" t="n">
        <f aca="false">AB54+AB92+AB130</f>
        <v>46988.2201591933</v>
      </c>
      <c r="AC170" s="55" t="n">
        <f aca="false">AC54+AC92+AC130</f>
        <v>68029.9909833698</v>
      </c>
      <c r="AD170" s="55" t="n">
        <f aca="false">AD54+AD92+AD130</f>
        <v>85336.4431777994</v>
      </c>
      <c r="AE170" s="55" t="n">
        <f aca="false">AE54+AE92+AE130</f>
        <v>93518.4402319574</v>
      </c>
    </row>
    <row r="171" customFormat="false" ht="15" hidden="false" customHeight="false" outlineLevel="0" collapsed="false">
      <c r="A171" s="6" t="s">
        <v>126</v>
      </c>
      <c r="B171" s="23" t="s">
        <v>114</v>
      </c>
      <c r="C171" s="55" t="n">
        <f aca="false">C55+C93+C131</f>
        <v>0</v>
      </c>
      <c r="D171" s="55" t="n">
        <f aca="false">D55+D93+D131</f>
        <v>0</v>
      </c>
      <c r="E171" s="55" t="n">
        <f aca="false">E55+E93+E131</f>
        <v>0</v>
      </c>
      <c r="F171" s="55" t="n">
        <f aca="false">F55+F93+F131</f>
        <v>0</v>
      </c>
      <c r="G171" s="55" t="n">
        <f aca="false">G55+G93+G131</f>
        <v>0</v>
      </c>
      <c r="H171" s="55" t="n">
        <f aca="false">H55+H93+H131</f>
        <v>0</v>
      </c>
      <c r="I171" s="55" t="n">
        <f aca="false">I55+I93+I131</f>
        <v>0</v>
      </c>
      <c r="J171" s="55" t="n">
        <f aca="false">J55+J93+J131</f>
        <v>0</v>
      </c>
      <c r="K171" s="55" t="n">
        <f aca="false">K55+K93+K131</f>
        <v>0</v>
      </c>
      <c r="L171" s="55" t="n">
        <f aca="false">L55+L93+L131</f>
        <v>0</v>
      </c>
      <c r="M171" s="55" t="n">
        <f aca="false">M55+M93+M131</f>
        <v>0</v>
      </c>
      <c r="N171" s="55" t="n">
        <f aca="false">N55+N93+N131</f>
        <v>0</v>
      </c>
      <c r="O171" s="55" t="n">
        <f aca="false">O55+O93+O131</f>
        <v>6.27509804357367</v>
      </c>
      <c r="P171" s="55" t="n">
        <f aca="false">P55+P93+P131</f>
        <v>6.46639838416021</v>
      </c>
      <c r="Q171" s="55" t="n">
        <f aca="false">Q55+Q93+Q131</f>
        <v>7.30232330528144</v>
      </c>
      <c r="R171" s="55" t="n">
        <f aca="false">R55+R93+R131</f>
        <v>8.1574377795829</v>
      </c>
      <c r="S171" s="55" t="n">
        <f aca="false">S55+S93+S131</f>
        <v>9.63333373031012</v>
      </c>
      <c r="T171" s="55" t="n">
        <f aca="false">T55+T93+T131</f>
        <v>11.1317387377273</v>
      </c>
      <c r="U171" s="55" t="n">
        <f aca="false">U55+U93+U131</f>
        <v>12.2617204262138</v>
      </c>
      <c r="V171" s="55" t="n">
        <f aca="false">V55+V93+V131</f>
        <v>14.5445530040526</v>
      </c>
      <c r="W171" s="55" t="n">
        <f aca="false">W55+W93+W131</f>
        <v>21.9653375747727</v>
      </c>
      <c r="X171" s="55" t="n">
        <f aca="false">X55+X93+X131</f>
        <v>27.8422389117609</v>
      </c>
      <c r="Y171" s="55" t="n">
        <f aca="false">Y55+Y93+Y131</f>
        <v>34.9258615960908</v>
      </c>
      <c r="Z171" s="55" t="n">
        <f aca="false">Z55+Z93+Z131</f>
        <v>47.4903325668748</v>
      </c>
      <c r="AA171" s="55" t="n">
        <f aca="false">AA55+AA93+AA131</f>
        <v>4594.51241498603</v>
      </c>
      <c r="AB171" s="55" t="n">
        <f aca="false">AB55+AB93+AB131</f>
        <v>11094.6314617182</v>
      </c>
      <c r="AC171" s="55" t="n">
        <f aca="false">AC55+AC93+AC131</f>
        <v>21668.6334962444</v>
      </c>
      <c r="AD171" s="55" t="n">
        <f aca="false">AD55+AD93+AD131</f>
        <v>37529.0820746761</v>
      </c>
      <c r="AE171" s="55" t="n">
        <f aca="false">AE55+AE93+AE131</f>
        <v>60139.4282727017</v>
      </c>
    </row>
    <row r="172" customFormat="false" ht="15" hidden="false" customHeight="false" outlineLevel="0" collapsed="false">
      <c r="A172" s="6" t="s">
        <v>124</v>
      </c>
      <c r="B172" s="23" t="s">
        <v>114</v>
      </c>
      <c r="C172" s="55" t="n">
        <f aca="false">C56+C94+C132</f>
        <v>0</v>
      </c>
      <c r="D172" s="55" t="n">
        <f aca="false">D56+D94+D132</f>
        <v>0</v>
      </c>
      <c r="E172" s="55" t="n">
        <f aca="false">E56+E94+E132</f>
        <v>0</v>
      </c>
      <c r="F172" s="55" t="n">
        <f aca="false">F56+F94+F132</f>
        <v>0</v>
      </c>
      <c r="G172" s="55" t="n">
        <f aca="false">G56+G94+G132</f>
        <v>0</v>
      </c>
      <c r="H172" s="55" t="n">
        <f aca="false">H56+H94+H132</f>
        <v>0</v>
      </c>
      <c r="I172" s="55" t="n">
        <f aca="false">I56+I94+I132</f>
        <v>2912.78103049077</v>
      </c>
      <c r="J172" s="55" t="n">
        <f aca="false">J56+J94+J132</f>
        <v>3191.20530925872</v>
      </c>
      <c r="K172" s="55" t="n">
        <f aca="false">K56+K94+K132</f>
        <v>3495.17769940918</v>
      </c>
      <c r="L172" s="55" t="n">
        <f aca="false">L56+L94+L132</f>
        <v>3941.67529899484</v>
      </c>
      <c r="M172" s="55" t="n">
        <f aca="false">M56+M94+M132</f>
        <v>4316.35096891369</v>
      </c>
      <c r="N172" s="55" t="n">
        <f aca="false">N56+N94+N132</f>
        <v>4603.22802756973</v>
      </c>
      <c r="O172" s="55" t="n">
        <f aca="false">O56+O94+O132</f>
        <v>6185.04747053973</v>
      </c>
      <c r="P172" s="55" t="n">
        <f aca="false">P56+P94+P132</f>
        <v>7639.40936451511</v>
      </c>
      <c r="Q172" s="55" t="n">
        <f aca="false">Q56+Q94+Q132</f>
        <v>8983.54047223459</v>
      </c>
      <c r="R172" s="55" t="n">
        <f aca="false">R56+R94+R132</f>
        <v>10729.248401006</v>
      </c>
      <c r="S172" s="55" t="n">
        <f aca="false">S56+S94+S132</f>
        <v>12225.8271285869</v>
      </c>
      <c r="T172" s="55" t="n">
        <f aca="false">T56+T94+T132</f>
        <v>13370.6048671588</v>
      </c>
      <c r="U172" s="55" t="n">
        <f aca="false">U56+U94+U132</f>
        <v>14422.7619900679</v>
      </c>
      <c r="V172" s="55" t="n">
        <f aca="false">V56+V94+V132</f>
        <v>15443.7279422411</v>
      </c>
      <c r="W172" s="55" t="n">
        <f aca="false">W56+W94+W132</f>
        <v>16597.8410553532</v>
      </c>
      <c r="X172" s="55" t="n">
        <f aca="false">X56+X94+X132</f>
        <v>18382.6079202565</v>
      </c>
      <c r="Y172" s="55" t="n">
        <f aca="false">Y56+Y94+Y132</f>
        <v>19919.193210428</v>
      </c>
      <c r="Z172" s="55" t="n">
        <f aca="false">Z56+Z94+Z132</f>
        <v>21118.6101944109</v>
      </c>
      <c r="AA172" s="55" t="n">
        <f aca="false">AA56+AA94+AA132</f>
        <v>483763.424398101</v>
      </c>
      <c r="AB172" s="55" t="n">
        <f aca="false">AB56+AB94+AB132</f>
        <v>786223.970493981</v>
      </c>
      <c r="AC172" s="55" t="n">
        <f aca="false">AC56+AC94+AC132</f>
        <v>1127439.60927248</v>
      </c>
      <c r="AD172" s="55" t="n">
        <f aca="false">AD56+AD94+AD132</f>
        <v>1396257.66391663</v>
      </c>
      <c r="AE172" s="55" t="n">
        <f aca="false">AE56+AE94+AE132</f>
        <v>1502378.69995679</v>
      </c>
    </row>
    <row r="173" customFormat="false" ht="15" hidden="false" customHeight="false" outlineLevel="0" collapsed="false">
      <c r="A173" s="6" t="s">
        <v>128</v>
      </c>
      <c r="B173" s="23" t="s">
        <v>114</v>
      </c>
      <c r="C173" s="55" t="n">
        <f aca="false">C57+C95+C133</f>
        <v>0</v>
      </c>
      <c r="D173" s="55" t="n">
        <f aca="false">D57+D95+D133</f>
        <v>0</v>
      </c>
      <c r="E173" s="55" t="n">
        <f aca="false">E57+E95+E133</f>
        <v>0</v>
      </c>
      <c r="F173" s="55" t="n">
        <f aca="false">F57+F95+F133</f>
        <v>0</v>
      </c>
      <c r="G173" s="55" t="n">
        <f aca="false">G57+G95+G133</f>
        <v>0</v>
      </c>
      <c r="H173" s="55" t="n">
        <f aca="false">H57+H95+H133</f>
        <v>0</v>
      </c>
      <c r="I173" s="55" t="n">
        <f aca="false">I57+I95+I133</f>
        <v>0</v>
      </c>
      <c r="J173" s="55" t="n">
        <f aca="false">J57+J95+J133</f>
        <v>0</v>
      </c>
      <c r="K173" s="55" t="n">
        <f aca="false">K57+K95+K133</f>
        <v>0</v>
      </c>
      <c r="L173" s="55" t="n">
        <f aca="false">L57+L95+L133</f>
        <v>0</v>
      </c>
      <c r="M173" s="55" t="n">
        <f aca="false">M57+M95+M133</f>
        <v>0</v>
      </c>
      <c r="N173" s="55" t="n">
        <f aca="false">N57+N95+N133</f>
        <v>0</v>
      </c>
      <c r="O173" s="55" t="n">
        <f aca="false">O57+O95+O133</f>
        <v>436.816256756109</v>
      </c>
      <c r="P173" s="55" t="n">
        <f aca="false">P57+P95+P133</f>
        <v>511.311947152971</v>
      </c>
      <c r="Q173" s="55" t="n">
        <f aca="false">Q57+Q95+Q133</f>
        <v>583.858513472843</v>
      </c>
      <c r="R173" s="55" t="n">
        <f aca="false">R57+R95+R133</f>
        <v>656.908396442744</v>
      </c>
      <c r="S173" s="55" t="n">
        <f aca="false">S57+S95+S133</f>
        <v>737.455504413594</v>
      </c>
      <c r="T173" s="55" t="n">
        <f aca="false">T57+T95+T133</f>
        <v>852.235563356146</v>
      </c>
      <c r="U173" s="55" t="n">
        <f aca="false">U57+U95+U133</f>
        <v>952.994187815089</v>
      </c>
      <c r="V173" s="55" t="n">
        <f aca="false">V57+V95+V133</f>
        <v>1040.36867078755</v>
      </c>
      <c r="W173" s="55" t="n">
        <f aca="false">W57+W95+W133</f>
        <v>1347.48474551165</v>
      </c>
      <c r="X173" s="55" t="n">
        <f aca="false">X57+X95+X133</f>
        <v>1659.63147317688</v>
      </c>
      <c r="Y173" s="55" t="n">
        <f aca="false">Y57+Y95+Y133</f>
        <v>1959.90920480287</v>
      </c>
      <c r="Z173" s="55" t="n">
        <f aca="false">Z57+Z95+Z133</f>
        <v>2336.24972360817</v>
      </c>
      <c r="AA173" s="55" t="n">
        <f aca="false">AA57+AA95+AA133</f>
        <v>144166.463702563</v>
      </c>
      <c r="AB173" s="55" t="n">
        <f aca="false">AB57+AB95+AB133</f>
        <v>269608.797326508</v>
      </c>
      <c r="AC173" s="55" t="n">
        <f aca="false">AC57+AC95+AC133</f>
        <v>439769.857282121</v>
      </c>
      <c r="AD173" s="55" t="n">
        <f aca="false">AD57+AD95+AD133</f>
        <v>635265.522997427</v>
      </c>
      <c r="AE173" s="55" t="n">
        <f aca="false">AE57+AE95+AE133</f>
        <v>830508.260513189</v>
      </c>
    </row>
    <row r="174" customFormat="false" ht="15" hidden="false" customHeight="false" outlineLevel="0" collapsed="false">
      <c r="A174" s="6" t="s">
        <v>130</v>
      </c>
      <c r="B174" s="23" t="s">
        <v>114</v>
      </c>
      <c r="C174" s="55" t="n">
        <f aca="false">C59+C97+C135</f>
        <v>0</v>
      </c>
      <c r="D174" s="55" t="n">
        <f aca="false">D59+D97+D135</f>
        <v>0</v>
      </c>
      <c r="E174" s="55" t="n">
        <f aca="false">E59+E97+E135</f>
        <v>0</v>
      </c>
      <c r="F174" s="55" t="n">
        <f aca="false">F59+F97+F135</f>
        <v>0</v>
      </c>
      <c r="G174" s="55" t="n">
        <f aca="false">G59+G97+G135</f>
        <v>0</v>
      </c>
      <c r="H174" s="55" t="n">
        <f aca="false">H59+H97+H135</f>
        <v>0</v>
      </c>
      <c r="I174" s="55" t="n">
        <f aca="false">I59+I97+I135</f>
        <v>0</v>
      </c>
      <c r="J174" s="55" t="n">
        <f aca="false">J59+J97+J135</f>
        <v>0</v>
      </c>
      <c r="K174" s="55" t="n">
        <f aca="false">K59+K97+K135</f>
        <v>0</v>
      </c>
      <c r="L174" s="55" t="n">
        <f aca="false">L59+L97+L135</f>
        <v>0</v>
      </c>
      <c r="M174" s="55" t="n">
        <f aca="false">M59+M97+M135</f>
        <v>0</v>
      </c>
      <c r="N174" s="55" t="n">
        <f aca="false">N59+N97+N135</f>
        <v>0</v>
      </c>
      <c r="O174" s="55" t="n">
        <f aca="false">O59+O97+O135</f>
        <v>6.4516700664448</v>
      </c>
      <c r="P174" s="55" t="n">
        <f aca="false">P59+P97+P135</f>
        <v>7.31318864875262</v>
      </c>
      <c r="Q174" s="55" t="n">
        <f aca="false">Q59+Q97+Q135</f>
        <v>8.4271223761144</v>
      </c>
      <c r="R174" s="55" t="n">
        <f aca="false">R59+R97+R135</f>
        <v>9.41395273396957</v>
      </c>
      <c r="S174" s="55" t="n">
        <f aca="false">S59+S97+S135</f>
        <v>10.8948417188031</v>
      </c>
      <c r="T174" s="55" t="n">
        <f aca="false">T59+T97+T135</f>
        <v>13.2520699258658</v>
      </c>
      <c r="U174" s="55" t="n">
        <f aca="false">U59+U97+U135</f>
        <v>15.758433989317</v>
      </c>
      <c r="V174" s="55" t="n">
        <f aca="false">V59+V97+V135</f>
        <v>18.2768853886905</v>
      </c>
      <c r="W174" s="55" t="n">
        <f aca="false">W59+W97+W135</f>
        <v>24.841750828612</v>
      </c>
      <c r="X174" s="55" t="n">
        <f aca="false">X59+X97+X135</f>
        <v>30.870829792452</v>
      </c>
      <c r="Y174" s="55" t="n">
        <f aca="false">Y59+Y97+Y135</f>
        <v>37.6185584084878</v>
      </c>
      <c r="Z174" s="55" t="n">
        <f aca="false">Z59+Z97+Z135</f>
        <v>47.1134251655504</v>
      </c>
      <c r="AA174" s="55" t="n">
        <f aca="false">AA59+AA97+AA135</f>
        <v>5196.17475504372</v>
      </c>
      <c r="AB174" s="55" t="n">
        <f aca="false">AB59+AB97+AB135</f>
        <v>12547.4998674194</v>
      </c>
      <c r="AC174" s="55" t="n">
        <f aca="false">AC59+AC97+AC135</f>
        <v>24506.1926445621</v>
      </c>
      <c r="AD174" s="55" t="n">
        <f aca="false">AD59+AD97+AD135</f>
        <v>42443.6047273123</v>
      </c>
      <c r="AE174" s="55" t="n">
        <f aca="false">AE59+AE97+AE135</f>
        <v>68014.829594127</v>
      </c>
    </row>
    <row r="175" customFormat="false" ht="15" hidden="false" customHeight="false" outlineLevel="0" collapsed="false">
      <c r="A175" s="6" t="s">
        <v>518</v>
      </c>
      <c r="B175" s="23" t="s">
        <v>484</v>
      </c>
      <c r="C175" s="45" t="n">
        <f aca="false">C60+C98+C136</f>
        <v>1.30814551913446</v>
      </c>
      <c r="D175" s="45" t="n">
        <f aca="false">D60+D98+D136</f>
        <v>2.58675306167188</v>
      </c>
      <c r="E175" s="45" t="n">
        <f aca="false">E60+E98+E136</f>
        <v>3.84532758451489</v>
      </c>
      <c r="F175" s="45" t="n">
        <f aca="false">F60+F98+F136</f>
        <v>5.42948684849851</v>
      </c>
      <c r="G175" s="45" t="n">
        <f aca="false">G60+G98+G136</f>
        <v>6.90664072243681</v>
      </c>
      <c r="H175" s="45" t="n">
        <f aca="false">H60+H98+H136</f>
        <v>8.20711921134805</v>
      </c>
      <c r="I175" s="45" t="n">
        <f aca="false">I60+I98+I136</f>
        <v>9.4914888654283</v>
      </c>
      <c r="J175" s="45" t="n">
        <f aca="false">J60+J98+J136</f>
        <v>10.7961561534234</v>
      </c>
      <c r="K175" s="45" t="n">
        <f aca="false">K60+K98+K136</f>
        <v>12.222761141226</v>
      </c>
      <c r="L175" s="45" t="n">
        <f aca="false">L60+L98+L136</f>
        <v>14.0806402241137</v>
      </c>
      <c r="M175" s="45" t="n">
        <f aca="false">M60+M98+M136</f>
        <v>15.8407051030053</v>
      </c>
      <c r="N175" s="45" t="n">
        <f aca="false">N60+N98+N136</f>
        <v>17.4470880900082</v>
      </c>
      <c r="O175" s="45" t="n">
        <f aca="false">O60+O98+O136</f>
        <v>22.4786493909802</v>
      </c>
      <c r="P175" s="45" t="n">
        <f aca="false">P60+P98+P136</f>
        <v>27.4939635137418</v>
      </c>
      <c r="Q175" s="45" t="n">
        <f aca="false">Q60+Q98+Q136</f>
        <v>32.5124331484969</v>
      </c>
      <c r="R175" s="45" t="n">
        <f aca="false">R60+R98+R136</f>
        <v>38.8432450770324</v>
      </c>
      <c r="S175" s="45" t="n">
        <f aca="false">S60+S98+S136</f>
        <v>44.8740180489433</v>
      </c>
      <c r="T175" s="45" t="n">
        <f aca="false">T60+T98+T136</f>
        <v>50.2880625958323</v>
      </c>
      <c r="U175" s="45" t="n">
        <f aca="false">U60+U98+U136</f>
        <v>55.6893647853302</v>
      </c>
      <c r="V175" s="45" t="n">
        <f aca="false">V60+V98+V136</f>
        <v>61.2192366475133</v>
      </c>
      <c r="W175" s="45" t="n">
        <f aca="false">W60+W98+W136</f>
        <v>67.2988878611282</v>
      </c>
      <c r="X175" s="45" t="n">
        <f aca="false">X60+X98+X136</f>
        <v>75.2488149546821</v>
      </c>
      <c r="Y175" s="45" t="n">
        <f aca="false">Y60+Y98+Y136</f>
        <v>82.9089521953463</v>
      </c>
      <c r="Z175" s="45" t="n">
        <f aca="false">Z60+Z98+Z136</f>
        <v>89.9983923144912</v>
      </c>
      <c r="AA175" s="45" t="n">
        <f aca="false">AA60+AA98+AA136</f>
        <v>2591.92136435562</v>
      </c>
      <c r="AB175" s="45" t="n">
        <f aca="false">AB60+AB98+AB136</f>
        <v>4943.7330569372</v>
      </c>
      <c r="AC175" s="45" t="n">
        <f aca="false">AC60+AC98+AC136</f>
        <v>8180.54942662806</v>
      </c>
      <c r="AD175" s="45" t="n">
        <f aca="false">AD60+AD98+AD136</f>
        <v>11963.6497746372</v>
      </c>
      <c r="AE175" s="45" t="n">
        <f aca="false">AE60+AE98+AE136</f>
        <v>15765.7267337119</v>
      </c>
    </row>
    <row r="176" customFormat="false" ht="15" hidden="false" customHeight="false" outlineLevel="0" collapsed="false">
      <c r="A176" s="6" t="s">
        <v>519</v>
      </c>
      <c r="B176" s="23" t="s">
        <v>484</v>
      </c>
      <c r="C176" s="45" t="n">
        <f aca="false">C52+C90+C128</f>
        <v>0</v>
      </c>
      <c r="D176" s="45" t="n">
        <f aca="false">D52+D90+D128</f>
        <v>0</v>
      </c>
      <c r="E176" s="45" t="n">
        <f aca="false">E52+E90+E128</f>
        <v>0</v>
      </c>
      <c r="F176" s="45" t="n">
        <f aca="false">F52+F90+F128</f>
        <v>0</v>
      </c>
      <c r="G176" s="45" t="n">
        <f aca="false">G52+G90+G128</f>
        <v>0</v>
      </c>
      <c r="H176" s="45" t="n">
        <f aca="false">H52+H90+H128</f>
        <v>0</v>
      </c>
      <c r="I176" s="45" t="n">
        <f aca="false">I52+I90+I128</f>
        <v>0</v>
      </c>
      <c r="J176" s="45" t="n">
        <f aca="false">J52+J90+J128</f>
        <v>0</v>
      </c>
      <c r="K176" s="45" t="n">
        <f aca="false">K52+K90+K128</f>
        <v>0</v>
      </c>
      <c r="L176" s="45" t="n">
        <f aca="false">L52+L90+L128</f>
        <v>0</v>
      </c>
      <c r="M176" s="45" t="n">
        <f aca="false">M52+M90+M128</f>
        <v>0</v>
      </c>
      <c r="N176" s="45" t="n">
        <f aca="false">N52+N90+N128</f>
        <v>0</v>
      </c>
      <c r="O176" s="45" t="n">
        <f aca="false">O52+O90+O128</f>
        <v>95.0366060478943</v>
      </c>
      <c r="P176" s="45" t="n">
        <f aca="false">P52+P90+P128</f>
        <v>111.44197279353</v>
      </c>
      <c r="Q176" s="45" t="n">
        <f aca="false">Q52+Q90+Q128</f>
        <v>127.272049060415</v>
      </c>
      <c r="R176" s="45" t="n">
        <f aca="false">R52+R90+R128</f>
        <v>143.086672266183</v>
      </c>
      <c r="S176" s="45" t="n">
        <f aca="false">S52+S90+S128</f>
        <v>160.372841634623</v>
      </c>
      <c r="T176" s="45" t="n">
        <f aca="false">T52+T90+T128</f>
        <v>183.582130719161</v>
      </c>
      <c r="U176" s="45" t="n">
        <f aca="false">U52+U90+U128</f>
        <v>204.904034958532</v>
      </c>
      <c r="V176" s="45" t="n">
        <f aca="false">V52+V90+V128</f>
        <v>223.605510448706</v>
      </c>
      <c r="W176" s="45" t="n">
        <f aca="false">W52+W90+W128</f>
        <v>291.593556574873</v>
      </c>
      <c r="X176" s="45" t="n">
        <f aca="false">X52+X90+X128</f>
        <v>357.676896430034</v>
      </c>
      <c r="Y176" s="45" t="n">
        <f aca="false">Y52+Y90+Y128</f>
        <v>422.27096102955</v>
      </c>
      <c r="Z176" s="45" t="n">
        <f aca="false">Z52+Z90+Z128</f>
        <v>504.446348803787</v>
      </c>
      <c r="AA176" s="45" t="n">
        <f aca="false">AA52+AA90+AA128</f>
        <v>30462.7250033736</v>
      </c>
      <c r="AB176" s="45" t="n">
        <f aca="false">AB52+AB90+AB128</f>
        <v>56223.5504416642</v>
      </c>
      <c r="AC176" s="45" t="n">
        <f aca="false">AC52+AC90+AC128</f>
        <v>90644.4985010189</v>
      </c>
      <c r="AD176" s="45" t="n">
        <f aca="false">AD52+AD90+AD128</f>
        <v>129084.40354491</v>
      </c>
      <c r="AE176" s="45" t="n">
        <f aca="false">AE52+AE90+AE128</f>
        <v>165457.669527143</v>
      </c>
    </row>
    <row r="177" customFormat="false" ht="15" hidden="false" customHeight="false" outlineLevel="0" collapsed="false">
      <c r="A177" s="3" t="s">
        <v>520</v>
      </c>
      <c r="B177" s="23" t="s">
        <v>114</v>
      </c>
      <c r="C177" s="57" t="n">
        <f aca="false">C61+C99+C137+C141</f>
        <v>420.868689433461</v>
      </c>
      <c r="D177" s="57" t="n">
        <f aca="false">D61+D99+D137+D141</f>
        <v>799.994833377703</v>
      </c>
      <c r="E177" s="57" t="n">
        <f aca="false">E61+E99+E137+E141</f>
        <v>1143.63395228777</v>
      </c>
      <c r="F177" s="57" t="n">
        <f aca="false">F61+F99+F137+F141</f>
        <v>1565.70831633717</v>
      </c>
      <c r="G177" s="57" t="n">
        <f aca="false">G61+G99+G137+G141</f>
        <v>1921.0241199088</v>
      </c>
      <c r="H177" s="57" t="n">
        <f aca="false">H61+H99+H137+H141</f>
        <v>2192.27548575734</v>
      </c>
      <c r="I177" s="57" t="n">
        <f aca="false">I61+I99+I137+I141</f>
        <v>5350.34768271361</v>
      </c>
      <c r="J177" s="57" t="n">
        <f aca="false">J61+J99+J137+J141</f>
        <v>5861.80673432484</v>
      </c>
      <c r="K177" s="57" t="n">
        <f aca="false">K61+K99+K137+K141</f>
        <v>6420.20417194335</v>
      </c>
      <c r="L177" s="57" t="n">
        <f aca="false">L61+L99+L137+L141</f>
        <v>7240.42602084643</v>
      </c>
      <c r="M177" s="57" t="n">
        <f aca="false">M61+M99+M137+M141</f>
        <v>7928.72782970355</v>
      </c>
      <c r="N177" s="57" t="n">
        <f aca="false">N61+N99+N137+N141</f>
        <v>8455.75509620016</v>
      </c>
      <c r="O177" s="57" t="n">
        <f aca="false">O61+O99+O137+O141</f>
        <v>21636.6767795237</v>
      </c>
      <c r="P177" s="57" t="n">
        <f aca="false">P61+P99+P137+P141</f>
        <v>24367.1373736044</v>
      </c>
      <c r="Q177" s="57" t="n">
        <f aca="false">Q61+Q99+Q137+Q141</f>
        <v>26895.2970561174</v>
      </c>
      <c r="R177" s="57" t="n">
        <f aca="false">R61+R99+R137+R141</f>
        <v>30157.6619816624</v>
      </c>
      <c r="S177" s="57" t="n">
        <f aca="false">S61+S99+S137+S141</f>
        <v>32973.6576336305</v>
      </c>
      <c r="T177" s="57" t="n">
        <f aca="false">T61+T99+T137+T141</f>
        <v>35182.1901365156</v>
      </c>
      <c r="U177" s="57" t="n">
        <f aca="false">U61+U99+U137+U141</f>
        <v>37207.3937425289</v>
      </c>
      <c r="V177" s="57" t="n">
        <f aca="false">V61+V99+V137+V141</f>
        <v>39163.5218458329</v>
      </c>
      <c r="W177" s="57" t="n">
        <f aca="false">W61+W99+W137+W141</f>
        <v>41591.9918817926</v>
      </c>
      <c r="X177" s="57" t="n">
        <f aca="false">X61+X99+X137+X141</f>
        <v>45175.9003125187</v>
      </c>
      <c r="Y177" s="57" t="n">
        <f aca="false">Y61+Y99+Y137+Y141</f>
        <v>48296.6248095941</v>
      </c>
      <c r="Z177" s="57" t="n">
        <f aca="false">Z61+Z99+Z137+Z141</f>
        <v>50885.7467324982</v>
      </c>
      <c r="AA177" s="57" t="n">
        <f aca="false">AA61+AA99+AA137+AA141</f>
        <v>1393155.16914546</v>
      </c>
      <c r="AB177" s="57" t="n">
        <f aca="false">AB61+AB99+AB137+AB141</f>
        <v>2322624.83672874</v>
      </c>
      <c r="AC177" s="57" t="n">
        <f aca="false">AC61+AC99+AC137+AC141</f>
        <v>3377820.29603319</v>
      </c>
      <c r="AD177" s="57" t="n">
        <f aca="false">AD61+AD99+AD137+AD141</f>
        <v>4338930.31449405</v>
      </c>
      <c r="AE177" s="57" t="n">
        <f aca="false">AE61+AE99+AE137+AE141</f>
        <v>5018394.18074238</v>
      </c>
    </row>
    <row r="178" customFormat="false" ht="15" hidden="false" customHeight="false" outlineLevel="0" collapsed="false">
      <c r="A178" s="6" t="s">
        <v>521</v>
      </c>
      <c r="B178" s="23" t="s">
        <v>114</v>
      </c>
      <c r="C178" s="55" t="n">
        <f aca="false">IF(C145=0,0,C177/C145/C7*12)</f>
        <v>20.0827846806157</v>
      </c>
      <c r="D178" s="55" t="n">
        <f aca="false">IF(D145=0,0,D177/D145/D7*12)</f>
        <v>20.0830552053803</v>
      </c>
      <c r="E178" s="55" t="n">
        <f aca="false">IF(E145=0,0,E177/E145/E7*12)</f>
        <v>20.0833181136022</v>
      </c>
      <c r="F178" s="55" t="n">
        <f aca="false">IF(F145=0,0,F177/F145/F7*12)</f>
        <v>20.0836282922871</v>
      </c>
      <c r="G178" s="55" t="n">
        <f aca="false">IF(G145=0,0,G177/G145/G7*12)</f>
        <v>20.083925607689</v>
      </c>
      <c r="H178" s="55" t="n">
        <f aca="false">IF(H145=0,0,H177/H145/H7*12)</f>
        <v>20.0841892276794</v>
      </c>
      <c r="I178" s="55" t="n">
        <f aca="false">IF(I145=0,0,I177/I145/I7*12)</f>
        <v>44.0844481754578</v>
      </c>
      <c r="J178" s="55" t="n">
        <f aca="false">IF(J145=0,0,J177/J145/J7*12)</f>
        <v>44.0847103179568</v>
      </c>
      <c r="K178" s="55" t="n">
        <f aca="false">IF(K145=0,0,K177/K145/K7*12)</f>
        <v>44.084997496032</v>
      </c>
      <c r="L178" s="55" t="n">
        <f aca="false">IF(L145=0,0,L177/L145/L7*12)</f>
        <v>44.0853726699983</v>
      </c>
      <c r="M178" s="55" t="n">
        <f aca="false">IF(M145=0,0,M177/M145/M7*12)</f>
        <v>44.0857264118112</v>
      </c>
      <c r="N178" s="55" t="n">
        <f aca="false">IF(N145=0,0,N177/N145/N7*12)</f>
        <v>44.0860459428392</v>
      </c>
      <c r="O178" s="55" t="n">
        <f aca="false">IF(O145=0,0,O177/O145/O7*12)</f>
        <v>83.957357672997</v>
      </c>
      <c r="P178" s="55" t="n">
        <f aca="false">IF(P145=0,0,P177/P145/P7*12)</f>
        <v>76.5518993762713</v>
      </c>
      <c r="Q178" s="55" t="n">
        <f aca="false">IF(Q145=0,0,Q177/Q145/Q7*12)</f>
        <v>71.8521980662105</v>
      </c>
      <c r="R178" s="55" t="n">
        <f aca="false">IF(R145=0,0,R177/R145/R7*12)</f>
        <v>67.4589552323193</v>
      </c>
      <c r="S178" s="55" t="n">
        <f aca="false">IF(S145=0,0,S177/S145/S7*12)</f>
        <v>64.72918150108</v>
      </c>
      <c r="T178" s="55" t="n">
        <f aca="false">IF(T145=0,0,T177/T145/T7*12)</f>
        <v>63.1514109993889</v>
      </c>
      <c r="U178" s="55" t="n">
        <f aca="false">IF(U145=0,0,U177/U145/U7*12)</f>
        <v>61.9144551116933</v>
      </c>
      <c r="V178" s="55" t="n">
        <f aca="false">IF(V145=0,0,V177/V145/V7*12)</f>
        <v>60.8612459255477</v>
      </c>
      <c r="W178" s="55" t="n">
        <f aca="false">IF(W145=0,0,W177/W145/W7*12)</f>
        <v>60.1408220402902</v>
      </c>
      <c r="X178" s="55" t="n">
        <f aca="false">IF(X145=0,0,X177/X145/X7*12)</f>
        <v>58.980837332972</v>
      </c>
      <c r="Y178" s="55" t="n">
        <f aca="false">IF(Y145=0,0,Y177/Y145/Y7*12)</f>
        <v>58.1910614142466</v>
      </c>
      <c r="Z178" s="55" t="n">
        <f aca="false">IF(Z145=0,0,Z177/Z145/Z7*12)</f>
        <v>57.8285176125446</v>
      </c>
      <c r="AA178" s="55" t="n">
        <f aca="false">IF(AA145=0,0,AA177/AA145/AA7*12)</f>
        <v>69.1158578205698</v>
      </c>
      <c r="AB178" s="55" t="n">
        <f aca="false">IF(AB145=0,0,AB177/AB145/AB7*12)</f>
        <v>70.8996395091677</v>
      </c>
      <c r="AC178" s="55" t="n">
        <f aca="false">IF(AC145=0,0,AC177/AC145/AC7*12)</f>
        <v>71.9042389836814</v>
      </c>
      <c r="AD178" s="55" t="n">
        <f aca="false">IF(AD145=0,0,AD177/AD145/AD7*12)</f>
        <v>74.5810248630981</v>
      </c>
      <c r="AE178" s="55" t="n">
        <f aca="false">IF(AE145=0,0,AE177/AE145/AE7*12)</f>
        <v>80.167177783658</v>
      </c>
    </row>
    <row r="179" customFormat="false" ht="15" hidden="false" customHeight="false" outlineLevel="0" collapsed="false">
      <c r="A179" s="6" t="s">
        <v>522</v>
      </c>
      <c r="B179" s="23" t="s">
        <v>513</v>
      </c>
      <c r="C179" s="59" t="n">
        <f aca="false">C177-(C169+C170+C171+C172+C173+C174+C141)</f>
        <v>0</v>
      </c>
      <c r="D179" s="59" t="n">
        <f aca="false">D177-(D169+D170+D171+D172+D173+D174+D141)</f>
        <v>0</v>
      </c>
      <c r="E179" s="59" t="n">
        <f aca="false">E177-(E169+E170+E171+E172+E173+E174+E141)</f>
        <v>0</v>
      </c>
      <c r="F179" s="59" t="n">
        <f aca="false">F177-(F169+F170+F171+F172+F173+F174+F141)</f>
        <v>0</v>
      </c>
      <c r="G179" s="59" t="n">
        <f aca="false">G177-(G169+G170+G171+G172+G173+G174+G141)</f>
        <v>0</v>
      </c>
      <c r="H179" s="59" t="n">
        <f aca="false">H177-(H169+H170+H171+H172+H173+H174+H141)</f>
        <v>0</v>
      </c>
      <c r="I179" s="59" t="n">
        <f aca="false">I177-(I169+I170+I171+I172+I173+I174+I141)</f>
        <v>0</v>
      </c>
      <c r="J179" s="59" t="n">
        <f aca="false">J177-(J169+J170+J171+J172+J173+J174+J141)</f>
        <v>0</v>
      </c>
      <c r="K179" s="59" t="n">
        <f aca="false">K177-(K169+K170+K171+K172+K173+K174+K141)</f>
        <v>0</v>
      </c>
      <c r="L179" s="59" t="n">
        <f aca="false">L177-(L169+L170+L171+L172+L173+L174+L141)</f>
        <v>0</v>
      </c>
      <c r="M179" s="59" t="n">
        <f aca="false">M177-(M169+M170+M171+M172+M173+M174+M141)</f>
        <v>0</v>
      </c>
      <c r="N179" s="59" t="n">
        <f aca="false">N177-(N169+N170+N171+N172+N173+N174+N141)</f>
        <v>0</v>
      </c>
      <c r="O179" s="59" t="n">
        <f aca="false">O177-(O169+O170+O171+O172+O173+O174+O141)</f>
        <v>0</v>
      </c>
      <c r="P179" s="59" t="n">
        <f aca="false">P177-(P169+P170+P171+P172+P173+P174+P141)</f>
        <v>0</v>
      </c>
      <c r="Q179" s="59" t="n">
        <f aca="false">Q177-(Q169+Q170+Q171+Q172+Q173+Q174+Q141)</f>
        <v>0</v>
      </c>
      <c r="R179" s="59" t="n">
        <f aca="false">R177-(R169+R170+R171+R172+R173+R174+R141)</f>
        <v>0</v>
      </c>
      <c r="S179" s="59" t="n">
        <f aca="false">S177-(S169+S170+S171+S172+S173+S174+S141)</f>
        <v>0</v>
      </c>
      <c r="T179" s="59" t="n">
        <f aca="false">T177-(T169+T170+T171+T172+T173+T174+T141)</f>
        <v>0</v>
      </c>
      <c r="U179" s="59" t="n">
        <f aca="false">U177-(U169+U170+U171+U172+U173+U174+U141)</f>
        <v>0</v>
      </c>
      <c r="V179" s="59" t="n">
        <f aca="false">V177-(V169+V170+V171+V172+V173+V174+V141)</f>
        <v>0</v>
      </c>
      <c r="W179" s="59" t="n">
        <f aca="false">W177-(W169+W170+W171+W172+W173+W174+W141)</f>
        <v>0</v>
      </c>
      <c r="X179" s="59" t="n">
        <f aca="false">X177-(X169+X170+X171+X172+X173+X174+X141)</f>
        <v>0</v>
      </c>
      <c r="Y179" s="59" t="n">
        <f aca="false">Y177-(Y169+Y170+Y171+Y172+Y173+Y174+Y141)</f>
        <v>0</v>
      </c>
      <c r="Z179" s="59" t="n">
        <f aca="false">Z177-(Z169+Z170+Z171+Z172+Z173+Z174+Z141)</f>
        <v>0</v>
      </c>
      <c r="AA179" s="59" t="n">
        <f aca="false">AA177-(AA169+AA170+AA171+AA172+AA173+AA174+AA141)</f>
        <v>0</v>
      </c>
      <c r="AB179" s="59" t="n">
        <f aca="false">AB177-(AB169+AB170+AB171+AB172+AB173+AB174+AB141)</f>
        <v>0</v>
      </c>
      <c r="AC179" s="59" t="n">
        <f aca="false">AC177-(AC169+AC170+AC171+AC172+AC173+AC174+AC141)</f>
        <v>0</v>
      </c>
      <c r="AD179" s="59" t="n">
        <f aca="false">AD177-(AD169+AD170+AD171+AD172+AD173+AD174+AD141)</f>
        <v>0</v>
      </c>
      <c r="AE179" s="59" t="n">
        <f aca="false">AE177-(AE169+AE170+AE171+AE172+AE173+AE174+AE141)</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523</v>
      </c>
    </row>
    <row r="4" customFormat="false" ht="15" hidden="false" customHeight="false" outlineLevel="0" collapsed="false">
      <c r="D4" s="61" t="s">
        <v>524</v>
      </c>
      <c r="E4" s="61" t="s">
        <v>525</v>
      </c>
      <c r="F4" s="61" t="s">
        <v>413</v>
      </c>
      <c r="G4" s="61" t="s">
        <v>414</v>
      </c>
      <c r="H4" s="61" t="s">
        <v>415</v>
      </c>
      <c r="I4" s="61" t="s">
        <v>416</v>
      </c>
      <c r="J4" s="61" t="s">
        <v>417</v>
      </c>
    </row>
    <row r="6" customFormat="false" ht="18" hidden="false" customHeight="true" outlineLevel="0" collapsed="false">
      <c r="A6" s="12" t="s">
        <v>526</v>
      </c>
      <c r="B6" s="13"/>
      <c r="C6" s="13"/>
      <c r="D6" s="13"/>
      <c r="E6" s="13"/>
      <c r="F6" s="13"/>
      <c r="G6" s="13"/>
      <c r="H6" s="13"/>
      <c r="I6" s="13"/>
      <c r="J6" s="13"/>
      <c r="K6" s="13"/>
    </row>
    <row r="7" customFormat="false" ht="15" hidden="false" customHeight="false" outlineLevel="0" collapsed="false">
      <c r="A7" s="6" t="s">
        <v>527</v>
      </c>
      <c r="D7" s="36" t="n">
        <f aca="false">SUM(Model!C61:N61)</f>
        <v>16001.9881132638</v>
      </c>
      <c r="E7" s="36" t="n">
        <f aca="false">SUM(Model!O61:Z61)</f>
        <v>97784.9710850666</v>
      </c>
      <c r="F7" s="36" t="n">
        <f aca="false">Model!AA61</f>
        <v>335189.939496353</v>
      </c>
      <c r="G7" s="36" t="n">
        <f aca="false">Model!AB61</f>
        <v>579631.208178136</v>
      </c>
      <c r="H7" s="36" t="n">
        <f aca="false">Model!AC61</f>
        <v>897705.85562763</v>
      </c>
      <c r="I7" s="36" t="n">
        <f aca="false">Model!AD61</f>
        <v>1226177.92454347</v>
      </c>
      <c r="J7" s="36" t="n">
        <f aca="false">Model!AE61</f>
        <v>1504458.66063195</v>
      </c>
    </row>
    <row r="8" customFormat="false" ht="15" hidden="false" customHeight="false" outlineLevel="0" collapsed="false">
      <c r="A8" s="6" t="s">
        <v>528</v>
      </c>
      <c r="D8" s="36" t="n">
        <f aca="false">SUM(Model!C99:N99)</f>
        <v>0</v>
      </c>
      <c r="E8" s="36" t="n">
        <f aca="false">SUM(Model!O99:Z99)</f>
        <v>17184.0124586428</v>
      </c>
      <c r="F8" s="36" t="n">
        <f aca="false">Model!AA99</f>
        <v>78799.2459341358</v>
      </c>
      <c r="G8" s="36" t="n">
        <f aca="false">Model!AB99</f>
        <v>140954.077551672</v>
      </c>
      <c r="H8" s="36" t="n">
        <f aca="false">Model!AC99</f>
        <v>220688.515126715</v>
      </c>
      <c r="I8" s="36" t="n">
        <f aca="false">Model!AD99</f>
        <v>302538.804408399</v>
      </c>
      <c r="J8" s="36" t="n">
        <f aca="false">Model!AE99</f>
        <v>369189.400763024</v>
      </c>
    </row>
    <row r="9" customFormat="false" ht="15" hidden="false" customHeight="false" outlineLevel="0" collapsed="false">
      <c r="A9" s="6" t="s">
        <v>529</v>
      </c>
      <c r="D9" s="36" t="n">
        <f aca="false">SUM(Model!C137:N137)</f>
        <v>33298.7848195704</v>
      </c>
      <c r="E9" s="36" t="n">
        <f aca="false">SUM(Model!O137:Z137)</f>
        <v>200439.81674211</v>
      </c>
      <c r="F9" s="36" t="n">
        <f aca="false">Model!AA137</f>
        <v>624790.983714975</v>
      </c>
      <c r="G9" s="36" t="n">
        <f aca="false">Model!AB137</f>
        <v>1011414.55099893</v>
      </c>
      <c r="H9" s="36" t="n">
        <f aca="false">Model!AC137</f>
        <v>1432550.92527885</v>
      </c>
      <c r="I9" s="36" t="n">
        <f aca="false">Model!AD137</f>
        <v>1747088.58554218</v>
      </c>
      <c r="J9" s="36" t="n">
        <f aca="false">Model!AE137</f>
        <v>1845371.11934741</v>
      </c>
    </row>
    <row r="10" customFormat="false" ht="15" hidden="false" customHeight="false" outlineLevel="0" collapsed="false">
      <c r="A10" s="6" t="s">
        <v>530</v>
      </c>
      <c r="D10" s="36" t="n">
        <f aca="false">SUM(Model!C141:N141)</f>
        <v>0</v>
      </c>
      <c r="E10" s="36" t="n">
        <f aca="false">SUM(Model!O141:Z141)</f>
        <v>118125</v>
      </c>
      <c r="F10" s="36" t="n">
        <f aca="false">Model!AA141</f>
        <v>354375</v>
      </c>
      <c r="G10" s="36" t="n">
        <f aca="false">Model!AB141</f>
        <v>590625</v>
      </c>
      <c r="H10" s="36" t="n">
        <f aca="false">Model!AC141</f>
        <v>826875</v>
      </c>
      <c r="I10" s="36" t="n">
        <f aca="false">Model!AD141</f>
        <v>1063125</v>
      </c>
      <c r="J10" s="36" t="n">
        <f aca="false">Model!AE141</f>
        <v>1299375</v>
      </c>
    </row>
    <row r="11" customFormat="false" ht="15" hidden="false" customHeight="false" outlineLevel="0" collapsed="false">
      <c r="A11" s="3" t="s">
        <v>531</v>
      </c>
      <c r="D11" s="62" t="n">
        <f aca="false">SUM(Model!C177:N177)</f>
        <v>49300.7729328342</v>
      </c>
      <c r="E11" s="62" t="n">
        <f aca="false">SUM(Model!O177:Z177)</f>
        <v>433533.800285819</v>
      </c>
      <c r="F11" s="62" t="n">
        <f aca="false">Model!AA177</f>
        <v>1393155.16914546</v>
      </c>
      <c r="G11" s="62" t="n">
        <f aca="false">Model!AB177</f>
        <v>2322624.83672874</v>
      </c>
      <c r="H11" s="62" t="n">
        <f aca="false">Model!AC177</f>
        <v>3377820.29603319</v>
      </c>
      <c r="I11" s="62" t="n">
        <f aca="false">Model!AD177</f>
        <v>4338930.31449405</v>
      </c>
      <c r="J11" s="62" t="n">
        <f aca="false">Model!AE177</f>
        <v>5018394.18074238</v>
      </c>
    </row>
    <row r="13" customFormat="false" ht="18" hidden="false" customHeight="true" outlineLevel="0" collapsed="false">
      <c r="A13" s="12" t="s">
        <v>532</v>
      </c>
      <c r="B13" s="13"/>
      <c r="C13" s="13"/>
      <c r="D13" s="13"/>
      <c r="E13" s="13"/>
      <c r="F13" s="13"/>
      <c r="G13" s="13"/>
      <c r="H13" s="13"/>
      <c r="I13" s="13"/>
      <c r="J13" s="13"/>
      <c r="K13" s="13"/>
    </row>
    <row r="14" customFormat="false" ht="15" hidden="false" customHeight="false" outlineLevel="0" collapsed="false">
      <c r="A14" s="6" t="s">
        <v>533</v>
      </c>
      <c r="D14" s="36" t="n">
        <f aca="false">SUM(Model!C169:N169)</f>
        <v>24942.5124428144</v>
      </c>
      <c r="E14" s="36" t="n">
        <f aca="false">SUM(Model!O169:Z169)</f>
        <v>127157.335376567</v>
      </c>
      <c r="F14" s="36" t="n">
        <f aca="false">Model!AA169</f>
        <v>372337.92343287</v>
      </c>
      <c r="G14" s="36" t="n">
        <f aca="false">Model!AB169</f>
        <v>605536.71741992</v>
      </c>
      <c r="H14" s="36" t="n">
        <f aca="false">Model!AC169</f>
        <v>869531.012354416</v>
      </c>
      <c r="I14" s="36" t="n">
        <f aca="false">Model!AD169</f>
        <v>1078972.99760021</v>
      </c>
      <c r="J14" s="36" t="n">
        <f aca="false">Model!AE169</f>
        <v>1164459.52217361</v>
      </c>
    </row>
    <row r="15" customFormat="false" ht="15" hidden="false" customHeight="false" outlineLevel="0" collapsed="false">
      <c r="A15" s="6" t="s">
        <v>534</v>
      </c>
      <c r="D15" s="36" t="n">
        <f aca="false">SUM(Model!C170:N170)</f>
        <v>1897.84215538284</v>
      </c>
      <c r="E15" s="36" t="n">
        <f aca="false">SUM(Model!O170:Z170)</f>
        <v>9719.59160205372</v>
      </c>
      <c r="F15" s="36" t="n">
        <f aca="false">Model!AA170</f>
        <v>28721.6704419004</v>
      </c>
      <c r="G15" s="36" t="n">
        <f aca="false">Model!AB170</f>
        <v>46988.2201591933</v>
      </c>
      <c r="H15" s="36" t="n">
        <f aca="false">Model!AC170</f>
        <v>68029.9909833698</v>
      </c>
      <c r="I15" s="36" t="n">
        <f aca="false">Model!AD170</f>
        <v>85336.4431777994</v>
      </c>
      <c r="J15" s="36" t="n">
        <f aca="false">Model!AE170</f>
        <v>93518.4402319574</v>
      </c>
    </row>
    <row r="16" customFormat="false" ht="15" hidden="false" customHeight="false" outlineLevel="0" collapsed="false">
      <c r="A16" s="6" t="s">
        <v>535</v>
      </c>
      <c r="D16" s="36" t="n">
        <f aca="false">SUM(Model!C171:N171)</f>
        <v>0</v>
      </c>
      <c r="E16" s="36" t="n">
        <f aca="false">SUM(Model!O171:Z171)</f>
        <v>207.996374060401</v>
      </c>
      <c r="F16" s="36" t="n">
        <f aca="false">Model!AA171</f>
        <v>4594.51241498603</v>
      </c>
      <c r="G16" s="36" t="n">
        <f aca="false">Model!AB171</f>
        <v>11094.6314617182</v>
      </c>
      <c r="H16" s="36" t="n">
        <f aca="false">Model!AC171</f>
        <v>21668.6334962444</v>
      </c>
      <c r="I16" s="36" t="n">
        <f aca="false">Model!AD171</f>
        <v>37529.0820746761</v>
      </c>
      <c r="J16" s="36" t="n">
        <f aca="false">Model!AE171</f>
        <v>60139.4282727017</v>
      </c>
    </row>
    <row r="17" customFormat="false" ht="15" hidden="false" customHeight="false" outlineLevel="0" collapsed="false">
      <c r="A17" s="6" t="s">
        <v>536</v>
      </c>
      <c r="D17" s="36" t="n">
        <f aca="false">SUM(Model!C172:N172)</f>
        <v>22460.4183346369</v>
      </c>
      <c r="E17" s="36" t="n">
        <f aca="false">SUM(Model!O172:Z172)</f>
        <v>165018.420016799</v>
      </c>
      <c r="F17" s="36" t="n">
        <f aca="false">Model!AA172</f>
        <v>483763.424398101</v>
      </c>
      <c r="G17" s="36" t="n">
        <f aca="false">Model!AB172</f>
        <v>786223.970493981</v>
      </c>
      <c r="H17" s="36" t="n">
        <f aca="false">Model!AC172</f>
        <v>1127439.60927248</v>
      </c>
      <c r="I17" s="36" t="n">
        <f aca="false">Model!AD172</f>
        <v>1396257.66391663</v>
      </c>
      <c r="J17" s="36" t="n">
        <f aca="false">Model!AE172</f>
        <v>1502378.69995679</v>
      </c>
    </row>
    <row r="18" customFormat="false" ht="15" hidden="false" customHeight="false" outlineLevel="0" collapsed="false">
      <c r="A18" s="6" t="s">
        <v>537</v>
      </c>
      <c r="D18" s="36" t="n">
        <f aca="false">SUM(Model!C173:N173)</f>
        <v>0</v>
      </c>
      <c r="E18" s="36" t="n">
        <f aca="false">SUM(Model!O173:Z173)</f>
        <v>13075.2241872966</v>
      </c>
      <c r="F18" s="36" t="n">
        <f aca="false">Model!AA173</f>
        <v>144166.463702563</v>
      </c>
      <c r="G18" s="36" t="n">
        <f aca="false">Model!AB173</f>
        <v>269608.797326508</v>
      </c>
      <c r="H18" s="36" t="n">
        <f aca="false">Model!AC173</f>
        <v>439769.857282121</v>
      </c>
      <c r="I18" s="36" t="n">
        <f aca="false">Model!AD173</f>
        <v>635265.522997427</v>
      </c>
      <c r="J18" s="36" t="n">
        <f aca="false">Model!AE173</f>
        <v>830508.260513189</v>
      </c>
    </row>
    <row r="19" customFormat="false" ht="15" hidden="false" customHeight="false" outlineLevel="0" collapsed="false">
      <c r="A19" s="6" t="s">
        <v>538</v>
      </c>
      <c r="D19" s="36" t="n">
        <f aca="false">SUM(Model!C174:N174)</f>
        <v>0</v>
      </c>
      <c r="E19" s="36" t="n">
        <f aca="false">SUM(Model!O174:Z174)</f>
        <v>230.23272904306</v>
      </c>
      <c r="F19" s="36" t="n">
        <f aca="false">Model!AA174</f>
        <v>5196.17475504372</v>
      </c>
      <c r="G19" s="36" t="n">
        <f aca="false">Model!AB174</f>
        <v>12547.4998674194</v>
      </c>
      <c r="H19" s="36" t="n">
        <f aca="false">Model!AC174</f>
        <v>24506.1926445621</v>
      </c>
      <c r="I19" s="36" t="n">
        <f aca="false">Model!AD174</f>
        <v>42443.6047273123</v>
      </c>
      <c r="J19" s="36" t="n">
        <f aca="false">Model!AE174</f>
        <v>68014.829594127</v>
      </c>
    </row>
    <row r="20" customFormat="false" ht="15" hidden="false" customHeight="false" outlineLevel="0" collapsed="false">
      <c r="A20" s="6" t="s">
        <v>539</v>
      </c>
      <c r="D20" s="36" t="n">
        <f aca="false">SUM(Model!C141:N141)</f>
        <v>0</v>
      </c>
      <c r="E20" s="36" t="n">
        <f aca="false">SUM(Model!O141:Z141)</f>
        <v>118125</v>
      </c>
      <c r="F20" s="36" t="n">
        <f aca="false">Model!AA141</f>
        <v>354375</v>
      </c>
      <c r="G20" s="36" t="n">
        <f aca="false">Model!AB141</f>
        <v>590625</v>
      </c>
      <c r="H20" s="36" t="n">
        <f aca="false">Model!AC141</f>
        <v>826875</v>
      </c>
      <c r="I20" s="36" t="n">
        <f aca="false">Model!AD141</f>
        <v>1063125</v>
      </c>
      <c r="J20" s="36" t="n">
        <f aca="false">Model!AE141</f>
        <v>1299375</v>
      </c>
    </row>
    <row r="21" customFormat="false" ht="15" hidden="false" customHeight="false" outlineLevel="0" collapsed="false">
      <c r="A21" s="3" t="s">
        <v>540</v>
      </c>
      <c r="D21" s="62" t="n">
        <f aca="false">SUM(Model!C177:N177)</f>
        <v>49300.7729328342</v>
      </c>
      <c r="E21" s="62" t="n">
        <f aca="false">SUM(Model!O177:Z177)</f>
        <v>433533.800285819</v>
      </c>
      <c r="F21" s="62" t="n">
        <f aca="false">Model!AA177</f>
        <v>1393155.16914546</v>
      </c>
      <c r="G21" s="62" t="n">
        <f aca="false">Model!AB177</f>
        <v>2322624.83672874</v>
      </c>
      <c r="H21" s="62" t="n">
        <f aca="false">Model!AC177</f>
        <v>3377820.29603319</v>
      </c>
      <c r="I21" s="62" t="n">
        <f aca="false">Model!AD177</f>
        <v>4338930.31449405</v>
      </c>
      <c r="J21" s="62" t="n">
        <f aca="false">Model!AE177</f>
        <v>5018394.18074238</v>
      </c>
    </row>
    <row r="23" customFormat="false" ht="18" hidden="false" customHeight="true" outlineLevel="0" collapsed="false">
      <c r="A23" s="12" t="s">
        <v>541</v>
      </c>
      <c r="B23" s="13"/>
      <c r="C23" s="13"/>
      <c r="D23" s="13"/>
      <c r="E23" s="13"/>
      <c r="F23" s="13"/>
      <c r="G23" s="13"/>
      <c r="H23" s="13"/>
      <c r="I23" s="13"/>
      <c r="J23" s="13"/>
      <c r="K23" s="13"/>
    </row>
    <row r="24" customFormat="false" ht="15" hidden="false" customHeight="false" outlineLevel="0" collapsed="false">
      <c r="A24" s="0" t="s">
        <v>542</v>
      </c>
      <c r="D24" s="63" t="n">
        <f aca="false">IF(D$11=0,0,D14/D$11)</f>
        <v>0.505925383295619</v>
      </c>
      <c r="E24" s="63" t="n">
        <f aca="false">IF(E$11=0,0,E14/E$11)</f>
        <v>0.293304317432077</v>
      </c>
      <c r="F24" s="63" t="n">
        <f aca="false">IF(F$11=0,0,F14/F$11)</f>
        <v>0.26726234929111</v>
      </c>
      <c r="G24" s="63" t="n">
        <f aca="false">IF(G$11=0,0,G14/G$11)</f>
        <v>0.26071223722587</v>
      </c>
      <c r="H24" s="63" t="n">
        <f aca="false">IF(H$11=0,0,H14/H$11)</f>
        <v>0.257423704089755</v>
      </c>
      <c r="I24" s="63" t="n">
        <f aca="false">IF(I$11=0,0,I14/I$11)</f>
        <v>0.24867258042747</v>
      </c>
      <c r="J24" s="63" t="n">
        <f aca="false">IF(J$11=0,0,J14/J$11)</f>
        <v>0.232038273645804</v>
      </c>
    </row>
    <row r="25" customFormat="false" ht="15" hidden="false" customHeight="false" outlineLevel="0" collapsed="false">
      <c r="A25" s="0" t="s">
        <v>543</v>
      </c>
      <c r="D25" s="63" t="n">
        <f aca="false">IF(D$11=0,0,D15/D$11)</f>
        <v>0.038495180551599</v>
      </c>
      <c r="E25" s="63" t="n">
        <f aca="false">IF(E$11=0,0,E15/E$11)</f>
        <v>0.0224194551743043</v>
      </c>
      <c r="F25" s="63" t="n">
        <f aca="false">IF(F$11=0,0,F15/F$11)</f>
        <v>0.0206162752563433</v>
      </c>
      <c r="G25" s="63" t="n">
        <f aca="false">IF(G$11=0,0,G15/G$11)</f>
        <v>0.0202306543080685</v>
      </c>
      <c r="H25" s="63" t="n">
        <f aca="false">IF(H$11=0,0,H15/H$11)</f>
        <v>0.0201402043392487</v>
      </c>
      <c r="I25" s="63" t="n">
        <f aca="false">IF(I$11=0,0,I15/I$11)</f>
        <v>0.0196676224305184</v>
      </c>
      <c r="J25" s="63" t="n">
        <f aca="false">IF(J$11=0,0,J15/J$11)</f>
        <v>0.0186351324475119</v>
      </c>
    </row>
    <row r="26" customFormat="false" ht="15" hidden="false" customHeight="false" outlineLevel="0" collapsed="false">
      <c r="A26" s="0" t="s">
        <v>544</v>
      </c>
      <c r="D26" s="63" t="n">
        <f aca="false">IF(D$11=0,0,D16/D$11)</f>
        <v>0</v>
      </c>
      <c r="E26" s="63" t="n">
        <f aca="false">IF(E$11=0,0,E16/E$11)</f>
        <v>0.000479769683294068</v>
      </c>
      <c r="F26" s="63" t="n">
        <f aca="false">IF(F$11=0,0,F16/F$11)</f>
        <v>0.00329791865022775</v>
      </c>
      <c r="G26" s="63" t="n">
        <f aca="false">IF(G$11=0,0,G16/G$11)</f>
        <v>0.00477676432554828</v>
      </c>
      <c r="H26" s="63" t="n">
        <f aca="false">IF(H$11=0,0,H16/H$11)</f>
        <v>0.00641497521987518</v>
      </c>
      <c r="I26" s="63" t="n">
        <f aca="false">IF(I$11=0,0,I16/I$11)</f>
        <v>0.00864938575973703</v>
      </c>
      <c r="J26" s="63" t="n">
        <f aca="false">IF(J$11=0,0,J16/J$11)</f>
        <v>0.0119837992207709</v>
      </c>
    </row>
    <row r="27" customFormat="false" ht="15" hidden="false" customHeight="false" outlineLevel="0" collapsed="false">
      <c r="A27" s="0" t="s">
        <v>545</v>
      </c>
      <c r="D27" s="63" t="n">
        <f aca="false">IF(D$11=0,0,D17/D$11)</f>
        <v>0.455579436152782</v>
      </c>
      <c r="E27" s="63" t="n">
        <f aca="false">IF(E$11=0,0,E17/E$11)</f>
        <v>0.380635650341463</v>
      </c>
      <c r="F27" s="63" t="n">
        <f aca="false">IF(F$11=0,0,F17/F$11)</f>
        <v>0.347243031581926</v>
      </c>
      <c r="G27" s="63" t="n">
        <f aca="false">IF(G$11=0,0,G17/G$11)</f>
        <v>0.338506657666386</v>
      </c>
      <c r="H27" s="63" t="n">
        <f aca="false">IF(H$11=0,0,H17/H$11)</f>
        <v>0.333777261802977</v>
      </c>
      <c r="I27" s="63" t="n">
        <f aca="false">IF(I$11=0,0,I17/I$11)</f>
        <v>0.321797669635872</v>
      </c>
      <c r="J27" s="63" t="n">
        <f aca="false">IF(J$11=0,0,J17/J$11)</f>
        <v>0.299374390661067</v>
      </c>
    </row>
    <row r="28" customFormat="false" ht="15" hidden="false" customHeight="false" outlineLevel="0" collapsed="false">
      <c r="A28" s="0" t="s">
        <v>546</v>
      </c>
      <c r="D28" s="63" t="n">
        <f aca="false">IF(D$11=0,0,D18/D$11)</f>
        <v>0</v>
      </c>
      <c r="E28" s="63" t="n">
        <f aca="false">IF(E$11=0,0,E18/E$11)</f>
        <v>0.0301596419441262</v>
      </c>
      <c r="F28" s="63" t="n">
        <f aca="false">IF(F$11=0,0,F18/F$11)</f>
        <v>0.103481985995136</v>
      </c>
      <c r="G28" s="63" t="n">
        <f aca="false">IF(G$11=0,0,G18/G$11)</f>
        <v>0.116079356882377</v>
      </c>
      <c r="H28" s="63" t="n">
        <f aca="false">IF(H$11=0,0,H18/H$11)</f>
        <v>0.13019338470983</v>
      </c>
      <c r="I28" s="63" t="n">
        <f aca="false">IF(I$11=0,0,I18/I$11)</f>
        <v>0.146410630490041</v>
      </c>
      <c r="J28" s="63" t="n">
        <f aca="false">IF(J$11=0,0,J18/J$11)</f>
        <v>0.165492831093298</v>
      </c>
    </row>
    <row r="29" customFormat="false" ht="15" hidden="false" customHeight="false" outlineLevel="0" collapsed="false">
      <c r="A29" s="0" t="s">
        <v>547</v>
      </c>
      <c r="D29" s="63" t="n">
        <f aca="false">IF(D$11=0,0,D19/D$11)</f>
        <v>0</v>
      </c>
      <c r="E29" s="63" t="n">
        <f aca="false">IF(E$11=0,0,E19/E$11)</f>
        <v>0.000531060620628132</v>
      </c>
      <c r="F29" s="63" t="n">
        <f aca="false">IF(F$11=0,0,F19/F$11)</f>
        <v>0.00372978894966234</v>
      </c>
      <c r="G29" s="63" t="n">
        <f aca="false">IF(G$11=0,0,G19/G$11)</f>
        <v>0.00540229298722723</v>
      </c>
      <c r="H29" s="63" t="n">
        <f aca="false">IF(H$11=0,0,H19/H$11)</f>
        <v>0.00725503149866836</v>
      </c>
      <c r="I29" s="63" t="n">
        <f aca="false">IF(I$11=0,0,I19/I$11)</f>
        <v>0.00978204341875021</v>
      </c>
      <c r="J29" s="63" t="n">
        <f aca="false">IF(J$11=0,0,J19/J$11)</f>
        <v>0.0135531062615861</v>
      </c>
    </row>
    <row r="30" customFormat="false" ht="15" hidden="false" customHeight="false" outlineLevel="0" collapsed="false">
      <c r="A30" s="0" t="s">
        <v>548</v>
      </c>
      <c r="D30" s="63" t="n">
        <f aca="false">IF(D$11=0,0,D20/D$11)</f>
        <v>0</v>
      </c>
      <c r="E30" s="63" t="n">
        <f aca="false">IF(E$11=0,0,E20/E$11)</f>
        <v>0.272470104804107</v>
      </c>
      <c r="F30" s="63" t="n">
        <f aca="false">IF(F$11=0,0,F20/F$11)</f>
        <v>0.254368650275595</v>
      </c>
      <c r="G30" s="63" t="n">
        <f aca="false">IF(G$11=0,0,G20/G$11)</f>
        <v>0.254292036604524</v>
      </c>
      <c r="H30" s="63" t="n">
        <f aca="false">IF(H$11=0,0,H20/H$11)</f>
        <v>0.244795438339647</v>
      </c>
      <c r="I30" s="63" t="n">
        <f aca="false">IF(I$11=0,0,I20/I$11)</f>
        <v>0.245020067837611</v>
      </c>
      <c r="J30" s="63" t="n">
        <f aca="false">IF(J$11=0,0,J20/J$11)</f>
        <v>0.258922466669962</v>
      </c>
    </row>
    <row r="31" customFormat="false" ht="15" hidden="false" customHeight="false" outlineLevel="0" collapsed="false">
      <c r="A31" s="3" t="s">
        <v>549</v>
      </c>
      <c r="D31" s="40" t="n">
        <f aca="false">SUM(D24:D30)</f>
        <v>1</v>
      </c>
      <c r="E31" s="40" t="n">
        <f aca="false">SUM(E24:E30)</f>
        <v>1</v>
      </c>
      <c r="F31" s="40" t="n">
        <f aca="false">SUM(F24:F30)</f>
        <v>1</v>
      </c>
      <c r="G31" s="40" t="n">
        <f aca="false">SUM(G24:G30)</f>
        <v>1</v>
      </c>
      <c r="H31" s="40" t="n">
        <f aca="false">SUM(H24:H30)</f>
        <v>1</v>
      </c>
      <c r="I31" s="40" t="n">
        <f aca="false">SUM(I24:I30)</f>
        <v>1</v>
      </c>
      <c r="J31" s="40" t="n">
        <f aca="false">SUM(J24:J30)</f>
        <v>1</v>
      </c>
    </row>
    <row r="33" customFormat="false" ht="18" hidden="false" customHeight="true" outlineLevel="0" collapsed="false">
      <c r="A33" s="12" t="s">
        <v>550</v>
      </c>
      <c r="B33" s="13"/>
      <c r="C33" s="13"/>
      <c r="D33" s="13"/>
      <c r="E33" s="13"/>
      <c r="F33" s="13"/>
      <c r="G33" s="13"/>
      <c r="H33" s="13"/>
      <c r="I33" s="13"/>
      <c r="J33" s="13"/>
      <c r="K33" s="13"/>
    </row>
    <row r="34" customFormat="false" ht="15" hidden="false" customHeight="false" outlineLevel="0" collapsed="false">
      <c r="A34" s="6" t="s">
        <v>551</v>
      </c>
      <c r="D34" s="37" t="n">
        <f aca="false">SUM(Model!C148:N148)</f>
        <v>3043.99126642035</v>
      </c>
      <c r="E34" s="37" t="n">
        <f aca="false">SUM(Model!O148:Z148)</f>
        <v>12165.5471843431</v>
      </c>
      <c r="F34" s="37" t="n">
        <f aca="false">Model!AA148</f>
        <v>19348.4459341612</v>
      </c>
      <c r="G34" s="37" t="n">
        <f aca="false">Model!AB148</f>
        <v>29223.9844971396</v>
      </c>
      <c r="H34" s="37" t="n">
        <f aca="false">Model!AC148</f>
        <v>39048.3315401938</v>
      </c>
      <c r="I34" s="37" t="n">
        <f aca="false">Model!AD148</f>
        <v>43607.577395577</v>
      </c>
      <c r="J34" s="37" t="n">
        <f aca="false">Model!AE148</f>
        <v>41263.1095118219</v>
      </c>
    </row>
    <row r="35" customFormat="false" ht="15" hidden="false" customHeight="false" outlineLevel="0" collapsed="false">
      <c r="A35" s="3" t="s">
        <v>552</v>
      </c>
      <c r="D35" s="64" t="n">
        <f aca="false">Model!N145</f>
        <v>2301.61401378486</v>
      </c>
      <c r="E35" s="64" t="n">
        <f aca="false">Model!Z145</f>
        <v>10559.3050972055</v>
      </c>
      <c r="F35" s="64" t="n">
        <f aca="false">Model!AA145</f>
        <v>20156.8093499209</v>
      </c>
      <c r="G35" s="64" t="n">
        <f aca="false">Model!AB145</f>
        <v>32759.3321039159</v>
      </c>
      <c r="H35" s="64" t="n">
        <f aca="false">Model!AC145</f>
        <v>46976.6503863533</v>
      </c>
      <c r="I35" s="64" t="n">
        <f aca="false">Model!AD145</f>
        <v>58177.4026631928</v>
      </c>
      <c r="J35" s="64" t="n">
        <f aca="false">Model!AE145</f>
        <v>62599.1124981996</v>
      </c>
    </row>
    <row r="36" customFormat="false" ht="15" hidden="false" customHeight="false" outlineLevel="0" collapsed="false">
      <c r="A36" s="6" t="s">
        <v>553</v>
      </c>
      <c r="D36" s="37" t="n">
        <f aca="false">Model!N146</f>
        <v>742.377252635484</v>
      </c>
      <c r="E36" s="37" t="n">
        <f aca="false">Model!Z146</f>
        <v>4650.23335355799</v>
      </c>
      <c r="F36" s="37" t="n">
        <f aca="false">Model!AA146</f>
        <v>14401.1750350038</v>
      </c>
      <c r="G36" s="37" t="n">
        <f aca="false">Model!AB146</f>
        <v>31022.6367781484</v>
      </c>
      <c r="H36" s="37" t="n">
        <f aca="false">Model!AC146</f>
        <v>55853.6500359049</v>
      </c>
      <c r="I36" s="37" t="n">
        <f aca="false">Model!AD146</f>
        <v>88260.4751546423</v>
      </c>
      <c r="J36" s="37" t="n">
        <f aca="false">Model!AE146</f>
        <v>125101.874831457</v>
      </c>
    </row>
    <row r="37" customFormat="false" ht="15" hidden="false" customHeight="false" outlineLevel="0" collapsed="false">
      <c r="A37" s="6" t="s">
        <v>496</v>
      </c>
      <c r="D37" s="37" t="n">
        <f aca="false">Model!N147</f>
        <v>3043.99126642035</v>
      </c>
      <c r="E37" s="37" t="n">
        <f aca="false">Model!Z147</f>
        <v>15209.5384507635</v>
      </c>
      <c r="F37" s="37" t="n">
        <f aca="false">Model!AA147</f>
        <v>34557.9843849247</v>
      </c>
      <c r="G37" s="37" t="n">
        <f aca="false">Model!AB147</f>
        <v>63781.9688820643</v>
      </c>
      <c r="H37" s="37" t="n">
        <f aca="false">Model!AC147</f>
        <v>102830.300422258</v>
      </c>
      <c r="I37" s="37" t="n">
        <f aca="false">Model!AD147</f>
        <v>146437.877817835</v>
      </c>
      <c r="J37" s="37" t="n">
        <f aca="false">Model!AE147</f>
        <v>187700.987329657</v>
      </c>
    </row>
    <row r="38" customFormat="false" ht="15" hidden="false" customHeight="false" outlineLevel="0" collapsed="false">
      <c r="A38" s="6" t="s">
        <v>554</v>
      </c>
      <c r="D38" s="37" t="n">
        <f aca="false">Model!N149</f>
        <v>0</v>
      </c>
      <c r="E38" s="37" t="n">
        <f aca="false">Model!Z149</f>
        <v>679.846831271951</v>
      </c>
      <c r="F38" s="37" t="n">
        <f aca="false">Model!AA149</f>
        <v>3421.24045410754</v>
      </c>
      <c r="G38" s="37" t="n">
        <f aca="false">Model!AB149</f>
        <v>6314.41491932437</v>
      </c>
      <c r="H38" s="37" t="n">
        <f aca="false">Model!AC149</f>
        <v>10180.1997418036</v>
      </c>
      <c r="I38" s="37" t="n">
        <f aca="false">Model!AD149</f>
        <v>14497.3499039657</v>
      </c>
      <c r="J38" s="37" t="n">
        <f aca="false">Model!AE149</f>
        <v>18582.397745636</v>
      </c>
    </row>
    <row r="39" customFormat="false" ht="15" hidden="false" customHeight="false" outlineLevel="0" collapsed="false">
      <c r="A39" s="6" t="s">
        <v>555</v>
      </c>
      <c r="D39" s="37" t="n">
        <f aca="false">Model!N151</f>
        <v>3475.85400431012</v>
      </c>
      <c r="E39" s="37" t="n">
        <f aca="false">Model!Z151</f>
        <v>19579.9393808762</v>
      </c>
      <c r="F39" s="37" t="n">
        <f aca="false">Model!AA151</f>
        <v>63526.7524838895</v>
      </c>
      <c r="G39" s="37" t="n">
        <f aca="false">Model!AB151</f>
        <v>126957.464924801</v>
      </c>
      <c r="H39" s="37" t="n">
        <f aca="false">Model!AC151</f>
        <v>207711.72391368</v>
      </c>
      <c r="I39" s="37" t="n">
        <f aca="false">Model!AD151</f>
        <v>295113.7821755</v>
      </c>
      <c r="J39" s="37" t="n">
        <f aca="false">Model!AE151</f>
        <v>374638.943694224</v>
      </c>
    </row>
    <row r="40" customFormat="false" ht="15" hidden="false" customHeight="false" outlineLevel="0" collapsed="false">
      <c r="A40" s="3" t="s">
        <v>556</v>
      </c>
      <c r="D40" s="62" t="n">
        <f aca="false">Model!N158</f>
        <v>491694.30744971</v>
      </c>
      <c r="E40" s="62" t="n">
        <f aca="false">Model!Z158</f>
        <v>2994130.26102907</v>
      </c>
      <c r="F40" s="62" t="n">
        <f aca="false">Model!AA158</f>
        <v>10501266.8900033</v>
      </c>
      <c r="G40" s="62" t="n">
        <f aca="false">Model!AB158</f>
        <v>22686577.2065115</v>
      </c>
      <c r="H40" s="62" t="n">
        <f aca="false">Model!AC158</f>
        <v>40123373.4246744</v>
      </c>
      <c r="I40" s="62" t="n">
        <f aca="false">Model!AD158</f>
        <v>61624245.5798964</v>
      </c>
      <c r="J40" s="62" t="n">
        <f aca="false">Model!AE158</f>
        <v>84566963.663645</v>
      </c>
    </row>
    <row r="41" customFormat="false" ht="15" hidden="false" customHeight="false" outlineLevel="0" collapsed="false">
      <c r="A41" s="6" t="s">
        <v>557</v>
      </c>
      <c r="D41" s="37" t="n">
        <f aca="false">Model!N150</f>
        <v>3409.92095871356</v>
      </c>
      <c r="E41" s="37" t="n">
        <f aca="false">Model!Z150</f>
        <v>18984.1673378964</v>
      </c>
      <c r="F41" s="37" t="n">
        <f aca="false">Model!AA150</f>
        <v>61836.6586803199</v>
      </c>
      <c r="G41" s="37" t="n">
        <f aca="false">Model!AB150</f>
        <v>121688.258428563</v>
      </c>
      <c r="H41" s="37" t="n">
        <f aca="false">Model!AC150</f>
        <v>195560.611506421</v>
      </c>
      <c r="I41" s="37" t="n">
        <f aca="false">Model!AD150</f>
        <v>272222.387900632</v>
      </c>
      <c r="J41" s="37" t="n">
        <f aca="false">Model!AE150</f>
        <v>337339.091234944</v>
      </c>
    </row>
    <row r="42" customFormat="false" ht="15" hidden="false" customHeight="false" outlineLevel="0" collapsed="false">
      <c r="A42" s="3" t="s">
        <v>558</v>
      </c>
      <c r="D42" s="62" t="n">
        <f aca="false">Model!N153</f>
        <v>482367.41881962</v>
      </c>
      <c r="E42" s="62" t="n">
        <f aca="false">Model!Z153</f>
        <v>2903025.83685994</v>
      </c>
      <c r="F42" s="62" t="n">
        <f aca="false">Model!AA153</f>
        <v>10221886.5438267</v>
      </c>
      <c r="G42" s="62" t="n">
        <f aca="false">Model!AB153</f>
        <v>21744999.9620009</v>
      </c>
      <c r="H42" s="62" t="n">
        <f aca="false">Model!AC153</f>
        <v>37776160.6075286</v>
      </c>
      <c r="I42" s="62" t="n">
        <f aca="false">Model!AD153</f>
        <v>56844174.3407233</v>
      </c>
      <c r="J42" s="62" t="n">
        <f aca="false">Model!AE153</f>
        <v>76147296.3528226</v>
      </c>
    </row>
    <row r="43" customFormat="false" ht="15" hidden="false" customHeight="false" outlineLevel="0" collapsed="false">
      <c r="A43" s="6" t="s">
        <v>521</v>
      </c>
      <c r="D43" s="36" t="n">
        <f aca="false">Model!N178</f>
        <v>44.0860459428392</v>
      </c>
      <c r="E43" s="36" t="n">
        <f aca="false">Model!Z178</f>
        <v>57.8285176125446</v>
      </c>
      <c r="F43" s="36" t="n">
        <f aca="false">Model!AA178</f>
        <v>69.1158578205698</v>
      </c>
      <c r="G43" s="36" t="n">
        <f aca="false">Model!AB178</f>
        <v>70.8996395091677</v>
      </c>
      <c r="H43" s="36" t="n">
        <f aca="false">Model!AC178</f>
        <v>71.9042389836814</v>
      </c>
      <c r="I43" s="36" t="n">
        <f aca="false">Model!AD178</f>
        <v>74.5810248630981</v>
      </c>
      <c r="J43" s="36" t="n">
        <f aca="false">Model!AE178</f>
        <v>80.167177783658</v>
      </c>
    </row>
    <row r="45" customFormat="false" ht="15" hidden="false" customHeight="false" outlineLevel="0" collapsed="false">
      <c r="A45" s="9" t="s">
        <v>559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2026-08-21T10:58:11Z</dcterms:created>
  <dc:creator>openpyxl</dc:creator>
  <dc:description/>
  <dc:language>en-US</dc:language>
  <cp:lastModifiedBy/>
  <dcterms:modified xsi:type="dcterms:W3CDTF">2026-08-21T10:58:12Z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