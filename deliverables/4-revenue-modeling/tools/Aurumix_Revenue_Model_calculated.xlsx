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Parameters'!$B$79</definedName>
    <definedName function="false" hidden="false" name="aum_per_partner_user" vbProcedure="false">'Scenario Parameters'!$B$78</definedName>
    <definedName function="false" hidden="false" name="b2b_fee" vbProcedure="false">'Scenario Parameters'!$B$75</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Parameters'!$B$77</definedName>
    <definedName function="false" hidden="false" name="partner_users" vbProcedure="false">'Scenario Parameters'!$B$76</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Parameters'!$B$90</definedName>
    <definedName function="false" hidden="false" name="sw_prepaid_vs_credit" vbProcedure="false">'Scenario Parameters'!$B$89</definedName>
    <definedName function="false" hidden="false" name="ticket_gulf" vbProcedure="false">'Scenario Parameters'!$B$84</definedName>
    <definedName function="false" hidden="false" name="ticket_india" vbProcedure="false">'Scenario Parameters'!$B$85</definedName>
    <definedName function="false" hidden="false" name="ticket_uae" vbProcedure="false">'Scenario Parameters'!$B$83</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<sst xmlns="http://schemas.openxmlformats.org/spreadsheetml/2006/main" count="1204" uniqueCount="574">
  <si>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</si>
  <si>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</si>
  <si>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</si>
  <si>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</si>
  <si>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</si>
  <si>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</si>
  <si>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</si>
  <si>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</si>
  <si>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</si>
  <si>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</si>
  <si>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</si>
  <si>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</si>
  <si>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</si>
  <si>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</si>
  <si>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</si>
  <si>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</si>
  <si>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</si>
  <si>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</si>
  <si>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</si>
  <si>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</si>
  <si>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</si>
  <si>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</si>
  <si>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</si>
  <si>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</si>
  <si>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</si>
  <si>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</si>
  <si>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</si>
  <si>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</si>
  <si>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</si>
  <si>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</si>
  <si>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</si>
  <si>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</si>
  <si>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</si>
  <si>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</si>
  <si>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</si>
  <si>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</si>
  <si>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</si>
  <si>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</si>
  <si>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</si>
  <si>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</si>
  <si>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</si>
  <si>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</si>
  <si>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</si>
  <si>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</si>
  <si>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</si>
  <si>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</si>
  <si>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</si>
  <si>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</si>
  <si>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</si>
  <si>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</si>
  <si>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</si>
  <si>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</si>
  <si>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</si>
  <si>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</si>
  <si>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</si>
  <si>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</si>
  <si>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</si>
  <si>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</si>
  <si>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</si>
  <si>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</si>
  <si>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</si>
  <si>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</si>
  <si>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</si>
  <si>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</si>
  <si>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</si>
  <si>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</si>
  <si>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</si>
  <si>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</si>
  <si>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</si>
  <si>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</si>
  <si>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</si>
  <si>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</si>
  <si>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</si>
  <si>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</si>
  <si>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</si>
  <si>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</si>
  <si>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</si>
  <si>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</si>
  <si>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</si>
  <si>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</si>
  <si>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</si>
  <si>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</si>
  <si>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</si>
  <si>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</si>
  <si>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</si>
  <si>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</si>
  <si>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</si>
  <si>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</si>
  <si>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</si>
  <si>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</si>
  <si>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</si>
  <si>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</si>
  <si>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</si>
  <si>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</si>
  <si>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</si>
  <si>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</si>
  <si>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</si>
  <si>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</si>
  <si>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</si>
  <si>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</si>
  <si>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</si>
  <si>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</si>
  <si>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</si>
  <si>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</si>
  <si>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</si>
  <si>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</si>
  <si>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</si>
  <si>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</si>
  <si>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</si>
  <si>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</si>
  <si>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</si>
  <si>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</si>
  <si>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</si>
  <si>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</si>
  <si>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</si>
  <si>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</si>
  <si>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</si>
  <si>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</si>
  <si>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</si>
  <si>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</si>
  <si>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</si>
  <si>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</si>
  <si>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</si>
  <si>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</si>
  <si>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</si>
  <si>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</si>
  <si>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</si>
  <si>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</si>
  <si>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</si>
  <si>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</si>
  <si>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</si>
  <si>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</si>
  <si>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</si>
  <si>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</si>
  <si>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</si>
  <si>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</si>
  <si>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</si>
  <si>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</si>
  <si>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</si>
  <si>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</si>
  <si>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</si>
  <si>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</si>
  <si>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</si>
  <si>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</si>
  <si>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</si>
  <si>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</si>
  <si>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</si>
  <si>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</si>
  <si>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</si>
  <si>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</si>
  <si>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</si>
  <si>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</si>
  <si>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</si>
  <si>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</si>
  <si>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</si>
  <si>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</si>
  <si>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</si>
  <si>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</si>
  <si>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</si>
  <si>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</si>
  <si>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</si>
  <si>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</si>
  <si>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</si>
  <si>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</si>
  <si>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</si>
  <si>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</si>
  <si>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</si>
  <si>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</si>
  <si>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</si>
  <si>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</si>
  <si>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</si>
  <si>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</si>
  <si>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</si>
  <si>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</si>
  <si>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</si>
  <si>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</si>
  <si>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</si>
  <si>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</si>
  <si>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</si>
  <si>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</si>
  <si>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</si>
  <si>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</si>
  <si>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</si>
  <si>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</si>
  <si>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</si>
  <si>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</si>
  <si>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</si>
  <si>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</si>
  <si>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</si>
  <si>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</si>
  <si>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</si>
  <si>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</si>
  <si>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</si>
  <si>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</si>
  <si>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</si>
  <si>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</si>
  <si>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</si>
  <si>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</si>
  <si>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</si>
  <si>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</si>
  <si>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</si>
  <si>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</si>
  <si>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</si>
  <si>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</si>
  <si>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</si>
  <si>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</si>
  <si>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</si>
  <si>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</si>
  <si>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</si>
  <si>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</si>
  <si>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</si>
  <si>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</si>
  <si>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</si>
  <si>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</si>
  <si>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</si>
  <si>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</si>
  <si>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</si>
  <si>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</si>
  <si>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</si>
  <si>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</si>
  <si>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</si>
  <si>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</si>
  <si>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</si>
  <si>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</si>
  <si>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</si>
  <si>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</si>
  <si>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</si>
  <si>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</si>
  <si>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</si>
  <si>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</si>
  <si>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</si>
  <si>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</si>
  <si>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</si>
  <si>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</si>
  <si>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</si>
  <si>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</si>
  <si>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</si>
  <si>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</si>
  <si>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</si>
  <si>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</si>
  <si>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</si>
  <si>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</si>
  <si>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</si>
  <si>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</si>
  <si>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</si>
  <si>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</si>
  <si>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</si>
  <si>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</si>
  <si>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</si>
  <si>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</si>
  <si>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</si>
  <si>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</si>
  <si>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</si>
  <si>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</si>
  <si>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</si>
  <si>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</si>
  <si>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</si>
  <si>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</si>
  <si>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</si>
  <si>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</si>
  <si>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</si>
  <si>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</si>
  <si>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</si>
  <si>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</si>
  <si>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</si>
  <si>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</si>
  <si>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</si>
  <si>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</si>
  <si>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</si>
  <si>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</si>
  <si>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</si>
  <si>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</si>
  <si>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</si>
  <si>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</si>
  <si>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</si>
  <si>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</si>
  <si>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</si>
  <si>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</si>
  <si>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</si>
  <si>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</si>
  <si>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</si>
  <si>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</si>
  <si>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</si>
  <si>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</si>
  <si>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</si>
  <si>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</si>
  <si>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</si>
  <si>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</si>
  <si>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</si>
  <si>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</si>
  <si>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</si>
  <si>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</si>
  <si>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</si>
  <si>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</si>
  <si>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</si>
  <si>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</si>
  <si>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</si>
  <si>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</si>
  <si>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</si>
  <si>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</si>
  <si>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</si>
  <si>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</si>
  <si>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</si>
  <si>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</si>
  <si>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</si>
  <si>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</si>
  <si>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</si>
  <si>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</si>
  <si>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</si>
  <si>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</si>
  <si>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</si>
  <si>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</si>
  <si>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</si>
  <si>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</si>
  <si>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</si>
  <si>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</si>
  <si>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</si>
  <si>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</si>
  <si>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</si>
  <si>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</si>
  <si>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</si>
  <si>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</si>
  <si>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</si>
  <si>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</si>
  <si>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</si>
  <si>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</si>
  <si>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</si>
  <si>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</si>
  <si>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</si>
  <si>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</si>
  <si>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</si>
  <si>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</si>
  <si>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</si>
  <si>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</si>
  <si>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</si>
  <si>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</si>
  <si>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</si>
  <si>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</si>
  <si>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</si>
  <si>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</si>
  <si>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</si>
  <si>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</si>
  <si>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</si>
  <si>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</si>
  <si>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</si>
  <si>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</si>
  <si>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</si>
  <si>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</si>
  <si>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</si>
  <si>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</si>
  <si>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B2B platform fee</t>
  </si>
  <si>
    <t xml:space="preserve">% of partner AUM/yr</t>
  </si>
  <si>
    <t xml:space="preserve">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</si>
  <si>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</si>
  <si>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</si>
  <si>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</si>
  <si>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</si>
  <si>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</si>
  <si>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</si>
  <si>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</si>
  <si>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</si>
  <si>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</si>
  <si>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</si>
  <si>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</si>
  <si>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</si>
  <si>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</si>
  <si>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</si>
  <si>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</si>
  <si>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</si>
  <si>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</si>
  <si>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</si>
  <si>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</si>
  <si>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</si>
  <si>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</si>
  <si>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</si>
  <si>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</si>
  <si>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</si>
  <si>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</si>
  <si>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</si>
  <si>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</si>
  <si>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</si>
  <si>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</si>
  <si>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</si>
  <si>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</si>
  <si>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</si>
  <si>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</si>
  <si>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</si>
  <si>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</si>
  <si>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</si>
  <si>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</si>
  <si>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</si>
  <si>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</si>
  <si>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</si>
  <si>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</si>
  <si>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</si>
  <si>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</si>
  <si>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</si>
  <si>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</si>
  <si>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</si>
  <si>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</si>
  <si>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</si>
  <si>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</si>
  <si>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</si>
  <si>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</si>
  <si>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</si>
  <si>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</si>
  <si>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</si>
  <si>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</si>
  <si>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</si>
  <si>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</si>
  <si>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</si>
  <si>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</si>
  <si>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</si>
  <si>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</si>
  <si>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</si>
  <si>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</si>
  <si>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</si>
  <si>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</si>
  <si>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</si>
  <si>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</si>
  <si>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</si>
  <si>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</si>
  <si>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</si>
  <si>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</si>
  <si>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</si>
  <si>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</si>
  <si>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</si>
  <si>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</si>
  <si>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</si>
  <si>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</si>
  <si>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</si>
  <si>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</si>
  <si>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</si>
  <si>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</si>
  <si>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</si>
  <si>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</si>
  <si>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</si>
  <si>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</si>
  <si>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</si>
  <si>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</si>
  <si>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</si>
  <si>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</si>
  <si>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</si>
  <si>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</si>
  <si>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</si>
  <si>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</si>
  <si>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</si>
  <si>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</si>
  <si>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</si>
  <si>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</si>
  <si>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</si>
  <si>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</si>
  <si>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</si>
  <si>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</si>
  <si>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</si>
  <si>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</si>
  <si>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</si>
  <si>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</si>
  <si>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</si>
  <si>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</si>
  <si>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</si>
  <si>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</si>
  <si>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</si>
  <si>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</si>
  <si>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</si>
  <si>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</si>
  <si>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</si>
  <si>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</si>
  <si>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</si>
  <si>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</si>
  <si>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</si>
  <si>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</si>
  <si>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</si>
  <si>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</si>
  <si>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</si>
  <si>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</si>
  <si>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</si>
  <si>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</si>
  <si>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</si>
  <si>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...of which have a live credit line</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</si>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</sst>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8</v>
      </c>
      <c r="C93" s="0" t="s">
        <v>210</v>
      </c>
      <c r="D93" s="0" t="s">
        <v>211</v>
      </c>
    </row>
    <row r="94" customFormat="false" ht="15" hidden="false" customHeight="false" outlineLevel="0" collapsed="false">
      <c r="A94" s="0" t="s">
        <v>212</v>
      </c>
      <c r="B94" s="17" t="n">
        <v>23</v>
      </c>
      <c r="C94" s="0" t="s">
        <v>210</v>
      </c>
      <c r="D94" s="0" t="s">
        <v>211</v>
      </c>
    </row>
    <row r="95" customFormat="false" ht="15" hidden="false" customHeight="false" outlineLevel="0" collapsed="false">
      <c r="A95" s="0" t="s">
        <v>213</v>
      </c>
      <c r="B95" s="17" t="n">
        <v>60</v>
      </c>
      <c r="C95" s="0" t="s">
        <v>210</v>
      </c>
      <c r="D95" s="0" t="s">
        <v>211</v>
      </c>
    </row>
    <row r="96" customFormat="false" ht="15" hidden="false" customHeight="false" outlineLevel="0" collapsed="false">
      <c r="A96" s="0" t="s">
        <v>214</v>
      </c>
      <c r="B96" s="17" t="n">
        <v>90</v>
      </c>
      <c r="C96" s="0" t="s">
        <v>210</v>
      </c>
      <c r="D96" s="0" t="s">
        <v>211</v>
      </c>
    </row>
    <row r="97" customFormat="false" ht="15" hidden="false" customHeight="false" outlineLevel="0" collapsed="false">
      <c r="A97" s="0" t="s">
        <v>215</v>
      </c>
      <c r="B97" s="17" t="n">
        <v>135</v>
      </c>
      <c r="C97" s="0" t="s">
        <v>210</v>
      </c>
      <c r="D97" s="0" t="s">
        <v>211</v>
      </c>
    </row>
    <row r="98" customFormat="false" ht="15" hidden="false" customHeight="false" outlineLevel="0" collapsed="false">
      <c r="A98" s="0" t="s">
        <v>216</v>
      </c>
      <c r="B98" s="17" t="n">
        <v>159</v>
      </c>
      <c r="C98" s="0" t="s">
        <v>210</v>
      </c>
      <c r="D98" s="0" t="s">
        <v>211</v>
      </c>
    </row>
    <row r="99" customFormat="false" ht="15" hidden="false" customHeight="false" outlineLevel="0" collapsed="false">
      <c r="A99" s="0" t="s">
        <v>217</v>
      </c>
      <c r="B99" s="17" t="n">
        <v>186</v>
      </c>
      <c r="C99" s="0" t="s">
        <v>210</v>
      </c>
      <c r="D99" s="0" t="s">
        <v>211</v>
      </c>
    </row>
    <row r="100" customFormat="false" ht="15" hidden="false" customHeight="false" outlineLevel="0" collapsed="false">
      <c r="A100" s="0" t="s">
        <v>218</v>
      </c>
      <c r="B100" s="20" t="n">
        <v>90000</v>
      </c>
      <c r="C100" s="0" t="s">
        <v>76</v>
      </c>
      <c r="D100" s="0" t="s">
        <v>219</v>
      </c>
    </row>
    <row r="101" customFormat="false" ht="15" hidden="false" customHeight="false" outlineLevel="0" collapsed="false">
      <c r="A101" s="0" t="s">
        <v>220</v>
      </c>
      <c r="B101" s="20" t="n">
        <v>270000</v>
      </c>
      <c r="C101" s="0" t="s">
        <v>76</v>
      </c>
      <c r="D101" s="0" t="s">
        <v>219</v>
      </c>
    </row>
    <row r="102" customFormat="false" ht="15" hidden="false" customHeight="false" outlineLevel="0" collapsed="false">
      <c r="A102" s="0" t="s">
        <v>221</v>
      </c>
      <c r="B102" s="20" t="n">
        <v>375000</v>
      </c>
      <c r="C102" s="0" t="s">
        <v>76</v>
      </c>
      <c r="D102" s="0" t="s">
        <v>219</v>
      </c>
    </row>
    <row r="103" customFormat="false" ht="15" hidden="false" customHeight="false" outlineLevel="0" collapsed="false">
      <c r="A103" s="0" t="s">
        <v>222</v>
      </c>
      <c r="B103" s="20" t="n">
        <v>600000</v>
      </c>
      <c r="C103" s="0" t="s">
        <v>76</v>
      </c>
      <c r="D103" s="0" t="s">
        <v>219</v>
      </c>
    </row>
    <row r="104" customFormat="false" ht="15" hidden="false" customHeight="false" outlineLevel="0" collapsed="false">
      <c r="A104" s="0" t="s">
        <v>223</v>
      </c>
      <c r="B104" s="20" t="n">
        <v>900000</v>
      </c>
      <c r="C104" s="0" t="s">
        <v>76</v>
      </c>
      <c r="D104" s="0" t="s">
        <v>219</v>
      </c>
    </row>
    <row r="105" customFormat="false" ht="15" hidden="false" customHeight="false" outlineLevel="0" collapsed="false">
      <c r="A105" s="0" t="s">
        <v>224</v>
      </c>
      <c r="B105" s="20" t="n">
        <v>1275000</v>
      </c>
      <c r="C105" s="0" t="s">
        <v>76</v>
      </c>
      <c r="D105" s="0" t="s">
        <v>219</v>
      </c>
    </row>
    <row r="106" customFormat="false" ht="15" hidden="false" customHeight="false" outlineLevel="0" collapsed="false">
      <c r="A106" s="0" t="s">
        <v>225</v>
      </c>
      <c r="B106" s="20" t="n">
        <v>1650000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6</v>
      </c>
      <c r="C123" s="0" t="s">
        <v>251</v>
      </c>
      <c r="D123" s="0" t="s">
        <v>252</v>
      </c>
    </row>
    <row r="124" customFormat="false" ht="15" hidden="false" customHeight="false" outlineLevel="0" collapsed="false">
      <c r="A124" s="0" t="s">
        <v>253</v>
      </c>
      <c r="B124" s="36" t="n">
        <f aca="false">'Scenario Parameters'!$B$17</f>
        <v>85</v>
      </c>
      <c r="C124" s="0" t="s">
        <v>254</v>
      </c>
      <c r="D124" s="0" t="s">
        <v>255</v>
      </c>
    </row>
    <row r="125" customFormat="false" ht="15" hidden="false" customHeight="false" outlineLevel="0" collapsed="false">
      <c r="A125" s="0" t="s">
        <v>256</v>
      </c>
      <c r="B125" s="36" t="n">
        <f aca="false">'Scenario Parameters'!$B$18</f>
        <v>75</v>
      </c>
      <c r="C125" s="0" t="s">
        <v>254</v>
      </c>
      <c r="D125" s="0" t="s">
        <v>255</v>
      </c>
    </row>
    <row r="126" customFormat="false" ht="15" hidden="false" customHeight="false" outlineLevel="0" collapsed="false">
      <c r="A126" s="0" t="s">
        <v>257</v>
      </c>
      <c r="B126" s="36" t="n">
        <f aca="false">'Scenario Parameters'!$B$19</f>
        <v>15</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0.6</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0.25</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0.06</v>
      </c>
      <c r="C136" s="0" t="s">
        <v>281</v>
      </c>
      <c r="D136" s="0" t="s">
        <v>282</v>
      </c>
    </row>
    <row r="137" customFormat="false" ht="15" hidden="false" customHeight="false" outlineLevel="0" collapsed="false">
      <c r="A137" s="0" t="s">
        <v>283</v>
      </c>
      <c r="B137" s="34" t="n">
        <f aca="false">'Scenario Parameters'!$B$36</f>
        <v>0.06</v>
      </c>
      <c r="C137" s="0" t="s">
        <v>281</v>
      </c>
      <c r="D137" s="0" t="s">
        <v>284</v>
      </c>
    </row>
    <row r="138" customFormat="false" ht="15" hidden="false" customHeight="false" outlineLevel="0" collapsed="false">
      <c r="A138" s="0" t="s">
        <v>285</v>
      </c>
      <c r="B138" s="35" t="n">
        <f aca="false">'Scenario Parameters'!$B$37</f>
        <v>1.6</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0.6</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0.15</v>
      </c>
      <c r="C159" s="0" t="s">
        <v>332</v>
      </c>
      <c r="D159" s="0" t="s">
        <v>333</v>
      </c>
    </row>
    <row r="160" customFormat="false" ht="15" hidden="false" customHeight="false" outlineLevel="0" collapsed="false">
      <c r="A160" s="0" t="s">
        <v>334</v>
      </c>
      <c r="B160" s="34" t="n">
        <f aca="false">'Scenario Parameters'!$B$65</f>
        <v>0.25</v>
      </c>
      <c r="C160" s="0" t="s">
        <v>242</v>
      </c>
      <c r="D160" s="0" t="s">
        <v>335</v>
      </c>
    </row>
    <row r="161" customFormat="false" ht="15" hidden="false" customHeight="false" outlineLevel="0" collapsed="false">
      <c r="A161" s="0" t="s">
        <v>336</v>
      </c>
      <c r="B161" s="35" t="n">
        <f aca="false">'Scenario Parameters'!$B$66</f>
        <v>2.5</v>
      </c>
      <c r="C161" s="0" t="s">
        <v>337</v>
      </c>
      <c r="D161" s="0" t="s">
        <v>338</v>
      </c>
    </row>
    <row r="162" customFormat="false" ht="15" hidden="false" customHeight="false" outlineLevel="0" collapsed="false">
      <c r="A162" s="0" t="s">
        <v>339</v>
      </c>
      <c r="B162" s="33" t="n">
        <f aca="false">'Scenario Parameters'!$B$67</f>
        <v>0.0711362891029878</v>
      </c>
      <c r="C162" s="0" t="s">
        <v>248</v>
      </c>
      <c r="D162" s="0" t="s">
        <v>340</v>
      </c>
    </row>
    <row r="163" customFormat="false" ht="15" hidden="false" customHeight="false" outlineLevel="0" collapsed="false">
      <c r="A163" s="0" t="s">
        <v>341</v>
      </c>
      <c r="B163" s="37" t="n">
        <f aca="false">'Scenario Parameters'!$B$68</f>
        <v>0</v>
      </c>
      <c r="C163" s="0" t="s">
        <v>342</v>
      </c>
      <c r="D163" s="0" t="s">
        <v>343</v>
      </c>
    </row>
    <row r="164" customFormat="false" ht="15" hidden="false" customHeight="false" outlineLevel="0" collapsed="false">
      <c r="A164" s="0" t="s">
        <v>344</v>
      </c>
      <c r="B164" s="37" t="n">
        <f aca="false">'Scenario Parameters'!$B$69</f>
        <v>1</v>
      </c>
      <c r="C164" s="0" t="s">
        <v>342</v>
      </c>
      <c r="D164" s="0" t="s">
        <v>343</v>
      </c>
    </row>
    <row r="165" customFormat="false" ht="15" hidden="false" customHeight="false" outlineLevel="0" collapsed="false">
      <c r="A165" s="0" t="s">
        <v>345</v>
      </c>
      <c r="B165" s="37" t="n">
        <f aca="false">'Scenario Parameters'!$B$70</f>
        <v>3</v>
      </c>
      <c r="C165" s="0" t="s">
        <v>342</v>
      </c>
      <c r="D165" s="0" t="s">
        <v>343</v>
      </c>
    </row>
    <row r="166" customFormat="false" ht="15" hidden="false" customHeight="false" outlineLevel="0" collapsed="false">
      <c r="A166" s="0" t="s">
        <v>346</v>
      </c>
      <c r="B166" s="37" t="n">
        <f aca="false">'Scenario Parameters'!$B$71</f>
        <v>5</v>
      </c>
      <c r="C166" s="0" t="s">
        <v>342</v>
      </c>
      <c r="D166" s="0" t="s">
        <v>343</v>
      </c>
    </row>
    <row r="167" customFormat="false" ht="15" hidden="false" customHeight="false" outlineLevel="0" collapsed="false">
      <c r="A167" s="0" t="s">
        <v>347</v>
      </c>
      <c r="B167" s="37" t="n">
        <f aca="false">'Scenario Parameters'!$B$72</f>
        <v>7</v>
      </c>
      <c r="C167" s="0" t="s">
        <v>342</v>
      </c>
      <c r="D167" s="0" t="s">
        <v>343</v>
      </c>
    </row>
    <row r="168" customFormat="false" ht="15" hidden="false" customHeight="false" outlineLevel="0" collapsed="false">
      <c r="A168" s="0" t="s">
        <v>348</v>
      </c>
      <c r="B168" s="37" t="n">
        <f aca="false">'Scenario Parameters'!$B$73</f>
        <v>9</v>
      </c>
      <c r="C168" s="0" t="s">
        <v>342</v>
      </c>
      <c r="D168" s="0" t="s">
        <v>343</v>
      </c>
    </row>
    <row r="169" customFormat="false" ht="15" hidden="false" customHeight="false" outlineLevel="0" collapsed="false">
      <c r="A169" s="0" t="s">
        <v>349</v>
      </c>
      <c r="B169" s="37" t="n">
        <f aca="false">'Scenario Parameters'!$B$74</f>
        <v>11</v>
      </c>
      <c r="C169" s="0" t="s">
        <v>342</v>
      </c>
      <c r="D169" s="0" t="s">
        <v>343</v>
      </c>
    </row>
    <row r="170" customFormat="false" ht="15" hidden="false" customHeight="false" outlineLevel="0" collapsed="false">
      <c r="A170" s="0" t="s">
        <v>350</v>
      </c>
      <c r="B170" s="33" t="n">
        <f aca="false">'Scenario Parameters'!$B$75</f>
        <v>0.0075</v>
      </c>
      <c r="C170" s="0" t="s">
        <v>351</v>
      </c>
      <c r="D170" s="0" t="s">
        <v>352</v>
      </c>
    </row>
    <row r="171" customFormat="false" ht="15" hidden="false" customHeight="false" outlineLevel="0" collapsed="false">
      <c r="A171" s="0" t="s">
        <v>353</v>
      </c>
      <c r="B171" s="37" t="n">
        <f aca="false">'Scenario Parameters'!$B$76</f>
        <v>900000</v>
      </c>
      <c r="C171" s="0" t="s">
        <v>354</v>
      </c>
      <c r="D171" s="0" t="s">
        <v>355</v>
      </c>
    </row>
    <row r="172" customFormat="false" ht="15" hidden="false" customHeight="false" outlineLevel="0" collapsed="false">
      <c r="A172" s="0" t="s">
        <v>356</v>
      </c>
      <c r="B172" s="34" t="n">
        <f aca="false">'Scenario Parameters'!$B$77</f>
        <v>0.06</v>
      </c>
      <c r="C172" s="0" t="s">
        <v>357</v>
      </c>
      <c r="D172" s="0" t="s">
        <v>358</v>
      </c>
    </row>
    <row r="173" customFormat="false" ht="15" hidden="false" customHeight="false" outlineLevel="0" collapsed="false">
      <c r="A173" s="0" t="s">
        <v>359</v>
      </c>
      <c r="B173" s="36" t="n">
        <f aca="false">'Scenario Parameters'!$B$78</f>
        <v>350</v>
      </c>
      <c r="C173" s="0" t="s">
        <v>114</v>
      </c>
      <c r="D173" s="0" t="s">
        <v>360</v>
      </c>
    </row>
    <row r="174" customFormat="false" ht="15" hidden="false" customHeight="false" outlineLevel="0" collapsed="false">
      <c r="A174" s="0" t="s">
        <v>361</v>
      </c>
      <c r="B174" s="36" t="n">
        <f aca="false">'Scenario Parameters'!$B$79</f>
        <v>18900000</v>
      </c>
      <c r="C174" s="0" t="s">
        <v>114</v>
      </c>
      <c r="D174" s="0" t="s">
        <v>362</v>
      </c>
    </row>
    <row r="175" customFormat="false" ht="15" hidden="false" customHeight="false" outlineLevel="0" collapsed="false">
      <c r="A175" s="0" t="s">
        <v>363</v>
      </c>
      <c r="B175" s="36" t="n">
        <f aca="false">'Scenario Parameters'!$B$83</f>
        <v>33.6</v>
      </c>
      <c r="C175" s="0" t="s">
        <v>108</v>
      </c>
      <c r="D175" s="0" t="s">
        <v>364</v>
      </c>
    </row>
    <row r="176" customFormat="false" ht="15" hidden="false" customHeight="false" outlineLevel="0" collapsed="false">
      <c r="A176" s="0" t="s">
        <v>365</v>
      </c>
      <c r="B176" s="36" t="n">
        <f aca="false">'Scenario Parameters'!$B$84</f>
        <v>26</v>
      </c>
      <c r="C176" s="0" t="s">
        <v>108</v>
      </c>
      <c r="D176" s="0" t="s">
        <v>364</v>
      </c>
    </row>
    <row r="177" customFormat="false" ht="15" hidden="false" customHeight="false" outlineLevel="0" collapsed="false">
      <c r="A177" s="0" t="s">
        <v>366</v>
      </c>
      <c r="B177" s="36" t="n">
        <f aca="false">'Scenario Parameters'!$B$85</f>
        <v>30</v>
      </c>
      <c r="C177" s="0" t="s">
        <v>108</v>
      </c>
      <c r="D177" s="0" t="s">
        <v>364</v>
      </c>
    </row>
    <row r="178" customFormat="false" ht="15" hidden="false" customHeight="false" outlineLevel="0" collapsed="false">
      <c r="A178" s="0" t="s">
        <v>367</v>
      </c>
      <c r="B178" s="37" t="n">
        <f aca="false">'Scenario Parameters'!$B$89</f>
        <v>0</v>
      </c>
      <c r="C178" s="0" t="s">
        <v>368</v>
      </c>
      <c r="D178" s="0" t="s">
        <v>369</v>
      </c>
    </row>
    <row r="179" customFormat="false" ht="15" hidden="false" customHeight="false" outlineLevel="0" collapsed="false">
      <c r="A179" s="0" t="s">
        <v>370</v>
      </c>
      <c r="B179" s="37" t="n">
        <f aca="false">'Scenario Parameters'!$B$90</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6</v>
      </c>
      <c r="C16" s="15" t="n">
        <v>6</v>
      </c>
      <c r="D16" s="15" t="n">
        <v>8</v>
      </c>
      <c r="E16" s="15" t="n">
        <v>3</v>
      </c>
      <c r="F16" s="23" t="s">
        <v>251</v>
      </c>
      <c r="G16" s="9" t="s">
        <v>252</v>
      </c>
    </row>
    <row r="17" customFormat="false" ht="15" hidden="false" customHeight="false" outlineLevel="0" collapsed="false">
      <c r="A17" s="0" t="s">
        <v>253</v>
      </c>
      <c r="B17" s="42" t="n">
        <f aca="false">CHOOSE($C$6,C17,D17,E17)</f>
        <v>85</v>
      </c>
      <c r="C17" s="20" t="n">
        <v>85</v>
      </c>
      <c r="D17" s="20" t="n">
        <v>55</v>
      </c>
      <c r="E17" s="20" t="n">
        <v>140</v>
      </c>
      <c r="F17" s="23" t="s">
        <v>254</v>
      </c>
      <c r="G17" s="9" t="s">
        <v>255</v>
      </c>
    </row>
    <row r="18" customFormat="false" ht="15" hidden="false" customHeight="false" outlineLevel="0" collapsed="false">
      <c r="A18" s="0" t="s">
        <v>256</v>
      </c>
      <c r="B18" s="42" t="n">
        <f aca="false">CHOOSE($C$6,C18,D18,E18)</f>
        <v>75</v>
      </c>
      <c r="C18" s="20" t="n">
        <v>75</v>
      </c>
      <c r="D18" s="20" t="n">
        <v>50</v>
      </c>
      <c r="E18" s="20" t="n">
        <v>125</v>
      </c>
      <c r="F18" s="23" t="s">
        <v>254</v>
      </c>
      <c r="G18" s="9" t="s">
        <v>255</v>
      </c>
    </row>
    <row r="19" customFormat="false" ht="15" hidden="false" customHeight="false" outlineLevel="0" collapsed="false">
      <c r="A19" s="0" t="s">
        <v>257</v>
      </c>
      <c r="B19" s="42" t="n">
        <f aca="false">CHOOSE($C$6,C19,D19,E19)</f>
        <v>15</v>
      </c>
      <c r="C19" s="20" t="n">
        <v>15</v>
      </c>
      <c r="D19" s="20" t="n">
        <v>9</v>
      </c>
      <c r="E19" s="20" t="n">
        <v>26</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0.6</v>
      </c>
      <c r="C23" s="15" t="n">
        <v>0.6</v>
      </c>
      <c r="D23" s="15" t="n">
        <v>1.1</v>
      </c>
      <c r="E23" s="15" t="n">
        <v>0.25</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0.25</v>
      </c>
      <c r="C25" s="19" t="n">
        <v>0.25</v>
      </c>
      <c r="D25" s="19" t="n">
        <v>0.4</v>
      </c>
      <c r="E25" s="19" t="n">
        <v>0.1</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280</v>
      </c>
      <c r="B35" s="40" t="n">
        <f aca="false">CHOOSE($C$6,C35,D35,E35)</f>
        <v>0.06</v>
      </c>
      <c r="C35" s="19" t="n">
        <v>0.06</v>
      </c>
      <c r="D35" s="19" t="n">
        <v>0.03</v>
      </c>
      <c r="E35" s="19" t="n">
        <v>0.18</v>
      </c>
      <c r="F35" s="23" t="s">
        <v>281</v>
      </c>
      <c r="G35" s="9" t="s">
        <v>282</v>
      </c>
    </row>
    <row r="36" customFormat="false" ht="15" hidden="false" customHeight="false" outlineLevel="0" collapsed="false">
      <c r="A36" s="0" t="s">
        <v>283</v>
      </c>
      <c r="B36" s="40" t="n">
        <f aca="false">CHOOSE($C$6,C36,D36,E36)</f>
        <v>0.06</v>
      </c>
      <c r="C36" s="19" t="n">
        <v>0.06</v>
      </c>
      <c r="D36" s="19" t="n">
        <v>0.035</v>
      </c>
      <c r="E36" s="19" t="n">
        <v>0.12</v>
      </c>
      <c r="F36" s="23" t="s">
        <v>281</v>
      </c>
      <c r="G36" s="9" t="s">
        <v>284</v>
      </c>
    </row>
    <row r="37" customFormat="false" ht="15" hidden="false" customHeight="false" outlineLevel="0" collapsed="false">
      <c r="A37" s="0" t="s">
        <v>285</v>
      </c>
      <c r="B37" s="41" t="n">
        <f aca="false">CHOOSE($C$6,C37,D37,E37)</f>
        <v>1.6</v>
      </c>
      <c r="C37" s="15" t="n">
        <v>1.6</v>
      </c>
      <c r="D37" s="15" t="n">
        <v>1.3</v>
      </c>
      <c r="E37" s="15" t="n">
        <v>2.8</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297</v>
      </c>
      <c r="B44" s="40" t="n">
        <f aca="false">CHOOSE($C$6,C44,D44,E44)</f>
        <v>0.6</v>
      </c>
      <c r="C44" s="19" t="n">
        <v>0.6</v>
      </c>
      <c r="D44" s="19" t="n">
        <v>0.36</v>
      </c>
      <c r="E44" s="19" t="n">
        <v>0.85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0.15</v>
      </c>
      <c r="C64" s="19" t="n">
        <v>0.15</v>
      </c>
      <c r="D64" s="19" t="n">
        <v>0.25</v>
      </c>
      <c r="E64" s="19" t="n">
        <v>0.08</v>
      </c>
      <c r="F64" s="23" t="s">
        <v>332</v>
      </c>
      <c r="G64" s="9" t="s">
        <v>333</v>
      </c>
    </row>
    <row r="65" customFormat="false" ht="15" hidden="false" customHeight="false" outlineLevel="0" collapsed="false">
      <c r="A65" s="0" t="s">
        <v>334</v>
      </c>
      <c r="B65" s="40" t="n">
        <f aca="false">CHOOSE($C$6,C65,D65,E65)</f>
        <v>0.25</v>
      </c>
      <c r="C65" s="19" t="n">
        <v>0.25</v>
      </c>
      <c r="D65" s="19" t="n">
        <v>0.15</v>
      </c>
      <c r="E65" s="19" t="n">
        <v>0.4</v>
      </c>
      <c r="F65" s="23" t="s">
        <v>242</v>
      </c>
      <c r="G65" s="9" t="s">
        <v>335</v>
      </c>
    </row>
    <row r="66" customFormat="false" ht="15" hidden="false" customHeight="false" outlineLevel="0" collapsed="false">
      <c r="A66" s="0" t="s">
        <v>336</v>
      </c>
      <c r="B66" s="41" t="n">
        <f aca="false">CHOOSE($C$6,C66,D66,E66)</f>
        <v>2.5</v>
      </c>
      <c r="C66" s="15" t="n">
        <v>2.5</v>
      </c>
      <c r="D66" s="15" t="n">
        <v>3.5</v>
      </c>
      <c r="E66" s="15" t="n">
        <v>1.6</v>
      </c>
      <c r="F66" s="23" t="s">
        <v>337</v>
      </c>
      <c r="G66" s="9" t="s">
        <v>338</v>
      </c>
    </row>
    <row r="67" customFormat="false" ht="15" hidden="false" customHeight="false" outlineLevel="0" collapsed="false">
      <c r="A67" s="0" t="s">
        <v>339</v>
      </c>
      <c r="B67" s="39" t="n">
        <f aca="false">1-(1-'Scenario Parameters'!$B$15)*(1-'Scenario Parameters'!$B$65)^(1/12)</f>
        <v>0.0711362891029878</v>
      </c>
      <c r="F67" s="23" t="s">
        <v>248</v>
      </c>
      <c r="G67" s="9" t="s">
        <v>340</v>
      </c>
    </row>
    <row r="68" customFormat="false" ht="15" hidden="false" customHeight="false" outlineLevel="0" collapsed="false">
      <c r="A68" s="0" t="s">
        <v>341</v>
      </c>
      <c r="B68" s="31" t="n">
        <f aca="false">CHOOSE($C$6,C68,D68,E68)</f>
        <v>0</v>
      </c>
      <c r="C68" s="17" t="n">
        <v>0</v>
      </c>
      <c r="D68" s="17" t="n">
        <v>0</v>
      </c>
      <c r="E68" s="17" t="n">
        <v>0</v>
      </c>
      <c r="F68" s="23" t="s">
        <v>342</v>
      </c>
      <c r="G68" s="9" t="s">
        <v>343</v>
      </c>
    </row>
    <row r="69" customFormat="false" ht="15" hidden="false" customHeight="false" outlineLevel="0" collapsed="false">
      <c r="A69" s="0" t="s">
        <v>344</v>
      </c>
      <c r="B69" s="31" t="n">
        <f aca="false">CHOOSE($C$6,C69,D69,E69)</f>
        <v>1</v>
      </c>
      <c r="C69" s="17" t="n">
        <v>1</v>
      </c>
      <c r="D69" s="17" t="n">
        <v>2</v>
      </c>
      <c r="E69" s="17" t="n">
        <v>1</v>
      </c>
      <c r="F69" s="23" t="s">
        <v>342</v>
      </c>
      <c r="G69" s="9" t="s">
        <v>343</v>
      </c>
    </row>
    <row r="70" customFormat="false" ht="15" hidden="false" customHeight="false" outlineLevel="0" collapsed="false">
      <c r="A70" s="0" t="s">
        <v>345</v>
      </c>
      <c r="B70" s="31" t="n">
        <f aca="false">CHOOSE($C$6,C70,D70,E70)</f>
        <v>3</v>
      </c>
      <c r="C70" s="17" t="n">
        <v>3</v>
      </c>
      <c r="D70" s="17" t="n">
        <v>5</v>
      </c>
      <c r="E70" s="17" t="n">
        <v>1</v>
      </c>
      <c r="F70" s="23" t="s">
        <v>342</v>
      </c>
      <c r="G70" s="9" t="s">
        <v>343</v>
      </c>
    </row>
    <row r="71" customFormat="false" ht="15" hidden="false" customHeight="false" outlineLevel="0" collapsed="false">
      <c r="A71" s="0" t="s">
        <v>346</v>
      </c>
      <c r="B71" s="31" t="n">
        <f aca="false">CHOOSE($C$6,C71,D71,E71)</f>
        <v>5</v>
      </c>
      <c r="C71" s="17" t="n">
        <v>5</v>
      </c>
      <c r="D71" s="17" t="n">
        <v>8</v>
      </c>
      <c r="E71" s="17" t="n">
        <v>2</v>
      </c>
      <c r="F71" s="23" t="s">
        <v>342</v>
      </c>
      <c r="G71" s="9" t="s">
        <v>343</v>
      </c>
    </row>
    <row r="72" customFormat="false" ht="15" hidden="false" customHeight="false" outlineLevel="0" collapsed="false">
      <c r="A72" s="0" t="s">
        <v>347</v>
      </c>
      <c r="B72" s="31" t="n">
        <f aca="false">CHOOSE($C$6,C72,D72,E72)</f>
        <v>7</v>
      </c>
      <c r="C72" s="17" t="n">
        <v>7</v>
      </c>
      <c r="D72" s="17" t="n">
        <v>11</v>
      </c>
      <c r="E72" s="17" t="n">
        <v>3</v>
      </c>
      <c r="F72" s="23" t="s">
        <v>342</v>
      </c>
      <c r="G72" s="9" t="s">
        <v>343</v>
      </c>
    </row>
    <row r="73" customFormat="false" ht="15" hidden="false" customHeight="false" outlineLevel="0" collapsed="false">
      <c r="A73" s="0" t="s">
        <v>348</v>
      </c>
      <c r="B73" s="31" t="n">
        <f aca="false">CHOOSE($C$6,C73,D73,E73)</f>
        <v>9</v>
      </c>
      <c r="C73" s="17" t="n">
        <v>9</v>
      </c>
      <c r="D73" s="17" t="n">
        <v>14</v>
      </c>
      <c r="E73" s="17" t="n">
        <v>4</v>
      </c>
      <c r="F73" s="23" t="s">
        <v>342</v>
      </c>
      <c r="G73" s="9" t="s">
        <v>343</v>
      </c>
    </row>
    <row r="74" customFormat="false" ht="15" hidden="false" customHeight="false" outlineLevel="0" collapsed="false">
      <c r="A74" s="0" t="s">
        <v>349</v>
      </c>
      <c r="B74" s="31" t="n">
        <f aca="false">CHOOSE($C$6,C74,D74,E74)</f>
        <v>11</v>
      </c>
      <c r="C74" s="17" t="n">
        <v>11</v>
      </c>
      <c r="D74" s="17" t="n">
        <v>17</v>
      </c>
      <c r="E74" s="17" t="n">
        <v>5</v>
      </c>
      <c r="F74" s="23" t="s">
        <v>342</v>
      </c>
      <c r="G74" s="9" t="s">
        <v>343</v>
      </c>
    </row>
    <row r="75" customFormat="false" ht="15" hidden="false" customHeight="false" outlineLevel="0" collapsed="false">
      <c r="A75" s="0" t="s">
        <v>350</v>
      </c>
      <c r="B75" s="39" t="n">
        <f aca="false">CHOOSE($C$6,C75,D75,E75)</f>
        <v>0.0075</v>
      </c>
      <c r="C75" s="16" t="n">
        <v>0.0075</v>
      </c>
      <c r="D75" s="16" t="n">
        <v>0.009</v>
      </c>
      <c r="E75" s="16" t="n">
        <v>0.005</v>
      </c>
      <c r="F75" s="23" t="s">
        <v>351</v>
      </c>
      <c r="G75" s="9" t="s">
        <v>352</v>
      </c>
    </row>
    <row r="76" customFormat="false" ht="15" hidden="false" customHeight="false" outlineLevel="0" collapsed="false">
      <c r="A76" s="0" t="s">
        <v>353</v>
      </c>
      <c r="B76" s="31" t="n">
        <f aca="false">CHOOSE($C$6,C76,D76,E76)</f>
        <v>900000</v>
      </c>
      <c r="C76" s="17" t="n">
        <v>900000</v>
      </c>
      <c r="D76" s="17" t="n">
        <v>1400000</v>
      </c>
      <c r="E76" s="17" t="n">
        <v>500000</v>
      </c>
      <c r="F76" s="23" t="s">
        <v>354</v>
      </c>
      <c r="G76" s="9" t="s">
        <v>355</v>
      </c>
    </row>
    <row r="77" customFormat="false" ht="15" hidden="false" customHeight="false" outlineLevel="0" collapsed="false">
      <c r="A77" s="0" t="s">
        <v>356</v>
      </c>
      <c r="B77" s="40" t="n">
        <f aca="false">CHOOSE($C$6,C77,D77,E77)</f>
        <v>0.06</v>
      </c>
      <c r="C77" s="19" t="n">
        <v>0.06</v>
      </c>
      <c r="D77" s="19" t="n">
        <v>0.1</v>
      </c>
      <c r="E77" s="19" t="n">
        <v>0.03</v>
      </c>
      <c r="F77" s="23" t="s">
        <v>357</v>
      </c>
      <c r="G77" s="9" t="s">
        <v>358</v>
      </c>
    </row>
    <row r="78" customFormat="false" ht="15" hidden="false" customHeight="false" outlineLevel="0" collapsed="false">
      <c r="A78" s="0" t="s">
        <v>359</v>
      </c>
      <c r="B78" s="42" t="n">
        <f aca="false">CHOOSE($C$6,C78,D78,E78)</f>
        <v>350</v>
      </c>
      <c r="C78" s="20" t="n">
        <v>350</v>
      </c>
      <c r="D78" s="20" t="n">
        <v>500</v>
      </c>
      <c r="E78" s="20" t="n">
        <v>220</v>
      </c>
      <c r="F78" s="23" t="s">
        <v>114</v>
      </c>
      <c r="G78" s="9" t="s">
        <v>360</v>
      </c>
    </row>
    <row r="79" customFormat="false" ht="15" hidden="false" customHeight="false" outlineLevel="0" collapsed="false">
      <c r="A79" s="0" t="s">
        <v>361</v>
      </c>
      <c r="B79" s="42" t="n">
        <f aca="false">'Scenario Parameters'!$B$76*'Scenario Parameters'!$B$77*'Scenario Parameters'!$B$78</f>
        <v>18900000</v>
      </c>
      <c r="F79" s="23" t="s">
        <v>114</v>
      </c>
      <c r="G79" s="9" t="s">
        <v>362</v>
      </c>
    </row>
    <row r="81" customFormat="false" ht="18" hidden="false" customHeight="true" outlineLevel="0" collapsed="false">
      <c r="A81" s="12" t="s">
        <v>388</v>
      </c>
      <c r="B81" s="13"/>
      <c r="C81" s="13"/>
      <c r="D81" s="13"/>
      <c r="E81" s="13"/>
    </row>
    <row r="82" customFormat="false" ht="15" hidden="false" customHeight="false" outlineLevel="0" collapsed="false">
      <c r="A82" s="14" t="s">
        <v>30</v>
      </c>
      <c r="B82" s="14" t="s">
        <v>380</v>
      </c>
      <c r="C82" s="14" t="s">
        <v>376</v>
      </c>
      <c r="D82" s="14" t="s">
        <v>381</v>
      </c>
      <c r="E82" s="14" t="s">
        <v>382</v>
      </c>
      <c r="F82" s="14" t="s">
        <v>32</v>
      </c>
    </row>
    <row r="83" customFormat="false" ht="15" hidden="false" customHeight="false" outlineLevel="0" collapsed="false">
      <c r="A83" s="0" t="s">
        <v>363</v>
      </c>
      <c r="B83" s="42" t="n">
        <f aca="false">CHOOSE($C$6,C83,D83,E83)</f>
        <v>33.6</v>
      </c>
      <c r="C83" s="20" t="n">
        <v>33.6</v>
      </c>
      <c r="D83" s="20" t="n">
        <v>41</v>
      </c>
      <c r="E83" s="20" t="n">
        <v>26.5</v>
      </c>
      <c r="F83" s="23" t="s">
        <v>108</v>
      </c>
      <c r="G83" s="9" t="s">
        <v>364</v>
      </c>
    </row>
    <row r="84" customFormat="false" ht="15" hidden="false" customHeight="false" outlineLevel="0" collapsed="false">
      <c r="A84" s="0" t="s">
        <v>365</v>
      </c>
      <c r="B84" s="42" t="n">
        <f aca="false">CHOOSE($C$6,C84,D84,E84)</f>
        <v>26</v>
      </c>
      <c r="C84" s="20" t="n">
        <v>26</v>
      </c>
      <c r="D84" s="20" t="n">
        <v>32</v>
      </c>
      <c r="E84" s="20" t="n">
        <v>21</v>
      </c>
      <c r="F84" s="23" t="s">
        <v>108</v>
      </c>
      <c r="G84" s="9" t="s">
        <v>364</v>
      </c>
    </row>
    <row r="85" customFormat="false" ht="15" hidden="false" customHeight="false" outlineLevel="0" collapsed="false">
      <c r="A85" s="0" t="s">
        <v>366</v>
      </c>
      <c r="B85" s="42" t="n">
        <f aca="false">CHOOSE($C$6,C85,D85,E85)</f>
        <v>30</v>
      </c>
      <c r="C85" s="20" t="n">
        <v>30</v>
      </c>
      <c r="D85" s="20" t="n">
        <v>36</v>
      </c>
      <c r="E85" s="20" t="n">
        <v>24</v>
      </c>
      <c r="F85" s="23" t="s">
        <v>108</v>
      </c>
      <c r="G85" s="9" t="s">
        <v>364</v>
      </c>
    </row>
    <row r="87" customFormat="false" ht="18" hidden="false" customHeight="true" outlineLevel="0" collapsed="false">
      <c r="A87" s="12" t="s">
        <v>389</v>
      </c>
      <c r="B87" s="13"/>
      <c r="C87" s="13"/>
      <c r="D87" s="13"/>
      <c r="E87" s="13"/>
    </row>
    <row r="88" customFormat="false" ht="15" hidden="false" customHeight="false" outlineLevel="0" collapsed="false">
      <c r="A88" s="14" t="s">
        <v>390</v>
      </c>
      <c r="B88" s="14" t="s">
        <v>391</v>
      </c>
      <c r="C88" s="14" t="s">
        <v>392</v>
      </c>
      <c r="D88" s="14" t="s">
        <v>393</v>
      </c>
    </row>
    <row r="89" customFormat="false" ht="15" hidden="false" customHeight="false" outlineLevel="0" collapsed="false">
      <c r="A89" s="0" t="s">
        <v>367</v>
      </c>
      <c r="B89" s="31" t="n">
        <f aca="false">IF($C$89="Prepaid",1,0)</f>
        <v>0</v>
      </c>
      <c r="C89" s="38" t="s">
        <v>394</v>
      </c>
      <c r="D89" s="23" t="s">
        <v>395</v>
      </c>
      <c r="G89" s="9" t="s">
        <v>369</v>
      </c>
    </row>
    <row r="90" customFormat="false" ht="15" hidden="false" customHeight="false" outlineLevel="0" collapsed="false">
      <c r="A90" s="0" t="s">
        <v>370</v>
      </c>
      <c r="B90" s="31" t="n">
        <f aca="false">IF($C$90="ON",1,0)</f>
        <v>1</v>
      </c>
      <c r="C90" s="38" t="s">
        <v>396</v>
      </c>
      <c r="D90" s="23" t="s">
        <v>396</v>
      </c>
      <c r="G90"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9" type="list">
      <formula1>"Credit,Prepaid"</formula1>
      <formula2>0</formula2>
    </dataValidation>
    <dataValidation allowBlank="false" errorStyle="stop" operator="between" showDropDown="false" showErrorMessage="false" showInputMessage="false" sqref="C90"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207</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207</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442</v>
      </c>
      <c r="B12" s="23" t="s">
        <v>441</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443</v>
      </c>
      <c r="B13" s="23" t="s">
        <v>441</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190</v>
      </c>
      <c r="C20" s="53" t="n">
        <f aca="false">INDEX(Assumptions!$B$93:$B$99,C5)*Assumptions!$B$123*INDEX(Assumptions!$B$107:$B$113,C5)*C7</f>
        <v>28.8</v>
      </c>
      <c r="D20" s="53" t="n">
        <f aca="false">INDEX(Assumptions!$B$93:$B$99,D5)*Assumptions!$B$123*INDEX(Assumptions!$B$107:$B$113,D5)*D7</f>
        <v>28.8</v>
      </c>
      <c r="E20" s="53" t="n">
        <f aca="false">INDEX(Assumptions!$B$93:$B$99,E5)*Assumptions!$B$123*INDEX(Assumptions!$B$107:$B$113,E5)*E7</f>
        <v>28.8</v>
      </c>
      <c r="F20" s="53" t="n">
        <f aca="false">INDEX(Assumptions!$B$93:$B$99,F5)*Assumptions!$B$123*INDEX(Assumptions!$B$107:$B$113,F5)*F7</f>
        <v>28.8</v>
      </c>
      <c r="G20" s="53" t="n">
        <f aca="false">INDEX(Assumptions!$B$93:$B$99,G5)*Assumptions!$B$123*INDEX(Assumptions!$B$107:$B$113,G5)*G7</f>
        <v>28.8</v>
      </c>
      <c r="H20" s="53" t="n">
        <f aca="false">INDEX(Assumptions!$B$93:$B$99,H5)*Assumptions!$B$123*INDEX(Assumptions!$B$107:$B$113,H5)*H7</f>
        <v>28.8</v>
      </c>
      <c r="I20" s="53" t="n">
        <f aca="false">INDEX(Assumptions!$B$93:$B$99,I5)*Assumptions!$B$123*INDEX(Assumptions!$B$107:$B$113,I5)*I7</f>
        <v>28.8</v>
      </c>
      <c r="J20" s="53" t="n">
        <f aca="false">INDEX(Assumptions!$B$93:$B$99,J5)*Assumptions!$B$123*INDEX(Assumptions!$B$107:$B$113,J5)*J7</f>
        <v>28.8</v>
      </c>
      <c r="K20" s="53" t="n">
        <f aca="false">INDEX(Assumptions!$B$93:$B$99,K5)*Assumptions!$B$123*INDEX(Assumptions!$B$107:$B$113,K5)*K7</f>
        <v>28.8</v>
      </c>
      <c r="L20" s="53" t="n">
        <f aca="false">INDEX(Assumptions!$B$93:$B$99,L5)*Assumptions!$B$123*INDEX(Assumptions!$B$107:$B$113,L5)*L7</f>
        <v>28.8</v>
      </c>
      <c r="M20" s="53" t="n">
        <f aca="false">INDEX(Assumptions!$B$93:$B$99,M5)*Assumptions!$B$123*INDEX(Assumptions!$B$107:$B$113,M5)*M7</f>
        <v>28.8</v>
      </c>
      <c r="N20" s="53" t="n">
        <f aca="false">INDEX(Assumptions!$B$93:$B$99,N5)*Assumptions!$B$123*INDEX(Assumptions!$B$107:$B$113,N5)*N7</f>
        <v>28.8</v>
      </c>
      <c r="O20" s="53" t="n">
        <f aca="false">INDEX(Assumptions!$B$93:$B$99,O5)*Assumptions!$B$123*INDEX(Assumptions!$B$107:$B$113,O5)*O7</f>
        <v>117.3</v>
      </c>
      <c r="P20" s="53" t="n">
        <f aca="false">INDEX(Assumptions!$B$93:$B$99,P5)*Assumptions!$B$123*INDEX(Assumptions!$B$107:$B$113,P5)*P7</f>
        <v>117.3</v>
      </c>
      <c r="Q20" s="53" t="n">
        <f aca="false">INDEX(Assumptions!$B$93:$B$99,Q5)*Assumptions!$B$123*INDEX(Assumptions!$B$107:$B$113,Q5)*Q7</f>
        <v>117.3</v>
      </c>
      <c r="R20" s="53" t="n">
        <f aca="false">INDEX(Assumptions!$B$93:$B$99,R5)*Assumptions!$B$123*INDEX(Assumptions!$B$107:$B$113,R5)*R7</f>
        <v>117.3</v>
      </c>
      <c r="S20" s="53" t="n">
        <f aca="false">INDEX(Assumptions!$B$93:$B$99,S5)*Assumptions!$B$123*INDEX(Assumptions!$B$107:$B$113,S5)*S7</f>
        <v>117.3</v>
      </c>
      <c r="T20" s="53" t="n">
        <f aca="false">INDEX(Assumptions!$B$93:$B$99,T5)*Assumptions!$B$123*INDEX(Assumptions!$B$107:$B$113,T5)*T7</f>
        <v>117.3</v>
      </c>
      <c r="U20" s="53" t="n">
        <f aca="false">INDEX(Assumptions!$B$93:$B$99,U5)*Assumptions!$B$123*INDEX(Assumptions!$B$107:$B$113,U5)*U7</f>
        <v>117.3</v>
      </c>
      <c r="V20" s="53" t="n">
        <f aca="false">INDEX(Assumptions!$B$93:$B$99,V5)*Assumptions!$B$123*INDEX(Assumptions!$B$107:$B$113,V5)*V7</f>
        <v>117.3</v>
      </c>
      <c r="W20" s="53" t="n">
        <f aca="false">INDEX(Assumptions!$B$93:$B$99,W5)*Assumptions!$B$123*INDEX(Assumptions!$B$107:$B$113,W5)*W7</f>
        <v>117.3</v>
      </c>
      <c r="X20" s="53" t="n">
        <f aca="false">INDEX(Assumptions!$B$93:$B$99,X5)*Assumptions!$B$123*INDEX(Assumptions!$B$107:$B$113,X5)*X7</f>
        <v>117.3</v>
      </c>
      <c r="Y20" s="53" t="n">
        <f aca="false">INDEX(Assumptions!$B$93:$B$99,Y5)*Assumptions!$B$123*INDEX(Assumptions!$B$107:$B$113,Y5)*Y7</f>
        <v>117.3</v>
      </c>
      <c r="Z20" s="53" t="n">
        <f aca="false">INDEX(Assumptions!$B$93:$B$99,Z5)*Assumptions!$B$123*INDEX(Assumptions!$B$107:$B$113,Z5)*Z7</f>
        <v>117.3</v>
      </c>
      <c r="AA20" s="53" t="n">
        <f aca="false">INDEX(Assumptions!$B$93:$B$99,AA5)*Assumptions!$B$123*INDEX(Assumptions!$B$107:$B$113,AA5)*AA7</f>
        <v>4320</v>
      </c>
      <c r="AB20" s="53" t="n">
        <f aca="false">INDEX(Assumptions!$B$93:$B$99,AB5)*Assumptions!$B$123*INDEX(Assumptions!$B$107:$B$113,AB5)*AB7</f>
        <v>6480</v>
      </c>
      <c r="AC20" s="53" t="n">
        <f aca="false">INDEX(Assumptions!$B$93:$B$99,AC5)*Assumptions!$B$123*INDEX(Assumptions!$B$107:$B$113,AC5)*AC7</f>
        <v>9720</v>
      </c>
      <c r="AD20" s="53" t="n">
        <f aca="false">INDEX(Assumptions!$B$93:$B$99,AD5)*Assumptions!$B$123*INDEX(Assumptions!$B$107:$B$113,AD5)*AD7</f>
        <v>11448</v>
      </c>
      <c r="AE20" s="53" t="n">
        <f aca="false">INDEX(Assumptions!$B$93:$B$99,AE5)*Assumptions!$B$123*INDEX(Assumptions!$B$107:$B$113,AE5)*AE7</f>
        <v>13392</v>
      </c>
    </row>
    <row r="21" customFormat="false" ht="15" hidden="false" customHeight="false" outlineLevel="0" collapsed="false">
      <c r="A21" s="6" t="s">
        <v>452</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190</v>
      </c>
      <c r="C26" s="53" t="n">
        <f aca="false">INDEX(Assumptions!$B$100:$B$106,C5)*Assumptions!$B$127/12*C7/Assumptions!$B$124*(1+Assumptions!$B$132)*1</f>
        <v>63.9705882352941</v>
      </c>
      <c r="D26" s="53" t="n">
        <f aca="false">INDEX(Assumptions!$B$100:$B$106,D5)*Assumptions!$B$127/12*D7/Assumptions!$B$124*(1+Assumptions!$B$132)*1</f>
        <v>63.9705882352941</v>
      </c>
      <c r="E26" s="53" t="n">
        <f aca="false">INDEX(Assumptions!$B$100:$B$106,E5)*Assumptions!$B$127/12*E7/Assumptions!$B$124*(1+Assumptions!$B$132)*1</f>
        <v>63.9705882352941</v>
      </c>
      <c r="F26" s="53" t="n">
        <f aca="false">INDEX(Assumptions!$B$100:$B$106,F5)*Assumptions!$B$127/12*F7/Assumptions!$B$124*(1+Assumptions!$B$132)*1</f>
        <v>63.9705882352941</v>
      </c>
      <c r="G26" s="53" t="n">
        <f aca="false">INDEX(Assumptions!$B$100:$B$106,G5)*Assumptions!$B$127/12*G7/Assumptions!$B$124*(1+Assumptions!$B$132)*1</f>
        <v>63.9705882352941</v>
      </c>
      <c r="H26" s="53" t="n">
        <f aca="false">INDEX(Assumptions!$B$100:$B$106,H5)*Assumptions!$B$127/12*H7/Assumptions!$B$124*(1+Assumptions!$B$132)*1</f>
        <v>63.9705882352941</v>
      </c>
      <c r="I26" s="53" t="n">
        <f aca="false">INDEX(Assumptions!$B$100:$B$106,I5)*Assumptions!$B$127/12*I7/Assumptions!$B$124*(1+Assumptions!$B$132)*1</f>
        <v>63.9705882352941</v>
      </c>
      <c r="J26" s="53" t="n">
        <f aca="false">INDEX(Assumptions!$B$100:$B$106,J5)*Assumptions!$B$127/12*J7/Assumptions!$B$124*(1+Assumptions!$B$132)*1</f>
        <v>63.9705882352941</v>
      </c>
      <c r="K26" s="53" t="n">
        <f aca="false">INDEX(Assumptions!$B$100:$B$106,K5)*Assumptions!$B$127/12*K7/Assumptions!$B$124*(1+Assumptions!$B$132)*1</f>
        <v>63.9705882352941</v>
      </c>
      <c r="L26" s="53" t="n">
        <f aca="false">INDEX(Assumptions!$B$100:$B$106,L5)*Assumptions!$B$127/12*L7/Assumptions!$B$124*(1+Assumptions!$B$132)*1</f>
        <v>63.9705882352941</v>
      </c>
      <c r="M26" s="53" t="n">
        <f aca="false">INDEX(Assumptions!$B$100:$B$106,M5)*Assumptions!$B$127/12*M7/Assumptions!$B$124*(1+Assumptions!$B$132)*1</f>
        <v>63.9705882352941</v>
      </c>
      <c r="N26" s="53" t="n">
        <f aca="false">INDEX(Assumptions!$B$100:$B$106,N5)*Assumptions!$B$127/12*N7/Assumptions!$B$124*(1+Assumptions!$B$132)*1</f>
        <v>63.9705882352941</v>
      </c>
      <c r="O26" s="53" t="n">
        <f aca="false">INDEX(Assumptions!$B$100:$B$106,O5)*Assumptions!$B$127/12*O7/Assumptions!$B$124*(1+Assumptions!$B$132)*1</f>
        <v>191.911764705882</v>
      </c>
      <c r="P26" s="53" t="n">
        <f aca="false">INDEX(Assumptions!$B$100:$B$106,P5)*Assumptions!$B$127/12*P7/Assumptions!$B$124*(1+Assumptions!$B$132)*1</f>
        <v>191.911764705882</v>
      </c>
      <c r="Q26" s="53" t="n">
        <f aca="false">INDEX(Assumptions!$B$100:$B$106,Q5)*Assumptions!$B$127/12*Q7/Assumptions!$B$124*(1+Assumptions!$B$132)*1</f>
        <v>191.911764705882</v>
      </c>
      <c r="R26" s="53" t="n">
        <f aca="false">INDEX(Assumptions!$B$100:$B$106,R5)*Assumptions!$B$127/12*R7/Assumptions!$B$124*(1+Assumptions!$B$132)*1</f>
        <v>191.911764705882</v>
      </c>
      <c r="S26" s="53" t="n">
        <f aca="false">INDEX(Assumptions!$B$100:$B$106,S5)*Assumptions!$B$127/12*S7/Assumptions!$B$124*(1+Assumptions!$B$132)*1</f>
        <v>191.911764705882</v>
      </c>
      <c r="T26" s="53" t="n">
        <f aca="false">INDEX(Assumptions!$B$100:$B$106,T5)*Assumptions!$B$127/12*T7/Assumptions!$B$124*(1+Assumptions!$B$132)*1</f>
        <v>191.911764705882</v>
      </c>
      <c r="U26" s="53" t="n">
        <f aca="false">INDEX(Assumptions!$B$100:$B$106,U5)*Assumptions!$B$127/12*U7/Assumptions!$B$124*(1+Assumptions!$B$132)*1</f>
        <v>191.911764705882</v>
      </c>
      <c r="V26" s="53" t="n">
        <f aca="false">INDEX(Assumptions!$B$100:$B$106,V5)*Assumptions!$B$127/12*V7/Assumptions!$B$124*(1+Assumptions!$B$132)*1</f>
        <v>191.911764705882</v>
      </c>
      <c r="W26" s="53" t="n">
        <f aca="false">INDEX(Assumptions!$B$100:$B$106,W5)*Assumptions!$B$127/12*W7/Assumptions!$B$124*(1+Assumptions!$B$132)*1</f>
        <v>191.911764705882</v>
      </c>
      <c r="X26" s="53" t="n">
        <f aca="false">INDEX(Assumptions!$B$100:$B$106,X5)*Assumptions!$B$127/12*X7/Assumptions!$B$124*(1+Assumptions!$B$132)*1</f>
        <v>191.911764705882</v>
      </c>
      <c r="Y26" s="53" t="n">
        <f aca="false">INDEX(Assumptions!$B$100:$B$106,Y5)*Assumptions!$B$127/12*Y7/Assumptions!$B$124*(1+Assumptions!$B$132)*1</f>
        <v>191.911764705882</v>
      </c>
      <c r="Z26" s="53" t="n">
        <f aca="false">INDEX(Assumptions!$B$100:$B$106,Z5)*Assumptions!$B$127/12*Z7/Assumptions!$B$124*(1+Assumptions!$B$132)*1</f>
        <v>191.911764705882</v>
      </c>
      <c r="AA26" s="53" t="n">
        <f aca="false">INDEX(Assumptions!$B$100:$B$106,AA5)*Assumptions!$B$127/12*AA7/Assumptions!$B$124*(1+Assumptions!$B$132)*1</f>
        <v>3198.52941176471</v>
      </c>
      <c r="AB26" s="53" t="n">
        <f aca="false">INDEX(Assumptions!$B$100:$B$106,AB5)*Assumptions!$B$127/12*AB7/Assumptions!$B$124*(1+Assumptions!$B$132)*1</f>
        <v>5117.64705882353</v>
      </c>
      <c r="AC26" s="53" t="n">
        <f aca="false">INDEX(Assumptions!$B$100:$B$106,AC5)*Assumptions!$B$127/12*AC7/Assumptions!$B$124*(1+Assumptions!$B$132)*1</f>
        <v>7676.47058823529</v>
      </c>
      <c r="AD26" s="53" t="n">
        <f aca="false">INDEX(Assumptions!$B$100:$B$106,AD5)*Assumptions!$B$127/12*AD7/Assumptions!$B$124*(1+Assumptions!$B$132)*1</f>
        <v>10875</v>
      </c>
      <c r="AE26" s="53" t="n">
        <f aca="false">INDEX(Assumptions!$B$100:$B$106,AE5)*Assumptions!$B$127/12*AE7/Assumptions!$B$124*(1+Assumptions!$B$132)*1</f>
        <v>14073.5294117647</v>
      </c>
    </row>
    <row r="27" customFormat="false" ht="15" hidden="false" customHeight="false" outlineLevel="0" collapsed="false">
      <c r="A27" s="6" t="s">
        <v>458</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21.9851818672777</v>
      </c>
      <c r="P27" s="54" t="n">
        <f aca="false">IF(P2&gt;=Assumptions!$B$55,O31*Assumptions!$B$130/12*Assumptions!$B$131*P7,0)</f>
        <v>29.0075733017705</v>
      </c>
      <c r="Q27" s="54" t="n">
        <f aca="false">IF(Q2&gt;=Assumptions!$B$55,P31*Assumptions!$B$130/12*Assumptions!$B$131*Q7,0)</f>
        <v>35.4757460723334</v>
      </c>
      <c r="R27" s="54" t="n">
        <f aca="false">IF(R2&gt;=Assumptions!$B$55,Q31*Assumptions!$B$130/12*Assumptions!$B$131*R7,0)</f>
        <v>41.4655023838771</v>
      </c>
      <c r="S27" s="54" t="n">
        <f aca="false">IF(S2&gt;=Assumptions!$B$55,R31*Assumptions!$B$130/12*Assumptions!$B$131*S7,0)</f>
        <v>49.2809673304171</v>
      </c>
      <c r="T27" s="54" t="n">
        <f aca="false">IF(T2&gt;=Assumptions!$B$55,S31*Assumptions!$B$130/12*Assumptions!$B$131*T7,0)</f>
        <v>55.9980193705661</v>
      </c>
      <c r="U27" s="54" t="n">
        <f aca="false">IF(U2&gt;=Assumptions!$B$55,T31*Assumptions!$B$130/12*Assumptions!$B$131*U7,0)</f>
        <v>61.14603808328</v>
      </c>
      <c r="V27" s="54" t="n">
        <f aca="false">IF(V2&gt;=Assumptions!$B$55,U31*Assumptions!$B$130/12*Assumptions!$B$131*V7,0)</f>
        <v>65.8913831339577</v>
      </c>
      <c r="W27" s="54" t="n">
        <f aca="false">IF(W2&gt;=Assumptions!$B$55,V31*Assumptions!$B$130/12*Assumptions!$B$131*W7,0)</f>
        <v>70.5115596178181</v>
      </c>
      <c r="X27" s="54" t="n">
        <f aca="false">IF(X2&gt;=Assumptions!$B$55,W31*Assumptions!$B$130/12*Assumptions!$B$131*X7,0)</f>
        <v>75.7546677775739</v>
      </c>
      <c r="Y27" s="54" t="n">
        <f aca="false">IF(Y2&gt;=Assumptions!$B$55,X31*Assumptions!$B$130/12*Assumptions!$B$131*Y7,0)</f>
        <v>83.895646901683</v>
      </c>
      <c r="Z27" s="54" t="n">
        <f aca="false">IF(Z2&gt;=Assumptions!$B$55,Y31*Assumptions!$B$130/12*Assumptions!$B$131*Z7,0)</f>
        <v>90.9401752565236</v>
      </c>
      <c r="AA27" s="54" t="n">
        <f aca="false">IF(AA2&gt;=Assumptions!$B$55,Z31*Assumptions!$B$130/12*Assumptions!$B$131*AA7,0)</f>
        <v>1157.65638192442</v>
      </c>
      <c r="AB27" s="54" t="n">
        <f aca="false">IF(AB2&gt;=Assumptions!$B$55,AA31*Assumptions!$B$130/12*Assumptions!$B$131*AB7,0)</f>
        <v>2320.03490405234</v>
      </c>
      <c r="AC27" s="54" t="n">
        <f aca="false">IF(AC2&gt;=Assumptions!$B$55,AB31*Assumptions!$B$130/12*Assumptions!$B$131*AC7,0)</f>
        <v>3920.19343114825</v>
      </c>
      <c r="AD27" s="54" t="n">
        <f aca="false">IF(AD2&gt;=Assumptions!$B$55,AC31*Assumptions!$B$130/12*Assumptions!$B$131*AD7,0)</f>
        <v>5938.71195816293</v>
      </c>
      <c r="AE27" s="54" t="n">
        <f aca="false">IF(AE2&gt;=Assumptions!$B$55,AD31*Assumptions!$B$130/12*Assumptions!$B$131*AE7,0)</f>
        <v>7886.21094067088</v>
      </c>
    </row>
    <row r="28" customFormat="false" ht="15" hidden="false" customHeight="false" outlineLevel="0" collapsed="false">
      <c r="A28" s="6" t="s">
        <v>459</v>
      </c>
      <c r="B28" s="23" t="s">
        <v>190</v>
      </c>
      <c r="C28" s="54" t="n">
        <f aca="false">C26+C27+IF(C23=0,0,C20*Assumptions!$B$114/C23*1)</f>
        <v>78.3705882352941</v>
      </c>
      <c r="D28" s="54" t="n">
        <f aca="false">D26+D27+IF(D23=0,0,D20*Assumptions!$B$114/D23*1)</f>
        <v>78.3705882352941</v>
      </c>
      <c r="E28" s="54" t="n">
        <f aca="false">E26+E27+IF(E23=0,0,E20*Assumptions!$B$114/E23*1)</f>
        <v>78.3705882352941</v>
      </c>
      <c r="F28" s="54" t="n">
        <f aca="false">F26+F27+IF(F23=0,0,F20*Assumptions!$B$114/F23*1)</f>
        <v>78.3705882352941</v>
      </c>
      <c r="G28" s="54" t="n">
        <f aca="false">G26+G27+IF(G23=0,0,G20*Assumptions!$B$114/G23*1)</f>
        <v>78.3705882352941</v>
      </c>
      <c r="H28" s="54" t="n">
        <f aca="false">H26+H27+IF(H23=0,0,H20*Assumptions!$B$114/H23*1)</f>
        <v>78.3705882352941</v>
      </c>
      <c r="I28" s="54" t="n">
        <f aca="false">I26+I27+IF(I23=0,0,I20*Assumptions!$B$114/I23*1)</f>
        <v>78.3705882352941</v>
      </c>
      <c r="J28" s="54" t="n">
        <f aca="false">J26+J27+IF(J23=0,0,J20*Assumptions!$B$114/J23*1)</f>
        <v>78.3705882352941</v>
      </c>
      <c r="K28" s="54" t="n">
        <f aca="false">K26+K27+IF(K23=0,0,K20*Assumptions!$B$114/K23*1)</f>
        <v>78.3705882352941</v>
      </c>
      <c r="L28" s="54" t="n">
        <f aca="false">L26+L27+IF(L23=0,0,L20*Assumptions!$B$114/L23*1)</f>
        <v>78.3705882352941</v>
      </c>
      <c r="M28" s="54" t="n">
        <f aca="false">M26+M27+IF(M23=0,0,M20*Assumptions!$B$114/M23*1)</f>
        <v>78.3705882352941</v>
      </c>
      <c r="N28" s="54" t="n">
        <f aca="false">N26+N27+IF(N23=0,0,N20*Assumptions!$B$114/N23*1)</f>
        <v>78.3705882352941</v>
      </c>
      <c r="O28" s="54" t="n">
        <f aca="false">O26+O27+IF(O23=0,0,O20*Assumptions!$B$114/O23*1)</f>
        <v>266.68194657316</v>
      </c>
      <c r="P28" s="54" t="n">
        <f aca="false">P26+P27+IF(P23=0,0,P20*Assumptions!$B$114/P23*1)</f>
        <v>273.704338007653</v>
      </c>
      <c r="Q28" s="54" t="n">
        <f aca="false">Q26+Q27+IF(Q23=0,0,Q20*Assumptions!$B$114/Q23*1)</f>
        <v>280.172510778216</v>
      </c>
      <c r="R28" s="54" t="n">
        <f aca="false">R26+R27+IF(R23=0,0,R20*Assumptions!$B$114/R23*1)</f>
        <v>286.162267089759</v>
      </c>
      <c r="S28" s="54" t="n">
        <f aca="false">S26+S27+IF(S23=0,0,S20*Assumptions!$B$114/S23*1)</f>
        <v>293.977732036299</v>
      </c>
      <c r="T28" s="54" t="n">
        <f aca="false">T26+T27+IF(T23=0,0,T20*Assumptions!$B$114/T23*1)</f>
        <v>300.694784076448</v>
      </c>
      <c r="U28" s="54" t="n">
        <f aca="false">U26+U27+IF(U23=0,0,U20*Assumptions!$B$114/U23*1)</f>
        <v>305.842802789162</v>
      </c>
      <c r="V28" s="54" t="n">
        <f aca="false">V26+V27+IF(V23=0,0,V20*Assumptions!$B$114/V23*1)</f>
        <v>310.58814783984</v>
      </c>
      <c r="W28" s="54" t="n">
        <f aca="false">W26+W27+IF(W23=0,0,W20*Assumptions!$B$114/W23*1)</f>
        <v>315.208324323701</v>
      </c>
      <c r="X28" s="54" t="n">
        <f aca="false">X26+X27+IF(X23=0,0,X20*Assumptions!$B$114/X23*1)</f>
        <v>320.451432483456</v>
      </c>
      <c r="Y28" s="54" t="n">
        <f aca="false">Y26+Y27+IF(Y23=0,0,Y20*Assumptions!$B$114/Y23*1)</f>
        <v>328.592411607565</v>
      </c>
      <c r="Z28" s="54" t="n">
        <f aca="false">Z26+Z27+IF(Z23=0,0,Z20*Assumptions!$B$114/Z23*1)</f>
        <v>335.636939962406</v>
      </c>
      <c r="AA28" s="54" t="n">
        <f aca="false">AA26+AA27+IF(AA23=0,0,AA20*Assumptions!$B$114/AA23*1)</f>
        <v>6300.18579368912</v>
      </c>
      <c r="AB28" s="54" t="n">
        <f aca="false">AB26+AB27+IF(AB23=0,0,AB20*Assumptions!$B$114/AB23*1)</f>
        <v>10353.6819628759</v>
      </c>
      <c r="AC28" s="54" t="n">
        <f aca="false">AC26+AC27+IF(AC23=0,0,AC20*Assumptions!$B$114/AC23*1)</f>
        <v>15970.6640193835</v>
      </c>
      <c r="AD28" s="54" t="n">
        <f aca="false">AD26+AD27+IF(AD23=0,0,AD20*Assumptions!$B$114/AD23*1)</f>
        <v>21965.3119581629</v>
      </c>
      <c r="AE28" s="54" t="n">
        <f aca="false">AE26+AE27+IF(AE23=0,0,AE20*Assumptions!$B$114/AE23*1)</f>
        <v>27986.1403524356</v>
      </c>
    </row>
    <row r="29" customFormat="false" ht="15" hidden="false" customHeight="false" outlineLevel="0" collapsed="false">
      <c r="A29" s="6" t="s">
        <v>460</v>
      </c>
      <c r="B29" s="23" t="s">
        <v>455</v>
      </c>
      <c r="C29" s="51" t="n">
        <v>1</v>
      </c>
      <c r="D29" s="51" t="n">
        <f aca="false">MAX(0,1-C34/Assumptions!$B$84)</f>
        <v>0.999445064007902</v>
      </c>
      <c r="E29" s="51" t="n">
        <f aca="false">MAX(0,1-D34/Assumptions!$B$84)</f>
        <v>0.998917892803331</v>
      </c>
      <c r="F29" s="51" t="n">
        <f aca="false">MAX(0,1-E34/Assumptions!$B$84)</f>
        <v>0.998412953543413</v>
      </c>
      <c r="G29" s="51" t="n">
        <f aca="false">MAX(0,1-F34/Assumptions!$B$84)</f>
        <v>0.997782098518331</v>
      </c>
      <c r="H29" s="51" t="n">
        <f aca="false">MAX(0,1-G34/Assumptions!$B$84)</f>
        <v>0.997211946630521</v>
      </c>
      <c r="I29" s="51" t="n">
        <f aca="false">MAX(0,1-H34/Assumptions!$B$84)</f>
        <v>0.996729786091092</v>
      </c>
      <c r="J29" s="51" t="n">
        <f aca="false">MAX(0,1-I34/Assumptions!$B$84)</f>
        <v>0.996264288023971</v>
      </c>
      <c r="K29" s="51" t="n">
        <f aca="false">MAX(0,1-J34/Assumptions!$B$84)</f>
        <v>0.995799007356242</v>
      </c>
      <c r="L29" s="51" t="n">
        <f aca="false">MAX(0,1-K34/Assumptions!$B$84)</f>
        <v>0.99529017331627</v>
      </c>
      <c r="M29" s="51" t="n">
        <f aca="false">MAX(0,1-L34/Assumptions!$B$84)</f>
        <v>0.994606606064098</v>
      </c>
      <c r="N29" s="51" t="n">
        <f aca="false">MAX(0,1-M34/Assumptions!$B$84)</f>
        <v>0.993978156109409</v>
      </c>
      <c r="O29" s="51" t="n">
        <f aca="false">MAX(0,1-N34/Assumptions!$B$84)</f>
        <v>0.993426561855225</v>
      </c>
      <c r="P29" s="51" t="n">
        <f aca="false">MAX(0,1-O34/Assumptions!$B$84)</f>
        <v>0.991550620873754</v>
      </c>
      <c r="Q29" s="51" t="n">
        <f aca="false">MAX(0,1-P34/Assumptions!$B$84)</f>
        <v>0.989724051306603</v>
      </c>
      <c r="R29" s="51" t="n">
        <f aca="false">MAX(0,1-Q34/Assumptions!$B$84)</f>
        <v>0.987935522717644</v>
      </c>
      <c r="S29" s="51" t="n">
        <f aca="false">MAX(0,1-R34/Assumptions!$B$84)</f>
        <v>0.985656192634122</v>
      </c>
      <c r="T29" s="51" t="n">
        <f aca="false">MAX(0,1-S34/Assumptions!$B$84)</f>
        <v>0.983543474100327</v>
      </c>
      <c r="U29" s="51" t="n">
        <f aca="false">MAX(0,1-T34/Assumptions!$B$84)</f>
        <v>0.981718862040427</v>
      </c>
      <c r="V29" s="51" t="n">
        <f aca="false">MAX(0,1-U34/Assumptions!$B$84)</f>
        <v>0.979929604982853</v>
      </c>
      <c r="W29" s="51" t="n">
        <f aca="false">MAX(0,1-V34/Assumptions!$B$84)</f>
        <v>0.978115898121291</v>
      </c>
      <c r="X29" s="51" t="n">
        <f aca="false">MAX(0,1-W34/Assumptions!$B$84)</f>
        <v>0.976105697709375</v>
      </c>
      <c r="Y29" s="51" t="n">
        <f aca="false">MAX(0,1-X34/Assumptions!$B$84)</f>
        <v>0.973364518109456</v>
      </c>
      <c r="Z29" s="51" t="n">
        <f aca="false">MAX(0,1-Y34/Assumptions!$B$84)</f>
        <v>0.970785827171804</v>
      </c>
      <c r="AA29" s="51" t="n">
        <f aca="false">MAX(0,1-Z34/Assumptions!$B$84)</f>
        <v>0.968478639263531</v>
      </c>
      <c r="AB29" s="51" t="n">
        <f aca="false">MAX(0,1-AA34/Assumptions!$B$84)</f>
        <v>0.925701492239906</v>
      </c>
      <c r="AC29" s="51" t="n">
        <f aca="false">MAX(0,1-AB34/Assumptions!$B$84)</f>
        <v>0.85850691942832</v>
      </c>
      <c r="AD29" s="51" t="n">
        <f aca="false">MAX(0,1-AC34/Assumptions!$B$84)</f>
        <v>0.762382177647057</v>
      </c>
      <c r="AE29" s="51" t="n">
        <f aca="false">MAX(0,1-AD34/Assumptions!$B$84)</f>
        <v>0.644979358996041</v>
      </c>
    </row>
    <row r="30" customFormat="false" ht="15" hidden="false" customHeight="false" outlineLevel="0" collapsed="false">
      <c r="A30" s="6" t="s">
        <v>461</v>
      </c>
      <c r="B30" s="23" t="s">
        <v>190</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190</v>
      </c>
      <c r="C31" s="28" t="n">
        <f aca="false">C30*(1-Assumptions!$B$122)^(C7/2)</f>
        <v>77.2069255907376</v>
      </c>
      <c r="D31" s="28" t="n">
        <f aca="false">C31*(1-Assumptions!$B$122)^D7+D30*(1-Assumptions!$B$122)^(D7/2)</f>
        <v>146.798815110308</v>
      </c>
      <c r="E31" s="28" t="n">
        <f aca="false">D31*(1-Assumptions!$B$122)^E7+E30*(1-Assumptions!$B$122)^(E7/2)</f>
        <v>209.915523744309</v>
      </c>
      <c r="F31" s="28" t="n">
        <f aca="false">E31*(1-Assumptions!$B$122)^F7+F30*(1-Assumptions!$B$122)^(F7/2)</f>
        <v>287.483178207008</v>
      </c>
      <c r="G31" s="28" t="n">
        <f aca="false">F31*(1-Assumptions!$B$122)^G7+G30*(1-Assumptions!$B$122)^(G7/2)</f>
        <v>352.835631188584</v>
      </c>
      <c r="H31" s="28" t="n">
        <f aca="false">G31*(1-Assumptions!$B$122)^H7+H30*(1-Assumptions!$B$122)^(H7/2)</f>
        <v>402.769986547369</v>
      </c>
      <c r="I31" s="28" t="n">
        <f aca="false">H31*(1-Assumptions!$B$122)^I7+I30*(1-Assumptions!$B$122)^(I7/2)</f>
        <v>447.959366958489</v>
      </c>
      <c r="J31" s="28" t="n">
        <f aca="false">I31*(1-Assumptions!$B$122)^J7+J30*(1-Assumptions!$B$122)^(J7/2)</f>
        <v>490.922337845974</v>
      </c>
      <c r="K31" s="28" t="n">
        <f aca="false">J31*(1-Assumptions!$B$122)^K7+K30*(1-Assumptions!$B$122)^(K7/2)</f>
        <v>537.856824133086</v>
      </c>
      <c r="L31" s="28" t="n">
        <f aca="false">K31*(1-Assumptions!$B$122)^L7+L30*(1-Assumptions!$B$122)^(L7/2)</f>
        <v>606.820553082392</v>
      </c>
      <c r="M31" s="28" t="n">
        <f aca="false">L31*(1-Assumptions!$B$122)^M7+M30*(1-Assumptions!$B$122)^(M7/2)</f>
        <v>664.764368208862</v>
      </c>
      <c r="N31" s="28" t="n">
        <f aca="false">M31*(1-Assumptions!$B$122)^N7+N30*(1-Assumptions!$B$122)^(N7/2)</f>
        <v>709.199415073474</v>
      </c>
      <c r="O31" s="28" t="n">
        <f aca="false">N31*(1-Assumptions!$B$122)^O7+O30*(1-Assumptions!$B$122)^(O7/2)</f>
        <v>935.728171024855</v>
      </c>
      <c r="P31" s="28" t="n">
        <f aca="false">O31*(1-Assumptions!$B$122)^P7+P30*(1-Assumptions!$B$122)^(P7/2)</f>
        <v>1144.37890555914</v>
      </c>
      <c r="Q31" s="28" t="n">
        <f aca="false">P31*(1-Assumptions!$B$122)^Q7+Q30*(1-Assumptions!$B$122)^(Q7/2)</f>
        <v>1337.59685109281</v>
      </c>
      <c r="R31" s="28" t="n">
        <f aca="false">Q31*(1-Assumptions!$B$122)^R7+R30*(1-Assumptions!$B$122)^(R7/2)</f>
        <v>1589.70862356184</v>
      </c>
      <c r="S31" s="28" t="n">
        <f aca="false">R31*(1-Assumptions!$B$122)^S7+S30*(1-Assumptions!$B$122)^(S7/2)</f>
        <v>1806.38772163117</v>
      </c>
      <c r="T31" s="28" t="n">
        <f aca="false">S31*(1-Assumptions!$B$122)^T7+T30*(1-Assumptions!$B$122)^(T7/2)</f>
        <v>1972.45284139613</v>
      </c>
      <c r="U31" s="28" t="n">
        <f aca="false">T31*(1-Assumptions!$B$122)^U7+U30*(1-Assumptions!$B$122)^(U7/2)</f>
        <v>2125.52848819218</v>
      </c>
      <c r="V31" s="28" t="n">
        <f aca="false">U31*(1-Assumptions!$B$122)^V7+V30*(1-Assumptions!$B$122)^(V7/2)</f>
        <v>2274.56643928445</v>
      </c>
      <c r="W31" s="28" t="n">
        <f aca="false">V31*(1-Assumptions!$B$122)^W7+W30*(1-Assumptions!$B$122)^(W7/2)</f>
        <v>2443.6989605669</v>
      </c>
      <c r="X31" s="28" t="n">
        <f aca="false">W31*(1-Assumptions!$B$122)^X7+X30*(1-Assumptions!$B$122)^(X7/2)</f>
        <v>2706.31119037687</v>
      </c>
      <c r="Y31" s="28" t="n">
        <f aca="false">X31*(1-Assumptions!$B$122)^Y7+Y30*(1-Assumptions!$B$122)^(Y7/2)</f>
        <v>2933.55404053302</v>
      </c>
      <c r="Z31" s="28" t="n">
        <f aca="false">Y31*(1-Assumptions!$B$122)^Z7+Z30*(1-Assumptions!$B$122)^(Z7/2)</f>
        <v>3111.9795213022</v>
      </c>
      <c r="AA31" s="28" t="n">
        <f aca="false">Z31*(1-Assumptions!$B$122)^AA7+AA30*(1-Assumptions!$B$122)^(AA7/2)</f>
        <v>6236.65296788263</v>
      </c>
      <c r="AB31" s="28" t="n">
        <f aca="false">AA31*(1-Assumptions!$B$122)^AB7+AB30*(1-Assumptions!$B$122)^(AB7/2)</f>
        <v>10538.1543848071</v>
      </c>
      <c r="AC31" s="28" t="n">
        <f aca="false">AB31*(1-Assumptions!$B$122)^AC7+AC30*(1-Assumptions!$B$122)^(AC7/2)</f>
        <v>15964.2794574272</v>
      </c>
      <c r="AD31" s="28" t="n">
        <f aca="false">AC31*(1-Assumptions!$B$122)^AD7+AD30*(1-Assumptions!$B$122)^(AD7/2)</f>
        <v>21199.491775997</v>
      </c>
      <c r="AE31" s="28" t="n">
        <f aca="false">AD31*(1-Assumptions!$B$122)^AE7+AE30*(1-Assumptions!$B$122)^(AE7/2)</f>
        <v>25046.3168484872</v>
      </c>
    </row>
    <row r="32" customFormat="false" ht="15" hidden="false" customHeight="false" outlineLevel="0" collapsed="false">
      <c r="A32" s="6" t="s">
        <v>463</v>
      </c>
      <c r="B32" s="23" t="s">
        <v>190</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190</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190</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114</v>
      </c>
      <c r="C35" s="55" t="n">
        <f aca="false">IF(C2&gt;=Assumptions!$B$47,C31*Assumptions!$B$175*C7,0)</f>
        <v>2594.15269984878</v>
      </c>
      <c r="D35" s="55" t="n">
        <f aca="false">IF(D2&gt;=Assumptions!$B$47,D31*Assumptions!$B$175*D7,0)</f>
        <v>4932.44018770634</v>
      </c>
      <c r="E35" s="55" t="n">
        <f aca="false">IF(E2&gt;=Assumptions!$B$47,E31*Assumptions!$B$175*E7,0)</f>
        <v>7053.1615978088</v>
      </c>
      <c r="F35" s="55" t="n">
        <f aca="false">IF(F2&gt;=Assumptions!$B$47,F31*Assumptions!$B$175*F7,0)</f>
        <v>9659.43478775547</v>
      </c>
      <c r="G35" s="55" t="n">
        <f aca="false">IF(G2&gt;=Assumptions!$B$47,G31*Assumptions!$B$175*G7,0)</f>
        <v>11855.2772079364</v>
      </c>
      <c r="H35" s="55" t="n">
        <f aca="false">IF(H2&gt;=Assumptions!$B$47,H31*Assumptions!$B$175*H7,0)</f>
        <v>13533.0715479916</v>
      </c>
      <c r="I35" s="55" t="n">
        <f aca="false">IF(I2&gt;=Assumptions!$B$47,I31*Assumptions!$B$175*I7,0)</f>
        <v>15051.4347298052</v>
      </c>
      <c r="J35" s="55" t="n">
        <f aca="false">IF(J2&gt;=Assumptions!$B$47,J31*Assumptions!$B$175*J7,0)</f>
        <v>16494.9905516247</v>
      </c>
      <c r="K35" s="55" t="n">
        <f aca="false">IF(K2&gt;=Assumptions!$B$47,K31*Assumptions!$B$175*K7,0)</f>
        <v>18071.9892908717</v>
      </c>
      <c r="L35" s="55" t="n">
        <f aca="false">IF(L2&gt;=Assumptions!$B$47,L31*Assumptions!$B$175*L7,0)</f>
        <v>20389.1705835684</v>
      </c>
      <c r="M35" s="55" t="n">
        <f aca="false">IF(M2&gt;=Assumptions!$B$47,M31*Assumptions!$B$175*M7,0)</f>
        <v>22336.0827718177</v>
      </c>
      <c r="N35" s="55" t="n">
        <f aca="false">IF(N2&gt;=Assumptions!$B$47,N31*Assumptions!$B$175*N7,0)</f>
        <v>23829.1003464687</v>
      </c>
      <c r="O35" s="55" t="n">
        <f aca="false">IF(O2&gt;=Assumptions!$B$47,O31*Assumptions!$B$175*O7,0)</f>
        <v>31440.4665464351</v>
      </c>
      <c r="P35" s="55" t="n">
        <f aca="false">IF(P2&gt;=Assumptions!$B$47,P31*Assumptions!$B$175*P7,0)</f>
        <v>38451.1312267871</v>
      </c>
      <c r="Q35" s="55" t="n">
        <f aca="false">IF(Q2&gt;=Assumptions!$B$47,Q31*Assumptions!$B$175*Q7,0)</f>
        <v>44943.2541967184</v>
      </c>
      <c r="R35" s="55" t="n">
        <f aca="false">IF(R2&gt;=Assumptions!$B$47,R31*Assumptions!$B$175*R7,0)</f>
        <v>53414.2097516778</v>
      </c>
      <c r="S35" s="55" t="n">
        <f aca="false">IF(S2&gt;=Assumptions!$B$47,S31*Assumptions!$B$175*S7,0)</f>
        <v>60694.6274468072</v>
      </c>
      <c r="T35" s="55" t="n">
        <f aca="false">IF(T2&gt;=Assumptions!$B$47,T31*Assumptions!$B$175*T7,0)</f>
        <v>66274.41547091</v>
      </c>
      <c r="U35" s="55" t="n">
        <f aca="false">IF(U2&gt;=Assumptions!$B$47,U31*Assumptions!$B$175*U7,0)</f>
        <v>71417.7572032574</v>
      </c>
      <c r="V35" s="55" t="n">
        <f aca="false">IF(V2&gt;=Assumptions!$B$47,V31*Assumptions!$B$175*V7,0)</f>
        <v>76425.4323599577</v>
      </c>
      <c r="W35" s="55" t="n">
        <f aca="false">IF(W2&gt;=Assumptions!$B$47,W31*Assumptions!$B$175*W7,0)</f>
        <v>82108.2850750478</v>
      </c>
      <c r="X35" s="55" t="n">
        <f aca="false">IF(X2&gt;=Assumptions!$B$47,X31*Assumptions!$B$175*X7,0)</f>
        <v>90932.0559966629</v>
      </c>
      <c r="Y35" s="55" t="n">
        <f aca="false">IF(Y2&gt;=Assumptions!$B$47,Y31*Assumptions!$B$175*Y7,0)</f>
        <v>98567.4157619095</v>
      </c>
      <c r="Z35" s="55" t="n">
        <f aca="false">IF(Z2&gt;=Assumptions!$B$47,Z31*Assumptions!$B$175*Z7,0)</f>
        <v>104562.511915754</v>
      </c>
      <c r="AA35" s="55" t="n">
        <f aca="false">IF(AA2&gt;=Assumptions!$B$47,AA31*Assumptions!$B$175*AA7,0)</f>
        <v>2514618.47665027</v>
      </c>
      <c r="AB35" s="55" t="n">
        <f aca="false">IF(AB2&gt;=Assumptions!$B$47,AB31*Assumptions!$B$175*AB7,0)</f>
        <v>4248983.84795424</v>
      </c>
      <c r="AC35" s="55" t="n">
        <f aca="false">IF(AC2&gt;=Assumptions!$B$47,AC31*Assumptions!$B$175*AC7,0)</f>
        <v>6436797.47723466</v>
      </c>
      <c r="AD35" s="55" t="n">
        <f aca="false">IF(AD2&gt;=Assumptions!$B$47,AD31*Assumptions!$B$175*AD7,0)</f>
        <v>8547635.08408199</v>
      </c>
      <c r="AE35" s="55" t="n">
        <f aca="false">IF(AE2&gt;=Assumptions!$B$47,AE31*Assumptions!$B$175*AE7,0)</f>
        <v>10098674.95331</v>
      </c>
    </row>
    <row r="36" customFormat="false" ht="15" hidden="false" customHeight="false" outlineLevel="0" collapsed="false">
      <c r="A36" s="6" t="s">
        <v>467</v>
      </c>
      <c r="B36" s="23" t="s">
        <v>114</v>
      </c>
      <c r="C36" s="55" t="n">
        <f aca="false">IF(C2&gt;=Assumptions!$B$48,C31*Assumptions!$B$35*Assumptions!$B$139*Assumptions!$B$141*Assumptions!$B$32*Assumptions!$B$140/12*C7,0)</f>
        <v>249.378369658083</v>
      </c>
      <c r="D36" s="55" t="n">
        <f aca="false">IF(D2&gt;=Assumptions!$B$48,D31*Assumptions!$B$35*Assumptions!$B$139*Assumptions!$B$141*Assumptions!$B$32*Assumptions!$B$140/12*D7,0)</f>
        <v>474.160172806294</v>
      </c>
      <c r="E36" s="55" t="n">
        <f aca="false">IF(E2&gt;=Assumptions!$B$48,E31*Assumptions!$B$35*Assumptions!$B$139*Assumptions!$B$141*Assumptions!$B$32*Assumptions!$B$140/12*E7,0)</f>
        <v>678.027141694119</v>
      </c>
      <c r="F36" s="55" t="n">
        <f aca="false">IF(F2&gt;=Assumptions!$B$48,F31*Assumptions!$B$35*Assumptions!$B$139*Assumptions!$B$141*Assumptions!$B$32*Assumptions!$B$140/12*F7,0)</f>
        <v>928.570665608636</v>
      </c>
      <c r="G36" s="55" t="n">
        <f aca="false">IF(G2&gt;=Assumptions!$B$48,G31*Assumptions!$B$35*Assumptions!$B$139*Assumptions!$B$141*Assumptions!$B$32*Assumptions!$B$140/12*G7,0)</f>
        <v>1139.65908873913</v>
      </c>
      <c r="H36" s="55" t="n">
        <f aca="false">IF(H2&gt;=Assumptions!$B$48,H31*Assumptions!$B$35*Assumptions!$B$139*Assumptions!$B$141*Assumptions!$B$32*Assumptions!$B$140/12*H7,0)</f>
        <v>1300.947056548</v>
      </c>
      <c r="I36" s="55" t="n">
        <f aca="false">IF(I2&gt;=Assumptions!$B$48,I31*Assumptions!$B$35*Assumptions!$B$139*Assumptions!$B$141*Assumptions!$B$32*Assumptions!$B$140/12*I7,0)</f>
        <v>1446.90875527592</v>
      </c>
      <c r="J36" s="55" t="n">
        <f aca="false">IF(J2&gt;=Assumptions!$B$48,J31*Assumptions!$B$35*Assumptions!$B$139*Assumptions!$B$141*Assumptions!$B$32*Assumptions!$B$140/12*J7,0)</f>
        <v>1585.6791512425</v>
      </c>
      <c r="K36" s="55" t="n">
        <f aca="false">IF(K2&gt;=Assumptions!$B$48,K31*Assumptions!$B$35*Assumptions!$B$139*Assumptions!$B$141*Assumptions!$B$32*Assumptions!$B$140/12*K7,0)</f>
        <v>1737.27754194987</v>
      </c>
      <c r="L36" s="55" t="n">
        <f aca="false">IF(L2&gt;=Assumptions!$B$48,L31*Assumptions!$B$35*Assumptions!$B$139*Assumptions!$B$141*Assumptions!$B$32*Assumptions!$B$140/12*L7,0)</f>
        <v>1960.03038645613</v>
      </c>
      <c r="M36" s="55" t="n">
        <f aca="false">IF(M2&gt;=Assumptions!$B$48,M31*Assumptions!$B$35*Assumptions!$B$139*Assumptions!$B$141*Assumptions!$B$32*Assumptions!$B$140/12*M7,0)</f>
        <v>2147.18890931462</v>
      </c>
      <c r="N36" s="55" t="n">
        <f aca="false">IF(N2&gt;=Assumptions!$B$48,N31*Assumptions!$B$35*Assumptions!$B$139*Assumptions!$B$141*Assumptions!$B$32*Assumptions!$B$140/12*N7,0)</f>
        <v>2290.71411068732</v>
      </c>
      <c r="O36" s="55" t="n">
        <f aca="false">IF(O2&gt;=Assumptions!$B$48,O31*Assumptions!$B$35*Assumptions!$B$139*Assumptions!$B$141*Assumptions!$B$32*Assumptions!$B$140/12*O7,0)</f>
        <v>3022.40199241028</v>
      </c>
      <c r="P36" s="55" t="n">
        <f aca="false">IF(P2&gt;=Assumptions!$B$48,P31*Assumptions!$B$35*Assumptions!$B$139*Assumptions!$B$141*Assumptions!$B$32*Assumptions!$B$140/12*P7,0)</f>
        <v>3696.34386495602</v>
      </c>
      <c r="Q36" s="55" t="n">
        <f aca="false">IF(Q2&gt;=Assumptions!$B$48,Q31*Assumptions!$B$35*Assumptions!$B$139*Assumptions!$B$141*Assumptions!$B$32*Assumptions!$B$140/12*Q7,0)</f>
        <v>4320.43782902978</v>
      </c>
      <c r="R36" s="55" t="n">
        <f aca="false">IF(R2&gt;=Assumptions!$B$48,R31*Assumptions!$B$35*Assumptions!$B$139*Assumptions!$B$141*Assumptions!$B$32*Assumptions!$B$140/12*R7,0)</f>
        <v>5134.75885410474</v>
      </c>
      <c r="S36" s="55" t="n">
        <f aca="false">IF(S2&gt;=Assumptions!$B$48,S31*Assumptions!$B$35*Assumptions!$B$139*Assumptions!$B$141*Assumptions!$B$32*Assumptions!$B$140/12*S7,0)</f>
        <v>5834.63234086866</v>
      </c>
      <c r="T36" s="55" t="n">
        <f aca="false">IF(T2&gt;=Assumptions!$B$48,T31*Assumptions!$B$35*Assumptions!$B$139*Assumptions!$B$141*Assumptions!$B$32*Assumptions!$B$140/12*T7,0)</f>
        <v>6371.0226777095</v>
      </c>
      <c r="U36" s="55" t="n">
        <f aca="false">IF(U2&gt;=Assumptions!$B$48,U31*Assumptions!$B$35*Assumptions!$B$139*Assumptions!$B$141*Assumptions!$B$32*Assumptions!$B$140/12*U7,0)</f>
        <v>6865.45701686075</v>
      </c>
      <c r="V36" s="55" t="n">
        <f aca="false">IF(V2&gt;=Assumptions!$B$48,V31*Assumptions!$B$35*Assumptions!$B$139*Assumptions!$B$141*Assumptions!$B$32*Assumptions!$B$140/12*V7,0)</f>
        <v>7346.84959888879</v>
      </c>
      <c r="W36" s="55" t="n">
        <f aca="false">IF(W2&gt;=Assumptions!$B$48,W31*Assumptions!$B$35*Assumptions!$B$139*Assumptions!$B$141*Assumptions!$B$32*Assumptions!$B$140/12*W7,0)</f>
        <v>7893.14764263109</v>
      </c>
      <c r="X36" s="55" t="n">
        <f aca="false">IF(X2&gt;=Assumptions!$B$48,X31*Assumptions!$B$35*Assumptions!$B$139*Assumptions!$B$141*Assumptions!$B$32*Assumptions!$B$140/12*X7,0)</f>
        <v>8741.3851449173</v>
      </c>
      <c r="Y36" s="55" t="n">
        <f aca="false">IF(Y2&gt;=Assumptions!$B$48,Y31*Assumptions!$B$35*Assumptions!$B$139*Assumptions!$B$141*Assumptions!$B$32*Assumptions!$B$140/12*Y7,0)</f>
        <v>9475.37955092165</v>
      </c>
      <c r="Z36" s="55" t="n">
        <f aca="false">IF(Z2&gt;=Assumptions!$B$48,Z31*Assumptions!$B$35*Assumptions!$B$139*Assumptions!$B$141*Assumptions!$B$32*Assumptions!$B$140/12*Z7,0)</f>
        <v>10051.6938538061</v>
      </c>
      <c r="AA36" s="55" t="n">
        <f aca="false">IF(AA2&gt;=Assumptions!$B$48,AA31*Assumptions!$B$35*Assumptions!$B$139*Assumptions!$B$141*Assumptions!$B$32*Assumptions!$B$140/12*AA7,0)</f>
        <v>241732.669035131</v>
      </c>
      <c r="AB36" s="55" t="n">
        <f aca="false">IF(AB2&gt;=Assumptions!$B$48,AB31*Assumptions!$B$35*Assumptions!$B$139*Assumptions!$B$141*Assumptions!$B$32*Assumptions!$B$140/12*AB7,0)</f>
        <v>408458.863955125</v>
      </c>
      <c r="AC36" s="55" t="n">
        <f aca="false">IF(AC2&gt;=Assumptions!$B$48,AC31*Assumptions!$B$35*Assumptions!$B$139*Assumptions!$B$141*Assumptions!$B$32*Assumptions!$B$140/12*AC7,0)</f>
        <v>618775.471769879</v>
      </c>
      <c r="AD36" s="55" t="n">
        <f aca="false">IF(AD2&gt;=Assumptions!$B$48,AD31*Assumptions!$B$35*Assumptions!$B$139*Assumptions!$B$141*Assumptions!$B$32*Assumptions!$B$140/12*AD7,0)</f>
        <v>821692.301237643</v>
      </c>
      <c r="AE36" s="55" t="n">
        <f aca="false">IF(AE2&gt;=Assumptions!$B$48,AE31*Assumptions!$B$35*Assumptions!$B$139*Assumptions!$B$141*Assumptions!$B$32*Assumptions!$B$140/12*AE7,0)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(Assumptions!$B$136+Assumptions!$B$137*IF(C31+C33=0,1,(C31+C33*Assumptions!$B$138)/(C31+C33)))*C7/12</f>
        <v>0.0100738065527064</v>
      </c>
      <c r="D38" s="56" t="n">
        <f aca="false">(Assumptions!$B$136+Assumptions!$B$137*IF(D31+D33=0,1,(D31+D33*Assumptions!$B$138)/(D31+D33)))*D7/12</f>
        <v>0.0101467361603298</v>
      </c>
      <c r="E38" s="56" t="n">
        <f aca="false">(Assumptions!$B$136+Assumptions!$B$137*IF(E31+E33=0,1,(E31+E33*Assumptions!$B$138)/(E31+E33)))*E7/12</f>
        <v>0.0102180803331586</v>
      </c>
      <c r="F38" s="56" t="n">
        <f aca="false">(Assumptions!$B$136+Assumptions!$B$137*IF(F31+F33=0,1,(F31+F33*Assumptions!$B$138)/(F31+F33)))*F7/12</f>
        <v>0.0102737865626574</v>
      </c>
      <c r="G38" s="56" t="n">
        <f aca="false">(Assumptions!$B$136+Assumptions!$B$137*IF(G31+G33=0,1,(G31+G33*Assumptions!$B$138)/(G31+G33)))*G7/12</f>
        <v>0.0103382882559007</v>
      </c>
      <c r="H38" s="56" t="n">
        <f aca="false">(Assumptions!$B$136+Assumptions!$B$137*IF(H31+H33=0,1,(H31+H33*Assumptions!$B$138)/(H31+H33)))*H7/12</f>
        <v>0.0104095774810194</v>
      </c>
      <c r="I38" s="56" t="n">
        <f aca="false">(Assumptions!$B$136+Assumptions!$B$137*IF(I31+I33=0,1,(I31+I33*Assumptions!$B$138)/(I31+I33)))*I7/12</f>
        <v>0.0104779429560375</v>
      </c>
      <c r="J38" s="56" t="n">
        <f aca="false">(Assumptions!$B$136+Assumptions!$B$137*IF(J31+J33=0,1,(J31+J33*Assumptions!$B$138)/(J31+J33)))*J7/12</f>
        <v>0.0105421773601887</v>
      </c>
      <c r="K38" s="56" t="n">
        <f aca="false">(Assumptions!$B$136+Assumptions!$B$137*IF(K31+K33=0,1,(K31+K33*Assumptions!$B$138)/(K31+K33)))*K7/12</f>
        <v>0.0105981193414565</v>
      </c>
      <c r="L38" s="56" t="n">
        <f aca="false">(Assumptions!$B$136+Assumptions!$B$137*IF(L31+L33=0,1,(L31+L33*Assumptions!$B$138)/(L31+L33)))*L7/12</f>
        <v>0.010633601904514</v>
      </c>
      <c r="M38" s="56" t="n">
        <f aca="false">(Assumptions!$B$136+Assumptions!$B$137*IF(M31+M33=0,1,(M31+M33*Assumptions!$B$138)/(M31+M33)))*M7/12</f>
        <v>0.0106781834214831</v>
      </c>
      <c r="N38" s="56" t="n">
        <f aca="false">(Assumptions!$B$136+Assumptions!$B$137*IF(N31+N33=0,1,(N31+N33*Assumptions!$B$138)/(N31+N33)))*N7/12</f>
        <v>0.0107308382422785</v>
      </c>
      <c r="O38" s="56" t="n">
        <f aca="false">(Assumptions!$B$136+Assumptions!$B$137*IF(O31+O33=0,1,(O31+O33*Assumptions!$B$138)/(O31+O33)))*O7/12</f>
        <v>0.0106707582027709</v>
      </c>
      <c r="P38" s="56" t="n">
        <f aca="false">(Assumptions!$B$136+Assumptions!$B$137*IF(P31+P33=0,1,(P31+P33*Assumptions!$B$138)/(P31+P33)))*P7/12</f>
        <v>0.0106577266113639</v>
      </c>
      <c r="Q38" s="56" t="n">
        <f aca="false">(Assumptions!$B$136+Assumptions!$B$137*IF(Q31+Q33=0,1,(Q31+Q33*Assumptions!$B$138)/(Q31+Q33)))*Q7/12</f>
        <v>0.0106681189379579</v>
      </c>
      <c r="R38" s="56" t="n">
        <f aca="false">(Assumptions!$B$136+Assumptions!$B$137*IF(R31+R33=0,1,(R31+R33*Assumptions!$B$138)/(R31+R33)))*R7/12</f>
        <v>0.0106689974228598</v>
      </c>
      <c r="S38" s="56" t="n">
        <f aca="false">(Assumptions!$B$136+Assumptions!$B$137*IF(S31+S33=0,1,(S31+S33*Assumptions!$B$138)/(S31+S33)))*S7/12</f>
        <v>0.0106913266875777</v>
      </c>
      <c r="T38" s="56" t="n">
        <f aca="false">(Assumptions!$B$136+Assumptions!$B$137*IF(T31+T33=0,1,(T31+T33*Assumptions!$B$138)/(T31+T33)))*T7/12</f>
        <v>0.0107306939539826</v>
      </c>
      <c r="U38" s="56" t="n">
        <f aca="false">(Assumptions!$B$136+Assumptions!$B$137*IF(U31+U33=0,1,(U31+U33*Assumptions!$B$138)/(U31+U33)))*U7/12</f>
        <v>0.0107725873713495</v>
      </c>
      <c r="V38" s="56" t="n">
        <f aca="false">(Assumptions!$B$136+Assumptions!$B$137*IF(V31+V33=0,1,(V31+V33*Assumptions!$B$138)/(V31+V33)))*V7/12</f>
        <v>0.0108139526393445</v>
      </c>
      <c r="W38" s="56" t="n">
        <f aca="false">(Assumptions!$B$136+Assumptions!$B$137*IF(W31+W33=0,1,(W31+W33*Assumptions!$B$138)/(W31+W33)))*W7/12</f>
        <v>0.0108489870845855</v>
      </c>
      <c r="X38" s="56" t="n">
        <f aca="false">(Assumptions!$B$136+Assumptions!$B$137*IF(X31+X33=0,1,(X31+X33*Assumptions!$B$138)/(X31+X33)))*X7/12</f>
        <v>0.0108629885824053</v>
      </c>
      <c r="Y38" s="56" t="n">
        <f aca="false">(Assumptions!$B$136+Assumptions!$B$137*IF(Y31+Y33=0,1,(Y31+Y33*Assumptions!$B$138)/(Y31+Y33)))*Y7/12</f>
        <v>0.010888018223671</v>
      </c>
      <c r="Z38" s="56" t="n">
        <f aca="false">(Assumptions!$B$136+Assumptions!$B$137*IF(Z31+Z33=0,1,(Z31+Z33*Assumptions!$B$138)/(Z31+Z33)))*Z7/12</f>
        <v>0.0109235501770545</v>
      </c>
      <c r="AA38" s="56" t="n">
        <f aca="false">(Assumptions!$B$136+Assumptions!$B$137*IF(AA31+AA33=0,1,(AA31+AA33*Assumptions!$B$138)/(AA31+AA33)))*AA7/12</f>
        <v>0.134814320337413</v>
      </c>
      <c r="AB38" s="56" t="n">
        <f aca="false">(Assumptions!$B$136+Assumptions!$B$137*IF(AB31+AB33=0,1,(AB31+AB33*Assumptions!$B$138)/(AB31+AB33)))*AB7/12</f>
        <v>0.137202492432025</v>
      </c>
      <c r="AC38" s="56" t="n">
        <f aca="false">(Assumptions!$B$136+Assumptions!$B$137*IF(AC31+AC33=0,1,(AC31+AC33*Assumptions!$B$138)/(AC31+AC33)))*AC7/12</f>
        <v>0.13904330440524</v>
      </c>
      <c r="AD38" s="56" t="n">
        <f aca="false">(Assumptions!$B$136+Assumptions!$B$137*IF(AD31+AD33=0,1,(AD31+AD33*Assumptions!$B$138)/(AD31+AD33)))*AD7/12</f>
        <v>0.14092897606875</v>
      </c>
      <c r="AE38" s="56" t="n">
        <f aca="false">(Assumptions!$B$136+Assumptions!$B$137*IF(AE31+AE33=0,1,(AE31+AE33*Assumptions!$B$138)/(AE31+AE33)))*AE7/12</f>
        <v>0.142873284501046</v>
      </c>
    </row>
    <row r="39" customFormat="false" ht="15" hidden="false" customHeight="false" outlineLevel="0" collapsed="false">
      <c r="A39" s="6" t="s">
        <v>471</v>
      </c>
      <c r="B39" s="23" t="s">
        <v>470</v>
      </c>
      <c r="C39" s="56" t="n">
        <f aca="false">Assumptions!$B$137*IF(C31+C33=0,1,(C31+C33*Assumptions!$B$138)/(C31+C33))*C7/12</f>
        <v>0.00507380655270636</v>
      </c>
      <c r="D39" s="56" t="n">
        <f aca="false">Assumptions!$B$137*IF(D31+D33=0,1,(D31+D33*Assumptions!$B$138)/(D31+D33))*D7/12</f>
        <v>0.00514673616032982</v>
      </c>
      <c r="E39" s="56" t="n">
        <f aca="false">Assumptions!$B$137*IF(E31+E33=0,1,(E31+E33*Assumptions!$B$138)/(E31+E33))*E7/12</f>
        <v>0.00521808033315858</v>
      </c>
      <c r="F39" s="56" t="n">
        <f aca="false">Assumptions!$B$137*IF(F31+F33=0,1,(F31+F33*Assumptions!$B$138)/(F31+F33))*F7/12</f>
        <v>0.0052737865626574</v>
      </c>
      <c r="G39" s="56" t="n">
        <f aca="false">Assumptions!$B$137*IF(G31+G33=0,1,(G31+G33*Assumptions!$B$138)/(G31+G33))*G7/12</f>
        <v>0.00533828825590074</v>
      </c>
      <c r="H39" s="56" t="n">
        <f aca="false">Assumptions!$B$137*IF(H31+H33=0,1,(H31+H33*Assumptions!$B$138)/(H31+H33))*H7/12</f>
        <v>0.0054095774810194</v>
      </c>
      <c r="I39" s="56" t="n">
        <f aca="false">Assumptions!$B$137*IF(I31+I33=0,1,(I31+I33*Assumptions!$B$138)/(I31+I33))*I7/12</f>
        <v>0.00547794295603752</v>
      </c>
      <c r="J39" s="56" t="n">
        <f aca="false">Assumptions!$B$137*IF(J31+J33=0,1,(J31+J33*Assumptions!$B$138)/(J31+J33))*J7/12</f>
        <v>0.00554217736018866</v>
      </c>
      <c r="K39" s="56" t="n">
        <f aca="false">Assumptions!$B$137*IF(K31+K33=0,1,(K31+K33*Assumptions!$B$138)/(K31+K33))*K7/12</f>
        <v>0.0055981193414565</v>
      </c>
      <c r="L39" s="56" t="n">
        <f aca="false">Assumptions!$B$137*IF(L31+L33=0,1,(L31+L33*Assumptions!$B$138)/(L31+L33))*L7/12</f>
        <v>0.00563360190451395</v>
      </c>
      <c r="M39" s="56" t="n">
        <f aca="false">Assumptions!$B$137*IF(M31+M33=0,1,(M31+M33*Assumptions!$B$138)/(M31+M33))*M7/12</f>
        <v>0.00567818342148314</v>
      </c>
      <c r="N39" s="56" t="n">
        <f aca="false">Assumptions!$B$137*IF(N31+N33=0,1,(N31+N33*Assumptions!$B$138)/(N31+N33))*N7/12</f>
        <v>0.00573083824227853</v>
      </c>
      <c r="O39" s="56" t="n">
        <f aca="false">Assumptions!$B$137*IF(O31+O33=0,1,(O31+O33*Assumptions!$B$138)/(O31+O33))*O7/12</f>
        <v>0.00567075820277088</v>
      </c>
      <c r="P39" s="56" t="n">
        <f aca="false">Assumptions!$B$137*IF(P31+P33=0,1,(P31+P33*Assumptions!$B$138)/(P31+P33))*P7/12</f>
        <v>0.00565772661136389</v>
      </c>
      <c r="Q39" s="56" t="n">
        <f aca="false">Assumptions!$B$137*IF(Q31+Q33=0,1,(Q31+Q33*Assumptions!$B$138)/(Q31+Q33))*Q7/12</f>
        <v>0.00566811893795795</v>
      </c>
      <c r="R39" s="56" t="n">
        <f aca="false">Assumptions!$B$137*IF(R31+R33=0,1,(R31+R33*Assumptions!$B$138)/(R31+R33))*R7/12</f>
        <v>0.00566899742285978</v>
      </c>
      <c r="S39" s="56" t="n">
        <f aca="false">Assumptions!$B$137*IF(S31+S33=0,1,(S31+S33*Assumptions!$B$138)/(S31+S33))*S7/12</f>
        <v>0.00569132668757771</v>
      </c>
      <c r="T39" s="56" t="n">
        <f aca="false">Assumptions!$B$137*IF(T31+T33=0,1,(T31+T33*Assumptions!$B$138)/(T31+T33))*T7/12</f>
        <v>0.00573069395398258</v>
      </c>
      <c r="U39" s="56" t="n">
        <f aca="false">Assumptions!$B$137*IF(U31+U33=0,1,(U31+U33*Assumptions!$B$138)/(U31+U33))*U7/12</f>
        <v>0.00577258737134953</v>
      </c>
      <c r="V39" s="56" t="n">
        <f aca="false">Assumptions!$B$137*IF(V31+V33=0,1,(V31+V33*Assumptions!$B$138)/(V31+V33))*V7/12</f>
        <v>0.00581395263934454</v>
      </c>
      <c r="W39" s="56" t="n">
        <f aca="false">Assumptions!$B$137*IF(W31+W33=0,1,(W31+W33*Assumptions!$B$138)/(W31+W33))*W7/12</f>
        <v>0.00584898708458547</v>
      </c>
      <c r="X39" s="56" t="n">
        <f aca="false">Assumptions!$B$137*IF(X31+X33=0,1,(X31+X33*Assumptions!$B$138)/(X31+X33))*X7/12</f>
        <v>0.00586298858240529</v>
      </c>
      <c r="Y39" s="56" t="n">
        <f aca="false">Assumptions!$B$137*IF(Y31+Y33=0,1,(Y31+Y33*Assumptions!$B$138)/(Y31+Y33))*Y7/12</f>
        <v>0.00588801822367101</v>
      </c>
      <c r="Z39" s="56" t="n">
        <f aca="false">Assumptions!$B$137*IF(Z31+Z33=0,1,(Z31+Z33*Assumptions!$B$138)/(Z31+Z33))*Z7/12</f>
        <v>0.00592355017705454</v>
      </c>
      <c r="AA39" s="56" t="n">
        <f aca="false">Assumptions!$B$137*IF(AA31+AA33=0,1,(AA31+AA33*Assumptions!$B$138)/(AA31+AA33))*AA7/12</f>
        <v>0.0748143203374135</v>
      </c>
      <c r="AB39" s="56" t="n">
        <f aca="false">Assumptions!$B$137*IF(AB31+AB33=0,1,(AB31+AB33*Assumptions!$B$138)/(AB31+AB33))*AB7/12</f>
        <v>0.0772024924320253</v>
      </c>
      <c r="AC39" s="56" t="n">
        <f aca="false">Assumptions!$B$137*IF(AC31+AC33=0,1,(AC31+AC33*Assumptions!$B$138)/(AC31+AC33))*AC7/12</f>
        <v>0.07904330440524</v>
      </c>
      <c r="AD39" s="56" t="n">
        <f aca="false">Assumptions!$B$137*IF(AD31+AD33=0,1,(AD31+AD33*Assumptions!$B$138)/(AD31+AD33))*AD7/12</f>
        <v>0.0809289760687503</v>
      </c>
      <c r="AE39" s="56" t="n">
        <f aca="false">Assumptions!$B$137*IF(AE31+AE33=0,1,(AE31+AE33*Assumptions!$B$138)/(AE31+AE33))*AE7/12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114</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190</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43.5348617647059</v>
      </c>
      <c r="L44" s="45" t="n">
        <f aca="false">IF(L7&gt;1,L43*Assumptions!$B$134,IF(L2&gt;Assumptions!$B$135,INDEX($C$43:$AE$43,1,L2-Assumptions!$B$135)*Assumptions!$B$134,0))</f>
        <v>84.8915692843906</v>
      </c>
      <c r="M44" s="45" t="n">
        <f aca="false">IF(M7&gt;1,M43*Assumptions!$B$134,IF(M2&gt;Assumptions!$B$135,INDEX($C$43:$AE$43,1,M2-Assumptions!$B$135)*Assumptions!$B$134,0))</f>
        <v>124.504175410416</v>
      </c>
      <c r="N44" s="45" t="n">
        <f aca="false">IF(N7&gt;1,N43*Assumptions!$B$134,IF(N2&gt;Assumptions!$B$135,INDEX($C$43:$AE$43,1,N2-Assumptions!$B$135)*Assumptions!$B$134,0))</f>
        <v>173.994903533282</v>
      </c>
      <c r="O44" s="45" t="n">
        <f aca="false">IF(O7&gt;1,O43*Assumptions!$B$134,IF(O2&gt;Assumptions!$B$135,INDEX($C$43:$AE$43,1,O2-Assumptions!$B$135)*Assumptions!$B$134,0))</f>
        <v>218.723455968436</v>
      </c>
      <c r="P44" s="45" t="n">
        <f aca="false">IF(P7&gt;1,P43*Assumptions!$B$134,IF(P2&gt;Assumptions!$B$135,INDEX($C$43:$AE$43,1,P2-Assumptions!$B$135)*Assumptions!$B$134,0))</f>
        <v>256.549066005141</v>
      </c>
      <c r="Q44" s="45" t="n">
        <f aca="false">IF(Q7&gt;1,Q43*Assumptions!$B$134,IF(Q2&gt;Assumptions!$B$135,INDEX($C$43:$AE$43,1,Q2-Assumptions!$B$135)*Assumptions!$B$134,0))</f>
        <v>293.067501090393</v>
      </c>
      <c r="R44" s="45" t="n">
        <f aca="false">IF(R7&gt;1,R43*Assumptions!$B$134,IF(R2&gt;Assumptions!$B$135,INDEX($C$43:$AE$43,1,R2-Assumptions!$B$135)*Assumptions!$B$134,0))</f>
        <v>329.568881141087</v>
      </c>
      <c r="S44" s="45" t="n">
        <f aca="false">IF(S7&gt;1,S43*Assumptions!$B$134,IF(S2&gt;Assumptions!$B$135,INDEX($C$43:$AE$43,1,S2-Assumptions!$B$135)*Assumptions!$B$134,0))</f>
        <v>369.487033697065</v>
      </c>
      <c r="T44" s="45" t="n">
        <f aca="false">IF(T7&gt;1,T43*Assumptions!$B$134,IF(T2&gt;Assumptions!$B$135,INDEX($C$43:$AE$43,1,T2-Assumptions!$B$135)*Assumptions!$B$134,0))</f>
        <v>423.113048686043</v>
      </c>
      <c r="U44" s="45" t="n">
        <f aca="false">IF(U7&gt;1,U43*Assumptions!$B$134,IF(U2&gt;Assumptions!$B$135,INDEX($C$43:$AE$43,1,U2-Assumptions!$B$135)*Assumptions!$B$134,0))</f>
        <v>472.415098459363</v>
      </c>
      <c r="V44" s="45" t="n">
        <f aca="false">IF(V7&gt;1,V43*Assumptions!$B$134,IF(V2&gt;Assumptions!$B$135,INDEX($C$43:$AE$43,1,V2-Assumptions!$B$135)*Assumptions!$B$134,0))</f>
        <v>515.687800082723</v>
      </c>
      <c r="W44" s="45" t="n">
        <f aca="false">IF(W7&gt;1,W43*Assumptions!$B$134,IF(W2&gt;Assumptions!$B$135,INDEX($C$43:$AE$43,1,W2-Assumptions!$B$135)*Assumptions!$B$134,0))</f>
        <v>662.855820305003</v>
      </c>
      <c r="X44" s="45" t="n">
        <f aca="false">IF(X7&gt;1,X43*Assumptions!$B$134,IF(X2&gt;Assumptions!$B$135,INDEX($C$43:$AE$43,1,X2-Assumptions!$B$135)*Assumptions!$B$134,0))</f>
        <v>806.150641224712</v>
      </c>
      <c r="Y44" s="45" t="n">
        <f aca="false">IF(Y7&gt;1,Y43*Assumptions!$B$134,IF(Y2&gt;Assumptions!$B$135,INDEX($C$43:$AE$43,1,Y2-Assumptions!$B$135)*Assumptions!$B$134,0))</f>
        <v>946.461138275385</v>
      </c>
      <c r="Z44" s="45" t="n">
        <f aca="false">IF(Z7&gt;1,Z43*Assumptions!$B$134,IF(Z2&gt;Assumptions!$B$135,INDEX($C$43:$AE$43,1,Z2-Assumptions!$B$135)*Assumptions!$B$134,0))</f>
        <v>1125.2751303669</v>
      </c>
      <c r="AA44" s="45" t="n">
        <f aca="false">IF(AA7&gt;1,AA43*Assumptions!$B$134,IF(AA2&gt;Assumptions!$B$135,INDEX($C$43:$AE$43,1,AA2-Assumptions!$B$135)*Assumptions!$B$134,0))</f>
        <v>5828.73576542126</v>
      </c>
      <c r="AB44" s="45" t="n">
        <f aca="false">IF(AB7&gt;1,AB43*Assumptions!$B$134,IF(AB2&gt;Assumptions!$B$135,INDEX($C$43:$AE$43,1,AB2-Assumptions!$B$135)*Assumptions!$B$134,0))</f>
        <v>11100.1661291876</v>
      </c>
      <c r="AC44" s="45" t="n">
        <f aca="false">IF(AC7&gt;1,AC43*Assumptions!$B$134,IF(AC2&gt;Assumptions!$B$135,INDEX($C$43:$AE$43,1,AC2-Assumptions!$B$135)*Assumptions!$B$134,0))</f>
        <v>18641.1751918658</v>
      </c>
      <c r="AD44" s="45" t="n">
        <f aca="false">IF(AD7&gt;1,AD43*Assumptions!$B$134,IF(AD2&gt;Assumptions!$B$135,INDEX($C$43:$AE$43,1,AD2-Assumptions!$B$135)*Assumptions!$B$134,0))</f>
        <v>27851.4544917144</v>
      </c>
      <c r="AE44" s="45" t="n">
        <f aca="false">IF(AE7&gt;1,AE43*Assumptions!$B$134,IF(AE2&gt;Assumptions!$B$135,INDEX($C$43:$AE$43,1,AE2-Assumptions!$B$135)*Assumptions!$B$134,0))</f>
        <v>37779.2200676223</v>
      </c>
    </row>
    <row r="45" customFormat="false" ht="15" hidden="false" customHeight="false" outlineLevel="0" collapsed="false">
      <c r="A45" s="6" t="s">
        <v>477</v>
      </c>
      <c r="B45" s="23" t="s">
        <v>478</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39.3702220743185</v>
      </c>
      <c r="P45" s="28" t="n">
        <f aca="false">IF(P2&gt;=Assumptions!$B$51,P44*Assumptions!$B$143,0)</f>
        <v>46.1788318809254</v>
      </c>
      <c r="Q45" s="28" t="n">
        <f aca="false">IF(Q2&gt;=Assumptions!$B$51,Q44*Assumptions!$B$143,0)</f>
        <v>52.7521501962708</v>
      </c>
      <c r="R45" s="28" t="n">
        <f aca="false">IF(R2&gt;=Assumptions!$B$51,R44*Assumptions!$B$143,0)</f>
        <v>59.3223986053957</v>
      </c>
      <c r="S45" s="28" t="n">
        <f aca="false">IF(S2&gt;=Assumptions!$B$51,S44*Assumptions!$B$143,0)</f>
        <v>66.5076660654717</v>
      </c>
      <c r="T45" s="28" t="n">
        <f aca="false">IF(T2&gt;=Assumptions!$B$51,T44*Assumptions!$B$143,0)</f>
        <v>76.1603487634877</v>
      </c>
      <c r="U45" s="28" t="n">
        <f aca="false">IF(U2&gt;=Assumptions!$B$51,U44*Assumptions!$B$143,0)</f>
        <v>85.0347177226853</v>
      </c>
      <c r="V45" s="28" t="n">
        <f aca="false">IF(V2&gt;=Assumptions!$B$51,V44*Assumptions!$B$143,0)</f>
        <v>92.8238040148902</v>
      </c>
      <c r="W45" s="28" t="n">
        <f aca="false">IF(W2&gt;=Assumptions!$B$51,W44*Assumptions!$B$143,0)</f>
        <v>119.314047654901</v>
      </c>
      <c r="X45" s="28" t="n">
        <f aca="false">IF(X2&gt;=Assumptions!$B$51,X44*Assumptions!$B$143,0)</f>
        <v>145.107115420448</v>
      </c>
      <c r="Y45" s="28" t="n">
        <f aca="false">IF(Y2&gt;=Assumptions!$B$51,Y44*Assumptions!$B$143,0)</f>
        <v>170.363004889569</v>
      </c>
      <c r="Z45" s="28" t="n">
        <f aca="false">IF(Z2&gt;=Assumptions!$B$51,Z44*Assumptions!$B$143,0)</f>
        <v>202.549523466041</v>
      </c>
      <c r="AA45" s="28" t="n">
        <f aca="false">IF(AA2&gt;=Assumptions!$B$51,AA44*Assumptions!$B$143,0)</f>
        <v>1049.17243777583</v>
      </c>
      <c r="AB45" s="28" t="n">
        <f aca="false">IF(AB2&gt;=Assumptions!$B$51,AB44*Assumptions!$B$143,0)</f>
        <v>1998.02990325377</v>
      </c>
      <c r="AC45" s="28" t="n">
        <f aca="false">IF(AC2&gt;=Assumptions!$B$51,AC44*Assumptions!$B$143,0)</f>
        <v>3355.41153453584</v>
      </c>
      <c r="AD45" s="28" t="n">
        <f aca="false">IF(AD2&gt;=Assumptions!$B$51,AD44*Assumptions!$B$143,0)</f>
        <v>5013.2618085086</v>
      </c>
      <c r="AE45" s="28" t="n">
        <f aca="false">IF(AE2&gt;=Assumptions!$B$51,AE44*Assumptions!$B$143,0)</f>
        <v>6800.25961217202</v>
      </c>
    </row>
    <row r="46" customFormat="false" ht="15" hidden="false" customHeight="false" outlineLevel="0" collapsed="false">
      <c r="A46" s="6" t="s">
        <v>479</v>
      </c>
      <c r="B46" s="23" t="s">
        <v>478</v>
      </c>
      <c r="C46" s="28" t="n">
        <f aca="false">IF(C43=0,0,C45*C31/C43)</f>
        <v>0</v>
      </c>
      <c r="D46" s="28" t="n">
        <f aca="false">IF(D43=0,0,D45*D31/D43)</f>
        <v>0</v>
      </c>
      <c r="E46" s="28" t="n">
        <f aca="false">IF(E43=0,0,E45*E31/E43)</f>
        <v>0</v>
      </c>
      <c r="F46" s="28" t="n">
        <f aca="false">IF(F43=0,0,F45*F31/F43)</f>
        <v>0</v>
      </c>
      <c r="G46" s="28" t="n">
        <f aca="false">IF(G43=0,0,G45*G31/G43)</f>
        <v>0</v>
      </c>
      <c r="H46" s="28" t="n">
        <f aca="false">IF(H43=0,0,H45*H31/H43)</f>
        <v>0</v>
      </c>
      <c r="I46" s="28" t="n">
        <f aca="false">IF(I43=0,0,I45*I31/I43)</f>
        <v>0</v>
      </c>
      <c r="J46" s="28" t="n">
        <f aca="false">IF(J43=0,0,J45*J31/J43)</f>
        <v>0</v>
      </c>
      <c r="K46" s="28" t="n">
        <f aca="false">IF(K43=0,0,K45*K31/K43)</f>
        <v>0</v>
      </c>
      <c r="L46" s="28" t="n">
        <f aca="false">IF(L43=0,0,L45*L31/L43)</f>
        <v>0</v>
      </c>
      <c r="M46" s="28" t="n">
        <f aca="false">IF(M43=0,0,M45*M31/M43)</f>
        <v>0</v>
      </c>
      <c r="N46" s="28" t="n">
        <f aca="false">IF(N43=0,0,N45*N31/N43)</f>
        <v>0</v>
      </c>
      <c r="O46" s="28" t="n">
        <f aca="false">IF(O43=0,0,O45*O31/O43)</f>
        <v>30.5675889405651</v>
      </c>
      <c r="P46" s="28" t="n">
        <f aca="false">IF(P43=0,0,P45*P31/P43)</f>
        <v>36.0544830109975</v>
      </c>
      <c r="Q46" s="28" t="n">
        <f aca="false">IF(Q43=0,0,Q45*Q31/Q43)</f>
        <v>41.0039133415606</v>
      </c>
      <c r="R46" s="28" t="n">
        <f aca="false">IF(R43=0,0,R45*R31/R43)</f>
        <v>46.0935546771057</v>
      </c>
      <c r="S46" s="28" t="n">
        <f aca="false">IF(S43=0,0,S45*S31/S43)</f>
        <v>51.1814912389493</v>
      </c>
      <c r="T46" s="28" t="n">
        <f aca="false">IF(T43=0,0,T45*T31/T43)</f>
        <v>57.6103799719261</v>
      </c>
      <c r="U46" s="28" t="n">
        <f aca="false">IF(U43=0,0,U45*U31/U43)</f>
        <v>63.1358013764125</v>
      </c>
      <c r="V46" s="28" t="n">
        <f aca="false">IF(V43=0,0,V45*V31/V43)</f>
        <v>67.6390772575833</v>
      </c>
      <c r="W46" s="28" t="n">
        <f aca="false">IF(W43=0,0,W45*W31/W43)</f>
        <v>85.5486858320254</v>
      </c>
      <c r="X46" s="28" t="n">
        <f aca="false">IF(X43=0,0,X45*X31/X43)</f>
        <v>103.36518747591</v>
      </c>
      <c r="Y46" s="28" t="n">
        <f aca="false">IF(Y43=0,0,Y45*Y31/Y43)</f>
        <v>119.934520562472</v>
      </c>
      <c r="Z46" s="28" t="n">
        <f aca="false">IF(Z43=0,0,Z45*Z31/Z43)</f>
        <v>140.194640712917</v>
      </c>
      <c r="AA46" s="28" t="n">
        <f aca="false">IF(AA43=0,0,AA45*AA31/AA43)</f>
        <v>617.42864382038</v>
      </c>
      <c r="AB46" s="28" t="n">
        <f aca="false">IF(AB43=0,0,AB45*AB31/AB43)</f>
        <v>1043.27728409591</v>
      </c>
      <c r="AC46" s="28" t="n">
        <f aca="false">IF(AC43=0,0,AC45*AC31/AC43)</f>
        <v>1580.4636662853</v>
      </c>
      <c r="AD46" s="28" t="n">
        <f aca="false">IF(AD43=0,0,AD45*AD31/AD43)</f>
        <v>2098.7496858237</v>
      </c>
      <c r="AE46" s="28" t="n">
        <f aca="false">IF(AE43=0,0,AE45*AE31/AE43)</f>
        <v>2479.58536800023</v>
      </c>
    </row>
    <row r="47" customFormat="false" ht="15" hidden="false" customHeight="false" outlineLevel="0" collapsed="false">
      <c r="A47" s="6" t="s">
        <v>480</v>
      </c>
      <c r="B47" s="23" t="s">
        <v>114</v>
      </c>
      <c r="C47" s="55" t="n">
        <f aca="false">IF(C31=0,0,C42/C31*Assumptions!$B$31)</f>
        <v>17.2357142857143</v>
      </c>
      <c r="D47" s="55" t="n">
        <f aca="false">IF(D31=0,0,D42/D31*Assumptions!$B$31)</f>
        <v>26.2086346736326</v>
      </c>
      <c r="E47" s="55" t="n">
        <f aca="false">IF(E31=0,0,E42/E31*Assumptions!$B$31)</f>
        <v>35.3767428344902</v>
      </c>
      <c r="F47" s="55" t="n">
        <f aca="false">IF(F31=0,0,F42/F31*Assumptions!$B$31)</f>
        <v>42.8018468760896</v>
      </c>
      <c r="G47" s="55" t="n">
        <f aca="false">IF(G31=0,0,G42/G31*Assumptions!$B$31)</f>
        <v>51.7492362031911</v>
      </c>
      <c r="H47" s="55" t="n">
        <f aca="false">IF(H31=0,0,H42/H31*Assumptions!$B$31)</f>
        <v>62.0973147372007</v>
      </c>
      <c r="I47" s="55" t="n">
        <f aca="false">IF(I31=0,0,I42/I31*Assumptions!$B$31)</f>
        <v>72.4837418984152</v>
      </c>
      <c r="J47" s="55" t="n">
        <f aca="false">IF(J31=0,0,J42/J31*Assumptions!$B$31)</f>
        <v>82.6787926968667</v>
      </c>
      <c r="K47" s="55" t="n">
        <f aca="false">IF(K31=0,0,K42/K31*Assumptions!$B$31)</f>
        <v>91.9000092267017</v>
      </c>
      <c r="L47" s="55" t="n">
        <f aca="false">IF(L31=0,0,L42/L31*Assumptions!$B$31)</f>
        <v>97.825335126143</v>
      </c>
      <c r="M47" s="55" t="n">
        <f aca="false">IF(M31=0,0,M42/M31*Assumptions!$B$31)</f>
        <v>105.580613506913</v>
      </c>
      <c r="N47" s="55" t="n">
        <f aca="false">IF(N31=0,0,N42/N31*Assumptions!$B$31)</f>
        <v>115.139168910899</v>
      </c>
      <c r="O47" s="55" t="n">
        <f aca="false">IF(O31=0,0,O42/O31*Assumptions!$B$31)</f>
        <v>110.562926738355</v>
      </c>
      <c r="P47" s="55" t="n">
        <f aca="false">IF(P31=0,0,P42/P31*Assumptions!$B$31)</f>
        <v>106.676571636713</v>
      </c>
      <c r="Q47" s="55" t="n">
        <f aca="false">IF(Q31=0,0,Q42/Q31*Assumptions!$B$31)</f>
        <v>107.529042289278</v>
      </c>
      <c r="R47" s="55" t="n">
        <f aca="false">IF(R31=0,0,R42/R31*Assumptions!$B$31)</f>
        <v>106.746445331032</v>
      </c>
      <c r="S47" s="55" t="n">
        <f aca="false">IF(S31=0,0,S42/S31*Assumptions!$B$31)</f>
        <v>110.173387645164</v>
      </c>
      <c r="T47" s="55" t="n">
        <f aca="false">IF(T31=0,0,T42/T31*Assumptions!$B$31)</f>
        <v>117.050661610225</v>
      </c>
      <c r="U47" s="55" t="n">
        <f aca="false">IF(U31=0,0,U42/U31*Assumptions!$B$31)</f>
        <v>124.686529301028</v>
      </c>
      <c r="V47" s="55" t="n">
        <f aca="false">IF(V31=0,0,V42/V31*Assumptions!$B$31)</f>
        <v>132.492318921651</v>
      </c>
      <c r="W47" s="55" t="n">
        <f aca="false">IF(W31=0,0,W42/W31*Assumptions!$B$31)</f>
        <v>139.220094576248</v>
      </c>
      <c r="X47" s="55" t="n">
        <f aca="false">IF(X31=0,0,X42/X31*Assumptions!$B$31)</f>
        <v>141.580720331797</v>
      </c>
      <c r="Y47" s="55" t="n">
        <f aca="false">IF(Y31=0,0,Y42/Y31*Assumptions!$B$31)</f>
        <v>146.427000104056</v>
      </c>
      <c r="Z47" s="55" t="n">
        <f aca="false">IF(Z31=0,0,Z42/Z31*Assumptions!$B$31)</f>
        <v>153.759520863433</v>
      </c>
      <c r="AA47" s="55" t="n">
        <f aca="false">IF(AA31=0,0,AA42/AA31*Assumptions!$B$31)</f>
        <v>278.585226348563</v>
      </c>
      <c r="AB47" s="55" t="n">
        <f aca="false">IF(AB31=0,0,AB42/AB31*Assumptions!$B$31)</f>
        <v>360.601427086104</v>
      </c>
      <c r="AC47" s="55" t="n">
        <f aca="false">IF(AC31=0,0,AC42/AC31*Assumptions!$B$31)</f>
        <v>428.367309768721</v>
      </c>
      <c r="AD47" s="55" t="n">
        <f aca="false">IF(AD31=0,0,AD42/AD31*Assumptions!$B$31)</f>
        <v>506.396252500285</v>
      </c>
      <c r="AE47" s="55" t="n">
        <f aca="false">IF(AE31=0,0,AE42/AE31*Assumptions!$B$31)</f>
        <v>603.967800079626</v>
      </c>
    </row>
    <row r="48" customFormat="false" ht="15" hidden="false" customHeight="false" outlineLevel="0" collapsed="false">
      <c r="A48" s="6" t="s">
        <v>481</v>
      </c>
      <c r="B48" s="23" t="s">
        <v>76</v>
      </c>
      <c r="C48" s="55" t="n">
        <f aca="false">C47*Assumptions!$B$156*Assumptions!$B$158</f>
        <v>18.0975</v>
      </c>
      <c r="D48" s="55" t="n">
        <f aca="false">D47*Assumptions!$B$156*Assumptions!$B$158</f>
        <v>27.5190664073143</v>
      </c>
      <c r="E48" s="55" t="n">
        <f aca="false">E47*Assumptions!$B$156*Assumptions!$B$158</f>
        <v>37.1455799762147</v>
      </c>
      <c r="F48" s="55" t="n">
        <f aca="false">F47*Assumptions!$B$156*Assumptions!$B$158</f>
        <v>44.941939219894</v>
      </c>
      <c r="G48" s="55" t="n">
        <f aca="false">G47*Assumptions!$B$156*Assumptions!$B$158</f>
        <v>54.3366980133507</v>
      </c>
      <c r="H48" s="55" t="n">
        <f aca="false">H47*Assumptions!$B$156*Assumptions!$B$158</f>
        <v>65.2021804740607</v>
      </c>
      <c r="I48" s="55" t="n">
        <f aca="false">I47*Assumptions!$B$156*Assumptions!$B$158</f>
        <v>76.1079289933359</v>
      </c>
      <c r="J48" s="55" t="n">
        <f aca="false">J47*Assumptions!$B$156*Assumptions!$B$158</f>
        <v>86.8127323317101</v>
      </c>
      <c r="K48" s="55" t="n">
        <f aca="false">K47*Assumptions!$B$156*Assumptions!$B$158</f>
        <v>96.4950096880368</v>
      </c>
      <c r="L48" s="55" t="n">
        <f aca="false">L47*Assumptions!$B$156*Assumptions!$B$158</f>
        <v>102.71660188245</v>
      </c>
      <c r="M48" s="55" t="n">
        <f aca="false">M47*Assumptions!$B$156*Assumptions!$B$158</f>
        <v>110.859644182259</v>
      </c>
      <c r="N48" s="55" t="n">
        <f aca="false">N47*Assumptions!$B$156*Assumptions!$B$158</f>
        <v>120.896127356444</v>
      </c>
      <c r="O48" s="55" t="n">
        <f aca="false">O47*Assumptions!$B$156*Assumptions!$B$158</f>
        <v>116.091073075273</v>
      </c>
      <c r="P48" s="55" t="n">
        <f aca="false">P47*Assumptions!$B$156*Assumptions!$B$158</f>
        <v>112.010400218549</v>
      </c>
      <c r="Q48" s="55" t="n">
        <f aca="false">Q47*Assumptions!$B$156*Assumptions!$B$158</f>
        <v>112.905494403742</v>
      </c>
      <c r="R48" s="55" t="n">
        <f aca="false">R47*Assumptions!$B$156*Assumptions!$B$158</f>
        <v>112.083767597584</v>
      </c>
      <c r="S48" s="55" t="n">
        <f aca="false">S47*Assumptions!$B$156*Assumptions!$B$158</f>
        <v>115.682057027422</v>
      </c>
      <c r="T48" s="55" t="n">
        <f aca="false">T47*Assumptions!$B$156*Assumptions!$B$158</f>
        <v>122.903194690736</v>
      </c>
      <c r="U48" s="55" t="n">
        <f aca="false">U47*Assumptions!$B$156*Assumptions!$B$158</f>
        <v>130.920855766079</v>
      </c>
      <c r="V48" s="55" t="n">
        <f aca="false">V47*Assumptions!$B$156*Assumptions!$B$158</f>
        <v>139.116934867734</v>
      </c>
      <c r="W48" s="55" t="n">
        <f aca="false">W47*Assumptions!$B$156*Assumptions!$B$158</f>
        <v>146.18109930506</v>
      </c>
      <c r="X48" s="55" t="n">
        <f aca="false">X47*Assumptions!$B$156*Assumptions!$B$158</f>
        <v>148.659756348387</v>
      </c>
      <c r="Y48" s="55" t="n">
        <f aca="false">Y47*Assumptions!$B$156*Assumptions!$B$158</f>
        <v>153.748350109259</v>
      </c>
      <c r="Z48" s="55" t="n">
        <f aca="false">Z47*Assumptions!$B$156*Assumptions!$B$158</f>
        <v>161.447496906604</v>
      </c>
      <c r="AA48" s="55" t="n">
        <f aca="false">AA47*Assumptions!$B$156*Assumptions!$B$158</f>
        <v>292.514487665991</v>
      </c>
      <c r="AB48" s="55" t="n">
        <f aca="false">AB47*Assumptions!$B$156*Assumptions!$B$158</f>
        <v>378.631498440409</v>
      </c>
      <c r="AC48" s="55" t="n">
        <f aca="false">AC47*Assumptions!$B$156*Assumptions!$B$158</f>
        <v>449.785675257157</v>
      </c>
      <c r="AD48" s="55" t="n">
        <f aca="false">AD47*Assumptions!$B$156*Assumptions!$B$158</f>
        <v>531.716065125299</v>
      </c>
      <c r="AE48" s="55" t="n">
        <f aca="false">AE47*Assumptions!$B$156*Assumptions!$B$158</f>
        <v>634.166190083607</v>
      </c>
    </row>
    <row r="49" customFormat="false" ht="15" hidden="false" customHeight="false" outlineLevel="0" collapsed="false">
      <c r="A49" s="6" t="s">
        <v>482</v>
      </c>
      <c r="B49" s="23" t="s">
        <v>114</v>
      </c>
      <c r="C49" s="55" t="n">
        <f aca="false">C48/12*C16</f>
        <v>1.6589375</v>
      </c>
      <c r="D49" s="55" t="n">
        <f aca="false">D48/12*D16</f>
        <v>2.29325553394286</v>
      </c>
      <c r="E49" s="55" t="n">
        <f aca="false">E48/12*E16</f>
        <v>3.03355569805753</v>
      </c>
      <c r="F49" s="55" t="n">
        <f aca="false">F48/12*F16</f>
        <v>3.67025836962468</v>
      </c>
      <c r="G49" s="55" t="n">
        <f aca="false">G48/12*G16</f>
        <v>4.52805816777922</v>
      </c>
      <c r="H49" s="55" t="n">
        <f aca="false">H48/12*H16</f>
        <v>5.16183928752981</v>
      </c>
      <c r="I49" s="55" t="n">
        <f aca="false">I48/12*I16</f>
        <v>5.58124812617797</v>
      </c>
      <c r="J49" s="55" t="n">
        <f aca="false">J48/12*J16</f>
        <v>6.51095492487826</v>
      </c>
      <c r="K49" s="55" t="n">
        <f aca="false">K48/12*K16</f>
        <v>8.0412508073364</v>
      </c>
      <c r="L49" s="55" t="n">
        <f aca="false">L48/12*L16</f>
        <v>8.73091116000826</v>
      </c>
      <c r="M49" s="55" t="n">
        <f aca="false">M48/12*M16</f>
        <v>9.70021886594767</v>
      </c>
      <c r="N49" s="55" t="n">
        <f aca="false">N48/12*N16</f>
        <v>11.4851320988622</v>
      </c>
      <c r="O49" s="55" t="n">
        <f aca="false">O48/12*O16</f>
        <v>10.6416816985667</v>
      </c>
      <c r="P49" s="55" t="n">
        <f aca="false">P48/12*P16</f>
        <v>9.33420001821239</v>
      </c>
      <c r="Q49" s="55" t="n">
        <f aca="false">Q48/12*Q16</f>
        <v>9.22061537630562</v>
      </c>
      <c r="R49" s="55" t="n">
        <f aca="false">R48/12*R16</f>
        <v>9.15350768713601</v>
      </c>
      <c r="S49" s="55" t="n">
        <f aca="false">S48/12*S16</f>
        <v>9.64017141895184</v>
      </c>
      <c r="T49" s="55" t="n">
        <f aca="false">T48/12*T16</f>
        <v>9.72983624634997</v>
      </c>
      <c r="U49" s="55" t="n">
        <f aca="false">U48/12*U16</f>
        <v>9.60086275617915</v>
      </c>
      <c r="V49" s="55" t="n">
        <f aca="false">V48/12*V16</f>
        <v>10.43377011508</v>
      </c>
      <c r="W49" s="55" t="n">
        <f aca="false">W48/12*W16</f>
        <v>12.1817582754217</v>
      </c>
      <c r="X49" s="55" t="n">
        <f aca="false">X48/12*X16</f>
        <v>12.6360792896129</v>
      </c>
      <c r="Y49" s="55" t="n">
        <f aca="false">Y48/12*Y16</f>
        <v>13.4529806345601</v>
      </c>
      <c r="Z49" s="55" t="n">
        <f aca="false">Z48/12*Z16</f>
        <v>15.3375122061274</v>
      </c>
      <c r="AA49" s="55" t="n">
        <f aca="false">AA48/12*AA16</f>
        <v>24.3762073054993</v>
      </c>
      <c r="AB49" s="55" t="n">
        <f aca="false">AB48/12*AB16</f>
        <v>31.5526248700341</v>
      </c>
      <c r="AC49" s="55" t="n">
        <f aca="false">AC48/12*AC16</f>
        <v>37.4821396047631</v>
      </c>
      <c r="AD49" s="55" t="n">
        <f aca="false">AD48/12*AD16</f>
        <v>44.3096720937749</v>
      </c>
      <c r="AE49" s="55" t="n">
        <f aca="false">AE48/12*AE16</f>
        <v>52.8471825069673</v>
      </c>
    </row>
    <row r="50" customFormat="false" ht="15" hidden="false" customHeight="false" outlineLevel="0" collapsed="false">
      <c r="A50" s="6" t="s">
        <v>483</v>
      </c>
      <c r="B50" s="23" t="s">
        <v>484</v>
      </c>
      <c r="C50" s="45" t="n">
        <f aca="false">C46*C49*Assumptions!$B$7*C7</f>
        <v>0</v>
      </c>
      <c r="D50" s="45" t="n">
        <f aca="false">D46*D49*Assumptions!$B$7*D7</f>
        <v>0</v>
      </c>
      <c r="E50" s="45" t="n">
        <f aca="false">E46*E49*Assumptions!$B$7*E7</f>
        <v>0</v>
      </c>
      <c r="F50" s="45" t="n">
        <f aca="false">F46*F49*Assumptions!$B$7*F7</f>
        <v>0</v>
      </c>
      <c r="G50" s="45" t="n">
        <f aca="false">G46*G49*Assumptions!$B$7*G7</f>
        <v>0</v>
      </c>
      <c r="H50" s="45" t="n">
        <f aca="false">H46*H49*Assumptions!$B$7*H7</f>
        <v>0</v>
      </c>
      <c r="I50" s="45" t="n">
        <f aca="false">I46*I49*Assumptions!$B$7*I7</f>
        <v>0</v>
      </c>
      <c r="J50" s="45" t="n">
        <f aca="false">J46*J49*Assumptions!$B$7*J7</f>
        <v>0</v>
      </c>
      <c r="K50" s="45" t="n">
        <f aca="false">K46*K49*Assumptions!$B$7*K7</f>
        <v>0</v>
      </c>
      <c r="L50" s="45" t="n">
        <f aca="false">L46*L49*Assumptions!$B$7*L7</f>
        <v>0</v>
      </c>
      <c r="M50" s="45" t="n">
        <f aca="false">M46*M49*Assumptions!$B$7*M7</f>
        <v>0</v>
      </c>
      <c r="N50" s="45" t="n">
        <f aca="false">N46*N49*Assumptions!$B$7*N7</f>
        <v>0</v>
      </c>
      <c r="O50" s="45" t="n">
        <f aca="false">O46*O49*Assumptions!$B$7*O7</f>
        <v>1194.6295514786</v>
      </c>
      <c r="P50" s="45" t="n">
        <f aca="false">P46*P49*Assumptions!$B$7*P7</f>
        <v>1235.94225382881</v>
      </c>
      <c r="Q50" s="45" t="n">
        <f aca="false">Q46*Q49*Assumptions!$B$7*Q7</f>
        <v>1388.50362509906</v>
      </c>
      <c r="R50" s="45" t="n">
        <f aca="false">R46*R49*Assumptions!$B$7*R7</f>
        <v>1549.49277919368</v>
      </c>
      <c r="S50" s="45" t="n">
        <f aca="false">S46*S49*Assumptions!$B$7*S7</f>
        <v>1812.00543677982</v>
      </c>
      <c r="T50" s="45" t="n">
        <f aca="false">T46*T49*Assumptions!$B$7*T7</f>
        <v>2058.58154591385</v>
      </c>
      <c r="U50" s="45" t="n">
        <f aca="false">U46*U49*Assumptions!$B$7*U7</f>
        <v>2226.11585734995</v>
      </c>
      <c r="V50" s="45" t="n">
        <f aca="false">V46*V49*Assumptions!$B$7*V7</f>
        <v>2591.79556570672</v>
      </c>
      <c r="W50" s="45" t="n">
        <f aca="false">W46*W49*Assumptions!$B$7*W7</f>
        <v>3827.23495404857</v>
      </c>
      <c r="X50" s="45" t="n">
        <f aca="false">X46*X49*Assumptions!$B$7*X7</f>
        <v>4796.76501312572</v>
      </c>
      <c r="Y50" s="45" t="n">
        <f aca="false">Y46*Y49*Assumptions!$B$7*Y7</f>
        <v>5925.4934838862</v>
      </c>
      <c r="Z50" s="45" t="n">
        <f aca="false">Z46*Z49*Assumptions!$B$7*Z7</f>
        <v>7896.7454308595</v>
      </c>
      <c r="AA50" s="45" t="n">
        <f aca="false">AA46*AA49*Assumptions!$B$7*AA7</f>
        <v>663278.559000498</v>
      </c>
      <c r="AB50" s="45" t="n">
        <f aca="false">AB46*AB49*Assumptions!$B$7*AB7</f>
        <v>1450702.2879169</v>
      </c>
      <c r="AC50" s="45" t="n">
        <f aca="false">AC46*AC49*Assumptions!$B$7*AC7</f>
        <v>2610669.77150289</v>
      </c>
      <c r="AD50" s="45" t="n">
        <f aca="false">AD46*AD49*Assumptions!$B$7*AD7</f>
        <v>4098285.70070051</v>
      </c>
      <c r="AE50" s="45" t="n">
        <f aca="false">AE46*AE49*Assumptions!$B$7*AE7</f>
        <v>5774893.15834372</v>
      </c>
    </row>
    <row r="51" customFormat="false" ht="15" hidden="false" customHeight="false" outlineLevel="0" collapsed="false">
      <c r="A51" s="6" t="s">
        <v>483</v>
      </c>
      <c r="B51" s="23" t="s">
        <v>114</v>
      </c>
      <c r="C51" s="55" t="n">
        <f aca="false">C50/Assumptions!$B$7</f>
        <v>0</v>
      </c>
      <c r="D51" s="55" t="n">
        <f aca="false">D50/Assumptions!$B$7</f>
        <v>0</v>
      </c>
      <c r="E51" s="55" t="n">
        <f aca="false">E50/Assumptions!$B$7</f>
        <v>0</v>
      </c>
      <c r="F51" s="55" t="n">
        <f aca="false">F50/Assumptions!$B$7</f>
        <v>0</v>
      </c>
      <c r="G51" s="55" t="n">
        <f aca="false">G50/Assumptions!$B$7</f>
        <v>0</v>
      </c>
      <c r="H51" s="55" t="n">
        <f aca="false">H50/Assumptions!$B$7</f>
        <v>0</v>
      </c>
      <c r="I51" s="55" t="n">
        <f aca="false">I50/Assumptions!$B$7</f>
        <v>0</v>
      </c>
      <c r="J51" s="55" t="n">
        <f aca="false">J50/Assumptions!$B$7</f>
        <v>0</v>
      </c>
      <c r="K51" s="55" t="n">
        <f aca="false">K50/Assumptions!$B$7</f>
        <v>0</v>
      </c>
      <c r="L51" s="55" t="n">
        <f aca="false">L50/Assumptions!$B$7</f>
        <v>0</v>
      </c>
      <c r="M51" s="55" t="n">
        <f aca="false">M50/Assumptions!$B$7</f>
        <v>0</v>
      </c>
      <c r="N51" s="55" t="n">
        <f aca="false">N50/Assumptions!$B$7</f>
        <v>0</v>
      </c>
      <c r="O51" s="55" t="n">
        <f aca="false">O50/Assumptions!$B$7</f>
        <v>325.290551798122</v>
      </c>
      <c r="P51" s="55" t="n">
        <f aca="false">P50/Assumptions!$B$7</f>
        <v>336.539755977891</v>
      </c>
      <c r="Q51" s="55" t="n">
        <f aca="false">Q50/Assumptions!$B$7</f>
        <v>378.081313845897</v>
      </c>
      <c r="R51" s="55" t="n">
        <f aca="false">R50/Assumptions!$B$7</f>
        <v>421.917707064311</v>
      </c>
      <c r="S51" s="55" t="n">
        <f aca="false">S50/Assumptions!$B$7</f>
        <v>493.398349021053</v>
      </c>
      <c r="T51" s="55" t="n">
        <f aca="false">T50/Assumptions!$B$7</f>
        <v>560.539563216841</v>
      </c>
      <c r="U51" s="55" t="n">
        <f aca="false">U50/Assumptions!$B$7</f>
        <v>606.158164016323</v>
      </c>
      <c r="V51" s="55" t="n">
        <f aca="false">V50/Assumptions!$B$7</f>
        <v>705.730582901763</v>
      </c>
      <c r="W51" s="55" t="n">
        <f aca="false">W50/Assumptions!$B$7</f>
        <v>1042.13341158572</v>
      </c>
      <c r="X51" s="55" t="n">
        <f aca="false">X50/Assumptions!$B$7</f>
        <v>1306.13070473131</v>
      </c>
      <c r="Y51" s="55" t="n">
        <f aca="false">Y50/Assumptions!$B$7</f>
        <v>1613.47678254219</v>
      </c>
      <c r="Z51" s="55" t="n">
        <f aca="false">Z50/Assumptions!$B$7</f>
        <v>2150.23701316801</v>
      </c>
      <c r="AA51" s="55" t="n">
        <f aca="false">AA50/Assumptions!$B$7</f>
        <v>180606.823417426</v>
      </c>
      <c r="AB51" s="55" t="n">
        <f aca="false">AB50/Assumptions!$B$7</f>
        <v>395017.641366073</v>
      </c>
      <c r="AC51" s="55" t="n">
        <f aca="false">AC50/Assumptions!$B$7</f>
        <v>710869.917359534</v>
      </c>
      <c r="AD51" s="55" t="n">
        <f aca="false">AD50/Assumptions!$B$7</f>
        <v>1115938.92462914</v>
      </c>
      <c r="AE51" s="55" t="n">
        <f aca="false">AE50/Assumptions!$B$7</f>
        <v>1572469.20581177</v>
      </c>
    </row>
    <row r="52" customFormat="false" ht="15" hidden="false" customHeight="false" outlineLevel="0" collapsed="false">
      <c r="A52" s="6" t="s">
        <v>485</v>
      </c>
      <c r="B52" s="23" t="s">
        <v>484</v>
      </c>
      <c r="C52" s="45" t="n">
        <f aca="false">IF(Assumptions!$B$144=0,0,C47*Assumptions!$B$156*Assumptions!$B$7/Assumptions!$B$144)</f>
        <v>7.91227008928571</v>
      </c>
      <c r="D52" s="45" t="n">
        <f aca="false">IF(Assumptions!$B$144=0,0,D47*Assumptions!$B$156*Assumptions!$B$7/Assumptions!$B$144)</f>
        <v>12.0314013548645</v>
      </c>
      <c r="E52" s="45" t="n">
        <f aca="false">IF(Assumptions!$B$144=0,0,E47*Assumptions!$B$156*Assumptions!$B$7/Assumptions!$B$144)</f>
        <v>16.2401360074582</v>
      </c>
      <c r="F52" s="45" t="n">
        <f aca="false">IF(Assumptions!$B$144=0,0,F47*Assumptions!$B$156*Assumptions!$B$7/Assumptions!$B$144)</f>
        <v>19.6487228315549</v>
      </c>
      <c r="G52" s="45" t="n">
        <f aca="false">IF(Assumptions!$B$144=0,0,G47*Assumptions!$B$156*Assumptions!$B$7/Assumptions!$B$144)</f>
        <v>23.7561337445274</v>
      </c>
      <c r="H52" s="45" t="n">
        <f aca="false">IF(Assumptions!$B$144=0,0,H47*Assumptions!$B$156*Assumptions!$B$7/Assumptions!$B$144)</f>
        <v>28.5065485465462</v>
      </c>
      <c r="I52" s="45" t="n">
        <f aca="false">IF(Assumptions!$B$144=0,0,I47*Assumptions!$B$156*Assumptions!$B$7/Assumptions!$B$144)</f>
        <v>33.2745677652412</v>
      </c>
      <c r="J52" s="45" t="n">
        <f aca="false">IF(Assumptions!$B$144=0,0,J47*Assumptions!$B$156*Assumptions!$B$7/Assumptions!$B$144)</f>
        <v>37.9547332724054</v>
      </c>
      <c r="K52" s="45" t="n">
        <f aca="false">IF(Assumptions!$B$144=0,0,K47*Assumptions!$B$156*Assumptions!$B$7/Assumptions!$B$144)</f>
        <v>42.1878479856328</v>
      </c>
      <c r="L52" s="45" t="n">
        <f aca="false">IF(Assumptions!$B$144=0,0,L47*Assumptions!$B$156*Assumptions!$B$7/Assumptions!$B$144)</f>
        <v>44.907942906345</v>
      </c>
      <c r="M52" s="45" t="n">
        <f aca="false">IF(Assumptions!$B$144=0,0,M47*Assumptions!$B$156*Assumptions!$B$7/Assumptions!$B$144)</f>
        <v>48.4681003880174</v>
      </c>
      <c r="N52" s="45" t="n">
        <f aca="false">IF(Assumptions!$B$144=0,0,N47*Assumptions!$B$156*Assumptions!$B$7/Assumptions!$B$144)</f>
        <v>52.8560747281598</v>
      </c>
      <c r="O52" s="45" t="n">
        <f aca="false">IF(Assumptions!$B$144=0,0,O47*Assumptions!$B$156*Assumptions!$B$7/Assumptions!$B$144)</f>
        <v>50.7552935558263</v>
      </c>
      <c r="P52" s="45" t="n">
        <f aca="false">IF(Assumptions!$B$144=0,0,P47*Assumptions!$B$156*Assumptions!$B$7/Assumptions!$B$144)</f>
        <v>48.9712136669786</v>
      </c>
      <c r="Q52" s="45" t="n">
        <f aca="false">IF(Assumptions!$B$144=0,0,Q47*Assumptions!$B$156*Assumptions!$B$7/Assumptions!$B$144)</f>
        <v>49.3625509759219</v>
      </c>
      <c r="R52" s="45" t="n">
        <f aca="false">IF(Assumptions!$B$144=0,0,R47*Assumptions!$B$156*Assumptions!$B$7/Assumptions!$B$144)</f>
        <v>49.003290059777</v>
      </c>
      <c r="S52" s="45" t="n">
        <f aca="false">IF(Assumptions!$B$144=0,0,S47*Assumptions!$B$156*Assumptions!$B$7/Assumptions!$B$144)</f>
        <v>50.576470765858</v>
      </c>
      <c r="T52" s="45" t="n">
        <f aca="false">IF(Assumptions!$B$144=0,0,T47*Assumptions!$B$156*Assumptions!$B$7/Assumptions!$B$144)</f>
        <v>53.733569345444</v>
      </c>
      <c r="U52" s="45" t="n">
        <f aca="false">IF(Assumptions!$B$144=0,0,U47*Assumptions!$B$156*Assumptions!$B$7/Assumptions!$B$144)</f>
        <v>57.2389098572531</v>
      </c>
      <c r="V52" s="45" t="n">
        <f aca="false">IF(Assumptions!$B$144=0,0,V47*Assumptions!$B$156*Assumptions!$B$7/Assumptions!$B$144)</f>
        <v>60.8222551549705</v>
      </c>
      <c r="W52" s="45" t="n">
        <f aca="false">IF(Assumptions!$B$144=0,0,W47*Assumptions!$B$156*Assumptions!$B$7/Assumptions!$B$144)</f>
        <v>63.9107246664087</v>
      </c>
      <c r="X52" s="45" t="n">
        <f aca="false">IF(Assumptions!$B$144=0,0,X47*Assumptions!$B$156*Assumptions!$B$7/Assumptions!$B$144)</f>
        <v>64.9943994273157</v>
      </c>
      <c r="Y52" s="45" t="n">
        <f aca="false">IF(Assumptions!$B$144=0,0,Y47*Assumptions!$B$156*Assumptions!$B$7/Assumptions!$B$144)</f>
        <v>67.2191447352682</v>
      </c>
      <c r="Z52" s="45" t="n">
        <f aca="false">IF(Assumptions!$B$144=0,0,Z47*Assumptions!$B$156*Assumptions!$B$7/Assumptions!$B$144)</f>
        <v>70.5852300463696</v>
      </c>
      <c r="AA52" s="45" t="n">
        <f aca="false">IF(Assumptions!$B$144=0,0,AA47*Assumptions!$B$156*Assumptions!$B$7/Assumptions!$B$144)</f>
        <v>127.888030470637</v>
      </c>
      <c r="AB52" s="45" t="n">
        <f aca="false">IF(Assumptions!$B$144=0,0,AB47*Assumptions!$B$156*Assumptions!$B$7/Assumptions!$B$144)</f>
        <v>165.538592621714</v>
      </c>
      <c r="AC52" s="45" t="n">
        <f aca="false">IF(Assumptions!$B$144=0,0,AC47*Assumptions!$B$156*Assumptions!$B$7/Assumptions!$B$144)</f>
        <v>196.647368140703</v>
      </c>
      <c r="AD52" s="45" t="n">
        <f aca="false">IF(Assumptions!$B$144=0,0,AD47*Assumptions!$B$156*Assumptions!$B$7/Assumptions!$B$144)</f>
        <v>232.467529663412</v>
      </c>
      <c r="AE52" s="45" t="n">
        <f aca="false">IF(Assumptions!$B$144=0,0,AE47*Assumptions!$B$156*Assumptions!$B$7/Assumptions!$B$144)</f>
        <v>277.258968224053</v>
      </c>
    </row>
    <row r="53" customFormat="false" ht="15" hidden="false" customHeight="false" outlineLevel="0" collapsed="false">
      <c r="A53" s="6" t="s">
        <v>486</v>
      </c>
      <c r="B53" s="23" t="s">
        <v>487</v>
      </c>
      <c r="C53" s="45" t="n">
        <f aca="false">C46*Assumptions!$B$158*Assumptions!$B$144*C7/12*(1+Assumptions!$B$16)</f>
        <v>0</v>
      </c>
      <c r="D53" s="45" t="n">
        <f aca="false">D46*Assumptions!$B$158*Assumptions!$B$144*D7/12*(1+Assumptions!$B$16)</f>
        <v>0</v>
      </c>
      <c r="E53" s="45" t="n">
        <f aca="false">E46*Assumptions!$B$158*Assumptions!$B$144*E7/12*(1+Assumptions!$B$16)</f>
        <v>0</v>
      </c>
      <c r="F53" s="45" t="n">
        <f aca="false">F46*Assumptions!$B$158*Assumptions!$B$144*F7/12*(1+Assumptions!$B$16)</f>
        <v>0</v>
      </c>
      <c r="G53" s="45" t="n">
        <f aca="false">G46*Assumptions!$B$158*Assumptions!$B$144*G7/12*(1+Assumptions!$B$16)</f>
        <v>0</v>
      </c>
      <c r="H53" s="45" t="n">
        <f aca="false">H46*Assumptions!$B$158*Assumptions!$B$144*H7/12*(1+Assumptions!$B$16)</f>
        <v>0</v>
      </c>
      <c r="I53" s="45" t="n">
        <f aca="false">I46*Assumptions!$B$158*Assumptions!$B$144*I7/12*(1+Assumptions!$B$16)</f>
        <v>0</v>
      </c>
      <c r="J53" s="45" t="n">
        <f aca="false">J46*Assumptions!$B$158*Assumptions!$B$144*J7/12*(1+Assumptions!$B$16)</f>
        <v>0</v>
      </c>
      <c r="K53" s="45" t="n">
        <f aca="false">K46*Assumptions!$B$158*Assumptions!$B$144*K7/12*(1+Assumptions!$B$16)</f>
        <v>0</v>
      </c>
      <c r="L53" s="45" t="n">
        <f aca="false">L46*Assumptions!$B$158*Assumptions!$B$144*L7/12*(1+Assumptions!$B$16)</f>
        <v>0</v>
      </c>
      <c r="M53" s="45" t="n">
        <f aca="false">M46*Assumptions!$B$158*Assumptions!$B$144*M7/12*(1+Assumptions!$B$16)</f>
        <v>0</v>
      </c>
      <c r="N53" s="45" t="n">
        <f aca="false">N46*Assumptions!$B$158*Assumptions!$B$144*N7/12*(1+Assumptions!$B$16)</f>
        <v>0</v>
      </c>
      <c r="O53" s="45" t="n">
        <f aca="false">O46*Assumptions!$B$158*Assumptions!$B$144*O7/12*(1+Assumptions!$B$16)</f>
        <v>22.6811509938993</v>
      </c>
      <c r="P53" s="45" t="n">
        <f aca="false">P46*Assumptions!$B$158*Assumptions!$B$144*P7/12*(1+Assumptions!$B$16)</f>
        <v>26.7524263941602</v>
      </c>
      <c r="Q53" s="45" t="n">
        <f aca="false">Q46*Assumptions!$B$158*Assumptions!$B$144*Q7/12*(1+Assumptions!$B$16)</f>
        <v>30.424903699438</v>
      </c>
      <c r="R53" s="45" t="n">
        <f aca="false">R46*Assumptions!$B$158*Assumptions!$B$144*R7/12*(1+Assumptions!$B$16)</f>
        <v>34.2014175704124</v>
      </c>
      <c r="S53" s="45" t="n">
        <f aca="false">S46*Assumptions!$B$158*Assumptions!$B$144*S7/12*(1+Assumptions!$B$16)</f>
        <v>37.9766664993004</v>
      </c>
      <c r="T53" s="45" t="n">
        <f aca="false">T46*Assumptions!$B$158*Assumptions!$B$144*T7/12*(1+Assumptions!$B$16)</f>
        <v>42.7469019391692</v>
      </c>
      <c r="U53" s="45" t="n">
        <f aca="false">U46*Assumptions!$B$158*Assumptions!$B$144*U7/12*(1+Assumptions!$B$16)</f>
        <v>46.8467646212981</v>
      </c>
      <c r="V53" s="45" t="n">
        <f aca="false">V46*Assumptions!$B$158*Assumptions!$B$144*V7/12*(1+Assumptions!$B$16)</f>
        <v>50.1881953251269</v>
      </c>
      <c r="W53" s="45" t="n">
        <f aca="false">W46*Assumptions!$B$158*Assumptions!$B$144*W7/12*(1+Assumptions!$B$16)</f>
        <v>63.4771248873628</v>
      </c>
      <c r="X53" s="45" t="n">
        <f aca="false">X46*Assumptions!$B$158*Assumptions!$B$144*X7/12*(1+Assumptions!$B$16)</f>
        <v>76.6969691071255</v>
      </c>
      <c r="Y53" s="45" t="n">
        <f aca="false">Y46*Assumptions!$B$158*Assumptions!$B$144*Y7/12*(1+Assumptions!$B$16)</f>
        <v>88.9914142573544</v>
      </c>
      <c r="Z53" s="45" t="n">
        <f aca="false">Z46*Assumptions!$B$158*Assumptions!$B$144*Z7/12*(1+Assumptions!$B$16)</f>
        <v>104.024423408984</v>
      </c>
      <c r="AA53" s="45" t="n">
        <f aca="false">AA46*Assumptions!$B$158*Assumptions!$B$144*AA7/12*(1+Assumptions!$B$16)</f>
        <v>5497.58464457666</v>
      </c>
      <c r="AB53" s="45" t="n">
        <f aca="false">AB46*Assumptions!$B$158*Assumptions!$B$144*AB7/12*(1+Assumptions!$B$16)</f>
        <v>9289.34093758995</v>
      </c>
      <c r="AC53" s="45" t="n">
        <f aca="false">AC46*Assumptions!$B$158*Assumptions!$B$144*AC7/12*(1+Assumptions!$B$16)</f>
        <v>14072.4484846043</v>
      </c>
      <c r="AD53" s="45" t="n">
        <f aca="false">AD46*Assumptions!$B$158*Assumptions!$B$144*AD7/12*(1+Assumptions!$B$16)</f>
        <v>18687.2672025742</v>
      </c>
      <c r="AE53" s="45" t="n">
        <f aca="false">AE46*Assumptions!$B$158*Assumptions!$B$144*AE7/12*(1+Assumptions!$B$16)</f>
        <v>22078.2281166741</v>
      </c>
    </row>
    <row r="54" customFormat="false" ht="15" hidden="false" customHeight="false" outlineLevel="0" collapsed="false">
      <c r="A54" s="6" t="s">
        <v>488</v>
      </c>
      <c r="B54" s="23" t="s">
        <v>114</v>
      </c>
      <c r="C54" s="55" t="n">
        <f aca="false">C35*Assumptions!$B$8</f>
        <v>129.707634992439</v>
      </c>
      <c r="D54" s="55" t="n">
        <f aca="false">D35*Assumptions!$B$8</f>
        <v>246.622009385317</v>
      </c>
      <c r="E54" s="55" t="n">
        <f aca="false">E35*Assumptions!$B$8</f>
        <v>352.65807989044</v>
      </c>
      <c r="F54" s="55" t="n">
        <f aca="false">F35*Assumptions!$B$8</f>
        <v>482.971739387774</v>
      </c>
      <c r="G54" s="55" t="n">
        <f aca="false">G35*Assumptions!$B$8</f>
        <v>592.763860396822</v>
      </c>
      <c r="H54" s="55" t="n">
        <f aca="false">H35*Assumptions!$B$8</f>
        <v>676.653577399581</v>
      </c>
      <c r="I54" s="55" t="n">
        <f aca="false">I35*Assumptions!$B$8</f>
        <v>752.571736490261</v>
      </c>
      <c r="J54" s="55" t="n">
        <f aca="false">J35*Assumptions!$B$8</f>
        <v>824.749527581236</v>
      </c>
      <c r="K54" s="55" t="n">
        <f aca="false">K35*Assumptions!$B$8</f>
        <v>903.599464543585</v>
      </c>
      <c r="L54" s="55" t="n">
        <f aca="false">L35*Assumptions!$B$8</f>
        <v>1019.45852917842</v>
      </c>
      <c r="M54" s="55" t="n">
        <f aca="false">M35*Assumptions!$B$8</f>
        <v>1116.80413859089</v>
      </c>
      <c r="N54" s="55" t="n">
        <f aca="false">N35*Assumptions!$B$8</f>
        <v>1191.45501732344</v>
      </c>
      <c r="O54" s="55" t="n">
        <f aca="false">O35*Assumptions!$B$8</f>
        <v>1572.02332732176</v>
      </c>
      <c r="P54" s="55" t="n">
        <f aca="false">P35*Assumptions!$B$8</f>
        <v>1922.55656133936</v>
      </c>
      <c r="Q54" s="55" t="n">
        <f aca="false">Q35*Assumptions!$B$8</f>
        <v>2247.16270983592</v>
      </c>
      <c r="R54" s="55" t="n">
        <f aca="false">R35*Assumptions!$B$8</f>
        <v>2670.71048758389</v>
      </c>
      <c r="S54" s="55" t="n">
        <f aca="false">S35*Assumptions!$B$8</f>
        <v>3034.73137234036</v>
      </c>
      <c r="T54" s="55" t="n">
        <f aca="false">T35*Assumptions!$B$8</f>
        <v>3313.7207735455</v>
      </c>
      <c r="U54" s="55" t="n">
        <f aca="false">U35*Assumptions!$B$8</f>
        <v>3570.88786016287</v>
      </c>
      <c r="V54" s="55" t="n">
        <f aca="false">V35*Assumptions!$B$8</f>
        <v>3821.27161799788</v>
      </c>
      <c r="W54" s="55" t="n">
        <f aca="false">W35*Assumptions!$B$8</f>
        <v>4105.41425375239</v>
      </c>
      <c r="X54" s="55" t="n">
        <f aca="false">X35*Assumptions!$B$8</f>
        <v>4546.60279983315</v>
      </c>
      <c r="Y54" s="55" t="n">
        <f aca="false">Y35*Assumptions!$B$8</f>
        <v>4928.37078809547</v>
      </c>
      <c r="Z54" s="55" t="n">
        <f aca="false">Z35*Assumptions!$B$8</f>
        <v>5228.12559578769</v>
      </c>
      <c r="AA54" s="55" t="n">
        <f aca="false">AA35*Assumptions!$B$8</f>
        <v>125730.923832514</v>
      </c>
      <c r="AB54" s="55" t="n">
        <f aca="false">AB35*Assumptions!$B$8</f>
        <v>212449.192397712</v>
      </c>
      <c r="AC54" s="55" t="n">
        <f aca="false">AC35*Assumptions!$B$8</f>
        <v>321839.873861733</v>
      </c>
      <c r="AD54" s="55" t="n">
        <f aca="false">AD35*Assumptions!$B$8</f>
        <v>427381.754204099</v>
      </c>
      <c r="AE54" s="55" t="n">
        <f aca="false">AE35*Assumptions!$B$8</f>
        <v>504933.747665502</v>
      </c>
    </row>
    <row r="55" customFormat="false" ht="15" hidden="false" customHeight="false" outlineLevel="0" collapsed="false">
      <c r="A55" s="6" t="s">
        <v>489</v>
      </c>
      <c r="B55" s="23" t="s">
        <v>114</v>
      </c>
      <c r="C55" s="55" t="n">
        <f aca="false">C36*Assumptions!$B$8</f>
        <v>12.4689184829041</v>
      </c>
      <c r="D55" s="55" t="n">
        <f aca="false">D36*Assumptions!$B$8</f>
        <v>23.7080086403147</v>
      </c>
      <c r="E55" s="55" t="n">
        <f aca="false">E36*Assumptions!$B$8</f>
        <v>33.901357084706</v>
      </c>
      <c r="F55" s="55" t="n">
        <f aca="false">F36*Assumptions!$B$8</f>
        <v>46.4285332804318</v>
      </c>
      <c r="G55" s="55" t="n">
        <f aca="false">G36*Assumptions!$B$8</f>
        <v>56.9829544369564</v>
      </c>
      <c r="H55" s="55" t="n">
        <f aca="false">H36*Assumptions!$B$8</f>
        <v>65.0473528274002</v>
      </c>
      <c r="I55" s="55" t="n">
        <f aca="false">I36*Assumptions!$B$8</f>
        <v>72.345437763796</v>
      </c>
      <c r="J55" s="55" t="n">
        <f aca="false">J36*Assumptions!$B$8</f>
        <v>79.2839575621248</v>
      </c>
      <c r="K55" s="55" t="n">
        <f aca="false">K36*Assumptions!$B$8</f>
        <v>86.8638770974934</v>
      </c>
      <c r="L55" s="55" t="n">
        <f aca="false">L36*Assumptions!$B$8</f>
        <v>98.0015193228063</v>
      </c>
      <c r="M55" s="55" t="n">
        <f aca="false">M36*Assumptions!$B$8</f>
        <v>107.359445465731</v>
      </c>
      <c r="N55" s="55" t="n">
        <f aca="false">N36*Assumptions!$B$8</f>
        <v>114.535705534366</v>
      </c>
      <c r="O55" s="55" t="n">
        <f aca="false">O36*Assumptions!$B$8</f>
        <v>151.120099620514</v>
      </c>
      <c r="P55" s="55" t="n">
        <f aca="false">P36*Assumptions!$B$8</f>
        <v>184.817193247801</v>
      </c>
      <c r="Q55" s="55" t="n">
        <f aca="false">Q36*Assumptions!$B$8</f>
        <v>216.021891451489</v>
      </c>
      <c r="R55" s="55" t="n">
        <f aca="false">R36*Assumptions!$B$8</f>
        <v>256.737942705237</v>
      </c>
      <c r="S55" s="55" t="n">
        <f aca="false">S36*Assumptions!$B$8</f>
        <v>291.731617043433</v>
      </c>
      <c r="T55" s="55" t="n">
        <f aca="false">T36*Assumptions!$B$8</f>
        <v>318.551133885475</v>
      </c>
      <c r="U55" s="55" t="n">
        <f aca="false">U36*Assumptions!$B$8</f>
        <v>343.272850843038</v>
      </c>
      <c r="V55" s="55" t="n">
        <f aca="false">V36*Assumptions!$B$8</f>
        <v>367.342479944439</v>
      </c>
      <c r="W55" s="55" t="n">
        <f aca="false">W36*Assumptions!$B$8</f>
        <v>394.657382131554</v>
      </c>
      <c r="X55" s="55" t="n">
        <f aca="false">X36*Assumptions!$B$8</f>
        <v>437.069257245865</v>
      </c>
      <c r="Y55" s="55" t="n">
        <f aca="false">Y36*Assumptions!$B$8</f>
        <v>473.768977546083</v>
      </c>
      <c r="Z55" s="55" t="n">
        <f aca="false">Z36*Assumptions!$B$8</f>
        <v>502.584692690304</v>
      </c>
      <c r="AA55" s="55" t="n">
        <f aca="false">AA36*Assumptions!$B$8</f>
        <v>12086.6334517565</v>
      </c>
      <c r="AB55" s="55" t="n">
        <f aca="false">AB36*Assumptions!$B$8</f>
        <v>20422.9431977562</v>
      </c>
      <c r="AC55" s="55" t="n">
        <f aca="false">AC36*Assumptions!$B$8</f>
        <v>30938.773588494</v>
      </c>
      <c r="AD55" s="55" t="n">
        <f aca="false">AD36*Assumptions!$B$8</f>
        <v>41084.6150618822</v>
      </c>
      <c r="AE55" s="55" t="n">
        <f aca="false">AE36*Assumptions!$B$8</f>
        <v>48539.7620523682</v>
      </c>
    </row>
    <row r="56" customFormat="false" ht="15" hidden="false" customHeight="false" outlineLevel="0" collapsed="false">
      <c r="A56" s="6" t="s">
        <v>490</v>
      </c>
      <c r="B56" s="23" t="s">
        <v>114</v>
      </c>
      <c r="C56" s="55" t="n">
        <f aca="false">C51*IF(Assumptions!$B$178=1,MIN(Assumptions!$B$14,1%),Assumptions!$B$14)*(1-Assumptions!$B$142)</f>
        <v>0</v>
      </c>
      <c r="D56" s="55" t="n">
        <f aca="false">D51*IF(Assumptions!$B$178=1,MIN(Assumptions!$B$14,1%),Assumptions!$B$14)*(1-Assumptions!$B$142)</f>
        <v>0</v>
      </c>
      <c r="E56" s="55" t="n">
        <f aca="false">E51*IF(Assumptions!$B$178=1,MIN(Assumptions!$B$14,1%),Assumptions!$B$14)*(1-Assumptions!$B$142)</f>
        <v>0</v>
      </c>
      <c r="F56" s="55" t="n">
        <f aca="false">F51*IF(Assumptions!$B$178=1,MIN(Assumptions!$B$14,1%),Assumptions!$B$14)*(1-Assumptions!$B$142)</f>
        <v>0</v>
      </c>
      <c r="G56" s="55" t="n">
        <f aca="false">G51*IF(Assumptions!$B$178=1,MIN(Assumptions!$B$14,1%),Assumptions!$B$14)*(1-Assumptions!$B$142)</f>
        <v>0</v>
      </c>
      <c r="H56" s="55" t="n">
        <f aca="false">H51*IF(Assumptions!$B$178=1,MIN(Assumptions!$B$14,1%),Assumptions!$B$14)*(1-Assumptions!$B$142)</f>
        <v>0</v>
      </c>
      <c r="I56" s="55" t="n">
        <f aca="false">I51*IF(Assumptions!$B$178=1,MIN(Assumptions!$B$14,1%),Assumptions!$B$14)*(1-Assumptions!$B$142)</f>
        <v>0</v>
      </c>
      <c r="J56" s="55" t="n">
        <f aca="false">J51*IF(Assumptions!$B$178=1,MIN(Assumptions!$B$14,1%),Assumptions!$B$14)*(1-Assumptions!$B$142)</f>
        <v>0</v>
      </c>
      <c r="K56" s="55" t="n">
        <f aca="false">K51*IF(Assumptions!$B$178=1,MIN(Assumptions!$B$14,1%),Assumptions!$B$14)*(1-Assumptions!$B$142)</f>
        <v>0</v>
      </c>
      <c r="L56" s="55" t="n">
        <f aca="false">L51*IF(Assumptions!$B$178=1,MIN(Assumptions!$B$14,1%),Assumptions!$B$14)*(1-Assumptions!$B$142)</f>
        <v>0</v>
      </c>
      <c r="M56" s="55" t="n">
        <f aca="false">M51*IF(Assumptions!$B$178=1,MIN(Assumptions!$B$14,1%),Assumptions!$B$14)*(1-Assumptions!$B$142)</f>
        <v>0</v>
      </c>
      <c r="N56" s="55" t="n">
        <f aca="false">N51*IF(Assumptions!$B$178=1,MIN(Assumptions!$B$14,1%),Assumptions!$B$14)*(1-Assumptions!$B$142)</f>
        <v>0</v>
      </c>
      <c r="O56" s="55" t="n">
        <f aca="false">O51*IF(Assumptions!$B$178=1,MIN(Assumptions!$B$14,1%),Assumptions!$B$14)*(1-Assumptions!$B$142)</f>
        <v>2.34209197294648</v>
      </c>
      <c r="P56" s="55" t="n">
        <f aca="false">P51*IF(Assumptions!$B$178=1,MIN(Assumptions!$B$14,1%),Assumptions!$B$14)*(1-Assumptions!$B$142)</f>
        <v>2.42308624304082</v>
      </c>
      <c r="Q56" s="55" t="n">
        <f aca="false">Q51*IF(Assumptions!$B$178=1,MIN(Assumptions!$B$14,1%),Assumptions!$B$14)*(1-Assumptions!$B$142)</f>
        <v>2.72218545969046</v>
      </c>
      <c r="R56" s="55" t="n">
        <f aca="false">R51*IF(Assumptions!$B$178=1,MIN(Assumptions!$B$14,1%),Assumptions!$B$14)*(1-Assumptions!$B$142)</f>
        <v>3.03780749086304</v>
      </c>
      <c r="S56" s="55" t="n">
        <f aca="false">S51*IF(Assumptions!$B$178=1,MIN(Assumptions!$B$14,1%),Assumptions!$B$14)*(1-Assumptions!$B$142)</f>
        <v>3.55246811295158</v>
      </c>
      <c r="T56" s="55" t="n">
        <f aca="false">T51*IF(Assumptions!$B$178=1,MIN(Assumptions!$B$14,1%),Assumptions!$B$14)*(1-Assumptions!$B$142)</f>
        <v>4.03588485516125</v>
      </c>
      <c r="U56" s="55" t="n">
        <f aca="false">U51*IF(Assumptions!$B$178=1,MIN(Assumptions!$B$14,1%),Assumptions!$B$14)*(1-Assumptions!$B$142)</f>
        <v>4.36433878091753</v>
      </c>
      <c r="V56" s="55" t="n">
        <f aca="false">V51*IF(Assumptions!$B$178=1,MIN(Assumptions!$B$14,1%),Assumptions!$B$14)*(1-Assumptions!$B$142)</f>
        <v>5.08126019689269</v>
      </c>
      <c r="W56" s="55" t="n">
        <f aca="false">W51*IF(Assumptions!$B$178=1,MIN(Assumptions!$B$14,1%),Assumptions!$B$14)*(1-Assumptions!$B$142)</f>
        <v>7.50336056341721</v>
      </c>
      <c r="X56" s="55" t="n">
        <f aca="false">X51*IF(Assumptions!$B$178=1,MIN(Assumptions!$B$14,1%),Assumptions!$B$14)*(1-Assumptions!$B$142)</f>
        <v>9.40414107406541</v>
      </c>
      <c r="Y56" s="55" t="n">
        <f aca="false">Y51*IF(Assumptions!$B$178=1,MIN(Assumptions!$B$14,1%),Assumptions!$B$14)*(1-Assumptions!$B$142)</f>
        <v>11.6170328343038</v>
      </c>
      <c r="Z56" s="55" t="n">
        <f aca="false">Z51*IF(Assumptions!$B$178=1,MIN(Assumptions!$B$14,1%),Assumptions!$B$14)*(1-Assumptions!$B$142)</f>
        <v>15.4817064948096</v>
      </c>
      <c r="AA56" s="55" t="n">
        <f aca="false">AA51*IF(Assumptions!$B$178=1,MIN(Assumptions!$B$14,1%),Assumptions!$B$14)*(1-Assumptions!$B$142)</f>
        <v>1300.36912860547</v>
      </c>
      <c r="AB56" s="55" t="n">
        <f aca="false">AB51*IF(Assumptions!$B$178=1,MIN(Assumptions!$B$14,1%),Assumptions!$B$14)*(1-Assumptions!$B$142)</f>
        <v>2844.12701783573</v>
      </c>
      <c r="AC56" s="55" t="n">
        <f aca="false">AC51*IF(Assumptions!$B$178=1,MIN(Assumptions!$B$14,1%),Assumptions!$B$14)*(1-Assumptions!$B$142)</f>
        <v>5118.26340498864</v>
      </c>
      <c r="AD56" s="55" t="n">
        <f aca="false">AD51*IF(Assumptions!$B$178=1,MIN(Assumptions!$B$14,1%),Assumptions!$B$14)*(1-Assumptions!$B$142)</f>
        <v>8034.76025732979</v>
      </c>
      <c r="AE56" s="55" t="n">
        <f aca="false">AE51*IF(Assumptions!$B$178=1,MIN(Assumptions!$B$14,1%),Assumptions!$B$14)*(1-Assumptions!$B$142)</f>
        <v>11321.7782818447</v>
      </c>
    </row>
    <row r="57" customFormat="false" ht="15" hidden="false" customHeight="false" outlineLevel="0" collapsed="false">
      <c r="A57" s="6" t="s">
        <v>491</v>
      </c>
      <c r="B57" s="23" t="s">
        <v>492</v>
      </c>
      <c r="C57" s="54" t="n">
        <f aca="false">IF(C2&gt;=Assumptions!$B$50,C30*Assumptions!$B$159*(1-Assumptions!$B$162)^(C7/2),0)</f>
        <v>0</v>
      </c>
      <c r="D57" s="54" t="n">
        <f aca="false">IF(D2&gt;=Assumptions!$B$50,C57*(1-Assumptions!$B$162)^D7+D30*Assumptions!$B$159*(1-Assumptions!$B$162)^(D7/2),0)</f>
        <v>0</v>
      </c>
      <c r="E57" s="54" t="n">
        <f aca="false">IF(E2&gt;=Assumptions!$B$50,D57*(1-Assumptions!$B$162)^E7+E30*Assumptions!$B$159*(1-Assumptions!$B$162)^(E7/2),0)</f>
        <v>0</v>
      </c>
      <c r="F57" s="54" t="n">
        <f aca="false">IF(F2&gt;=Assumptions!$B$50,E57*(1-Assumptions!$B$162)^F7+F30*Assumptions!$B$159*(1-Assumptions!$B$162)^(F7/2),0)</f>
        <v>0</v>
      </c>
      <c r="G57" s="54" t="n">
        <f aca="false">IF(G2&gt;=Assumptions!$B$50,F57*(1-Assumptions!$B$162)^G7+G30*Assumptions!$B$159*(1-Assumptions!$B$162)^(G7/2),0)</f>
        <v>0</v>
      </c>
      <c r="H57" s="54" t="n">
        <f aca="false">IF(H2&gt;=Assumptions!$B$50,G57*(1-Assumptions!$B$162)^H7+H30*Assumptions!$B$159*(1-Assumptions!$B$162)^(H7/2),0)</f>
        <v>0</v>
      </c>
      <c r="I57" s="54" t="n">
        <f aca="false">IF(I2&gt;=Assumptions!$B$50,H57*(1-Assumptions!$B$162)^I7+I30*Assumptions!$B$159*(1-Assumptions!$B$162)^(I7/2),0)</f>
        <v>9.5987952108788</v>
      </c>
      <c r="J57" s="54" t="n">
        <f aca="false">IF(J2&gt;=Assumptions!$B$50,I57*(1-Assumptions!$B$162)^J7+J30*Assumptions!$B$159*(1-Assumptions!$B$162)^(J7/2),0)</f>
        <v>18.5102848700003</v>
      </c>
      <c r="K57" s="54" t="n">
        <f aca="false">IF(K2&gt;=Assumptions!$B$50,J57*(1-Assumptions!$B$162)^K7+K30*Assumptions!$B$159*(1-Assumptions!$B$162)^(K7/2),0)</f>
        <v>27.6859358179617</v>
      </c>
      <c r="L57" s="54" t="n">
        <f aca="false">IF(L2&gt;=Assumptions!$B$50,K57*(1-Assumptions!$B$162)^L7+L30*Assumptions!$B$159*(1-Assumptions!$B$162)^(L7/2),0)</f>
        <v>39.8119483258773</v>
      </c>
      <c r="M57" s="54" t="n">
        <f aca="false">IF(M2&gt;=Assumptions!$B$50,L57*(1-Assumptions!$B$162)^M7+M30*Assumptions!$B$159*(1-Assumptions!$B$162)^(M7/2),0)</f>
        <v>49.9388159792363</v>
      </c>
      <c r="N57" s="54" t="n">
        <f aca="false">IF(N2&gt;=Assumptions!$B$50,M57*(1-Assumptions!$B$162)^N7+N30*Assumptions!$B$159*(1-Assumptions!$B$162)^(N7/2),0)</f>
        <v>57.7604941436069</v>
      </c>
      <c r="O57" s="54" t="n">
        <f aca="false">IF(O2&gt;=Assumptions!$B$50,N57*(1-Assumptions!$B$162)^O7+O30*Assumptions!$B$159*(1-Assumptions!$B$162)^(O7/2),0)</f>
        <v>92.3344369828756</v>
      </c>
      <c r="P57" s="54" t="n">
        <f aca="false">IF(P2&gt;=Assumptions!$B$50,O57*(1-Assumptions!$B$162)^P7+P30*Assumptions!$B$159*(1-Assumptions!$B$162)^(P7/2),0)</f>
        <v>123.430855394694</v>
      </c>
      <c r="Q57" s="54" t="n">
        <f aca="false">IF(Q2&gt;=Assumptions!$B$50,P57*(1-Assumptions!$B$162)^Q7+Q30*Assumptions!$B$159*(1-Assumptions!$B$162)^(Q7/2),0)</f>
        <v>151.53076663328</v>
      </c>
      <c r="R57" s="54" t="n">
        <f aca="false">IF(R2&gt;=Assumptions!$B$50,Q57*(1-Assumptions!$B$162)^R7+R30*Assumptions!$B$159*(1-Assumptions!$B$162)^(R7/2),0)</f>
        <v>187.752318581074</v>
      </c>
      <c r="S57" s="54" t="n">
        <f aca="false">IF(S2&gt;=Assumptions!$B$50,R57*(1-Assumptions!$B$162)^S7+S30*Assumptions!$B$159*(1-Assumptions!$B$162)^(S7/2),0)</f>
        <v>217.961593026236</v>
      </c>
      <c r="T57" s="54" t="n">
        <f aca="false">IF(T2&gt;=Assumptions!$B$50,S57*(1-Assumptions!$B$162)^T7+T30*Assumptions!$B$159*(1-Assumptions!$B$162)^(T7/2),0)</f>
        <v>240.080997000588</v>
      </c>
      <c r="U57" s="54" t="n">
        <f aca="false">IF(U2&gt;=Assumptions!$B$50,T57*(1-Assumptions!$B$162)^U7+U30*Assumptions!$B$159*(1-Assumptions!$B$162)^(U7/2),0)</f>
        <v>259.897871417059</v>
      </c>
      <c r="V57" s="54" t="n">
        <f aca="false">IF(V2&gt;=Assumptions!$B$50,U57*(1-Assumptions!$B$162)^V7+V30*Assumptions!$B$159*(1-Assumptions!$B$162)^(V7/2),0)</f>
        <v>278.809213705558</v>
      </c>
      <c r="W57" s="54" t="n">
        <f aca="false">IF(W2&gt;=Assumptions!$B$50,V57*(1-Assumptions!$B$162)^W7+W30*Assumptions!$B$159*(1-Assumptions!$B$162)^(W7/2),0)</f>
        <v>300.427065293979</v>
      </c>
      <c r="X57" s="54" t="n">
        <f aca="false">IF(X2&gt;=Assumptions!$B$50,W57*(1-Assumptions!$B$162)^X7+X30*Assumptions!$B$159*(1-Assumptions!$B$162)^(X7/2),0)</f>
        <v>335.580247424761</v>
      </c>
      <c r="Y57" s="54" t="n">
        <f aca="false">IF(Y2&gt;=Assumptions!$B$50,X57*(1-Assumptions!$B$162)^Y7+Y30*Assumptions!$B$159*(1-Assumptions!$B$162)^(Y7/2),0)</f>
        <v>364.882167849889</v>
      </c>
      <c r="Z57" s="54" t="n">
        <f aca="false">IF(Z2&gt;=Assumptions!$B$50,Y57*(1-Assumptions!$B$162)^Z7+Z30*Assumptions!$B$159*(1-Assumptions!$B$162)^(Z7/2),0)</f>
        <v>386.501134655743</v>
      </c>
      <c r="AA57" s="54" t="n">
        <f aca="false">IF(AA2&gt;=Assumptions!$B$50,Z57*(1-Assumptions!$B$162)^AA7+AA30*Assumptions!$B$159*(1-Assumptions!$B$162)^(AA7/2),0)</f>
        <v>747.254804737457</v>
      </c>
      <c r="AB57" s="54" t="n">
        <f aca="false">IF(AB2&gt;=Assumptions!$B$50,AA57*(1-Assumptions!$B$162)^AB7+AB30*Assumptions!$B$159*(1-Assumptions!$B$162)^(AB7/2),0)</f>
        <v>1231.59827574715</v>
      </c>
      <c r="AC57" s="54" t="n">
        <f aca="false">IF(AC2&gt;=Assumptions!$B$50,AB57*(1-Assumptions!$B$162)^AC7+AC30*Assumptions!$B$159*(1-Assumptions!$B$162)^(AC7/2),0)</f>
        <v>1828.93449721736</v>
      </c>
      <c r="AD57" s="54" t="n">
        <f aca="false">IF(AD2&gt;=Assumptions!$B$50,AC57*(1-Assumptions!$B$162)^AD7+AD30*Assumptions!$B$159*(1-Assumptions!$B$162)^(AD7/2),0)</f>
        <v>2367.72883993427</v>
      </c>
      <c r="AE57" s="54" t="n">
        <f aca="false">IF(AE2&gt;=Assumptions!$B$50,AD57*(1-Assumptions!$B$162)^AE7+AE30*Assumptions!$B$159*(1-Assumptions!$B$162)^(AE7/2),0)</f>
        <v>2715.65802568656</v>
      </c>
    </row>
    <row r="58" customFormat="false" ht="15" hidden="false" customHeight="false" outlineLevel="0" collapsed="false">
      <c r="A58" s="6" t="s">
        <v>493</v>
      </c>
      <c r="B58" s="23" t="s">
        <v>114</v>
      </c>
      <c r="C58" s="55" t="n">
        <f aca="false">C57*(Assumptions!$B$25+MAX(0,Assumptions!$B$161-1)*Assumptions!$B$26)/12*C7</f>
        <v>0</v>
      </c>
      <c r="D58" s="55" t="n">
        <f aca="false">D57*(Assumptions!$B$25+MAX(0,Assumptions!$B$161-1)*Assumptions!$B$26)/12*D7</f>
        <v>0</v>
      </c>
      <c r="E58" s="55" t="n">
        <f aca="false">E57*(Assumptions!$B$25+MAX(0,Assumptions!$B$161-1)*Assumptions!$B$26)/12*E7</f>
        <v>0</v>
      </c>
      <c r="F58" s="55" t="n">
        <f aca="false">F57*(Assumptions!$B$25+MAX(0,Assumptions!$B$161-1)*Assumptions!$B$26)/12*F7</f>
        <v>0</v>
      </c>
      <c r="G58" s="55" t="n">
        <f aca="false">G57*(Assumptions!$B$25+MAX(0,Assumptions!$B$161-1)*Assumptions!$B$26)/12*G7</f>
        <v>0</v>
      </c>
      <c r="H58" s="55" t="n">
        <f aca="false">H57*(Assumptions!$B$25+MAX(0,Assumptions!$B$161-1)*Assumptions!$B$26)/12*H7</f>
        <v>0</v>
      </c>
      <c r="I58" s="55" t="n">
        <f aca="false">I57*(Assumptions!$B$25+MAX(0,Assumptions!$B$161-1)*Assumptions!$B$26)/12*I7</f>
        <v>47.1940764534874</v>
      </c>
      <c r="J58" s="55" t="n">
        <f aca="false">J57*(Assumptions!$B$25+MAX(0,Assumptions!$B$161-1)*Assumptions!$B$26)/12*J7</f>
        <v>91.0089006108349</v>
      </c>
      <c r="K58" s="55" t="n">
        <f aca="false">K57*(Assumptions!$B$25+MAX(0,Assumptions!$B$161-1)*Assumptions!$B$26)/12*K7</f>
        <v>136.122517771645</v>
      </c>
      <c r="L58" s="55" t="n">
        <f aca="false">L57*(Assumptions!$B$25+MAX(0,Assumptions!$B$161-1)*Assumptions!$B$26)/12*L7</f>
        <v>195.742079268897</v>
      </c>
      <c r="M58" s="55" t="n">
        <f aca="false">M57*(Assumptions!$B$25+MAX(0,Assumptions!$B$161-1)*Assumptions!$B$26)/12*M7</f>
        <v>245.532511897912</v>
      </c>
      <c r="N58" s="55" t="n">
        <f aca="false">N57*(Assumptions!$B$25+MAX(0,Assumptions!$B$161-1)*Assumptions!$B$26)/12*N7</f>
        <v>283.989096206067</v>
      </c>
      <c r="O58" s="55" t="n">
        <f aca="false">O57*(Assumptions!$B$25+MAX(0,Assumptions!$B$161-1)*Assumptions!$B$26)/12*O7</f>
        <v>453.977648499138</v>
      </c>
      <c r="P58" s="55" t="n">
        <f aca="false">P57*(Assumptions!$B$25+MAX(0,Assumptions!$B$161-1)*Assumptions!$B$26)/12*P7</f>
        <v>606.868372357243</v>
      </c>
      <c r="Q58" s="55" t="n">
        <f aca="false">Q57*(Assumptions!$B$25+MAX(0,Assumptions!$B$161-1)*Assumptions!$B$26)/12*Q7</f>
        <v>745.026269280295</v>
      </c>
      <c r="R58" s="55" t="n">
        <f aca="false">R57*(Assumptions!$B$25+MAX(0,Assumptions!$B$161-1)*Assumptions!$B$26)/12*R7</f>
        <v>923.115566356948</v>
      </c>
      <c r="S58" s="55" t="n">
        <f aca="false">S57*(Assumptions!$B$25+MAX(0,Assumptions!$B$161-1)*Assumptions!$B$26)/12*S7</f>
        <v>1071.64449904566</v>
      </c>
      <c r="T58" s="55" t="n">
        <f aca="false">T57*(Assumptions!$B$25+MAX(0,Assumptions!$B$161-1)*Assumptions!$B$26)/12*T7</f>
        <v>1180.39823525289</v>
      </c>
      <c r="U58" s="55" t="n">
        <f aca="false">U57*(Assumptions!$B$25+MAX(0,Assumptions!$B$161-1)*Assumptions!$B$26)/12*U7</f>
        <v>1277.83120113387</v>
      </c>
      <c r="V58" s="55" t="n">
        <f aca="false">V57*(Assumptions!$B$25+MAX(0,Assumptions!$B$161-1)*Assumptions!$B$26)/12*V7</f>
        <v>1370.81196738566</v>
      </c>
      <c r="W58" s="55" t="n">
        <f aca="false">W57*(Assumptions!$B$25+MAX(0,Assumptions!$B$161-1)*Assumptions!$B$26)/12*W7</f>
        <v>1477.0997376954</v>
      </c>
      <c r="X58" s="55" t="n">
        <f aca="false">X57*(Assumptions!$B$25+MAX(0,Assumptions!$B$161-1)*Assumptions!$B$26)/12*X7</f>
        <v>1649.93621650507</v>
      </c>
      <c r="Y58" s="55" t="n">
        <f aca="false">Y57*(Assumptions!$B$25+MAX(0,Assumptions!$B$161-1)*Assumptions!$B$26)/12*Y7</f>
        <v>1794.00399192862</v>
      </c>
      <c r="Z58" s="55" t="n">
        <f aca="false">Z57*(Assumptions!$B$25+MAX(0,Assumptions!$B$161-1)*Assumptions!$B$26)/12*Z7</f>
        <v>1900.29724539074</v>
      </c>
      <c r="AA58" s="55" t="n">
        <f aca="false">AA57*(Assumptions!$B$25+MAX(0,Assumptions!$B$161-1)*Assumptions!$B$26)/12*AA7</f>
        <v>44088.03347951</v>
      </c>
      <c r="AB58" s="55" t="n">
        <f aca="false">AB57*(Assumptions!$B$25+MAX(0,Assumptions!$B$161-1)*Assumptions!$B$26)/12*AB7</f>
        <v>72664.298269082</v>
      </c>
      <c r="AC58" s="55" t="n">
        <f aca="false">AC57*(Assumptions!$B$25+MAX(0,Assumptions!$B$161-1)*Assumptions!$B$26)/12*AC7</f>
        <v>107907.135335824</v>
      </c>
      <c r="AD58" s="55" t="n">
        <f aca="false">AD57*(Assumptions!$B$25+MAX(0,Assumptions!$B$161-1)*Assumptions!$B$26)/12*AD7</f>
        <v>139696.001556122</v>
      </c>
      <c r="AE58" s="55" t="n">
        <f aca="false">AE57*(Assumptions!$B$25+MAX(0,Assumptions!$B$161-1)*Assumptions!$B$26)/12*AE7</f>
        <v>160223.823515507</v>
      </c>
    </row>
    <row r="59" customFormat="false" ht="15" hidden="false" customHeight="false" outlineLevel="0" collapsed="false">
      <c r="A59" s="6" t="s">
        <v>494</v>
      </c>
      <c r="B59" s="23" t="s">
        <v>114</v>
      </c>
      <c r="C59" s="55" t="n">
        <f aca="false">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9" s="55" t="n">
        <f aca="false">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9" s="55" t="n">
        <f aca="false">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9" s="55" t="n">
        <f aca="false">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9" s="55" t="n">
        <f aca="false">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9" s="55" t="n">
        <f aca="false">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9" s="55" t="n">
        <f aca="false">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9" s="55" t="n">
        <f aca="false">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9" s="55" t="n">
        <f aca="false">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9" s="55" t="n">
        <f aca="false">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9" s="55" t="n">
        <f aca="false">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9" s="55" t="n">
        <f aca="false">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9" s="55" t="n">
        <f aca="false">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122.470373699326</v>
      </c>
      <c r="P59" s="55" t="n">
        <f aca="false">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143.681368136168</v>
      </c>
      <c r="Q59" s="55" t="n">
        <f aca="false">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163.862170773706</v>
      </c>
      <c r="R59" s="55" t="n">
        <f aca="false">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184.37605811042</v>
      </c>
      <c r="S59" s="55" t="n">
        <f aca="false">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206.341475289756</v>
      </c>
      <c r="T59" s="55" t="n">
        <f aca="false">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236.970613985946</v>
      </c>
      <c r="U59" s="55" t="n">
        <f aca="false">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263.364065879562</v>
      </c>
      <c r="V59" s="55" t="n">
        <f aca="false">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285.784298150074</v>
      </c>
      <c r="W59" s="55" t="n">
        <f aca="false">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363.248593169852</v>
      </c>
      <c r="X59" s="55" t="n">
        <f aca="false">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442.468808561259</v>
      </c>
      <c r="Y59" s="55" t="n">
        <f aca="false">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517.645600253373</v>
      </c>
      <c r="Z59" s="55" t="n">
        <f aca="false">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610.952685635349</v>
      </c>
      <c r="AA59" s="55" t="n">
        <f aca="false">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36766.3144190523</v>
      </c>
      <c r="AB59" s="55" t="n">
        <f aca="false">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68285.7054775291</v>
      </c>
      <c r="AC59" s="55" t="n">
        <f aca="false">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112308.238393396</v>
      </c>
      <c r="AD59" s="55" t="n">
        <f aca="false">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164045.341957314</v>
      </c>
      <c r="AE59" s="55" t="n">
        <f aca="false">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217159.124731142</v>
      </c>
    </row>
    <row r="60" customFormat="false" ht="15" hidden="false" customHeight="false" outlineLevel="0" collapsed="false">
      <c r="A60" s="6" t="s">
        <v>495</v>
      </c>
      <c r="B60" s="23" t="s">
        <v>114</v>
      </c>
      <c r="C60" s="55" t="n">
        <f aca="false">IF(C2&gt;=Assumptions!$B$53,C45*C47*(1-Assumptions!$B$178)*Assumptions!$B$156*Assumptions!$B$157,0)</f>
        <v>0</v>
      </c>
      <c r="D60" s="55" t="n">
        <f aca="false">IF(D2&gt;=Assumptions!$B$53,D45*D47*(1-Assumptions!$B$178)*Assumptions!$B$156*Assumptions!$B$157,0)</f>
        <v>0</v>
      </c>
      <c r="E60" s="55" t="n">
        <f aca="false">IF(E2&gt;=Assumptions!$B$53,E45*E47*(1-Assumptions!$B$178)*Assumptions!$B$156*Assumptions!$B$157,0)</f>
        <v>0</v>
      </c>
      <c r="F60" s="55" t="n">
        <f aca="false">IF(F2&gt;=Assumptions!$B$53,F45*F47*(1-Assumptions!$B$178)*Assumptions!$B$156*Assumptions!$B$157,0)</f>
        <v>0</v>
      </c>
      <c r="G60" s="55" t="n">
        <f aca="false">IF(G2&gt;=Assumptions!$B$53,G45*G47*(1-Assumptions!$B$178)*Assumptions!$B$156*Assumptions!$B$157,0)</f>
        <v>0</v>
      </c>
      <c r="H60" s="55" t="n">
        <f aca="false">IF(H2&gt;=Assumptions!$B$53,H45*H47*(1-Assumptions!$B$178)*Assumptions!$B$156*Assumptions!$B$157,0)</f>
        <v>0</v>
      </c>
      <c r="I60" s="55" t="n">
        <f aca="false">IF(I2&gt;=Assumptions!$B$53,I45*I47*(1-Assumptions!$B$178)*Assumptions!$B$156*Assumptions!$B$157,0)</f>
        <v>0</v>
      </c>
      <c r="J60" s="55" t="n">
        <f aca="false">IF(J2&gt;=Assumptions!$B$53,J45*J47*(1-Assumptions!$B$178)*Assumptions!$B$156*Assumptions!$B$157,0)</f>
        <v>0</v>
      </c>
      <c r="K60" s="55" t="n">
        <f aca="false">IF(K2&gt;=Assumptions!$B$53,K45*K47*(1-Assumptions!$B$178)*Assumptions!$B$156*Assumptions!$B$157,0)</f>
        <v>0</v>
      </c>
      <c r="L60" s="55" t="n">
        <f aca="false">IF(L2&gt;=Assumptions!$B$53,L45*L47*(1-Assumptions!$B$178)*Assumptions!$B$156*Assumptions!$B$157,0)</f>
        <v>0</v>
      </c>
      <c r="M60" s="55" t="n">
        <f aca="false">IF(M2&gt;=Assumptions!$B$53,M45*M47*(1-Assumptions!$B$178)*Assumptions!$B$156*Assumptions!$B$157,0)</f>
        <v>0</v>
      </c>
      <c r="N60" s="55" t="n">
        <f aca="false">IF(N2&gt;=Assumptions!$B$53,N45*N47*(1-Assumptions!$B$178)*Assumptions!$B$156*Assumptions!$B$157,0)</f>
        <v>0</v>
      </c>
      <c r="O60" s="55" t="n">
        <f aca="false">IF(O2&gt;=Assumptions!$B$53,O45*O47*(1-Assumptions!$B$178)*Assumptions!$B$156*Assumptions!$B$157,0)</f>
        <v>914.106265563888</v>
      </c>
      <c r="P60" s="55" t="n">
        <f aca="false">IF(P2&gt;=Assumptions!$B$53,P45*P47*(1-Assumptions!$B$178)*Assumptions!$B$156*Assumptions!$B$157,0)</f>
        <v>1034.50188812151</v>
      </c>
      <c r="Q60" s="55" t="n">
        <f aca="false">IF(Q2&gt;=Assumptions!$B$53,Q45*Q47*(1-Assumptions!$B$178)*Assumptions!$B$156*Assumptions!$B$157,0)</f>
        <v>1191.20151975408</v>
      </c>
      <c r="R60" s="55" t="n">
        <f aca="false">IF(R2&gt;=Assumptions!$B$53,R45*R47*(1-Assumptions!$B$178)*Assumptions!$B$156*Assumptions!$B$157,0)</f>
        <v>1329.81558772368</v>
      </c>
      <c r="S60" s="55" t="n">
        <f aca="false">IF(S2&gt;=Assumptions!$B$53,S45*S47*(1-Assumptions!$B$178)*Assumptions!$B$156*Assumptions!$B$157,0)</f>
        <v>1538.74872370933</v>
      </c>
      <c r="T60" s="55" t="n">
        <f aca="false">IF(T2&gt;=Assumptions!$B$53,T45*T47*(1-Assumptions!$B$178)*Assumptions!$B$156*Assumptions!$B$157,0)</f>
        <v>1872.07003435866</v>
      </c>
      <c r="U60" s="55" t="n">
        <f aca="false">IF(U2&gt;=Assumptions!$B$53,U45*U47*(1-Assumptions!$B$178)*Assumptions!$B$156*Assumptions!$B$157,0)</f>
        <v>2226.56360281619</v>
      </c>
      <c r="V60" s="55" t="n">
        <f aca="false">IF(V2&gt;=Assumptions!$B$53,V45*V47*(1-Assumptions!$B$178)*Assumptions!$B$156*Assumptions!$B$157,0)</f>
        <v>2582.67261946295</v>
      </c>
      <c r="W60" s="55" t="n">
        <f aca="false">IF(W2&gt;=Assumptions!$B$53,W45*W47*(1-Assumptions!$B$178)*Assumptions!$B$156*Assumptions!$B$157,0)</f>
        <v>3488.29172974594</v>
      </c>
      <c r="X60" s="55" t="n">
        <f aca="false">IF(X2&gt;=Assumptions!$B$53,X45*X47*(1-Assumptions!$B$178)*Assumptions!$B$156*Assumptions!$B$157,0)</f>
        <v>4314.31768456423</v>
      </c>
      <c r="Y60" s="55" t="n">
        <f aca="false">IF(Y2&gt;=Assumptions!$B$53,Y45*Y47*(1-Assumptions!$B$178)*Assumptions!$B$156*Assumptions!$B$157,0)</f>
        <v>5238.60618428537</v>
      </c>
      <c r="Z60" s="55" t="n">
        <f aca="false">IF(Z2&gt;=Assumptions!$B$53,Z45*Z47*(1-Assumptions!$B$178)*Assumptions!$B$156*Assumptions!$B$157,0)</f>
        <v>6540.22271264358</v>
      </c>
      <c r="AA60" s="55" t="n">
        <f aca="false">IF(AA2&gt;=Assumptions!$B$53,AA45*AA47*(1-Assumptions!$B$178)*Assumptions!$B$156*Assumptions!$B$157,0)</f>
        <v>61379.627621855</v>
      </c>
      <c r="AB60" s="55" t="n">
        <f aca="false">IF(AB2&gt;=Assumptions!$B$53,AB45*AB47*(1-Assumptions!$B$178)*Assumptions!$B$156*Assumptions!$B$157,0)</f>
        <v>151303.411239544</v>
      </c>
      <c r="AC60" s="55" t="n">
        <f aca="false">IF(AC2&gt;=Assumptions!$B$53,AC45*AC47*(1-Assumptions!$B$178)*Assumptions!$B$156*Assumptions!$B$157,0)</f>
        <v>301843.208565371</v>
      </c>
      <c r="AD60" s="55" t="n">
        <f aca="false">IF(AD2&gt;=Assumptions!$B$53,AD45*AD47*(1-Assumptions!$B$178)*Assumptions!$B$156*Assumptions!$B$157,0)</f>
        <v>533126.368452626</v>
      </c>
      <c r="AE60" s="55" t="n">
        <f aca="false">IF(AE2&gt;=Assumptions!$B$53,AE45*AE47*(1-Assumptions!$B$178)*Assumptions!$B$156*Assumptions!$B$157,0)</f>
        <v>862498.945966112</v>
      </c>
    </row>
    <row r="61" customFormat="false" ht="15" hidden="false" customHeight="false" outlineLevel="0" collapsed="false">
      <c r="A61" s="6" t="s">
        <v>496</v>
      </c>
      <c r="B61" s="23" t="s">
        <v>114</v>
      </c>
      <c r="C61" s="55" t="n">
        <f aca="false">IF(C2&gt;=Assumptions!$B$53,(C60*Assumptions!$B$29*Assumptions!$B$30+C46*C48*(1-Assumptions!$B$178)*Assumptions!$B$27*Assumptions!$B$28)*C7/12,0)</f>
        <v>0</v>
      </c>
      <c r="D61" s="55" t="n">
        <f aca="false">IF(D2&gt;=Assumptions!$B$53,(D60*Assumptions!$B$29*Assumptions!$B$30+D46*D48*(1-Assumptions!$B$178)*Assumptions!$B$27*Assumptions!$B$28)*D7/12,0)</f>
        <v>0</v>
      </c>
      <c r="E61" s="55" t="n">
        <f aca="false">IF(E2&gt;=Assumptions!$B$53,(E60*Assumptions!$B$29*Assumptions!$B$30+E46*E48*(1-Assumptions!$B$178)*Assumptions!$B$27*Assumptions!$B$28)*E7/12,0)</f>
        <v>0</v>
      </c>
      <c r="F61" s="55" t="n">
        <f aca="false">IF(F2&gt;=Assumptions!$B$53,(F60*Assumptions!$B$29*Assumptions!$B$30+F46*F48*(1-Assumptions!$B$178)*Assumptions!$B$27*Assumptions!$B$28)*F7/12,0)</f>
        <v>0</v>
      </c>
      <c r="G61" s="55" t="n">
        <f aca="false">IF(G2&gt;=Assumptions!$B$53,(G60*Assumptions!$B$29*Assumptions!$B$30+G46*G48*(1-Assumptions!$B$178)*Assumptions!$B$27*Assumptions!$B$28)*G7/12,0)</f>
        <v>0</v>
      </c>
      <c r="H61" s="55" t="n">
        <f aca="false">IF(H2&gt;=Assumptions!$B$53,(H60*Assumptions!$B$29*Assumptions!$B$30+H46*H48*(1-Assumptions!$B$178)*Assumptions!$B$27*Assumptions!$B$28)*H7/12,0)</f>
        <v>0</v>
      </c>
      <c r="I61" s="55" t="n">
        <f aca="false">IF(I2&gt;=Assumptions!$B$53,(I60*Assumptions!$B$29*Assumptions!$B$30+I46*I48*(1-Assumptions!$B$178)*Assumptions!$B$27*Assumptions!$B$28)*I7/12,0)</f>
        <v>0</v>
      </c>
      <c r="J61" s="55" t="n">
        <f aca="false">IF(J2&gt;=Assumptions!$B$53,(J60*Assumptions!$B$29*Assumptions!$B$30+J46*J48*(1-Assumptions!$B$178)*Assumptions!$B$27*Assumptions!$B$28)*J7/12,0)</f>
        <v>0</v>
      </c>
      <c r="K61" s="55" t="n">
        <f aca="false">IF(K2&gt;=Assumptions!$B$53,(K60*Assumptions!$B$29*Assumptions!$B$30+K46*K48*(1-Assumptions!$B$178)*Assumptions!$B$27*Assumptions!$B$28)*K7/12,0)</f>
        <v>0</v>
      </c>
      <c r="L61" s="55" t="n">
        <f aca="false">IF(L2&gt;=Assumptions!$B$53,(L60*Assumptions!$B$29*Assumptions!$B$30+L46*L48*(1-Assumptions!$B$178)*Assumptions!$B$27*Assumptions!$B$28)*L7/12,0)</f>
        <v>0</v>
      </c>
      <c r="M61" s="55" t="n">
        <f aca="false">IF(M2&gt;=Assumptions!$B$53,(M60*Assumptions!$B$29*Assumptions!$B$30+M46*M48*(1-Assumptions!$B$178)*Assumptions!$B$27*Assumptions!$B$28)*M7/12,0)</f>
        <v>0</v>
      </c>
      <c r="N61" s="55" t="n">
        <f aca="false">IF(N2&gt;=Assumptions!$B$53,(N60*Assumptions!$B$29*Assumptions!$B$30+N46*N48*(1-Assumptions!$B$178)*Assumptions!$B$27*Assumptions!$B$28)*N7/12,0)</f>
        <v>0</v>
      </c>
      <c r="O61" s="55" t="n">
        <f aca="false">IF(O2&gt;=Assumptions!$B$53,(O60*Assumptions!$B$29*Assumptions!$B$30+O46*O48*(1-Assumptions!$B$178)*Assumptions!$B$27*Assumptions!$B$28)*O7/12,0)</f>
        <v>1.74520774472033</v>
      </c>
      <c r="P61" s="55" t="n">
        <f aca="false">IF(P2&gt;=Assumptions!$B$53,(P60*Assumptions!$B$29*Assumptions!$B$30+P46*P48*(1-Assumptions!$B$178)*Assumptions!$B$27*Assumptions!$B$28)*P7/12,0)</f>
        <v>1.98442849725823</v>
      </c>
      <c r="Q61" s="55" t="n">
        <f aca="false">IF(Q2&gt;=Assumptions!$B$53,(Q60*Assumptions!$B$29*Assumptions!$B$30+Q46*Q48*(1-Assumptions!$B$178)*Assumptions!$B$27*Assumptions!$B$28)*Q7/12,0)</f>
        <v>2.27642007172707</v>
      </c>
      <c r="R61" s="55" t="n">
        <f aca="false">IF(R2&gt;=Assumptions!$B$53,(R60*Assumptions!$B$29*Assumptions!$B$30+R46*R48*(1-Assumptions!$B$178)*Assumptions!$B$27*Assumptions!$B$28)*R7/12,0)</f>
        <v>2.54050424232575</v>
      </c>
      <c r="S61" s="55" t="n">
        <f aca="false">IF(S2&gt;=Assumptions!$B$53,(S60*Assumptions!$B$29*Assumptions!$B$30+S46*S48*(1-Assumptions!$B$178)*Assumptions!$B$27*Assumptions!$B$28)*S7/12,0)</f>
        <v>2.91579345618715</v>
      </c>
      <c r="T61" s="55" t="n">
        <f aca="false">IF(T2&gt;=Assumptions!$B$53,(T60*Assumptions!$B$29*Assumptions!$B$30+T46*T48*(1-Assumptions!$B$178)*Assumptions!$B$27*Assumptions!$B$28)*T7/12,0)</f>
        <v>3.496228654145</v>
      </c>
      <c r="U61" s="55" t="n">
        <f aca="false">IF(U2&gt;=Assumptions!$B$53,(U60*Assumptions!$B$29*Assumptions!$B$30+U46*U48*(1-Assumptions!$B$178)*Assumptions!$B$27*Assumptions!$B$28)*U7/12,0)</f>
        <v>4.0934948615202</v>
      </c>
      <c r="V61" s="55" t="n">
        <f aca="false">IF(V2&gt;=Assumptions!$B$53,(V60*Assumptions!$B$29*Assumptions!$B$30+V46*V48*(1-Assumptions!$B$178)*Assumptions!$B$27*Assumptions!$B$28)*V7/12,0)</f>
        <v>4.67400497457538</v>
      </c>
      <c r="W61" s="55" t="n">
        <f aca="false">IF(W2&gt;=Assumptions!$B$53,(W60*Assumptions!$B$29*Assumptions!$B$30+W46*W48*(1-Assumptions!$B$178)*Assumptions!$B$27*Assumptions!$B$28)*W7/12,0)</f>
        <v>6.22808547910452</v>
      </c>
      <c r="X61" s="55" t="n">
        <f aca="false">IF(X2&gt;=Assumptions!$B$53,(X60*Assumptions!$B$29*Assumptions!$B$30+X46*X48*(1-Assumptions!$B$178)*Assumptions!$B$27*Assumptions!$B$28)*X7/12,0)</f>
        <v>7.66094415177881</v>
      </c>
      <c r="Y61" s="55" t="n">
        <f aca="false">IF(Y2&gt;=Assumptions!$B$53,(Y60*Assumptions!$B$29*Assumptions!$B$30+Y46*Y48*(1-Assumptions!$B$178)*Assumptions!$B$27*Assumptions!$B$28)*Y7/12,0)</f>
        <v>9.21114957776034</v>
      </c>
      <c r="Z61" s="55" t="n">
        <f aca="false">IF(Z2&gt;=Assumptions!$B$53,(Z60*Assumptions!$B$29*Assumptions!$B$30+Z46*Z48*(1-Assumptions!$B$178)*Assumptions!$B$27*Assumptions!$B$28)*Z7/12,0)</f>
        <v>11.3384290506965</v>
      </c>
      <c r="AA61" s="55" t="n">
        <f aca="false">IF(AA2&gt;=Assumptions!$B$53,(AA60*Assumptions!$B$29*Assumptions!$B$30+AA46*AA48*(1-Assumptions!$B$178)*Assumptions!$B$27*Assumptions!$B$28)*AA7/12,0)</f>
        <v>1117.86281376362</v>
      </c>
      <c r="AB61" s="55" t="n">
        <f aca="false">IF(AB2&gt;=Assumptions!$B$53,(AB60*Assumptions!$B$29*Assumptions!$B$30+AB46*AB48*(1-Assumptions!$B$178)*Assumptions!$B$27*Assumptions!$B$28)*AB7/12,0)</f>
        <v>2504.65014616877</v>
      </c>
      <c r="AC61" s="55" t="n">
        <f aca="false">IF(AC2&gt;=Assumptions!$B$53,(AC60*Assumptions!$B$29*Assumptions!$B$30+AC46*AC48*(1-Assumptions!$B$178)*Assumptions!$B$27*Assumptions!$B$28)*AC7/12,0)</f>
        <v>4610.80081677647</v>
      </c>
      <c r="AD61" s="55" t="n">
        <f aca="false">IF(AD2&gt;=Assumptions!$B$53,(AD60*Assumptions!$B$29*Assumptions!$B$30+AD46*AD48*(1-Assumptions!$B$178)*Assumptions!$B$27*Assumptions!$B$28)*AD7/12,0)</f>
        <v>7445.63691272988</v>
      </c>
      <c r="AE61" s="55" t="n">
        <f aca="false">IF(AE2&gt;=Assumptions!$B$53,(AE60*Assumptions!$B$29*Assumptions!$B$30+AE46*AE48*(1-Assumptions!$B$178)*Assumptions!$B$27*Assumptions!$B$28)*AE7/12,0)</f>
        <v>10881.0923399402</v>
      </c>
    </row>
    <row r="62" customFormat="false" ht="15" hidden="false" customHeight="false" outlineLevel="0" collapsed="false">
      <c r="A62" s="6" t="s">
        <v>497</v>
      </c>
      <c r="B62" s="23" t="s">
        <v>498</v>
      </c>
      <c r="C62" s="45" t="n">
        <f aca="false">IF(C2&gt;=Assumptions!$B$49,(C31+C33*Assumptions!$B$138)*Assumptions!$B$137*C7/12,0)</f>
        <v>0.401613576168964</v>
      </c>
      <c r="D62" s="45" t="n">
        <f aca="false">IF(D2&gt;=Assumptions!$B$49,(D31+D33*Assumptions!$B$138)*Assumptions!$B$137*D7/12,0)</f>
        <v>0.794390016987486</v>
      </c>
      <c r="E62" s="45" t="n">
        <f aca="false">IF(E2&gt;=Assumptions!$B$49,(E31+E33*Assumptions!$B$138)*Assumptions!$B$137*E7/12,0)</f>
        <v>1.18122325291858</v>
      </c>
      <c r="F62" s="45" t="n">
        <f aca="false">IF(F2&gt;=Assumptions!$B$49,(F31+F33*Assumptions!$B$138)*Assumptions!$B$137*F7/12,0)</f>
        <v>1.66838542586308</v>
      </c>
      <c r="G62" s="45" t="n">
        <f aca="false">IF(G2&gt;=Assumptions!$B$49,(G31+G33*Assumptions!$B$138)*Assumptions!$B$137*G7/12,0)</f>
        <v>2.12292519324786</v>
      </c>
      <c r="H62" s="45" t="n">
        <f aca="false">IF(H2&gt;=Assumptions!$B$49,(H31+H33*Assumptions!$B$138)*Assumptions!$B$137*H7/12,0)</f>
        <v>2.52331281861449</v>
      </c>
      <c r="I62" s="45" t="n">
        <f aca="false">IF(I2&gt;=Assumptions!$B$49,(I31+I33*Assumptions!$B$138)*Assumptions!$B$137*I7/12,0)</f>
        <v>2.9189219149848</v>
      </c>
      <c r="J62" s="45" t="n">
        <f aca="false">IF(J2&gt;=Assumptions!$B$49,(J31+J33*Assumptions!$B$138)*Assumptions!$B$137*J7/12,0)</f>
        <v>3.32096216669608</v>
      </c>
      <c r="K62" s="45" t="n">
        <f aca="false">IF(K2&gt;=Assumptions!$B$49,(K31+K33*Assumptions!$B$138)*Assumptions!$B$137*K7/12,0)</f>
        <v>3.76078638137623</v>
      </c>
      <c r="L62" s="45" t="n">
        <f aca="false">IF(L2&gt;=Assumptions!$B$49,(L31+L33*Assumptions!$B$138)*Assumptions!$B$137*L7/12,0)</f>
        <v>4.33390995800435</v>
      </c>
      <c r="M62" s="45" t="n">
        <f aca="false">IF(M2&gt;=Assumptions!$B$49,(M31+M33*Assumptions!$B$138)*Assumptions!$B$137*M7/12,0)</f>
        <v>4.87719923660051</v>
      </c>
      <c r="N62" s="45" t="n">
        <f aca="false">IF(N2&gt;=Assumptions!$B$49,(N31+N33*Assumptions!$B$138)*Assumptions!$B$137*N7/12,0)</f>
        <v>5.37331521052828</v>
      </c>
      <c r="O62" s="45" t="n">
        <f aca="false">IF(O2&gt;=Assumptions!$B$49,(O31+O33*Assumptions!$B$138)*Assumptions!$B$137*O7/12,0)</f>
        <v>6.83435469136184</v>
      </c>
      <c r="P62" s="45" t="n">
        <f aca="false">IF(P2&gt;=Assumptions!$B$49,(P31+P33*Assumptions!$B$138)*Assumptions!$B$137*P7/12,0)</f>
        <v>8.29269079204567</v>
      </c>
      <c r="Q62" s="45" t="n">
        <f aca="false">IF(Q2&gt;=Assumptions!$B$49,(Q31+Q33*Assumptions!$B$138)*Assumptions!$B$137*Q7/12,0)</f>
        <v>9.75391691254535</v>
      </c>
      <c r="R62" s="45" t="n">
        <f aca="false">IF(R2&gt;=Assumptions!$B$49,(R31+R33*Assumptions!$B$138)*Assumptions!$B$137*R7/12,0)</f>
        <v>11.5985123891966</v>
      </c>
      <c r="S62" s="45" t="n">
        <f aca="false">IF(S2&gt;=Assumptions!$B$49,(S31+S33*Assumptions!$B$138)*Assumptions!$B$137*S7/12,0)</f>
        <v>13.3592863826785</v>
      </c>
      <c r="T62" s="45" t="n">
        <f aca="false">IF(T2&gt;=Assumptions!$B$49,(T31+T33*Assumptions!$B$138)*Assumptions!$B$137*T7/12,0)</f>
        <v>14.9431456271074</v>
      </c>
      <c r="U62" s="45" t="n">
        <f aca="false">IF(U2&gt;=Assumptions!$B$49,(U31+U33*Assumptions!$B$138)*Assumptions!$B$137*U7/12,0)</f>
        <v>16.5256298952778</v>
      </c>
      <c r="V62" s="45" t="n">
        <f aca="false">IF(V2&gt;=Assumptions!$B$49,(V31+V33*Assumptions!$B$138)*Assumptions!$B$137*V7/12,0)</f>
        <v>18.1481267849713</v>
      </c>
      <c r="W62" s="45" t="n">
        <f aca="false">IF(W2&gt;=Assumptions!$B$49,(W31+W33*Assumptions!$B$138)*Assumptions!$B$137*W7/12,0)</f>
        <v>19.9345576540384</v>
      </c>
      <c r="X62" s="45" t="n">
        <f aca="false">IF(X2&gt;=Assumptions!$B$49,(X31+X33*Assumptions!$B$138)*Assumptions!$B$137*X7/12,0)</f>
        <v>22.2746656554708</v>
      </c>
      <c r="Y62" s="45" t="n">
        <f aca="false">IF(Y2&gt;=Assumptions!$B$49,(Y31+Y33*Assumptions!$B$138)*Assumptions!$B$137*Y7/12,0)</f>
        <v>24.5354668932875</v>
      </c>
      <c r="Z62" s="45" t="n">
        <f aca="false">IF(Z2&gt;=Assumptions!$B$49,(Z31+Z33*Assumptions!$B$138)*Assumptions!$B$137*Z7/12,0)</f>
        <v>26.6329096528578</v>
      </c>
      <c r="AA62" s="45" t="n">
        <f aca="false">IF(AA2&gt;=Assumptions!$B$49,(AA31+AA33*Assumptions!$B$138)*Assumptions!$B$137*AA7/12,0)</f>
        <v>792.859826757027</v>
      </c>
      <c r="AB62" s="45" t="n">
        <f aca="false">IF(AB2&gt;=Assumptions!$B$49,(AB31+AB33*Assumptions!$B$138)*Assumptions!$B$137*AB7/12,0)</f>
        <v>1558.10998469606</v>
      </c>
      <c r="AC62" s="45" t="n">
        <f aca="false">IF(AC2&gt;=Assumptions!$B$49,(AC31+AC33*Assumptions!$B$138)*Assumptions!$B$137*AC7/12,0)</f>
        <v>2679.01833665828</v>
      </c>
      <c r="AD62" s="45" t="n">
        <f aca="false">IF(AD2&gt;=Assumptions!$B$49,(AD31+AD33*Assumptions!$B$138)*Assumptions!$B$137*AD7/12,0)</f>
        <v>4098.16308007244</v>
      </c>
      <c r="AE62" s="45" t="n">
        <f aca="false">IF(AE2&gt;=Assumptions!$B$49,(AE31+AE33*Assumptions!$B$138)*Assumptions!$B$137*AE7/12,0)</f>
        <v>5692.52373253036</v>
      </c>
    </row>
    <row r="63" customFormat="false" ht="15" hidden="false" customHeight="false" outlineLevel="0" collapsed="false">
      <c r="A63" s="3" t="s">
        <v>499</v>
      </c>
      <c r="B63" s="23" t="s">
        <v>114</v>
      </c>
      <c r="C63" s="57" t="n">
        <f aca="false">C54+C55+C56+C58+C59+C61</f>
        <v>142.176553475343</v>
      </c>
      <c r="D63" s="57" t="n">
        <f aca="false">D54+D55+D56+D58+D59+D61</f>
        <v>270.330018025632</v>
      </c>
      <c r="E63" s="57" t="n">
        <f aca="false">E54+E55+E56+E58+E59+E61</f>
        <v>386.559436975146</v>
      </c>
      <c r="F63" s="57" t="n">
        <f aca="false">F54+F55+F56+F58+F59+F61</f>
        <v>529.400272668206</v>
      </c>
      <c r="G63" s="57" t="n">
        <f aca="false">G54+G55+G56+G58+G59+G61</f>
        <v>649.746814833778</v>
      </c>
      <c r="H63" s="57" t="n">
        <f aca="false">H54+H55+H56+H58+H59+H61</f>
        <v>741.700930226981</v>
      </c>
      <c r="I63" s="57" t="n">
        <f aca="false">I54+I55+I56+I58+I59+I61</f>
        <v>872.111250707545</v>
      </c>
      <c r="J63" s="57" t="n">
        <f aca="false">J54+J55+J56+J58+J59+J61</f>
        <v>995.042385754196</v>
      </c>
      <c r="K63" s="57" t="n">
        <f aca="false">K54+K55+K56+K58+K59+K61</f>
        <v>1126.58585941272</v>
      </c>
      <c r="L63" s="57" t="n">
        <f aca="false">L54+L55+L56+L58+L59+L61</f>
        <v>1313.20212777012</v>
      </c>
      <c r="M63" s="57" t="n">
        <f aca="false">M54+M55+M56+M58+M59+M61</f>
        <v>1469.69609595453</v>
      </c>
      <c r="N63" s="57" t="n">
        <f aca="false">N54+N55+N56+N58+N59+N61</f>
        <v>1589.97981906387</v>
      </c>
      <c r="O63" s="57" t="n">
        <f aca="false">O54+O55+O56+O58+O59+O61</f>
        <v>2303.6787488584</v>
      </c>
      <c r="P63" s="57" t="n">
        <f aca="false">P54+P55+P56+P58+P59+P61</f>
        <v>2862.33100982087</v>
      </c>
      <c r="Q63" s="57" t="n">
        <f aca="false">Q54+Q55+Q56+Q58+Q59+Q61</f>
        <v>3377.07164687283</v>
      </c>
      <c r="R63" s="57" t="n">
        <f aca="false">R54+R55+R56+R58+R59+R61</f>
        <v>4040.51836648969</v>
      </c>
      <c r="S63" s="57" t="n">
        <f aca="false">S54+S55+S56+S58+S59+S61</f>
        <v>4610.91722528834</v>
      </c>
      <c r="T63" s="57" t="n">
        <f aca="false">T54+T55+T56+T58+T59+T61</f>
        <v>5057.17287017911</v>
      </c>
      <c r="U63" s="57" t="n">
        <f aca="false">U54+U55+U56+U58+U59+U61</f>
        <v>5463.81381166178</v>
      </c>
      <c r="V63" s="57" t="n">
        <f aca="false">V54+V55+V56+V58+V59+V61</f>
        <v>5854.96562864952</v>
      </c>
      <c r="W63" s="57" t="n">
        <f aca="false">W54+W55+W56+W58+W59+W61</f>
        <v>6354.15141279172</v>
      </c>
      <c r="X63" s="57" t="n">
        <f aca="false">X54+X55+X56+X58+X59+X61</f>
        <v>7093.14216737119</v>
      </c>
      <c r="Y63" s="57" t="n">
        <f aca="false">Y54+Y55+Y56+Y58+Y59+Y61</f>
        <v>7734.61754023561</v>
      </c>
      <c r="Z63" s="57" t="n">
        <f aca="false">Z54+Z55+Z56+Z58+Z59+Z61</f>
        <v>8268.78035504959</v>
      </c>
      <c r="AA63" s="57" t="n">
        <f aca="false">AA54+AA55+AA56+AA58+AA59+AA61</f>
        <v>221090.137125202</v>
      </c>
      <c r="AB63" s="57" t="n">
        <f aca="false">AB54+AB55+AB56+AB58+AB59+AB61</f>
        <v>379170.916506084</v>
      </c>
      <c r="AC63" s="57" t="n">
        <f aca="false">AC54+AC55+AC56+AC58+AC59+AC61</f>
        <v>582723.085401212</v>
      </c>
      <c r="AD63" s="57" t="n">
        <f aca="false">AD54+AD55+AD56+AD58+AD59+AD61</f>
        <v>787688.109949477</v>
      </c>
      <c r="AE63" s="57" t="n">
        <f aca="false">AE54+AE55+AE56+AE58+AE59+AE61</f>
        <v>953059.328586305</v>
      </c>
    </row>
    <row r="65" customFormat="false" ht="15" hidden="false" customHeight="false" outlineLevel="0" collapsed="false">
      <c r="A65" s="46" t="s">
        <v>500</v>
      </c>
      <c r="B65" s="47"/>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row>
    <row r="66" customFormat="false" ht="15" hidden="false" customHeight="false" outlineLevel="0" collapsed="false">
      <c r="A66" s="6" t="s">
        <v>457</v>
      </c>
      <c r="B66" s="23" t="s">
        <v>190</v>
      </c>
      <c r="C66" s="53" t="n">
        <f aca="false">INDEX(Assumptions!$B$100:$B$106,C5)*Assumptions!$B$128/12*C7/Assumptions!$B$125*(1+Assumptions!$B$132)*IF(C2&gt;=Assumptions!$B$56,1,0)</f>
        <v>0</v>
      </c>
      <c r="D66" s="53" t="n">
        <f aca="false">INDEX(Assumptions!$B$100:$B$106,D5)*Assumptions!$B$128/12*D7/Assumptions!$B$125*(1+Assumptions!$B$132)*IF(D2&gt;=Assumptions!$B$56,1,0)</f>
        <v>0</v>
      </c>
      <c r="E66" s="53" t="n">
        <f aca="false">INDEX(Assumptions!$B$100:$B$106,E5)*Assumptions!$B$128/12*E7/Assumptions!$B$125*(1+Assumptions!$B$132)*IF(E2&gt;=Assumptions!$B$56,1,0)</f>
        <v>0</v>
      </c>
      <c r="F66" s="53" t="n">
        <f aca="false">INDEX(Assumptions!$B$100:$B$106,F5)*Assumptions!$B$128/12*F7/Assumptions!$B$125*(1+Assumptions!$B$132)*IF(F2&gt;=Assumptions!$B$56,1,0)</f>
        <v>0</v>
      </c>
      <c r="G66" s="53" t="n">
        <f aca="false">INDEX(Assumptions!$B$100:$B$106,G5)*Assumptions!$B$128/12*G7/Assumptions!$B$125*(1+Assumptions!$B$132)*IF(G2&gt;=Assumptions!$B$56,1,0)</f>
        <v>0</v>
      </c>
      <c r="H66" s="53" t="n">
        <f aca="false">INDEX(Assumptions!$B$100:$B$106,H5)*Assumptions!$B$128/12*H7/Assumptions!$B$125*(1+Assumptions!$B$132)*IF(H2&gt;=Assumptions!$B$56,1,0)</f>
        <v>0</v>
      </c>
      <c r="I66" s="53" t="n">
        <f aca="false">INDEX(Assumptions!$B$100:$B$106,I5)*Assumptions!$B$128/12*I7/Assumptions!$B$125*(1+Assumptions!$B$132)*IF(I2&gt;=Assumptions!$B$56,1,0)</f>
        <v>0</v>
      </c>
      <c r="J66" s="53" t="n">
        <f aca="false">INDEX(Assumptions!$B$100:$B$106,J5)*Assumptions!$B$128/12*J7/Assumptions!$B$125*(1+Assumptions!$B$132)*IF(J2&gt;=Assumptions!$B$56,1,0)</f>
        <v>0</v>
      </c>
      <c r="K66" s="53" t="n">
        <f aca="false">INDEX(Assumptions!$B$100:$B$106,K5)*Assumptions!$B$128/12*K7/Assumptions!$B$125*(1+Assumptions!$B$132)*IF(K2&gt;=Assumptions!$B$56,1,0)</f>
        <v>0</v>
      </c>
      <c r="L66" s="53" t="n">
        <f aca="false">INDEX(Assumptions!$B$100:$B$106,L5)*Assumptions!$B$128/12*L7/Assumptions!$B$125*(1+Assumptions!$B$132)*IF(L2&gt;=Assumptions!$B$56,1,0)</f>
        <v>0</v>
      </c>
      <c r="M66" s="53" t="n">
        <f aca="false">INDEX(Assumptions!$B$100:$B$106,M5)*Assumptions!$B$128/12*M7/Assumptions!$B$125*(1+Assumptions!$B$132)*IF(M2&gt;=Assumptions!$B$56,1,0)</f>
        <v>0</v>
      </c>
      <c r="N66" s="53" t="n">
        <f aca="false">INDEX(Assumptions!$B$100:$B$106,N5)*Assumptions!$B$128/12*N7/Assumptions!$B$125*(1+Assumptions!$B$132)*IF(N2&gt;=Assumptions!$B$56,1,0)</f>
        <v>0</v>
      </c>
      <c r="O66" s="53" t="n">
        <f aca="false">INDEX(Assumptions!$B$100:$B$106,O5)*Assumptions!$B$128/12*O7/Assumptions!$B$125*(1+Assumptions!$B$132)*IF(O2&gt;=Assumptions!$B$56,1,0)</f>
        <v>60</v>
      </c>
      <c r="P66" s="53" t="n">
        <f aca="false">INDEX(Assumptions!$B$100:$B$106,P5)*Assumptions!$B$128/12*P7/Assumptions!$B$125*(1+Assumptions!$B$132)*IF(P2&gt;=Assumptions!$B$56,1,0)</f>
        <v>60</v>
      </c>
      <c r="Q66" s="53" t="n">
        <f aca="false">INDEX(Assumptions!$B$100:$B$106,Q5)*Assumptions!$B$128/12*Q7/Assumptions!$B$125*(1+Assumptions!$B$132)*IF(Q2&gt;=Assumptions!$B$56,1,0)</f>
        <v>60</v>
      </c>
      <c r="R66" s="53" t="n">
        <f aca="false">INDEX(Assumptions!$B$100:$B$106,R5)*Assumptions!$B$128/12*R7/Assumptions!$B$125*(1+Assumptions!$B$132)*IF(R2&gt;=Assumptions!$B$56,1,0)</f>
        <v>60</v>
      </c>
      <c r="S66" s="53" t="n">
        <f aca="false">INDEX(Assumptions!$B$100:$B$106,S5)*Assumptions!$B$128/12*S7/Assumptions!$B$125*(1+Assumptions!$B$132)*IF(S2&gt;=Assumptions!$B$56,1,0)</f>
        <v>60</v>
      </c>
      <c r="T66" s="53" t="n">
        <f aca="false">INDEX(Assumptions!$B$100:$B$106,T5)*Assumptions!$B$128/12*T7/Assumptions!$B$125*(1+Assumptions!$B$132)*IF(T2&gt;=Assumptions!$B$56,1,0)</f>
        <v>60</v>
      </c>
      <c r="U66" s="53" t="n">
        <f aca="false">INDEX(Assumptions!$B$100:$B$106,U5)*Assumptions!$B$128/12*U7/Assumptions!$B$125*(1+Assumptions!$B$132)*IF(U2&gt;=Assumptions!$B$56,1,0)</f>
        <v>60</v>
      </c>
      <c r="V66" s="53" t="n">
        <f aca="false">INDEX(Assumptions!$B$100:$B$106,V5)*Assumptions!$B$128/12*V7/Assumptions!$B$125*(1+Assumptions!$B$132)*IF(V2&gt;=Assumptions!$B$56,1,0)</f>
        <v>60</v>
      </c>
      <c r="W66" s="53" t="n">
        <f aca="false">INDEX(Assumptions!$B$100:$B$106,W5)*Assumptions!$B$128/12*W7/Assumptions!$B$125*(1+Assumptions!$B$132)*IF(W2&gt;=Assumptions!$B$56,1,0)</f>
        <v>60</v>
      </c>
      <c r="X66" s="53" t="n">
        <f aca="false">INDEX(Assumptions!$B$100:$B$106,X5)*Assumptions!$B$128/12*X7/Assumptions!$B$125*(1+Assumptions!$B$132)*IF(X2&gt;=Assumptions!$B$56,1,0)</f>
        <v>60</v>
      </c>
      <c r="Y66" s="53" t="n">
        <f aca="false">INDEX(Assumptions!$B$100:$B$106,Y5)*Assumptions!$B$128/12*Y7/Assumptions!$B$125*(1+Assumptions!$B$132)*IF(Y2&gt;=Assumptions!$B$56,1,0)</f>
        <v>60</v>
      </c>
      <c r="Z66" s="53" t="n">
        <f aca="false">INDEX(Assumptions!$B$100:$B$106,Z5)*Assumptions!$B$128/12*Z7/Assumptions!$B$125*(1+Assumptions!$B$132)*IF(Z2&gt;=Assumptions!$B$56,1,0)</f>
        <v>60</v>
      </c>
      <c r="AA66" s="53" t="n">
        <f aca="false">INDEX(Assumptions!$B$100:$B$106,AA5)*Assumptions!$B$128/12*AA7/Assumptions!$B$125*(1+Assumptions!$B$132)*IF(AA2&gt;=Assumptions!$B$56,1,0)</f>
        <v>1000</v>
      </c>
      <c r="AB66" s="53" t="n">
        <f aca="false">INDEX(Assumptions!$B$100:$B$106,AB5)*Assumptions!$B$128/12*AB7/Assumptions!$B$125*(1+Assumptions!$B$132)*IF(AB2&gt;=Assumptions!$B$56,1,0)</f>
        <v>1600</v>
      </c>
      <c r="AC66" s="53" t="n">
        <f aca="false">INDEX(Assumptions!$B$100:$B$106,AC5)*Assumptions!$B$128/12*AC7/Assumptions!$B$125*(1+Assumptions!$B$132)*IF(AC2&gt;=Assumptions!$B$56,1,0)</f>
        <v>2400</v>
      </c>
      <c r="AD66" s="53" t="n">
        <f aca="false">INDEX(Assumptions!$B$100:$B$106,AD5)*Assumptions!$B$128/12*AD7/Assumptions!$B$125*(1+Assumptions!$B$132)*IF(AD2&gt;=Assumptions!$B$56,1,0)</f>
        <v>3400</v>
      </c>
      <c r="AE66" s="53" t="n">
        <f aca="false">INDEX(Assumptions!$B$100:$B$106,AE5)*Assumptions!$B$128/12*AE7/Assumptions!$B$125*(1+Assumptions!$B$132)*IF(AE2&gt;=Assumptions!$B$56,1,0)</f>
        <v>4400</v>
      </c>
    </row>
    <row r="67" customFormat="false" ht="15" hidden="false" customHeight="false" outlineLevel="0" collapsed="false">
      <c r="A67" s="6" t="s">
        <v>458</v>
      </c>
      <c r="B67" s="23" t="s">
        <v>190</v>
      </c>
      <c r="C67" s="54" t="n">
        <v>0</v>
      </c>
      <c r="D67" s="54" t="n">
        <f aca="false">IF(D2&gt;=Assumptions!$B$55,C71*Assumptions!$B$130/12*Assumptions!$B$131*D7,0)</f>
        <v>0</v>
      </c>
      <c r="E67" s="54" t="n">
        <f aca="false">IF(E2&gt;=Assumptions!$B$55,D71*Assumptions!$B$130/12*Assumptions!$B$131*E7,0)</f>
        <v>0</v>
      </c>
      <c r="F67" s="54" t="n">
        <f aca="false">IF(F2&gt;=Assumptions!$B$55,E71*Assumptions!$B$130/12*Assumptions!$B$131*F7,0)</f>
        <v>0</v>
      </c>
      <c r="G67" s="54" t="n">
        <f aca="false">IF(G2&gt;=Assumptions!$B$55,F71*Assumptions!$B$130/12*Assumptions!$B$131*G7,0)</f>
        <v>0</v>
      </c>
      <c r="H67" s="54" t="n">
        <f aca="false">IF(H2&gt;=Assumptions!$B$55,G71*Assumptions!$B$130/12*Assumptions!$B$131*H7,0)</f>
        <v>0</v>
      </c>
      <c r="I67" s="54" t="n">
        <f aca="false">IF(I2&gt;=Assumptions!$B$55,H71*Assumptions!$B$130/12*Assumptions!$B$131*I7,0)</f>
        <v>0</v>
      </c>
      <c r="J67" s="54" t="n">
        <f aca="false">IF(J2&gt;=Assumptions!$B$55,I71*Assumptions!$B$130/12*Assumptions!$B$131*J7,0)</f>
        <v>0</v>
      </c>
      <c r="K67" s="54" t="n">
        <f aca="false">IF(K2&gt;=Assumptions!$B$55,J71*Assumptions!$B$130/12*Assumptions!$B$131*K7,0)</f>
        <v>0</v>
      </c>
      <c r="L67" s="54" t="n">
        <f aca="false">IF(L2&gt;=Assumptions!$B$55,K71*Assumptions!$B$130/12*Assumptions!$B$131*L7,0)</f>
        <v>0</v>
      </c>
      <c r="M67" s="54" t="n">
        <f aca="false">IF(M2&gt;=Assumptions!$B$55,L71*Assumptions!$B$130/12*Assumptions!$B$131*M7,0)</f>
        <v>0</v>
      </c>
      <c r="N67" s="54" t="n">
        <f aca="false">IF(N2&gt;=Assumptions!$B$55,M71*Assumptions!$B$130/12*Assumptions!$B$131*N7,0)</f>
        <v>0</v>
      </c>
      <c r="O67" s="54" t="n">
        <f aca="false">IF(O2&gt;=Assumptions!$B$55,N71*Assumptions!$B$130/12*Assumptions!$B$131*O7,0)</f>
        <v>0</v>
      </c>
      <c r="P67" s="54" t="n">
        <f aca="false">IF(P2&gt;=Assumptions!$B$55,O71*Assumptions!$B$130/12*Assumptions!$B$131*P7,0)</f>
        <v>2.19061308351921</v>
      </c>
      <c r="Q67" s="54" t="n">
        <f aca="false">IF(Q2&gt;=Assumptions!$B$55,P71*Assumptions!$B$130/12*Assumptions!$B$131*Q7,0)</f>
        <v>4.22558614739354</v>
      </c>
      <c r="R67" s="54" t="n">
        <f aca="false">IF(R2&gt;=Assumptions!$B$55,Q71*Assumptions!$B$130/12*Assumptions!$B$131*R7,0)</f>
        <v>6.12477128190748</v>
      </c>
      <c r="S67" s="54" t="n">
        <f aca="false">IF(S2&gt;=Assumptions!$B$55,R71*Assumptions!$B$130/12*Assumptions!$B$131*S7,0)</f>
        <v>8.5183339883982</v>
      </c>
      <c r="T67" s="54" t="n">
        <f aca="false">IF(T2&gt;=Assumptions!$B$55,S71*Assumptions!$B$130/12*Assumptions!$B$131*T7,0)</f>
        <v>10.6067323965539</v>
      </c>
      <c r="U67" s="54" t="n">
        <f aca="false">IF(U2&gt;=Assumptions!$B$55,T71*Assumptions!$B$130/12*Assumptions!$B$131*U7,0)</f>
        <v>12.2587188330178</v>
      </c>
      <c r="V67" s="54" t="n">
        <f aca="false">IF(V2&gt;=Assumptions!$B$55,U71*Assumptions!$B$130/12*Assumptions!$B$131*V7,0)</f>
        <v>13.7942335879474</v>
      </c>
      <c r="W67" s="54" t="n">
        <f aca="false">IF(W2&gt;=Assumptions!$B$55,V71*Assumptions!$B$130/12*Assumptions!$B$131*W7,0)</f>
        <v>15.2897822385801</v>
      </c>
      <c r="X67" s="54" t="n">
        <f aca="false">IF(X2&gt;=Assumptions!$B$55,W71*Assumptions!$B$130/12*Assumptions!$B$131*X7,0)</f>
        <v>16.9530695175768</v>
      </c>
      <c r="Y67" s="54" t="n">
        <f aca="false">IF(Y2&gt;=Assumptions!$B$55,X71*Assumptions!$B$130/12*Assumptions!$B$131*Y7,0)</f>
        <v>19.4179230918315</v>
      </c>
      <c r="Z67" s="54" t="n">
        <f aca="false">IF(Z2&gt;=Assumptions!$B$55,Y71*Assumptions!$B$130/12*Assumptions!$B$131*Z7,0)</f>
        <v>21.5743998559042</v>
      </c>
      <c r="AA67" s="54" t="n">
        <f aca="false">IF(AA2&gt;=Assumptions!$B$55,Z71*Assumptions!$B$130/12*Assumptions!$B$131*AA7,0)</f>
        <v>279.659514162347</v>
      </c>
      <c r="AB67" s="54" t="n">
        <f aca="false">IF(AB2&gt;=Assumptions!$B$55,AA71*Assumptions!$B$130/12*Assumptions!$B$131*AB7,0)</f>
        <v>613.151367831539</v>
      </c>
      <c r="AC67" s="54" t="n">
        <f aca="false">IF(AC2&gt;=Assumptions!$B$55,AB71*Assumptions!$B$130/12*Assumptions!$B$131*AC7,0)</f>
        <v>1068.51945787118</v>
      </c>
      <c r="AD67" s="54" t="n">
        <f aca="false">IF(AD2&gt;=Assumptions!$B$55,AC71*Assumptions!$B$130/12*Assumptions!$B$131*AD7,0)</f>
        <v>1632.38842533771</v>
      </c>
      <c r="AE67" s="54" t="n">
        <f aca="false">IF(AE2&gt;=Assumptions!$B$55,AD71*Assumptions!$B$130/12*Assumptions!$B$131*AE7,0)</f>
        <v>2171.72864887927</v>
      </c>
    </row>
    <row r="68" customFormat="false" ht="15" hidden="false" customHeight="false" outlineLevel="0" collapsed="false">
      <c r="A68" s="6" t="s">
        <v>459</v>
      </c>
      <c r="B68" s="23" t="s">
        <v>190</v>
      </c>
      <c r="C68" s="54" t="n">
        <f aca="false">C66+C67+IF(C23=0,0,C20*Assumptions!$B$115/C23*IF(C2&gt;=Assumptions!$B$56,1,0))</f>
        <v>0</v>
      </c>
      <c r="D68" s="54" t="n">
        <f aca="false">D66+D67+IF(D23=0,0,D20*Assumptions!$B$115/D23*IF(D2&gt;=Assumptions!$B$56,1,0))</f>
        <v>0</v>
      </c>
      <c r="E68" s="54" t="n">
        <f aca="false">E66+E67+IF(E23=0,0,E20*Assumptions!$B$115/E23*IF(E2&gt;=Assumptions!$B$56,1,0))</f>
        <v>0</v>
      </c>
      <c r="F68" s="54" t="n">
        <f aca="false">F66+F67+IF(F23=0,0,F20*Assumptions!$B$115/F23*IF(F2&gt;=Assumptions!$B$56,1,0))</f>
        <v>0</v>
      </c>
      <c r="G68" s="54" t="n">
        <f aca="false">G66+G67+IF(G23=0,0,G20*Assumptions!$B$115/G23*IF(G2&gt;=Assumptions!$B$56,1,0))</f>
        <v>0</v>
      </c>
      <c r="H68" s="54" t="n">
        <f aca="false">H66+H67+IF(H23=0,0,H20*Assumptions!$B$115/H23*IF(H2&gt;=Assumptions!$B$56,1,0))</f>
        <v>0</v>
      </c>
      <c r="I68" s="54" t="n">
        <f aca="false">I66+I67+IF(I23=0,0,I20*Assumptions!$B$115/I23*IF(I2&gt;=Assumptions!$B$56,1,0))</f>
        <v>0</v>
      </c>
      <c r="J68" s="54" t="n">
        <f aca="false">J66+J67+IF(J23=0,0,J20*Assumptions!$B$115/J23*IF(J2&gt;=Assumptions!$B$56,1,0))</f>
        <v>0</v>
      </c>
      <c r="K68" s="54" t="n">
        <f aca="false">K66+K67+IF(K23=0,0,K20*Assumptions!$B$115/K23*IF(K2&gt;=Assumptions!$B$56,1,0))</f>
        <v>0</v>
      </c>
      <c r="L68" s="54" t="n">
        <f aca="false">L66+L67+IF(L23=0,0,L20*Assumptions!$B$115/L23*IF(L2&gt;=Assumptions!$B$56,1,0))</f>
        <v>0</v>
      </c>
      <c r="M68" s="54" t="n">
        <f aca="false">M66+M67+IF(M23=0,0,M20*Assumptions!$B$115/M23*IF(M2&gt;=Assumptions!$B$56,1,0))</f>
        <v>0</v>
      </c>
      <c r="N68" s="54" t="n">
        <f aca="false">N66+N67+IF(N23=0,0,N20*Assumptions!$B$115/N23*IF(N2&gt;=Assumptions!$B$56,1,0))</f>
        <v>0</v>
      </c>
      <c r="O68" s="54" t="n">
        <f aca="false">O66+O67+IF(O23=0,0,O20*Assumptions!$B$115/O23*IF(O2&gt;=Assumptions!$B$56,1,0))</f>
        <v>71.73</v>
      </c>
      <c r="P68" s="54" t="n">
        <f aca="false">P66+P67+IF(P23=0,0,P20*Assumptions!$B$115/P23*IF(P2&gt;=Assumptions!$B$56,1,0))</f>
        <v>73.9206130835192</v>
      </c>
      <c r="Q68" s="54" t="n">
        <f aca="false">Q66+Q67+IF(Q23=0,0,Q20*Assumptions!$B$115/Q23*IF(Q2&gt;=Assumptions!$B$56,1,0))</f>
        <v>75.9555861473936</v>
      </c>
      <c r="R68" s="54" t="n">
        <f aca="false">R66+R67+IF(R23=0,0,R20*Assumptions!$B$115/R23*IF(R2&gt;=Assumptions!$B$56,1,0))</f>
        <v>77.8547712819075</v>
      </c>
      <c r="S68" s="54" t="n">
        <f aca="false">S66+S67+IF(S23=0,0,S20*Assumptions!$B$115/S23*IF(S2&gt;=Assumptions!$B$56,1,0))</f>
        <v>80.2483339883982</v>
      </c>
      <c r="T68" s="54" t="n">
        <f aca="false">T66+T67+IF(T23=0,0,T20*Assumptions!$B$115/T23*IF(T2&gt;=Assumptions!$B$56,1,0))</f>
        <v>82.3367323965539</v>
      </c>
      <c r="U68" s="54" t="n">
        <f aca="false">U66+U67+IF(U23=0,0,U20*Assumptions!$B$115/U23*IF(U2&gt;=Assumptions!$B$56,1,0))</f>
        <v>83.9887188330178</v>
      </c>
      <c r="V68" s="54" t="n">
        <f aca="false">V66+V67+IF(V23=0,0,V20*Assumptions!$B$115/V23*IF(V2&gt;=Assumptions!$B$56,1,0))</f>
        <v>85.5242335879475</v>
      </c>
      <c r="W68" s="54" t="n">
        <f aca="false">W66+W67+IF(W23=0,0,W20*Assumptions!$B$115/W23*IF(W2&gt;=Assumptions!$B$56,1,0))</f>
        <v>87.0197822385801</v>
      </c>
      <c r="X68" s="54" t="n">
        <f aca="false">X66+X67+IF(X23=0,0,X20*Assumptions!$B$115/X23*IF(X2&gt;=Assumptions!$B$56,1,0))</f>
        <v>88.6830695175768</v>
      </c>
      <c r="Y68" s="54" t="n">
        <f aca="false">Y66+Y67+IF(Y23=0,0,Y20*Assumptions!$B$115/Y23*IF(Y2&gt;=Assumptions!$B$56,1,0))</f>
        <v>91.1479230918315</v>
      </c>
      <c r="Z68" s="54" t="n">
        <f aca="false">Z66+Z67+IF(Z23=0,0,Z20*Assumptions!$B$115/Z23*IF(Z2&gt;=Assumptions!$B$56,1,0))</f>
        <v>93.3043998559043</v>
      </c>
      <c r="AA68" s="54" t="n">
        <f aca="false">AA66+AA67+IF(AA23=0,0,AA20*Assumptions!$B$115/AA23*IF(AA2&gt;=Assumptions!$B$56,1,0))</f>
        <v>1711.65951416235</v>
      </c>
      <c r="AB68" s="54" t="n">
        <f aca="false">AB66+AB67+IF(AB23=0,0,AB20*Assumptions!$B$115/AB23*IF(AB2&gt;=Assumptions!$B$56,1,0))</f>
        <v>2861.15136783154</v>
      </c>
      <c r="AC68" s="54" t="n">
        <f aca="false">AC66+AC67+IF(AC23=0,0,AC20*Assumptions!$B$115/AC23*IF(AC2&gt;=Assumptions!$B$56,1,0))</f>
        <v>4440.51945787118</v>
      </c>
      <c r="AD68" s="54" t="n">
        <f aca="false">AD66+AD67+IF(AD23=0,0,AD20*Assumptions!$B$115/AD23*IF(AD2&gt;=Assumptions!$B$56,1,0))</f>
        <v>6177.18842533771</v>
      </c>
      <c r="AE68" s="54" t="n">
        <f aca="false">AE66+AE67+IF(AE23=0,0,AE20*Assumptions!$B$115/AE23*IF(AE2&gt;=Assumptions!$B$56,1,0))</f>
        <v>7910.92864887927</v>
      </c>
    </row>
    <row r="69" customFormat="false" ht="15" hidden="false" customHeight="false" outlineLevel="0" collapsed="false">
      <c r="A69" s="6" t="s">
        <v>460</v>
      </c>
      <c r="B69" s="23" t="s">
        <v>455</v>
      </c>
      <c r="C69" s="51" t="n">
        <v>1</v>
      </c>
      <c r="D69" s="51" t="n">
        <f aca="false">MAX(0,1-C74/Assumptions!$B$85)</f>
        <v>1</v>
      </c>
      <c r="E69" s="51" t="n">
        <f aca="false">MAX(0,1-D74/Assumptions!$B$85)</f>
        <v>1</v>
      </c>
      <c r="F69" s="51" t="n">
        <f aca="false">MAX(0,1-E74/Assumptions!$B$85)</f>
        <v>1</v>
      </c>
      <c r="G69" s="51" t="n">
        <f aca="false">MAX(0,1-F74/Assumptions!$B$85)</f>
        <v>1</v>
      </c>
      <c r="H69" s="51" t="n">
        <f aca="false">MAX(0,1-G74/Assumptions!$B$85)</f>
        <v>1</v>
      </c>
      <c r="I69" s="51" t="n">
        <f aca="false">MAX(0,1-H74/Assumptions!$B$85)</f>
        <v>1</v>
      </c>
      <c r="J69" s="51" t="n">
        <f aca="false">MAX(0,1-I74/Assumptions!$B$85)</f>
        <v>1</v>
      </c>
      <c r="K69" s="51" t="n">
        <f aca="false">MAX(0,1-J74/Assumptions!$B$85)</f>
        <v>1</v>
      </c>
      <c r="L69" s="51" t="n">
        <f aca="false">MAX(0,1-K74/Assumptions!$B$85)</f>
        <v>1</v>
      </c>
      <c r="M69" s="51" t="n">
        <f aca="false">MAX(0,1-L74/Assumptions!$B$85)</f>
        <v>1</v>
      </c>
      <c r="N69" s="51" t="n">
        <f aca="false">MAX(0,1-M74/Assumptions!$B$85)</f>
        <v>1</v>
      </c>
      <c r="O69" s="51" t="n">
        <f aca="false">MAX(0,1-N74/Assumptions!$B$85)</f>
        <v>1</v>
      </c>
      <c r="P69" s="51" t="n">
        <f aca="false">MAX(0,1-O74/Assumptions!$B$85)</f>
        <v>0.997986366820092</v>
      </c>
      <c r="Q69" s="51" t="n">
        <f aca="false">MAX(0,1-P74/Assumptions!$B$85)</f>
        <v>0.996017938720984</v>
      </c>
      <c r="R69" s="51" t="n">
        <f aca="false">MAX(0,1-Q74/Assumptions!$B$85)</f>
        <v>0.994083420336593</v>
      </c>
      <c r="S69" s="51" t="n">
        <f aca="false">MAX(0,1-R74/Assumptions!$B$85)</f>
        <v>0.991609623338276</v>
      </c>
      <c r="T69" s="51" t="n">
        <f aca="false">MAX(0,1-S74/Assumptions!$B$85)</f>
        <v>0.98930940929181</v>
      </c>
      <c r="U69" s="51" t="n">
        <f aca="false">MAX(0,1-T74/Assumptions!$B$85)</f>
        <v>0.987317054890297</v>
      </c>
      <c r="V69" s="51" t="n">
        <f aca="false">MAX(0,1-U74/Assumptions!$B$85)</f>
        <v>0.985357963592632</v>
      </c>
      <c r="W69" s="51" t="n">
        <f aca="false">MAX(0,1-V74/Assumptions!$B$85)</f>
        <v>0.983367013829743</v>
      </c>
      <c r="X69" s="51" t="n">
        <f aca="false">MAX(0,1-W74/Assumptions!$B$85)</f>
        <v>0.981155066756894</v>
      </c>
      <c r="Y69" s="51" t="n">
        <f aca="false">MAX(0,1-X74/Assumptions!$B$85)</f>
        <v>0.978132008373506</v>
      </c>
      <c r="Z69" s="51" t="n">
        <f aca="false">MAX(0,1-Y74/Assumptions!$B$85)</f>
        <v>0.97528230115379</v>
      </c>
      <c r="AA69" s="51" t="n">
        <f aca="false">MAX(0,1-Z74/Assumptions!$B$85)</f>
        <v>0.972727765346271</v>
      </c>
      <c r="AB69" s="51" t="n">
        <f aca="false">MAX(0,1-AA74/Assumptions!$B$85)</f>
        <v>0.926450589756339</v>
      </c>
      <c r="AC69" s="51" t="n">
        <f aca="false">MAX(0,1-AB74/Assumptions!$B$85)</f>
        <v>0.852775402085134</v>
      </c>
      <c r="AD69" s="51" t="n">
        <f aca="false">MAX(0,1-AC74/Assumptions!$B$85)</f>
        <v>0.747524313483279</v>
      </c>
      <c r="AE69" s="51" t="n">
        <f aca="false">MAX(0,1-AD74/Assumptions!$B$85)</f>
        <v>0.61918068127875</v>
      </c>
    </row>
    <row r="70" customFormat="false" ht="15" hidden="false" customHeight="false" outlineLevel="0" collapsed="false">
      <c r="A70" s="6" t="s">
        <v>461</v>
      </c>
      <c r="B70" s="23" t="s">
        <v>190</v>
      </c>
      <c r="C70" s="54" t="n">
        <f aca="false">C68*C69*C15</f>
        <v>0</v>
      </c>
      <c r="D70" s="54" t="n">
        <f aca="false">D68*D69*D15</f>
        <v>0</v>
      </c>
      <c r="E70" s="54" t="n">
        <f aca="false">E68*E69*E15</f>
        <v>0</v>
      </c>
      <c r="F70" s="54" t="n">
        <f aca="false">F68*F69*F15</f>
        <v>0</v>
      </c>
      <c r="G70" s="54" t="n">
        <f aca="false">G68*G69*G15</f>
        <v>0</v>
      </c>
      <c r="H70" s="54" t="n">
        <f aca="false">H68*H69*H15</f>
        <v>0</v>
      </c>
      <c r="I70" s="54" t="n">
        <f aca="false">I68*I69*I15</f>
        <v>0</v>
      </c>
      <c r="J70" s="54" t="n">
        <f aca="false">J68*J69*J15</f>
        <v>0</v>
      </c>
      <c r="K70" s="54" t="n">
        <f aca="false">K68*K69*K15</f>
        <v>0</v>
      </c>
      <c r="L70" s="54" t="n">
        <f aca="false">L68*L69*L15</f>
        <v>0</v>
      </c>
      <c r="M70" s="54" t="n">
        <f aca="false">M68*M69*M15</f>
        <v>0</v>
      </c>
      <c r="N70" s="54" t="n">
        <f aca="false">N68*N69*N15</f>
        <v>0</v>
      </c>
      <c r="O70" s="54" t="n">
        <f aca="false">O68*O69*O15</f>
        <v>72.4473</v>
      </c>
      <c r="P70" s="54" t="n">
        <f aca="false">P68*P69*P15</f>
        <v>70.8208935209617</v>
      </c>
      <c r="Q70" s="54" t="n">
        <f aca="false">Q68*Q69*Q15</f>
        <v>69.6008762409613</v>
      </c>
      <c r="R70" s="54" t="n">
        <f aca="false">R68*R69*R15</f>
        <v>89.003257924258</v>
      </c>
      <c r="S70" s="54" t="n">
        <f aca="false">S68*S69*S15</f>
        <v>82.7580210493501</v>
      </c>
      <c r="T70" s="54" t="n">
        <f aca="false">T68*T69*T15</f>
        <v>71.6817235994223</v>
      </c>
      <c r="U70" s="54" t="n">
        <f aca="false">U68*U69*U15</f>
        <v>70.4849703438907</v>
      </c>
      <c r="V70" s="54" t="n">
        <f aca="false">V68*V69*V15</f>
        <v>71.6311869491344</v>
      </c>
      <c r="W70" s="54" t="n">
        <f aca="false">W68*W69*W15</f>
        <v>79.5823165657824</v>
      </c>
      <c r="X70" s="54" t="n">
        <f aca="false">X68*X69*X15</f>
        <v>108.764803740905</v>
      </c>
      <c r="Y70" s="54" t="n">
        <f aca="false">Y68*Y69*Y15</f>
        <v>102.52790623382</v>
      </c>
      <c r="Z70" s="54" t="n">
        <f aca="false">Z68*Z69*Z15</f>
        <v>91.908111097232</v>
      </c>
      <c r="AA70" s="54" t="n">
        <f aca="false">AA68*AA69*AA15</f>
        <v>1664.97873424482</v>
      </c>
      <c r="AB70" s="54" t="n">
        <f aca="false">AB68*AB69*AB15</f>
        <v>2650.71537210968</v>
      </c>
      <c r="AC70" s="54" t="n">
        <f aca="false">AC68*AC69*AC15</f>
        <v>3786.76576615295</v>
      </c>
      <c r="AD70" s="54" t="n">
        <f aca="false">AD68*AD69*AD15</f>
        <v>4617.59853690743</v>
      </c>
      <c r="AE70" s="54" t="n">
        <f aca="false">AE68*AE69*AE15</f>
        <v>4898.29419036065</v>
      </c>
    </row>
    <row r="71" customFormat="false" ht="15" hidden="false" customHeight="false" outlineLevel="0" collapsed="false">
      <c r="A71" s="6" t="s">
        <v>462</v>
      </c>
      <c r="B71" s="23" t="s">
        <v>190</v>
      </c>
      <c r="C71" s="28" t="n">
        <f aca="false">C70*(1-Assumptions!$B$122)^(C7/2)</f>
        <v>0</v>
      </c>
      <c r="D71" s="28" t="n">
        <f aca="false">C71*(1-Assumptions!$B$122)^D7+D70*(1-Assumptions!$B$122)^(D7/2)</f>
        <v>0</v>
      </c>
      <c r="E71" s="28" t="n">
        <f aca="false">D71*(1-Assumptions!$B$122)^E7+E70*(1-Assumptions!$B$122)^(E7/2)</f>
        <v>0</v>
      </c>
      <c r="F71" s="28" t="n">
        <f aca="false">E71*(1-Assumptions!$B$122)^F7+F70*(1-Assumptions!$B$122)^(F7/2)</f>
        <v>0</v>
      </c>
      <c r="G71" s="28" t="n">
        <f aca="false">F71*(1-Assumptions!$B$122)^G7+G70*(1-Assumptions!$B$122)^(G7/2)</f>
        <v>0</v>
      </c>
      <c r="H71" s="28" t="n">
        <f aca="false">G71*(1-Assumptions!$B$122)^H7+H70*(1-Assumptions!$B$122)^(H7/2)</f>
        <v>0</v>
      </c>
      <c r="I71" s="28" t="n">
        <f aca="false">H71*(1-Assumptions!$B$122)^I7+I70*(1-Assumptions!$B$122)^(I7/2)</f>
        <v>0</v>
      </c>
      <c r="J71" s="28" t="n">
        <f aca="false">I71*(1-Assumptions!$B$122)^J7+J70*(1-Assumptions!$B$122)^(J7/2)</f>
        <v>0</v>
      </c>
      <c r="K71" s="28" t="n">
        <f aca="false">J71*(1-Assumptions!$B$122)^K7+K70*(1-Assumptions!$B$122)^(K7/2)</f>
        <v>0</v>
      </c>
      <c r="L71" s="28" t="n">
        <f aca="false">K71*(1-Assumptions!$B$122)^L7+L70*(1-Assumptions!$B$122)^(L7/2)</f>
        <v>0</v>
      </c>
      <c r="M71" s="28" t="n">
        <f aca="false">L71*(1-Assumptions!$B$122)^M7+M70*(1-Assumptions!$B$122)^(M7/2)</f>
        <v>0</v>
      </c>
      <c r="N71" s="28" t="n">
        <f aca="false">M71*(1-Assumptions!$B$122)^N7+N70*(1-Assumptions!$B$122)^(N7/2)</f>
        <v>0</v>
      </c>
      <c r="O71" s="28" t="n">
        <f aca="false">N71*(1-Assumptions!$B$122)^O7+O70*(1-Assumptions!$B$122)^(O7/2)</f>
        <v>70.664938178039</v>
      </c>
      <c r="P71" s="28" t="n">
        <f aca="false">O71*(1-Assumptions!$B$122)^P7+P70*(1-Assumptions!$B$122)^(P7/2)</f>
        <v>136.309230561082</v>
      </c>
      <c r="Q71" s="28" t="n">
        <f aca="false">P71*(1-Assumptions!$B$122)^Q7+Q70*(1-Assumptions!$B$122)^(Q7/2)</f>
        <v>197.573267158306</v>
      </c>
      <c r="R71" s="28" t="n">
        <f aca="false">Q71*(1-Assumptions!$B$122)^R7+R70*(1-Assumptions!$B$122)^(R7/2)</f>
        <v>274.784967367684</v>
      </c>
      <c r="S71" s="28" t="n">
        <f aca="false">R71*(1-Assumptions!$B$122)^S7+S70*(1-Assumptions!$B$122)^(S7/2)</f>
        <v>342.152657953353</v>
      </c>
      <c r="T71" s="28" t="n">
        <f aca="false">S71*(1-Assumptions!$B$122)^T7+T70*(1-Assumptions!$B$122)^(T7/2)</f>
        <v>395.442543000576</v>
      </c>
      <c r="U71" s="28" t="n">
        <f aca="false">T71*(1-Assumptions!$B$122)^U7+U70*(1-Assumptions!$B$122)^(U7/2)</f>
        <v>444.975277030563</v>
      </c>
      <c r="V71" s="28" t="n">
        <f aca="false">U71*(1-Assumptions!$B$122)^V7+V70*(1-Assumptions!$B$122)^(V7/2)</f>
        <v>493.218781889682</v>
      </c>
      <c r="W71" s="28" t="n">
        <f aca="false">V71*(1-Assumptions!$B$122)^W7+W70*(1-Assumptions!$B$122)^(W7/2)</f>
        <v>546.873210244413</v>
      </c>
      <c r="X71" s="28" t="n">
        <f aca="false">W71*(1-Assumptions!$B$122)^X7+X70*(1-Assumptions!$B$122)^(X7/2)</f>
        <v>626.384615865534</v>
      </c>
      <c r="Y71" s="28" t="n">
        <f aca="false">X71*(1-Assumptions!$B$122)^Y7+Y70*(1-Assumptions!$B$122)^(Y7/2)</f>
        <v>695.948382448524</v>
      </c>
      <c r="Z71" s="28" t="n">
        <f aca="false">Y71*(1-Assumptions!$B$122)^Z7+Z70*(1-Assumptions!$B$122)^(Z7/2)</f>
        <v>751.772887533191</v>
      </c>
      <c r="AA71" s="28" t="n">
        <f aca="false">Z71*(1-Assumptions!$B$122)^AA7+AA70*(1-Assumptions!$B$122)^(AA7/2)</f>
        <v>1648.25636513855</v>
      </c>
      <c r="AB71" s="28" t="n">
        <f aca="false">AA71*(1-Assumptions!$B$122)^AB7+AB70*(1-Assumptions!$B$122)^(AB7/2)</f>
        <v>2872.36413406231</v>
      </c>
      <c r="AC71" s="28" t="n">
        <f aca="false">AB71*(1-Assumptions!$B$122)^AC7+AC70*(1-Assumptions!$B$122)^(AC7/2)</f>
        <v>4388.14092832719</v>
      </c>
      <c r="AD71" s="28" t="n">
        <f aca="false">AC71*(1-Assumptions!$B$122)^AD7+AD70*(1-Assumptions!$B$122)^(AD7/2)</f>
        <v>5837.98023892276</v>
      </c>
      <c r="AE71" s="28" t="n">
        <f aca="false">AD71*(1-Assumptions!$B$122)^AE7+AE70*(1-Assumptions!$B$122)^(AE7/2)</f>
        <v>6843.56132779773</v>
      </c>
    </row>
    <row r="72" customFormat="false" ht="15" hidden="false" customHeight="false" outlineLevel="0" collapsed="false">
      <c r="A72" s="6" t="s">
        <v>463</v>
      </c>
      <c r="B72" s="23" t="s">
        <v>190</v>
      </c>
      <c r="C72" s="54" t="n">
        <f aca="false">C70-C71</f>
        <v>0</v>
      </c>
      <c r="D72" s="54" t="n">
        <f aca="false">C71+D70-D71</f>
        <v>0</v>
      </c>
      <c r="E72" s="54" t="n">
        <f aca="false">D71+E70-E71</f>
        <v>0</v>
      </c>
      <c r="F72" s="54" t="n">
        <f aca="false">E71+F70-F71</f>
        <v>0</v>
      </c>
      <c r="G72" s="54" t="n">
        <f aca="false">F71+G70-G71</f>
        <v>0</v>
      </c>
      <c r="H72" s="54" t="n">
        <f aca="false">G71+H70-H71</f>
        <v>0</v>
      </c>
      <c r="I72" s="54" t="n">
        <f aca="false">H71+I70-I71</f>
        <v>0</v>
      </c>
      <c r="J72" s="54" t="n">
        <f aca="false">I71+J70-J71</f>
        <v>0</v>
      </c>
      <c r="K72" s="54" t="n">
        <f aca="false">J71+K70-K71</f>
        <v>0</v>
      </c>
      <c r="L72" s="54" t="n">
        <f aca="false">K71+L70-L71</f>
        <v>0</v>
      </c>
      <c r="M72" s="54" t="n">
        <f aca="false">L71+M70-M71</f>
        <v>0</v>
      </c>
      <c r="N72" s="54" t="n">
        <f aca="false">M71+N70-N71</f>
        <v>0</v>
      </c>
      <c r="O72" s="54" t="n">
        <f aca="false">N71+O70-O71</f>
        <v>1.78236182196102</v>
      </c>
      <c r="P72" s="54" t="n">
        <f aca="false">O71+P70-P71</f>
        <v>5.17660113791877</v>
      </c>
      <c r="Q72" s="54" t="n">
        <f aca="false">P71+Q70-Q71</f>
        <v>8.33683964373751</v>
      </c>
      <c r="R72" s="54" t="n">
        <f aca="false">Q71+R70-R71</f>
        <v>11.7915577148798</v>
      </c>
      <c r="S72" s="54" t="n">
        <f aca="false">R71+S70-S71</f>
        <v>15.3903304636815</v>
      </c>
      <c r="T72" s="54" t="n">
        <f aca="false">S71+T70-T71</f>
        <v>18.3918385521991</v>
      </c>
      <c r="U72" s="54" t="n">
        <f aca="false">T71+U70-U71</f>
        <v>20.9522363139037</v>
      </c>
      <c r="V72" s="54" t="n">
        <f aca="false">U71+V70-V71</f>
        <v>23.3876820900157</v>
      </c>
      <c r="W72" s="54" t="n">
        <f aca="false">V71+W70-W71</f>
        <v>25.9278882110509</v>
      </c>
      <c r="X72" s="54" t="n">
        <f aca="false">W71+X70-X71</f>
        <v>29.2533981197847</v>
      </c>
      <c r="Y72" s="54" t="n">
        <f aca="false">X71+Y70-Y71</f>
        <v>32.9641396508296</v>
      </c>
      <c r="Z72" s="54" t="n">
        <f aca="false">Y71+Z70-Z71</f>
        <v>36.0836060125652</v>
      </c>
      <c r="AA72" s="54" t="n">
        <f aca="false">Z71+AA70-AA71</f>
        <v>768.495256639469</v>
      </c>
      <c r="AB72" s="54" t="n">
        <f aca="false">AA71+AB70-AB71</f>
        <v>1426.60760318592</v>
      </c>
      <c r="AC72" s="54" t="n">
        <f aca="false">AB71+AC70-AC71</f>
        <v>2270.98897188807</v>
      </c>
      <c r="AD72" s="54" t="n">
        <f aca="false">AC71+AD70-AD71</f>
        <v>3167.75922631186</v>
      </c>
      <c r="AE72" s="54" t="n">
        <f aca="false">AD71+AE70-AE71</f>
        <v>3892.71310148568</v>
      </c>
    </row>
    <row r="73" customFormat="false" ht="15" hidden="false" customHeight="false" outlineLevel="0" collapsed="false">
      <c r="A73" s="6" t="s">
        <v>464</v>
      </c>
      <c r="B73" s="23" t="s">
        <v>190</v>
      </c>
      <c r="C73" s="45" t="n">
        <f aca="false">C72</f>
        <v>0</v>
      </c>
      <c r="D73" s="45" t="n">
        <f aca="false">C73+D72</f>
        <v>0</v>
      </c>
      <c r="E73" s="45" t="n">
        <f aca="false">D73+E72</f>
        <v>0</v>
      </c>
      <c r="F73" s="45" t="n">
        <f aca="false">E73+F72</f>
        <v>0</v>
      </c>
      <c r="G73" s="45" t="n">
        <f aca="false">F73+G72</f>
        <v>0</v>
      </c>
      <c r="H73" s="45" t="n">
        <f aca="false">G73+H72</f>
        <v>0</v>
      </c>
      <c r="I73" s="45" t="n">
        <f aca="false">H73+I72</f>
        <v>0</v>
      </c>
      <c r="J73" s="45" t="n">
        <f aca="false">I73+J72</f>
        <v>0</v>
      </c>
      <c r="K73" s="45" t="n">
        <f aca="false">J73+K72</f>
        <v>0</v>
      </c>
      <c r="L73" s="45" t="n">
        <f aca="false">K73+L72</f>
        <v>0</v>
      </c>
      <c r="M73" s="45" t="n">
        <f aca="false">L73+M72</f>
        <v>0</v>
      </c>
      <c r="N73" s="45" t="n">
        <f aca="false">M73+N72</f>
        <v>0</v>
      </c>
      <c r="O73" s="45" t="n">
        <f aca="false">N73+O72</f>
        <v>1.78236182196102</v>
      </c>
      <c r="P73" s="45" t="n">
        <f aca="false">O73+P72</f>
        <v>6.95896295987978</v>
      </c>
      <c r="Q73" s="45" t="n">
        <f aca="false">P73+Q72</f>
        <v>15.2958026036173</v>
      </c>
      <c r="R73" s="45" t="n">
        <f aca="false">Q73+R72</f>
        <v>27.0873603184971</v>
      </c>
      <c r="S73" s="45" t="n">
        <f aca="false">R73+S72</f>
        <v>42.4776907821786</v>
      </c>
      <c r="T73" s="45" t="n">
        <f aca="false">S73+T72</f>
        <v>60.8695293343777</v>
      </c>
      <c r="U73" s="45" t="n">
        <f aca="false">T73+U72</f>
        <v>81.8217656482813</v>
      </c>
      <c r="V73" s="45" t="n">
        <f aca="false">U73+V72</f>
        <v>105.209447738297</v>
      </c>
      <c r="W73" s="45" t="n">
        <f aca="false">V73+W72</f>
        <v>131.137335949348</v>
      </c>
      <c r="X73" s="45" t="n">
        <f aca="false">W73+X72</f>
        <v>160.390734069133</v>
      </c>
      <c r="Y73" s="45" t="n">
        <f aca="false">X73+Y72</f>
        <v>193.354873719962</v>
      </c>
      <c r="Z73" s="45" t="n">
        <f aca="false">Y73+Z72</f>
        <v>229.438479732527</v>
      </c>
      <c r="AA73" s="45" t="n">
        <f aca="false">Z73+AA72</f>
        <v>997.933736371996</v>
      </c>
      <c r="AB73" s="45" t="n">
        <f aca="false">AA73+AB72</f>
        <v>2424.54133955792</v>
      </c>
      <c r="AC73" s="45" t="n">
        <f aca="false">AB73+AC72</f>
        <v>4695.53031144599</v>
      </c>
      <c r="AD73" s="45" t="n">
        <f aca="false">AC73+AD72</f>
        <v>7863.28953775786</v>
      </c>
      <c r="AE73" s="45" t="n">
        <f aca="false">AD73+AE72</f>
        <v>11756.0026392435</v>
      </c>
    </row>
    <row r="74" customFormat="false" ht="15" hidden="false" customHeight="false" outlineLevel="0" collapsed="false">
      <c r="A74" s="6" t="s">
        <v>465</v>
      </c>
      <c r="B74" s="23" t="s">
        <v>190</v>
      </c>
      <c r="C74" s="45" t="n">
        <f aca="false">C70</f>
        <v>0</v>
      </c>
      <c r="D74" s="45" t="n">
        <f aca="false">C74+D70</f>
        <v>0</v>
      </c>
      <c r="E74" s="45" t="n">
        <f aca="false">D74+E70</f>
        <v>0</v>
      </c>
      <c r="F74" s="45" t="n">
        <f aca="false">E74+F70</f>
        <v>0</v>
      </c>
      <c r="G74" s="45" t="n">
        <f aca="false">F74+G70</f>
        <v>0</v>
      </c>
      <c r="H74" s="45" t="n">
        <f aca="false">G74+H70</f>
        <v>0</v>
      </c>
      <c r="I74" s="45" t="n">
        <f aca="false">H74+I70</f>
        <v>0</v>
      </c>
      <c r="J74" s="45" t="n">
        <f aca="false">I74+J70</f>
        <v>0</v>
      </c>
      <c r="K74" s="45" t="n">
        <f aca="false">J74+K70</f>
        <v>0</v>
      </c>
      <c r="L74" s="45" t="n">
        <f aca="false">K74+L70</f>
        <v>0</v>
      </c>
      <c r="M74" s="45" t="n">
        <f aca="false">L74+M70</f>
        <v>0</v>
      </c>
      <c r="N74" s="45" t="n">
        <f aca="false">M74+N70</f>
        <v>0</v>
      </c>
      <c r="O74" s="45" t="n">
        <f aca="false">N74+O70</f>
        <v>72.4473</v>
      </c>
      <c r="P74" s="45" t="n">
        <f aca="false">O74+P70</f>
        <v>143.268193520962</v>
      </c>
      <c r="Q74" s="45" t="n">
        <f aca="false">P74+Q70</f>
        <v>212.869069761923</v>
      </c>
      <c r="R74" s="45" t="n">
        <f aca="false">Q74+R70</f>
        <v>301.872327686181</v>
      </c>
      <c r="S74" s="45" t="n">
        <f aca="false">R74+S70</f>
        <v>384.630348735531</v>
      </c>
      <c r="T74" s="45" t="n">
        <f aca="false">S74+T70</f>
        <v>456.312072334953</v>
      </c>
      <c r="U74" s="45" t="n">
        <f aca="false">T74+U70</f>
        <v>526.797042678844</v>
      </c>
      <c r="V74" s="45" t="n">
        <f aca="false">U74+V70</f>
        <v>598.428229627979</v>
      </c>
      <c r="W74" s="45" t="n">
        <f aca="false">V74+W70</f>
        <v>678.010546193761</v>
      </c>
      <c r="X74" s="45" t="n">
        <f aca="false">W74+X70</f>
        <v>786.775349934666</v>
      </c>
      <c r="Y74" s="45" t="n">
        <f aca="false">X74+Y70</f>
        <v>889.303256168486</v>
      </c>
      <c r="Z74" s="45" t="n">
        <f aca="false">Y74+Z70</f>
        <v>981.211367265718</v>
      </c>
      <c r="AA74" s="45" t="n">
        <f aca="false">Z74+AA70</f>
        <v>2646.19010151054</v>
      </c>
      <c r="AB74" s="45" t="n">
        <f aca="false">AA74+AB70</f>
        <v>5296.90547362023</v>
      </c>
      <c r="AC74" s="45" t="n">
        <f aca="false">AB74+AC70</f>
        <v>9083.67123977318</v>
      </c>
      <c r="AD74" s="45" t="n">
        <f aca="false">AC74+AD70</f>
        <v>13701.2697766806</v>
      </c>
      <c r="AE74" s="45" t="n">
        <f aca="false">AD74+AE70</f>
        <v>18599.5639670413</v>
      </c>
    </row>
    <row r="75" customFormat="false" ht="15" hidden="false" customHeight="false" outlineLevel="0" collapsed="false">
      <c r="A75" s="6" t="s">
        <v>466</v>
      </c>
      <c r="B75" s="23" t="s">
        <v>114</v>
      </c>
      <c r="C75" s="55" t="n">
        <f aca="false">IF(C2&gt;=Assumptions!$B$47,C71*Assumptions!$B$176*C7,0)</f>
        <v>0</v>
      </c>
      <c r="D75" s="55" t="n">
        <f aca="false">IF(D2&gt;=Assumptions!$B$47,D71*Assumptions!$B$176*D7,0)</f>
        <v>0</v>
      </c>
      <c r="E75" s="55" t="n">
        <f aca="false">IF(E2&gt;=Assumptions!$B$47,E71*Assumptions!$B$176*E7,0)</f>
        <v>0</v>
      </c>
      <c r="F75" s="55" t="n">
        <f aca="false">IF(F2&gt;=Assumptions!$B$47,F71*Assumptions!$B$176*F7,0)</f>
        <v>0</v>
      </c>
      <c r="G75" s="55" t="n">
        <f aca="false">IF(G2&gt;=Assumptions!$B$47,G71*Assumptions!$B$176*G7,0)</f>
        <v>0</v>
      </c>
      <c r="H75" s="55" t="n">
        <f aca="false">IF(H2&gt;=Assumptions!$B$47,H71*Assumptions!$B$176*H7,0)</f>
        <v>0</v>
      </c>
      <c r="I75" s="55" t="n">
        <f aca="false">IF(I2&gt;=Assumptions!$B$47,I71*Assumptions!$B$176*I7,0)</f>
        <v>0</v>
      </c>
      <c r="J75" s="55" t="n">
        <f aca="false">IF(J2&gt;=Assumptions!$B$47,J71*Assumptions!$B$176*J7,0)</f>
        <v>0</v>
      </c>
      <c r="K75" s="55" t="n">
        <f aca="false">IF(K2&gt;=Assumptions!$B$47,K71*Assumptions!$B$176*K7,0)</f>
        <v>0</v>
      </c>
      <c r="L75" s="55" t="n">
        <f aca="false">IF(L2&gt;=Assumptions!$B$47,L71*Assumptions!$B$176*L7,0)</f>
        <v>0</v>
      </c>
      <c r="M75" s="55" t="n">
        <f aca="false">IF(M2&gt;=Assumptions!$B$47,M71*Assumptions!$B$176*M7,0)</f>
        <v>0</v>
      </c>
      <c r="N75" s="55" t="n">
        <f aca="false">IF(N2&gt;=Assumptions!$B$47,N71*Assumptions!$B$176*N7,0)</f>
        <v>0</v>
      </c>
      <c r="O75" s="55" t="n">
        <f aca="false">IF(O2&gt;=Assumptions!$B$47,O71*Assumptions!$B$176*O7,0)</f>
        <v>1837.28839262901</v>
      </c>
      <c r="P75" s="55" t="n">
        <f aca="false">IF(P2&gt;=Assumptions!$B$47,P71*Assumptions!$B$176*P7,0)</f>
        <v>3544.03999458813</v>
      </c>
      <c r="Q75" s="55" t="n">
        <f aca="false">IF(Q2&gt;=Assumptions!$B$47,Q71*Assumptions!$B$176*Q7,0)</f>
        <v>5136.90494611595</v>
      </c>
      <c r="R75" s="55" t="n">
        <f aca="false">IF(R2&gt;=Assumptions!$B$47,R71*Assumptions!$B$176*R7,0)</f>
        <v>7144.40915155978</v>
      </c>
      <c r="S75" s="55" t="n">
        <f aca="false">IF(S2&gt;=Assumptions!$B$47,S71*Assumptions!$B$176*S7,0)</f>
        <v>8895.96910678716</v>
      </c>
      <c r="T75" s="55" t="n">
        <f aca="false">IF(T2&gt;=Assumptions!$B$47,T71*Assumptions!$B$176*T7,0)</f>
        <v>10281.506118015</v>
      </c>
      <c r="U75" s="55" t="n">
        <f aca="false">IF(U2&gt;=Assumptions!$B$47,U71*Assumptions!$B$176*U7,0)</f>
        <v>11569.3572027946</v>
      </c>
      <c r="V75" s="55" t="n">
        <f aca="false">IF(V2&gt;=Assumptions!$B$47,V71*Assumptions!$B$176*V7,0)</f>
        <v>12823.6883291317</v>
      </c>
      <c r="W75" s="55" t="n">
        <f aca="false">IF(W2&gt;=Assumptions!$B$47,W71*Assumptions!$B$176*W7,0)</f>
        <v>14218.7034663547</v>
      </c>
      <c r="X75" s="55" t="n">
        <f aca="false">IF(X2&gt;=Assumptions!$B$47,X71*Assumptions!$B$176*X7,0)</f>
        <v>16286.0000125039</v>
      </c>
      <c r="Y75" s="55" t="n">
        <f aca="false">IF(Y2&gt;=Assumptions!$B$47,Y71*Assumptions!$B$176*Y7,0)</f>
        <v>18094.6579436616</v>
      </c>
      <c r="Z75" s="55" t="n">
        <f aca="false">IF(Z2&gt;=Assumptions!$B$47,Z71*Assumptions!$B$176*Z7,0)</f>
        <v>19546.095075863</v>
      </c>
      <c r="AA75" s="55" t="n">
        <f aca="false">IF(AA2&gt;=Assumptions!$B$47,AA71*Assumptions!$B$176*AA7,0)</f>
        <v>514255.985923226</v>
      </c>
      <c r="AB75" s="55" t="n">
        <f aca="false">IF(AB2&gt;=Assumptions!$B$47,AB71*Assumptions!$B$176*AB7,0)</f>
        <v>896177.60982744</v>
      </c>
      <c r="AC75" s="55" t="n">
        <f aca="false">IF(AC2&gt;=Assumptions!$B$47,AC71*Assumptions!$B$176*AC7,0)</f>
        <v>1369099.96963808</v>
      </c>
      <c r="AD75" s="55" t="n">
        <f aca="false">IF(AD2&gt;=Assumptions!$B$47,AD71*Assumptions!$B$176*AD7,0)</f>
        <v>1821449.8345439</v>
      </c>
      <c r="AE75" s="55" t="n">
        <f aca="false">IF(AE2&gt;=Assumptions!$B$47,AE71*Assumptions!$B$176*AE7,0)</f>
        <v>2135191.13427289</v>
      </c>
    </row>
    <row r="76" customFormat="false" ht="15" hidden="false" customHeight="false" outlineLevel="0" collapsed="false">
      <c r="A76" s="6" t="s">
        <v>467</v>
      </c>
      <c r="B76" s="23" t="s">
        <v>114</v>
      </c>
      <c r="C76" s="55" t="n">
        <f aca="false">IF(C2&gt;=Assumptions!$B$48,C71*Assumptions!$B$36*Assumptions!$B$139*Assumptions!$B$141*Assumptions!$B$33*Assumptions!$B$140/12*C7,0)</f>
        <v>0</v>
      </c>
      <c r="D76" s="55" t="n">
        <f aca="false">IF(D2&gt;=Assumptions!$B$48,D71*Assumptions!$B$36*Assumptions!$B$139*Assumptions!$B$141*Assumptions!$B$33*Assumptions!$B$140/12*D7,0)</f>
        <v>0</v>
      </c>
      <c r="E76" s="55" t="n">
        <f aca="false">IF(E2&gt;=Assumptions!$B$48,E71*Assumptions!$B$36*Assumptions!$B$139*Assumptions!$B$141*Assumptions!$B$33*Assumptions!$B$140/12*E7,0)</f>
        <v>0</v>
      </c>
      <c r="F76" s="55" t="n">
        <f aca="false">IF(F2&gt;=Assumptions!$B$48,F71*Assumptions!$B$36*Assumptions!$B$139*Assumptions!$B$141*Assumptions!$B$33*Assumptions!$B$140/12*F7,0)</f>
        <v>0</v>
      </c>
      <c r="G76" s="55" t="n">
        <f aca="false">IF(G2&gt;=Assumptions!$B$48,G71*Assumptions!$B$36*Assumptions!$B$139*Assumptions!$B$141*Assumptions!$B$33*Assumptions!$B$140/12*G7,0)</f>
        <v>0</v>
      </c>
      <c r="H76" s="55" t="n">
        <f aca="false">IF(H2&gt;=Assumptions!$B$48,H71*Assumptions!$B$36*Assumptions!$B$139*Assumptions!$B$141*Assumptions!$B$33*Assumptions!$B$140/12*H7,0)</f>
        <v>0</v>
      </c>
      <c r="I76" s="55" t="n">
        <f aca="false">IF(I2&gt;=Assumptions!$B$48,I71*Assumptions!$B$36*Assumptions!$B$139*Assumptions!$B$141*Assumptions!$B$33*Assumptions!$B$140/12*I7,0)</f>
        <v>0</v>
      </c>
      <c r="J76" s="55" t="n">
        <f aca="false">IF(J2&gt;=Assumptions!$B$48,J71*Assumptions!$B$36*Assumptions!$B$139*Assumptions!$B$141*Assumptions!$B$33*Assumptions!$B$140/12*J7,0)</f>
        <v>0</v>
      </c>
      <c r="K76" s="55" t="n">
        <f aca="false">IF(K2&gt;=Assumptions!$B$48,K71*Assumptions!$B$36*Assumptions!$B$139*Assumptions!$B$141*Assumptions!$B$33*Assumptions!$B$140/12*K7,0)</f>
        <v>0</v>
      </c>
      <c r="L76" s="55" t="n">
        <f aca="false">IF(L2&gt;=Assumptions!$B$48,L71*Assumptions!$B$36*Assumptions!$B$139*Assumptions!$B$141*Assumptions!$B$33*Assumptions!$B$140/12*L7,0)</f>
        <v>0</v>
      </c>
      <c r="M76" s="55" t="n">
        <f aca="false">IF(M2&gt;=Assumptions!$B$48,M71*Assumptions!$B$36*Assumptions!$B$139*Assumptions!$B$141*Assumptions!$B$33*Assumptions!$B$140/12*M7,0)</f>
        <v>0</v>
      </c>
      <c r="N76" s="55" t="n">
        <f aca="false">IF(N2&gt;=Assumptions!$B$48,N71*Assumptions!$B$36*Assumptions!$B$139*Assumptions!$B$141*Assumptions!$B$33*Assumptions!$B$140/12*N7,0)</f>
        <v>0</v>
      </c>
      <c r="O76" s="55" t="n">
        <f aca="false">IF(O2&gt;=Assumptions!$B$48,O71*Assumptions!$B$36*Assumptions!$B$139*Assumptions!$B$141*Assumptions!$B$33*Assumptions!$B$140/12*O7,0)</f>
        <v>145.157560507388</v>
      </c>
      <c r="P76" s="55" t="n">
        <f aca="false">IF(P2&gt;=Assumptions!$B$48,P71*Assumptions!$B$36*Assumptions!$B$139*Assumptions!$B$141*Assumptions!$B$33*Assumptions!$B$140/12*P7,0)</f>
        <v>280.001877777556</v>
      </c>
      <c r="Q76" s="55" t="n">
        <f aca="false">IF(Q2&gt;=Assumptions!$B$48,Q71*Assumptions!$B$36*Assumptions!$B$139*Assumptions!$B$141*Assumptions!$B$33*Assumptions!$B$140/12*Q7,0)</f>
        <v>405.84841962102</v>
      </c>
      <c r="R76" s="55" t="n">
        <f aca="false">IF(R2&gt;=Assumptions!$B$48,R71*Assumptions!$B$36*Assumptions!$B$139*Assumptions!$B$141*Assumptions!$B$33*Assumptions!$B$140/12*R7,0)</f>
        <v>564.454120467784</v>
      </c>
      <c r="S76" s="55" t="n">
        <f aca="false">IF(S2&gt;=Assumptions!$B$48,S71*Assumptions!$B$36*Assumptions!$B$139*Assumptions!$B$141*Assumptions!$B$33*Assumptions!$B$140/12*S7,0)</f>
        <v>702.838584879178</v>
      </c>
      <c r="T76" s="55" t="n">
        <f aca="false">IF(T2&gt;=Assumptions!$B$48,T71*Assumptions!$B$36*Assumptions!$B$139*Assumptions!$B$141*Assumptions!$B$33*Assumptions!$B$140/12*T7,0)</f>
        <v>812.304890413683</v>
      </c>
      <c r="U76" s="55" t="n">
        <f aca="false">IF(U2&gt;=Assumptions!$B$48,U71*Assumptions!$B$36*Assumptions!$B$139*Assumptions!$B$141*Assumptions!$B$33*Assumptions!$B$140/12*U7,0)</f>
        <v>914.053381566948</v>
      </c>
      <c r="V76" s="55" t="n">
        <f aca="false">IF(V2&gt;=Assumptions!$B$48,V71*Assumptions!$B$36*Assumptions!$B$139*Assumptions!$B$141*Assumptions!$B$33*Assumptions!$B$140/12*V7,0)</f>
        <v>1013.15358113172</v>
      </c>
      <c r="W76" s="55" t="n">
        <f aca="false">IF(W2&gt;=Assumptions!$B$48,W71*Assumptions!$B$36*Assumptions!$B$139*Assumptions!$B$141*Assumptions!$B$33*Assumptions!$B$140/12*W7,0)</f>
        <v>1123.36871937707</v>
      </c>
      <c r="X76" s="55" t="n">
        <f aca="false">IF(X2&gt;=Assumptions!$B$48,X71*Assumptions!$B$36*Assumptions!$B$139*Assumptions!$B$141*Assumptions!$B$33*Assumptions!$B$140/12*X7,0)</f>
        <v>1286.69839842378</v>
      </c>
      <c r="Y76" s="55" t="n">
        <f aca="false">IF(Y2&gt;=Assumptions!$B$48,Y71*Assumptions!$B$36*Assumptions!$B$139*Assumptions!$B$141*Assumptions!$B$33*Assumptions!$B$140/12*Y7,0)</f>
        <v>1429.59396894634</v>
      </c>
      <c r="Z76" s="55" t="n">
        <f aca="false">IF(Z2&gt;=Assumptions!$B$48,Z71*Assumptions!$B$36*Assumptions!$B$139*Assumptions!$B$141*Assumptions!$B$33*Assumptions!$B$140/12*Z7,0)</f>
        <v>1544.26680647443</v>
      </c>
      <c r="AA76" s="55" t="n">
        <f aca="false">IF(AA2&gt;=Assumptions!$B$48,AA71*Assumptions!$B$36*Assumptions!$B$139*Assumptions!$B$141*Assumptions!$B$33*Assumptions!$B$140/12*AA7,0)</f>
        <v>40629.5194006652</v>
      </c>
      <c r="AB76" s="55" t="n">
        <f aca="false">IF(AB2&gt;=Assumptions!$B$48,AB71*Assumptions!$B$36*Assumptions!$B$139*Assumptions!$B$141*Assumptions!$B$33*Assumptions!$B$140/12*AB7,0)</f>
        <v>70803.7759046358</v>
      </c>
      <c r="AC76" s="55" t="n">
        <f aca="false">IF(AC2&gt;=Assumptions!$B$48,AC71*Assumptions!$B$36*Assumptions!$B$139*Assumptions!$B$141*Assumptions!$B$33*Assumptions!$B$140/12*AC7,0)</f>
        <v>108167.673883265</v>
      </c>
      <c r="AD76" s="55" t="n">
        <f aca="false">IF(AD2&gt;=Assumptions!$B$48,AD71*Assumptions!$B$36*Assumptions!$B$139*Assumptions!$B$141*Assumptions!$B$33*Assumptions!$B$140/12*AD7,0)</f>
        <v>143906.212889446</v>
      </c>
      <c r="AE76" s="55" t="n">
        <f aca="false">IF(AE2&gt;=Assumptions!$B$48,AE71*Assumptions!$B$36*Assumptions!$B$139*Assumptions!$B$141*Assumptions!$B$33*Assumptions!$B$140/12*AE7,0)</f>
        <v>168693.786730214</v>
      </c>
    </row>
    <row r="77" customFormat="false" ht="15" hidden="false" customHeight="false" outlineLevel="0" collapsed="false">
      <c r="A77" s="6" t="s">
        <v>468</v>
      </c>
      <c r="B77" s="23" t="s">
        <v>47</v>
      </c>
      <c r="C77" s="54" t="n">
        <f aca="false">(C75+C76)*(1-Assumptions!$B$8)/C21/(1+Assumptions!$B$9)</f>
        <v>0</v>
      </c>
      <c r="D77" s="54" t="n">
        <f aca="false">(D75+D76)*(1-Assumptions!$B$8)/D21/(1+Assumptions!$B$9)</f>
        <v>0</v>
      </c>
      <c r="E77" s="54" t="n">
        <f aca="false">(E75+E76)*(1-Assumptions!$B$8)/E21/(1+Assumptions!$B$9)</f>
        <v>0</v>
      </c>
      <c r="F77" s="54" t="n">
        <f aca="false">(F75+F76)*(1-Assumptions!$B$8)/F21/(1+Assumptions!$B$9)</f>
        <v>0</v>
      </c>
      <c r="G77" s="54" t="n">
        <f aca="false">(G75+G76)*(1-Assumptions!$B$8)/G21/(1+Assumptions!$B$9)</f>
        <v>0</v>
      </c>
      <c r="H77" s="54" t="n">
        <f aca="false">(H75+H76)*(1-Assumptions!$B$8)/H21/(1+Assumptions!$B$9)</f>
        <v>0</v>
      </c>
      <c r="I77" s="54" t="n">
        <f aca="false">(I75+I76)*(1-Assumptions!$B$8)/I21/(1+Assumptions!$B$9)</f>
        <v>0</v>
      </c>
      <c r="J77" s="54" t="n">
        <f aca="false">(J75+J76)*(1-Assumptions!$B$8)/J21/(1+Assumptions!$B$9)</f>
        <v>0</v>
      </c>
      <c r="K77" s="54" t="n">
        <f aca="false">(K75+K76)*(1-Assumptions!$B$8)/K21/(1+Assumptions!$B$9)</f>
        <v>0</v>
      </c>
      <c r="L77" s="54" t="n">
        <f aca="false">(L75+L76)*(1-Assumptions!$B$8)/L21/(1+Assumptions!$B$9)</f>
        <v>0</v>
      </c>
      <c r="M77" s="54" t="n">
        <f aca="false">(M75+M76)*(1-Assumptions!$B$8)/M21/(1+Assumptions!$B$9)</f>
        <v>0</v>
      </c>
      <c r="N77" s="54" t="n">
        <f aca="false">(N75+N76)*(1-Assumptions!$B$8)/N21/(1+Assumptions!$B$9)</f>
        <v>0</v>
      </c>
      <c r="O77" s="54" t="n">
        <f aca="false">(O75+O76)*(1-Assumptions!$B$8)/O21/(1+Assumptions!$B$9)</f>
        <v>12.1338765310747</v>
      </c>
      <c r="P77" s="54" t="n">
        <f aca="false">(P75+P76)*(1-Assumptions!$B$8)/P21/(1+Assumptions!$B$9)</f>
        <v>23.4056579729376</v>
      </c>
      <c r="Q77" s="54" t="n">
        <f aca="false">(Q75+Q76)*(1-Assumptions!$B$8)/Q21/(1+Assumptions!$B$9)</f>
        <v>33.925305694033</v>
      </c>
      <c r="R77" s="54" t="n">
        <f aca="false">(R75+R76)*(1-Assumptions!$B$8)/R21/(1+Assumptions!$B$9)</f>
        <v>47.1833267331869</v>
      </c>
      <c r="S77" s="54" t="n">
        <f aca="false">(S75+S76)*(1-Assumptions!$B$8)/S21/(1+Assumptions!$B$9)</f>
        <v>58.7510328803379</v>
      </c>
      <c r="T77" s="54" t="n">
        <f aca="false">(T75+T76)*(1-Assumptions!$B$8)/T21/(1+Assumptions!$B$9)</f>
        <v>67.901439039175</v>
      </c>
      <c r="U77" s="54" t="n">
        <f aca="false">(U75+U76)*(1-Assumptions!$B$8)/U21/(1+Assumptions!$B$9)</f>
        <v>76.4067047970273</v>
      </c>
      <c r="V77" s="54" t="n">
        <f aca="false">(V75+V76)*(1-Assumptions!$B$8)/V21/(1+Assumptions!$B$9)</f>
        <v>84.6905970140133</v>
      </c>
      <c r="W77" s="54" t="n">
        <f aca="false">(W75+W76)*(1-Assumptions!$B$8)/W21/(1+Assumptions!$B$9)</f>
        <v>93.9035989041647</v>
      </c>
      <c r="X77" s="54" t="n">
        <f aca="false">(X75+X76)*(1-Assumptions!$B$8)/X21/(1+Assumptions!$B$9)</f>
        <v>107.556502359456</v>
      </c>
      <c r="Y77" s="54" t="n">
        <f aca="false">(Y75+Y76)*(1-Assumptions!$B$8)/Y21/(1+Assumptions!$B$9)</f>
        <v>119.501296715999</v>
      </c>
      <c r="Z77" s="54" t="n">
        <f aca="false">(Z75+Z76)*(1-Assumptions!$B$8)/Z21/(1+Assumptions!$B$9)</f>
        <v>129.086922481341</v>
      </c>
      <c r="AA77" s="54" t="n">
        <f aca="false">(AA75+AA76)*(1-Assumptions!$B$8)/AA21/(1+Assumptions!$B$9)</f>
        <v>3141.78094775416</v>
      </c>
      <c r="AB77" s="54" t="n">
        <f aca="false">(AB75+AB76)*(1-Assumptions!$B$8)/AB21/(1+Assumptions!$B$9)</f>
        <v>5064.83079943828</v>
      </c>
      <c r="AC77" s="54" t="n">
        <f aca="false">(AC75+AC76)*(1-Assumptions!$B$8)/AC21/(1+Assumptions!$B$9)</f>
        <v>7157.81252143415</v>
      </c>
      <c r="AD77" s="54" t="n">
        <f aca="false">(AD75+AD76)*(1-Assumptions!$B$8)/AD21/(1+Assumptions!$B$9)</f>
        <v>8809.2042355971</v>
      </c>
      <c r="AE77" s="54" t="n">
        <f aca="false">(AE75+AE76)*(1-Assumptions!$B$8)/AE21/(1+Assumptions!$B$9)</f>
        <v>9552.79653633173</v>
      </c>
    </row>
    <row r="78" customFormat="false" ht="15" hidden="false" customHeight="false" outlineLevel="0" collapsed="false">
      <c r="A78" s="6" t="s">
        <v>469</v>
      </c>
      <c r="B78" s="23" t="s">
        <v>470</v>
      </c>
      <c r="C78" s="56" t="n">
        <f aca="false">(Assumptions!$B$136+Assumptions!$B$137*IF(C71+C73=0,1,(C71+C73*Assumptions!$B$138)/(C71+C73)))*C7/12</f>
        <v>0.01</v>
      </c>
      <c r="D78" s="56" t="n">
        <f aca="false">(Assumptions!$B$136+Assumptions!$B$137*IF(D71+D73=0,1,(D71+D73*Assumptions!$B$138)/(D71+D73)))*D7/12</f>
        <v>0.01</v>
      </c>
      <c r="E78" s="56" t="n">
        <f aca="false">(Assumptions!$B$136+Assumptions!$B$137*IF(E71+E73=0,1,(E71+E73*Assumptions!$B$138)/(E71+E73)))*E7/12</f>
        <v>0.01</v>
      </c>
      <c r="F78" s="56" t="n">
        <f aca="false">(Assumptions!$B$136+Assumptions!$B$137*IF(F71+F73=0,1,(F71+F73*Assumptions!$B$138)/(F71+F73)))*F7/12</f>
        <v>0.01</v>
      </c>
      <c r="G78" s="56" t="n">
        <f aca="false">(Assumptions!$B$136+Assumptions!$B$137*IF(G71+G73=0,1,(G71+G73*Assumptions!$B$138)/(G71+G73)))*G7/12</f>
        <v>0.01</v>
      </c>
      <c r="H78" s="56" t="n">
        <f aca="false">(Assumptions!$B$136+Assumptions!$B$137*IF(H71+H73=0,1,(H71+H73*Assumptions!$B$138)/(H71+H73)))*H7/12</f>
        <v>0.01</v>
      </c>
      <c r="I78" s="56" t="n">
        <f aca="false">(Assumptions!$B$136+Assumptions!$B$137*IF(I71+I73=0,1,(I71+I73*Assumptions!$B$138)/(I71+I73)))*I7/12</f>
        <v>0.01</v>
      </c>
      <c r="J78" s="56" t="n">
        <f aca="false">(Assumptions!$B$136+Assumptions!$B$137*IF(J71+J73=0,1,(J71+J73*Assumptions!$B$138)/(J71+J73)))*J7/12</f>
        <v>0.01</v>
      </c>
      <c r="K78" s="56" t="n">
        <f aca="false">(Assumptions!$B$136+Assumptions!$B$137*IF(K71+K73=0,1,(K71+K73*Assumptions!$B$138)/(K71+K73)))*K7/12</f>
        <v>0.01</v>
      </c>
      <c r="L78" s="56" t="n">
        <f aca="false">(Assumptions!$B$136+Assumptions!$B$137*IF(L71+L73=0,1,(L71+L73*Assumptions!$B$138)/(L71+L73)))*L7/12</f>
        <v>0.01</v>
      </c>
      <c r="M78" s="56" t="n">
        <f aca="false">(Assumptions!$B$136+Assumptions!$B$137*IF(M71+M73=0,1,(M71+M73*Assumptions!$B$138)/(M71+M73)))*M7/12</f>
        <v>0.01</v>
      </c>
      <c r="N78" s="56" t="n">
        <f aca="false">(Assumptions!$B$136+Assumptions!$B$137*IF(N71+N73=0,1,(N71+N73*Assumptions!$B$138)/(N71+N73)))*N7/12</f>
        <v>0.01</v>
      </c>
      <c r="O78" s="56" t="n">
        <f aca="false">(Assumptions!$B$136+Assumptions!$B$137*IF(O71+O73=0,1,(O71+O73*Assumptions!$B$138)/(O71+O73)))*O7/12</f>
        <v>0.0100738065527064</v>
      </c>
      <c r="P78" s="56" t="n">
        <f aca="false">(Assumptions!$B$136+Assumptions!$B$137*IF(P71+P73=0,1,(P71+P73*Assumptions!$B$138)/(P71+P73)))*P7/12</f>
        <v>0.0101457189370967</v>
      </c>
      <c r="Q78" s="56" t="n">
        <f aca="false">(Assumptions!$B$136+Assumptions!$B$137*IF(Q71+Q73=0,1,(Q71+Q73*Assumptions!$B$138)/(Q71+Q73)))*Q7/12</f>
        <v>0.0102155663472489</v>
      </c>
      <c r="R78" s="56" t="n">
        <f aca="false">(Assumptions!$B$136+Assumptions!$B$137*IF(R71+R73=0,1,(R71+R73*Assumptions!$B$138)/(R71+R73)))*R7/12</f>
        <v>0.0102691935414496</v>
      </c>
      <c r="S78" s="56" t="n">
        <f aca="false">(Assumptions!$B$136+Assumptions!$B$137*IF(S71+S73=0,1,(S71+S73*Assumptions!$B$138)/(S71+S73)))*S7/12</f>
        <v>0.0103313130977976</v>
      </c>
      <c r="T78" s="56" t="n">
        <f aca="false">(Assumptions!$B$136+Assumptions!$B$137*IF(T71+T73=0,1,(T71+T73*Assumptions!$B$138)/(T71+T73)))*T7/12</f>
        <v>0.0104001835565488</v>
      </c>
      <c r="U78" s="56" t="n">
        <f aca="false">(Assumptions!$B$136+Assumptions!$B$137*IF(U71+U73=0,1,(U71+U73*Assumptions!$B$138)/(U71+U73)))*U7/12</f>
        <v>0.0104659580010104</v>
      </c>
      <c r="V78" s="56" t="n">
        <f aca="false">(Assumptions!$B$136+Assumptions!$B$137*IF(V71+V73=0,1,(V71+V73*Assumptions!$B$138)/(V71+V73)))*V7/12</f>
        <v>0.0105274289005569</v>
      </c>
      <c r="W78" s="56" t="n">
        <f aca="false">(Assumptions!$B$136+Assumptions!$B$137*IF(W71+W73=0,1,(W71+W73*Assumptions!$B$138)/(W71+W73)))*W7/12</f>
        <v>0.0105802446732674</v>
      </c>
      <c r="X78" s="56" t="n">
        <f aca="false">(Assumptions!$B$136+Assumptions!$B$137*IF(X71+X73=0,1,(X71+X73*Assumptions!$B$138)/(X71+X73)))*X7/12</f>
        <v>0.0106115750858836</v>
      </c>
      <c r="Y78" s="56" t="n">
        <f aca="false">(Assumptions!$B$136+Assumptions!$B$137*IF(Y71+Y73=0,1,(Y71+Y73*Assumptions!$B$138)/(Y71+Y73)))*Y7/12</f>
        <v>0.0106522686351775</v>
      </c>
      <c r="Z78" s="56" t="n">
        <f aca="false">(Assumptions!$B$136+Assumptions!$B$137*IF(Z71+Z73=0,1,(Z71+Z73*Assumptions!$B$138)/(Z71+Z73)))*Z7/12</f>
        <v>0.0107014955820535</v>
      </c>
      <c r="AA78" s="56" t="n">
        <f aca="false">(Assumptions!$B$136+Assumptions!$B$137*IF(AA71+AA73=0,1,(AA71+AA73*Assumptions!$B$138)/(AA71+AA73)))*AA7/12</f>
        <v>0.133576354355223</v>
      </c>
      <c r="AB78" s="56" t="n">
        <f aca="false">(Assumptions!$B$136+Assumptions!$B$137*IF(AB71+AB73=0,1,(AB71+AB73*Assumptions!$B$138)/(AB71+AB73)))*AB7/12</f>
        <v>0.136478203860495</v>
      </c>
      <c r="AC78" s="56" t="n">
        <f aca="false">(Assumptions!$B$136+Assumptions!$B$137*IF(AC71+AC73=0,1,(AC71+AC73*Assumptions!$B$138)/(AC71+AC73)))*AC7/12</f>
        <v>0.138609115934526</v>
      </c>
      <c r="AD78" s="56" t="n">
        <f aca="false">(Assumptions!$B$136+Assumptions!$B$137*IF(AD71+AD73=0,1,(AD71+AD73*Assumptions!$B$138)/(AD71+AD73)))*AD7/12</f>
        <v>0.140660743710125</v>
      </c>
      <c r="AE78" s="56" t="n">
        <f aca="false">(Assumptions!$B$136+Assumptions!$B$137*IF(AE71+AE73=0,1,(AE71+AE73*Assumptions!$B$138)/(AE71+AE73)))*AE7/12</f>
        <v>0.142754086911</v>
      </c>
    </row>
    <row r="79" customFormat="false" ht="15" hidden="false" customHeight="false" outlineLevel="0" collapsed="false">
      <c r="A79" s="6" t="s">
        <v>471</v>
      </c>
      <c r="B79" s="23" t="s">
        <v>470</v>
      </c>
      <c r="C79" s="56" t="n">
        <f aca="false">Assumptions!$B$137*IF(C71+C73=0,1,(C71+C73*Assumptions!$B$138)/(C71+C73))*C7/12</f>
        <v>0.005</v>
      </c>
      <c r="D79" s="56" t="n">
        <f aca="false">Assumptions!$B$137*IF(D71+D73=0,1,(D71+D73*Assumptions!$B$138)/(D71+D73))*D7/12</f>
        <v>0.005</v>
      </c>
      <c r="E79" s="56" t="n">
        <f aca="false">Assumptions!$B$137*IF(E71+E73=0,1,(E71+E73*Assumptions!$B$138)/(E71+E73))*E7/12</f>
        <v>0.005</v>
      </c>
      <c r="F79" s="56" t="n">
        <f aca="false">Assumptions!$B$137*IF(F71+F73=0,1,(F71+F73*Assumptions!$B$138)/(F71+F73))*F7/12</f>
        <v>0.005</v>
      </c>
      <c r="G79" s="56" t="n">
        <f aca="false">Assumptions!$B$137*IF(G71+G73=0,1,(G71+G73*Assumptions!$B$138)/(G71+G73))*G7/12</f>
        <v>0.005</v>
      </c>
      <c r="H79" s="56" t="n">
        <f aca="false">Assumptions!$B$137*IF(H71+H73=0,1,(H71+H73*Assumptions!$B$138)/(H71+H73))*H7/12</f>
        <v>0.005</v>
      </c>
      <c r="I79" s="56" t="n">
        <f aca="false">Assumptions!$B$137*IF(I71+I73=0,1,(I71+I73*Assumptions!$B$138)/(I71+I73))*I7/12</f>
        <v>0.005</v>
      </c>
      <c r="J79" s="56" t="n">
        <f aca="false">Assumptions!$B$137*IF(J71+J73=0,1,(J71+J73*Assumptions!$B$138)/(J71+J73))*J7/12</f>
        <v>0.005</v>
      </c>
      <c r="K79" s="56" t="n">
        <f aca="false">Assumptions!$B$137*IF(K71+K73=0,1,(K71+K73*Assumptions!$B$138)/(K71+K73))*K7/12</f>
        <v>0.005</v>
      </c>
      <c r="L79" s="56" t="n">
        <f aca="false">Assumptions!$B$137*IF(L71+L73=0,1,(L71+L73*Assumptions!$B$138)/(L71+L73))*L7/12</f>
        <v>0.005</v>
      </c>
      <c r="M79" s="56" t="n">
        <f aca="false">Assumptions!$B$137*IF(M71+M73=0,1,(M71+M73*Assumptions!$B$138)/(M71+M73))*M7/12</f>
        <v>0.005</v>
      </c>
      <c r="N79" s="56" t="n">
        <f aca="false">Assumptions!$B$137*IF(N71+N73=0,1,(N71+N73*Assumptions!$B$138)/(N71+N73))*N7/12</f>
        <v>0.005</v>
      </c>
      <c r="O79" s="56" t="n">
        <f aca="false">Assumptions!$B$137*IF(O71+O73=0,1,(O71+O73*Assumptions!$B$138)/(O71+O73))*O7/12</f>
        <v>0.00507380655270636</v>
      </c>
      <c r="P79" s="56" t="n">
        <f aca="false">Assumptions!$B$137*IF(P71+P73=0,1,(P71+P73*Assumptions!$B$138)/(P71+P73))*P7/12</f>
        <v>0.0051457189370967</v>
      </c>
      <c r="Q79" s="56" t="n">
        <f aca="false">Assumptions!$B$137*IF(Q71+Q73=0,1,(Q71+Q73*Assumptions!$B$138)/(Q71+Q73))*Q7/12</f>
        <v>0.00521556634724891</v>
      </c>
      <c r="R79" s="56" t="n">
        <f aca="false">Assumptions!$B$137*IF(R71+R73=0,1,(R71+R73*Assumptions!$B$138)/(R71+R73))*R7/12</f>
        <v>0.00526919354144965</v>
      </c>
      <c r="S79" s="56" t="n">
        <f aca="false">Assumptions!$B$137*IF(S71+S73=0,1,(S71+S73*Assumptions!$B$138)/(S71+S73))*S7/12</f>
        <v>0.00533131309779759</v>
      </c>
      <c r="T79" s="56" t="n">
        <f aca="false">Assumptions!$B$137*IF(T71+T73=0,1,(T71+T73*Assumptions!$B$138)/(T71+T73))*T7/12</f>
        <v>0.00540018355654875</v>
      </c>
      <c r="U79" s="56" t="n">
        <f aca="false">Assumptions!$B$137*IF(U71+U73=0,1,(U71+U73*Assumptions!$B$138)/(U71+U73))*U7/12</f>
        <v>0.00546595800101044</v>
      </c>
      <c r="V79" s="56" t="n">
        <f aca="false">Assumptions!$B$137*IF(V71+V73=0,1,(V71+V73*Assumptions!$B$138)/(V71+V73))*V7/12</f>
        <v>0.00552742890055689</v>
      </c>
      <c r="W79" s="56" t="n">
        <f aca="false">Assumptions!$B$137*IF(W71+W73=0,1,(W71+W73*Assumptions!$B$138)/(W71+W73))*W7/12</f>
        <v>0.00558024467326739</v>
      </c>
      <c r="X79" s="56" t="n">
        <f aca="false">Assumptions!$B$137*IF(X71+X73=0,1,(X71+X73*Assumptions!$B$138)/(X71+X73))*X7/12</f>
        <v>0.00561157508588361</v>
      </c>
      <c r="Y79" s="56" t="n">
        <f aca="false">Assumptions!$B$137*IF(Y71+Y73=0,1,(Y71+Y73*Assumptions!$B$138)/(Y71+Y73))*Y7/12</f>
        <v>0.00565226863517746</v>
      </c>
      <c r="Z79" s="56" t="n">
        <f aca="false">Assumptions!$B$137*IF(Z71+Z73=0,1,(Z71+Z73*Assumptions!$B$138)/(Z71+Z73))*Z7/12</f>
        <v>0.00570149558205351</v>
      </c>
      <c r="AA79" s="56" t="n">
        <f aca="false">Assumptions!$B$137*IF(AA71+AA73=0,1,(AA71+AA73*Assumptions!$B$138)/(AA71+AA73))*AA7/12</f>
        <v>0.0735763543552235</v>
      </c>
      <c r="AB79" s="56" t="n">
        <f aca="false">Assumptions!$B$137*IF(AB71+AB73=0,1,(AB71+AB73*Assumptions!$B$138)/(AB71+AB73))*AB7/12</f>
        <v>0.0764782038604949</v>
      </c>
      <c r="AC79" s="56" t="n">
        <f aca="false">Assumptions!$B$137*IF(AC71+AC73=0,1,(AC71+AC73*Assumptions!$B$138)/(AC71+AC73))*AC7/12</f>
        <v>0.0786091159345257</v>
      </c>
      <c r="AD79" s="56" t="n">
        <f aca="false">Assumptions!$B$137*IF(AD71+AD73=0,1,(AD71+AD73*Assumptions!$B$138)/(AD71+AD73))*AD7/12</f>
        <v>0.0806607437101252</v>
      </c>
      <c r="AE79" s="56" t="n">
        <f aca="false">Assumptions!$B$137*IF(AE71+AE73=0,1,(AE71+AE73*Assumptions!$B$138)/(AE71+AE73))*AE7/12</f>
        <v>0.0827540869110003</v>
      </c>
    </row>
    <row r="80" customFormat="false" ht="15" hidden="false" customHeight="false" outlineLevel="0" collapsed="false">
      <c r="A80" s="6" t="s">
        <v>472</v>
      </c>
      <c r="B80" s="23" t="s">
        <v>47</v>
      </c>
      <c r="C80" s="45" t="n">
        <f aca="false">C77</f>
        <v>0</v>
      </c>
      <c r="D80" s="45" t="n">
        <f aca="false">C80*(1-D78)+D77</f>
        <v>0</v>
      </c>
      <c r="E80" s="45" t="n">
        <f aca="false">D80*(1-E78)+E77</f>
        <v>0</v>
      </c>
      <c r="F80" s="45" t="n">
        <f aca="false">E80*(1-F78)+F77</f>
        <v>0</v>
      </c>
      <c r="G80" s="45" t="n">
        <f aca="false">F80*(1-G78)+G77</f>
        <v>0</v>
      </c>
      <c r="H80" s="45" t="n">
        <f aca="false">G80*(1-H78)+H77</f>
        <v>0</v>
      </c>
      <c r="I80" s="45" t="n">
        <f aca="false">H80*(1-I78)+I77</f>
        <v>0</v>
      </c>
      <c r="J80" s="45" t="n">
        <f aca="false">I80*(1-J78)+J77</f>
        <v>0</v>
      </c>
      <c r="K80" s="45" t="n">
        <f aca="false">J80*(1-K78)+K77</f>
        <v>0</v>
      </c>
      <c r="L80" s="45" t="n">
        <f aca="false">K80*(1-L78)+L77</f>
        <v>0</v>
      </c>
      <c r="M80" s="45" t="n">
        <f aca="false">L80*(1-M78)+M77</f>
        <v>0</v>
      </c>
      <c r="N80" s="45" t="n">
        <f aca="false">M80*(1-N78)+N77</f>
        <v>0</v>
      </c>
      <c r="O80" s="45" t="n">
        <f aca="false">N80*(1-O78)+O77</f>
        <v>12.1338765310747</v>
      </c>
      <c r="P80" s="45" t="n">
        <f aca="false">O80*(1-P78)+P77</f>
        <v>35.4164276031106</v>
      </c>
      <c r="Q80" s="45" t="n">
        <f aca="false">P80*(1-Q78)+Q77</f>
        <v>68.9799344311816</v>
      </c>
      <c r="R80" s="45" t="n">
        <f aca="false">Q80*(1-R78)+R77</f>
        <v>115.454892867218</v>
      </c>
      <c r="S80" s="45" t="n">
        <f aca="false">R80*(1-S78)+S77</f>
        <v>173.013125100672</v>
      </c>
      <c r="T80" s="45" t="n">
        <f aca="false">S80*(1-T78)+T77</f>
        <v>239.115195881108</v>
      </c>
      <c r="U80" s="45" t="n">
        <f aca="false">T80*(1-U78)+U77</f>
        <v>313.01933108064</v>
      </c>
      <c r="V80" s="45" t="n">
        <f aca="false">U80*(1-V78)+V77</f>
        <v>394.414639342202</v>
      </c>
      <c r="W80" s="45" t="n">
        <f aca="false">V80*(1-W78)+W77</f>
        <v>484.145234859408</v>
      </c>
      <c r="X80" s="45" t="n">
        <f aca="false">W80*(1-X78)+X77</f>
        <v>586.564193706681</v>
      </c>
      <c r="Y80" s="45" t="n">
        <f aca="false">X80*(1-Y78)+Y77</f>
        <v>699.81725105954</v>
      </c>
      <c r="Z80" s="45" t="n">
        <f aca="false">Y80*(1-Z78)+Z77</f>
        <v>821.415082320422</v>
      </c>
      <c r="AA80" s="45" t="n">
        <f aca="false">Z80*(1-AA78)+AA77</f>
        <v>3853.47439796582</v>
      </c>
      <c r="AB80" s="45" t="n">
        <f aca="false">AA80*(1-AB78)+AB77</f>
        <v>8392.38993294732</v>
      </c>
      <c r="AC80" s="45" t="n">
        <f aca="false">AB80*(1-AC78)+AC77</f>
        <v>14386.9407051978</v>
      </c>
      <c r="AD80" s="45" t="n">
        <f aca="false">AC80*(1-AD78)+AD77</f>
        <v>21172.4671614883</v>
      </c>
      <c r="AE80" s="45" t="n">
        <f aca="false">AD80*(1-AE78)+AE77</f>
        <v>27702.8074805287</v>
      </c>
    </row>
    <row r="81" customFormat="false" ht="15" hidden="false" customHeight="false" outlineLevel="0" collapsed="false">
      <c r="A81" s="6" t="s">
        <v>473</v>
      </c>
      <c r="B81" s="23" t="s">
        <v>47</v>
      </c>
      <c r="C81" s="45" t="n">
        <f aca="false">C77</f>
        <v>0</v>
      </c>
      <c r="D81" s="45" t="n">
        <f aca="false">C81*(1-D79)+D77</f>
        <v>0</v>
      </c>
      <c r="E81" s="45" t="n">
        <f aca="false">D81*(1-E79)+E77</f>
        <v>0</v>
      </c>
      <c r="F81" s="45" t="n">
        <f aca="false">E81*(1-F79)+F77</f>
        <v>0</v>
      </c>
      <c r="G81" s="45" t="n">
        <f aca="false">F81*(1-G79)+G77</f>
        <v>0</v>
      </c>
      <c r="H81" s="45" t="n">
        <f aca="false">G81*(1-H79)+H77</f>
        <v>0</v>
      </c>
      <c r="I81" s="45" t="n">
        <f aca="false">H81*(1-I79)+I77</f>
        <v>0</v>
      </c>
      <c r="J81" s="45" t="n">
        <f aca="false">I81*(1-J79)+J77</f>
        <v>0</v>
      </c>
      <c r="K81" s="45" t="n">
        <f aca="false">J81*(1-K79)+K77</f>
        <v>0</v>
      </c>
      <c r="L81" s="45" t="n">
        <f aca="false">K81*(1-L79)+L77</f>
        <v>0</v>
      </c>
      <c r="M81" s="45" t="n">
        <f aca="false">L81*(1-M79)+M77</f>
        <v>0</v>
      </c>
      <c r="N81" s="45" t="n">
        <f aca="false">M81*(1-N79)+N77</f>
        <v>0</v>
      </c>
      <c r="O81" s="45" t="n">
        <f aca="false">N81*(1-O79)+O77</f>
        <v>12.1338765310747</v>
      </c>
      <c r="P81" s="45" t="n">
        <f aca="false">O81*(1-P79)+P77</f>
        <v>35.477096985766</v>
      </c>
      <c r="Q81" s="45" t="n">
        <f aca="false">P81*(1-Q79)+Q77</f>
        <v>69.217369526662</v>
      </c>
      <c r="R81" s="45" t="n">
        <f aca="false">Q81*(1-R79)+R77</f>
        <v>116.035976543383</v>
      </c>
      <c r="S81" s="45" t="n">
        <f aca="false">R81*(1-S79)+S77</f>
        <v>174.168385302159</v>
      </c>
      <c r="T81" s="45" t="n">
        <f aca="false">S81*(1-T79)+T77</f>
        <v>241.129283090955</v>
      </c>
      <c r="U81" s="45" t="n">
        <f aca="false">T81*(1-U79)+U77</f>
        <v>316.217985353794</v>
      </c>
      <c r="V81" s="45" t="n">
        <f aca="false">U81*(1-V79)+V77</f>
        <v>399.160709936686</v>
      </c>
      <c r="W81" s="45" t="n">
        <f aca="false">V81*(1-W79)+W77</f>
        <v>490.836894415449</v>
      </c>
      <c r="X81" s="45" t="n">
        <f aca="false">W81*(1-X79)+X77</f>
        <v>595.639028686971</v>
      </c>
      <c r="Y81" s="45" t="n">
        <f aca="false">X81*(1-Y79)+Y77</f>
        <v>711.773613603235</v>
      </c>
      <c r="Z81" s="45" t="n">
        <f aca="false">Y81*(1-Z79)+Z77</f>
        <v>836.802361971194</v>
      </c>
      <c r="AA81" s="45" t="n">
        <f aca="false">Z81*(1-AA79)+AA77</f>
        <v>3917.01444261567</v>
      </c>
      <c r="AB81" s="45" t="n">
        <f aca="false">AA81*(1-AB79)+AB77</f>
        <v>8682.27901298708</v>
      </c>
      <c r="AC81" s="45" t="n">
        <f aca="false">AB81*(1-AC79)+AC77</f>
        <v>15157.5852569134</v>
      </c>
      <c r="AD81" s="45" t="n">
        <f aca="false">AC81*(1-AD79)+AD77</f>
        <v>22744.1673928383</v>
      </c>
      <c r="AE81" s="45" t="n">
        <f aca="false">AD81*(1-AE79)+AE77</f>
        <v>30414.7911240247</v>
      </c>
    </row>
    <row r="82" customFormat="false" ht="15" hidden="false" customHeight="false" outlineLevel="0" collapsed="false">
      <c r="A82" s="6" t="s">
        <v>474</v>
      </c>
      <c r="B82" s="23" t="s">
        <v>114</v>
      </c>
      <c r="C82" s="57" t="n">
        <f aca="false">C80*C21</f>
        <v>0</v>
      </c>
      <c r="D82" s="57" t="n">
        <f aca="false">D80*D21</f>
        <v>0</v>
      </c>
      <c r="E82" s="57" t="n">
        <f aca="false">E80*E21</f>
        <v>0</v>
      </c>
      <c r="F82" s="57" t="n">
        <f aca="false">F80*F21</f>
        <v>0</v>
      </c>
      <c r="G82" s="57" t="n">
        <f aca="false">G80*G21</f>
        <v>0</v>
      </c>
      <c r="H82" s="57" t="n">
        <f aca="false">H80*H21</f>
        <v>0</v>
      </c>
      <c r="I82" s="57" t="n">
        <f aca="false">I80*I21</f>
        <v>0</v>
      </c>
      <c r="J82" s="57" t="n">
        <f aca="false">J80*J21</f>
        <v>0</v>
      </c>
      <c r="K82" s="57" t="n">
        <f aca="false">K80*K21</f>
        <v>0</v>
      </c>
      <c r="L82" s="57" t="n">
        <f aca="false">L80*L21</f>
        <v>0</v>
      </c>
      <c r="M82" s="57" t="n">
        <f aca="false">M80*M21</f>
        <v>0</v>
      </c>
      <c r="N82" s="57" t="n">
        <f aca="false">N80*N21</f>
        <v>0</v>
      </c>
      <c r="O82" s="57" t="n">
        <f aca="false">O80*O21</f>
        <v>1855.49128618678</v>
      </c>
      <c r="P82" s="57" t="n">
        <f aca="false">P80*P21</f>
        <v>5415.81848448365</v>
      </c>
      <c r="Q82" s="57" t="n">
        <f aca="false">Q80*Q21</f>
        <v>10548.2915481304</v>
      </c>
      <c r="R82" s="57" t="n">
        <f aca="false">R80*R21</f>
        <v>17655.1613257414</v>
      </c>
      <c r="S82" s="57" t="n">
        <f aca="false">S80*S21</f>
        <v>26456.8660475571</v>
      </c>
      <c r="T82" s="57" t="n">
        <f aca="false">T80*T21</f>
        <v>36565.0796936982</v>
      </c>
      <c r="U82" s="57" t="n">
        <f aca="false">U80*U21</f>
        <v>47866.3714552155</v>
      </c>
      <c r="V82" s="57" t="n">
        <f aca="false">V80*V21</f>
        <v>60313.2003667371</v>
      </c>
      <c r="W82" s="57" t="n">
        <f aca="false">W80*W21</f>
        <v>74034.646901992</v>
      </c>
      <c r="X82" s="57" t="n">
        <f aca="false">X80*X21</f>
        <v>89696.3758799285</v>
      </c>
      <c r="Y82" s="57" t="n">
        <f aca="false">Y80*Y21</f>
        <v>107014.836350008</v>
      </c>
      <c r="Z82" s="57" t="n">
        <f aca="false">Z80*Z21</f>
        <v>125609.365126196</v>
      </c>
      <c r="AA82" s="57" t="n">
        <f aca="false">AA80*AA21</f>
        <v>636997.194482691</v>
      </c>
      <c r="AB82" s="57" t="n">
        <f aca="false">AB80*AB21</f>
        <v>1499672.36880268</v>
      </c>
      <c r="AC82" s="57" t="n">
        <f aca="false">AC80*AC21</f>
        <v>2779104.5371767</v>
      </c>
      <c r="AD82" s="57" t="n">
        <f aca="false">AD80*AD21</f>
        <v>4421133.11778825</v>
      </c>
      <c r="AE82" s="57" t="n">
        <f aca="false">AE80*AE21</f>
        <v>6253333.65102305</v>
      </c>
    </row>
    <row r="83" customFormat="false" ht="15" hidden="false" customHeight="false" outlineLevel="0" collapsed="false">
      <c r="A83" s="6" t="s">
        <v>475</v>
      </c>
      <c r="B83" s="23" t="s">
        <v>190</v>
      </c>
      <c r="C83" s="54" t="n">
        <f aca="false">C71+C73*Assumptions!$B$179</f>
        <v>0</v>
      </c>
      <c r="D83" s="54" t="n">
        <f aca="false">D71+D73*Assumptions!$B$179</f>
        <v>0</v>
      </c>
      <c r="E83" s="54" t="n">
        <f aca="false">E71+E73*Assumptions!$B$179</f>
        <v>0</v>
      </c>
      <c r="F83" s="54" t="n">
        <f aca="false">F71+F73*Assumptions!$B$179</f>
        <v>0</v>
      </c>
      <c r="G83" s="54" t="n">
        <f aca="false">G71+G73*Assumptions!$B$179</f>
        <v>0</v>
      </c>
      <c r="H83" s="54" t="n">
        <f aca="false">H71+H73*Assumptions!$B$179</f>
        <v>0</v>
      </c>
      <c r="I83" s="54" t="n">
        <f aca="false">I71+I73*Assumptions!$B$179</f>
        <v>0</v>
      </c>
      <c r="J83" s="54" t="n">
        <f aca="false">J71+J73*Assumptions!$B$179</f>
        <v>0</v>
      </c>
      <c r="K83" s="54" t="n">
        <f aca="false">K71+K73*Assumptions!$B$179</f>
        <v>0</v>
      </c>
      <c r="L83" s="54" t="n">
        <f aca="false">L71+L73*Assumptions!$B$179</f>
        <v>0</v>
      </c>
      <c r="M83" s="54" t="n">
        <f aca="false">M71+M73*Assumptions!$B$179</f>
        <v>0</v>
      </c>
      <c r="N83" s="54" t="n">
        <f aca="false">N71+N73*Assumptions!$B$179</f>
        <v>0</v>
      </c>
      <c r="O83" s="54" t="n">
        <f aca="false">O71+O73*Assumptions!$B$179</f>
        <v>72.4473</v>
      </c>
      <c r="P83" s="54" t="n">
        <f aca="false">P71+P73*Assumptions!$B$179</f>
        <v>143.268193520962</v>
      </c>
      <c r="Q83" s="54" t="n">
        <f aca="false">Q71+Q73*Assumptions!$B$179</f>
        <v>212.869069761923</v>
      </c>
      <c r="R83" s="54" t="n">
        <f aca="false">R71+R73*Assumptions!$B$179</f>
        <v>301.872327686181</v>
      </c>
      <c r="S83" s="54" t="n">
        <f aca="false">S71+S73*Assumptions!$B$179</f>
        <v>384.630348735531</v>
      </c>
      <c r="T83" s="54" t="n">
        <f aca="false">T71+T73*Assumptions!$B$179</f>
        <v>456.312072334953</v>
      </c>
      <c r="U83" s="54" t="n">
        <f aca="false">U71+U73*Assumptions!$B$179</f>
        <v>526.797042678844</v>
      </c>
      <c r="V83" s="54" t="n">
        <f aca="false">V71+V73*Assumptions!$B$179</f>
        <v>598.428229627979</v>
      </c>
      <c r="W83" s="54" t="n">
        <f aca="false">W71+W73*Assumptions!$B$179</f>
        <v>678.010546193761</v>
      </c>
      <c r="X83" s="54" t="n">
        <f aca="false">X71+X73*Assumptions!$B$179</f>
        <v>786.775349934666</v>
      </c>
      <c r="Y83" s="54" t="n">
        <f aca="false">Y71+Y73*Assumptions!$B$179</f>
        <v>889.303256168486</v>
      </c>
      <c r="Z83" s="54" t="n">
        <f aca="false">Z71+Z73*Assumptions!$B$179</f>
        <v>981.211367265718</v>
      </c>
      <c r="AA83" s="54" t="n">
        <f aca="false">AA71+AA73*Assumptions!$B$179</f>
        <v>2646.19010151054</v>
      </c>
      <c r="AB83" s="54" t="n">
        <f aca="false">AB71+AB73*Assumptions!$B$179</f>
        <v>5296.90547362023</v>
      </c>
      <c r="AC83" s="54" t="n">
        <f aca="false">AC71+AC73*Assumptions!$B$179</f>
        <v>9083.67123977318</v>
      </c>
      <c r="AD83" s="54" t="n">
        <f aca="false">AD71+AD73*Assumptions!$B$179</f>
        <v>13701.2697766806</v>
      </c>
      <c r="AE83" s="54" t="n">
        <f aca="false">AE71+AE73*Assumptions!$B$179</f>
        <v>18599.5639670413</v>
      </c>
    </row>
    <row r="84" customFormat="false" ht="15" hidden="false" customHeight="false" outlineLevel="0" collapsed="false">
      <c r="A84" s="6" t="s">
        <v>476</v>
      </c>
      <c r="B84" s="23" t="s">
        <v>190</v>
      </c>
      <c r="C84" s="45" t="n">
        <f aca="false">IF(C7&gt;1,C83*Assumptions!$B$134,IF(C2&gt;Assumptions!$B$135,INDEX($C$83:$AE$83,1,C2-Assumptions!$B$135)*Assumptions!$B$134,0))</f>
        <v>0</v>
      </c>
      <c r="D84" s="45" t="n">
        <f aca="false">IF(D7&gt;1,D83*Assumptions!$B$134,IF(D2&gt;Assumptions!$B$135,INDEX($C$83:$AE$83,1,D2-Assumptions!$B$135)*Assumptions!$B$134,0))</f>
        <v>0</v>
      </c>
      <c r="E84" s="45" t="n">
        <f aca="false">IF(E7&gt;1,E83*Assumptions!$B$134,IF(E2&gt;Assumptions!$B$135,INDEX($C$83:$AE$83,1,E2-Assumptions!$B$135)*Assumptions!$B$134,0))</f>
        <v>0</v>
      </c>
      <c r="F84" s="45" t="n">
        <f aca="false">IF(F7&gt;1,F83*Assumptions!$B$134,IF(F2&gt;Assumptions!$B$135,INDEX($C$83:$AE$83,1,F2-Assumptions!$B$135)*Assumptions!$B$134,0))</f>
        <v>0</v>
      </c>
      <c r="G84" s="45" t="n">
        <f aca="false">IF(G7&gt;1,G83*Assumptions!$B$134,IF(G2&gt;Assumptions!$B$135,INDEX($C$83:$AE$83,1,G2-Assumptions!$B$135)*Assumptions!$B$134,0))</f>
        <v>0</v>
      </c>
      <c r="H84" s="45" t="n">
        <f aca="false">IF(H7&gt;1,H83*Assumptions!$B$134,IF(H2&gt;Assumptions!$B$135,INDEX($C$83:$AE$83,1,H2-Assumptions!$B$135)*Assumptions!$B$134,0))</f>
        <v>0</v>
      </c>
      <c r="I84" s="45" t="n">
        <f aca="false">IF(I7&gt;1,I83*Assumptions!$B$134,IF(I2&gt;Assumptions!$B$135,INDEX($C$83:$AE$83,1,I2-Assumptions!$B$135)*Assumptions!$B$134,0))</f>
        <v>0</v>
      </c>
      <c r="J84" s="45" t="n">
        <f aca="false">IF(J7&gt;1,J83*Assumptions!$B$134,IF(J2&gt;Assumptions!$B$135,INDEX($C$83:$AE$83,1,J2-Assumptions!$B$135)*Assumptions!$B$134,0))</f>
        <v>0</v>
      </c>
      <c r="K84" s="45" t="n">
        <f aca="false">IF(K7&gt;1,K83*Assumptions!$B$134,IF(K2&gt;Assumptions!$B$135,INDEX($C$83:$AE$83,1,K2-Assumptions!$B$135)*Assumptions!$B$134,0))</f>
        <v>0</v>
      </c>
      <c r="L84" s="45" t="n">
        <f aca="false">IF(L7&gt;1,L83*Assumptions!$B$134,IF(L2&gt;Assumptions!$B$135,INDEX($C$83:$AE$83,1,L2-Assumptions!$B$135)*Assumptions!$B$134,0))</f>
        <v>0</v>
      </c>
      <c r="M84" s="45" t="n">
        <f aca="false">IF(M7&gt;1,M83*Assumptions!$B$134,IF(M2&gt;Assumptions!$B$135,INDEX($C$83:$AE$83,1,M2-Assumptions!$B$135)*Assumptions!$B$134,0))</f>
        <v>0</v>
      </c>
      <c r="N84" s="45" t="n">
        <f aca="false">IF(N7&gt;1,N83*Assumptions!$B$134,IF(N2&gt;Assumptions!$B$135,INDEX($C$83:$AE$83,1,N2-Assumptions!$B$135)*Assumptions!$B$134,0))</f>
        <v>0</v>
      </c>
      <c r="O84" s="45" t="n">
        <f aca="false">IF(O7&gt;1,O83*Assumptions!$B$134,IF(O2&gt;Assumptions!$B$135,INDEX($C$83:$AE$83,1,O2-Assumptions!$B$135)*Assumptions!$B$134,0))</f>
        <v>0</v>
      </c>
      <c r="P84" s="45" t="n">
        <f aca="false">IF(P7&gt;1,P83*Assumptions!$B$134,IF(P2&gt;Assumptions!$B$135,INDEX($C$83:$AE$83,1,P2-Assumptions!$B$135)*Assumptions!$B$134,0))</f>
        <v>0</v>
      </c>
      <c r="Q84" s="45" t="n">
        <f aca="false">IF(Q7&gt;1,Q83*Assumptions!$B$134,IF(Q2&gt;Assumptions!$B$135,INDEX($C$83:$AE$83,1,Q2-Assumptions!$B$135)*Assumptions!$B$134,0))</f>
        <v>0</v>
      </c>
      <c r="R84" s="45" t="n">
        <f aca="false">IF(R7&gt;1,R83*Assumptions!$B$134,IF(R2&gt;Assumptions!$B$135,INDEX($C$83:$AE$83,1,R2-Assumptions!$B$135)*Assumptions!$B$134,0))</f>
        <v>0</v>
      </c>
      <c r="S84" s="45" t="n">
        <f aca="false">IF(S7&gt;1,S83*Assumptions!$B$134,IF(S2&gt;Assumptions!$B$135,INDEX($C$83:$AE$83,1,S2-Assumptions!$B$135)*Assumptions!$B$134,0))</f>
        <v>0</v>
      </c>
      <c r="T84" s="45" t="n">
        <f aca="false">IF(T7&gt;1,T83*Assumptions!$B$134,IF(T2&gt;Assumptions!$B$135,INDEX($C$83:$AE$83,1,T2-Assumptions!$B$135)*Assumptions!$B$134,0))</f>
        <v>0</v>
      </c>
      <c r="U84" s="45" t="n">
        <f aca="false">IF(U7&gt;1,U83*Assumptions!$B$134,IF(U2&gt;Assumptions!$B$135,INDEX($C$83:$AE$83,1,U2-Assumptions!$B$135)*Assumptions!$B$134,0))</f>
        <v>0</v>
      </c>
      <c r="V84" s="45" t="n">
        <f aca="false">IF(V7&gt;1,V83*Assumptions!$B$134,IF(V2&gt;Assumptions!$B$135,INDEX($C$83:$AE$83,1,V2-Assumptions!$B$135)*Assumptions!$B$134,0))</f>
        <v>0</v>
      </c>
      <c r="W84" s="45" t="n">
        <f aca="false">IF(W7&gt;1,W83*Assumptions!$B$134,IF(W2&gt;Assumptions!$B$135,INDEX($C$83:$AE$83,1,W2-Assumptions!$B$135)*Assumptions!$B$134,0))</f>
        <v>39.846015</v>
      </c>
      <c r="X84" s="45" t="n">
        <f aca="false">IF(X7&gt;1,X83*Assumptions!$B$134,IF(X2&gt;Assumptions!$B$135,INDEX($C$83:$AE$83,1,X2-Assumptions!$B$135)*Assumptions!$B$134,0))</f>
        <v>78.7975064365289</v>
      </c>
      <c r="Y84" s="45" t="n">
        <f aca="false">IF(Y7&gt;1,Y83*Assumptions!$B$134,IF(Y2&gt;Assumptions!$B$135,INDEX($C$83:$AE$83,1,Y2-Assumptions!$B$135)*Assumptions!$B$134,0))</f>
        <v>117.077988369058</v>
      </c>
      <c r="Z84" s="45" t="n">
        <f aca="false">IF(Z7&gt;1,Z83*Assumptions!$B$134,IF(Z2&gt;Assumptions!$B$135,INDEX($C$83:$AE$83,1,Z2-Assumptions!$B$135)*Assumptions!$B$134,0))</f>
        <v>166.0297802274</v>
      </c>
      <c r="AA84" s="45" t="n">
        <f aca="false">IF(AA7&gt;1,AA83*Assumptions!$B$134,IF(AA2&gt;Assumptions!$B$135,INDEX($C$83:$AE$83,1,AA2-Assumptions!$B$135)*Assumptions!$B$134,0))</f>
        <v>1455.4045558308</v>
      </c>
      <c r="AB84" s="45" t="n">
        <f aca="false">IF(AB7&gt;1,AB83*Assumptions!$B$134,IF(AB2&gt;Assumptions!$B$135,INDEX($C$83:$AE$83,1,AB2-Assumptions!$B$135)*Assumptions!$B$134,0))</f>
        <v>2913.29801049113</v>
      </c>
      <c r="AC84" s="45" t="n">
        <f aca="false">IF(AC7&gt;1,AC83*Assumptions!$B$134,IF(AC2&gt;Assumptions!$B$135,INDEX($C$83:$AE$83,1,AC2-Assumptions!$B$135)*Assumptions!$B$134,0))</f>
        <v>4996.01918187525</v>
      </c>
      <c r="AD84" s="45" t="n">
        <f aca="false">IF(AD7&gt;1,AD83*Assumptions!$B$134,IF(AD2&gt;Assumptions!$B$135,INDEX($C$83:$AE$83,1,AD2-Assumptions!$B$135)*Assumptions!$B$134,0))</f>
        <v>7535.69837717434</v>
      </c>
      <c r="AE84" s="45" t="n">
        <f aca="false">IF(AE7&gt;1,AE83*Assumptions!$B$134,IF(AE2&gt;Assumptions!$B$135,INDEX($C$83:$AE$83,1,AE2-Assumptions!$B$135)*Assumptions!$B$134,0))</f>
        <v>10229.7601818727</v>
      </c>
    </row>
    <row r="85" customFormat="false" ht="15" hidden="false" customHeight="false" outlineLevel="0" collapsed="false">
      <c r="A85" s="6" t="s">
        <v>477</v>
      </c>
      <c r="B85" s="23" t="s">
        <v>478</v>
      </c>
      <c r="C85" s="28" t="n">
        <f aca="false">IF(C2&gt;=Assumptions!$B$51,C84*Assumptions!$B$143,0)</f>
        <v>0</v>
      </c>
      <c r="D85" s="28" t="n">
        <f aca="false">IF(D2&gt;=Assumptions!$B$51,D84*Assumptions!$B$143,0)</f>
        <v>0</v>
      </c>
      <c r="E85" s="28" t="n">
        <f aca="false">IF(E2&gt;=Assumptions!$B$51,E84*Assumptions!$B$143,0)</f>
        <v>0</v>
      </c>
      <c r="F85" s="28" t="n">
        <f aca="false">IF(F2&gt;=Assumptions!$B$51,F84*Assumptions!$B$143,0)</f>
        <v>0</v>
      </c>
      <c r="G85" s="28" t="n">
        <f aca="false">IF(G2&gt;=Assumptions!$B$51,G84*Assumptions!$B$143,0)</f>
        <v>0</v>
      </c>
      <c r="H85" s="28" t="n">
        <f aca="false">IF(H2&gt;=Assumptions!$B$51,H84*Assumptions!$B$143,0)</f>
        <v>0</v>
      </c>
      <c r="I85" s="28" t="n">
        <f aca="false">IF(I2&gt;=Assumptions!$B$51,I84*Assumptions!$B$143,0)</f>
        <v>0</v>
      </c>
      <c r="J85" s="28" t="n">
        <f aca="false">IF(J2&gt;=Assumptions!$B$51,J84*Assumptions!$B$143,0)</f>
        <v>0</v>
      </c>
      <c r="K85" s="28" t="n">
        <f aca="false">IF(K2&gt;=Assumptions!$B$51,K84*Assumptions!$B$143,0)</f>
        <v>0</v>
      </c>
      <c r="L85" s="28" t="n">
        <f aca="false">IF(L2&gt;=Assumptions!$B$51,L84*Assumptions!$B$143,0)</f>
        <v>0</v>
      </c>
      <c r="M85" s="28" t="n">
        <f aca="false">IF(M2&gt;=Assumptions!$B$51,M84*Assumptions!$B$143,0)</f>
        <v>0</v>
      </c>
      <c r="N85" s="28" t="n">
        <f aca="false">IF(N2&gt;=Assumptions!$B$51,N84*Assumptions!$B$143,0)</f>
        <v>0</v>
      </c>
      <c r="O85" s="28" t="n">
        <f aca="false">IF(O2&gt;=Assumptions!$B$51,O84*Assumptions!$B$143,0)</f>
        <v>0</v>
      </c>
      <c r="P85" s="28" t="n">
        <f aca="false">IF(P2&gt;=Assumptions!$B$51,P84*Assumptions!$B$143,0)</f>
        <v>0</v>
      </c>
      <c r="Q85" s="28" t="n">
        <f aca="false">IF(Q2&gt;=Assumptions!$B$51,Q84*Assumptions!$B$143,0)</f>
        <v>0</v>
      </c>
      <c r="R85" s="28" t="n">
        <f aca="false">IF(R2&gt;=Assumptions!$B$51,R84*Assumptions!$B$143,0)</f>
        <v>0</v>
      </c>
      <c r="S85" s="28" t="n">
        <f aca="false">IF(S2&gt;=Assumptions!$B$51,S84*Assumptions!$B$143,0)</f>
        <v>0</v>
      </c>
      <c r="T85" s="28" t="n">
        <f aca="false">IF(T2&gt;=Assumptions!$B$51,T84*Assumptions!$B$143,0)</f>
        <v>0</v>
      </c>
      <c r="U85" s="28" t="n">
        <f aca="false">IF(U2&gt;=Assumptions!$B$51,U84*Assumptions!$B$143,0)</f>
        <v>0</v>
      </c>
      <c r="V85" s="28" t="n">
        <f aca="false">IF(V2&gt;=Assumptions!$B$51,V84*Assumptions!$B$143,0)</f>
        <v>0</v>
      </c>
      <c r="W85" s="28" t="n">
        <f aca="false">IF(W2&gt;=Assumptions!$B$51,W84*Assumptions!$B$143,0)</f>
        <v>7.1722827</v>
      </c>
      <c r="X85" s="28" t="n">
        <f aca="false">IF(X2&gt;=Assumptions!$B$51,X84*Assumptions!$B$143,0)</f>
        <v>14.1835511585752</v>
      </c>
      <c r="Y85" s="28" t="n">
        <f aca="false">IF(Y2&gt;=Assumptions!$B$51,Y84*Assumptions!$B$143,0)</f>
        <v>21.0740379064304</v>
      </c>
      <c r="Z85" s="28" t="n">
        <f aca="false">IF(Z2&gt;=Assumptions!$B$51,Z84*Assumptions!$B$143,0)</f>
        <v>29.8853604409319</v>
      </c>
      <c r="AA85" s="28" t="n">
        <f aca="false">IF(AA2&gt;=Assumptions!$B$51,AA84*Assumptions!$B$143,0)</f>
        <v>261.972820049544</v>
      </c>
      <c r="AB85" s="28" t="n">
        <f aca="false">IF(AB2&gt;=Assumptions!$B$51,AB84*Assumptions!$B$143,0)</f>
        <v>524.393641888403</v>
      </c>
      <c r="AC85" s="28" t="n">
        <f aca="false">IF(AC2&gt;=Assumptions!$B$51,AC84*Assumptions!$B$143,0)</f>
        <v>899.283452737545</v>
      </c>
      <c r="AD85" s="28" t="n">
        <f aca="false">IF(AD2&gt;=Assumptions!$B$51,AD84*Assumptions!$B$143,0)</f>
        <v>1356.42570789138</v>
      </c>
      <c r="AE85" s="28" t="n">
        <f aca="false">IF(AE2&gt;=Assumptions!$B$51,AE84*Assumptions!$B$143,0)</f>
        <v>1841.35683273709</v>
      </c>
    </row>
    <row r="86" customFormat="false" ht="15" hidden="false" customHeight="false" outlineLevel="0" collapsed="false">
      <c r="A86" s="6" t="s">
        <v>479</v>
      </c>
      <c r="B86" s="23" t="s">
        <v>478</v>
      </c>
      <c r="C86" s="28" t="n">
        <f aca="false">IF(C83=0,0,C85*C71/C83)</f>
        <v>0</v>
      </c>
      <c r="D86" s="28" t="n">
        <f aca="false">IF(D83=0,0,D85*D71/D83)</f>
        <v>0</v>
      </c>
      <c r="E86" s="28" t="n">
        <f aca="false">IF(E83=0,0,E85*E71/E83)</f>
        <v>0</v>
      </c>
      <c r="F86" s="28" t="n">
        <f aca="false">IF(F83=0,0,F85*F71/F83)</f>
        <v>0</v>
      </c>
      <c r="G86" s="28" t="n">
        <f aca="false">IF(G83=0,0,G85*G71/G83)</f>
        <v>0</v>
      </c>
      <c r="H86" s="28" t="n">
        <f aca="false">IF(H83=0,0,H85*H71/H83)</f>
        <v>0</v>
      </c>
      <c r="I86" s="28" t="n">
        <f aca="false">IF(I83=0,0,I85*I71/I83)</f>
        <v>0</v>
      </c>
      <c r="J86" s="28" t="n">
        <f aca="false">IF(J83=0,0,J85*J71/J83)</f>
        <v>0</v>
      </c>
      <c r="K86" s="28" t="n">
        <f aca="false">IF(K83=0,0,K85*K71/K83)</f>
        <v>0</v>
      </c>
      <c r="L86" s="28" t="n">
        <f aca="false">IF(L83=0,0,L85*L71/L83)</f>
        <v>0</v>
      </c>
      <c r="M86" s="28" t="n">
        <f aca="false">IF(M83=0,0,M85*M71/M83)</f>
        <v>0</v>
      </c>
      <c r="N86" s="28" t="n">
        <f aca="false">IF(N83=0,0,N85*N71/N83)</f>
        <v>0</v>
      </c>
      <c r="O86" s="28" t="n">
        <f aca="false">IF(O83=0,0,O85*O71/O83)</f>
        <v>0</v>
      </c>
      <c r="P86" s="28" t="n">
        <f aca="false">IF(P83=0,0,P85*P71/P83)</f>
        <v>0</v>
      </c>
      <c r="Q86" s="28" t="n">
        <f aca="false">IF(Q83=0,0,Q85*Q71/Q83)</f>
        <v>0</v>
      </c>
      <c r="R86" s="28" t="n">
        <f aca="false">IF(R83=0,0,R85*R71/R83)</f>
        <v>0</v>
      </c>
      <c r="S86" s="28" t="n">
        <f aca="false">IF(S83=0,0,S85*S71/S83)</f>
        <v>0</v>
      </c>
      <c r="T86" s="28" t="n">
        <f aca="false">IF(T83=0,0,T85*T71/T83)</f>
        <v>0</v>
      </c>
      <c r="U86" s="28" t="n">
        <f aca="false">IF(U83=0,0,U85*U71/U83)</f>
        <v>0</v>
      </c>
      <c r="V86" s="28" t="n">
        <f aca="false">IF(V83=0,0,V85*V71/V83)</f>
        <v>0</v>
      </c>
      <c r="W86" s="28" t="n">
        <f aca="false">IF(W83=0,0,W85*W71/W83)</f>
        <v>5.78505642271905</v>
      </c>
      <c r="X86" s="28" t="n">
        <f aca="false">IF(X83=0,0,X85*X71/X83)</f>
        <v>11.2921156525952</v>
      </c>
      <c r="Y86" s="28" t="n">
        <f aca="false">IF(Y83=0,0,Y85*Y71/Y83)</f>
        <v>16.4920599254619</v>
      </c>
      <c r="Z86" s="28" t="n">
        <f aca="false">IF(Z83=0,0,Z85*Z71/Z83)</f>
        <v>22.8972110018018</v>
      </c>
      <c r="AA86" s="28" t="n">
        <f aca="false">IF(AA83=0,0,AA85*AA71/AA83)</f>
        <v>163.177380148716</v>
      </c>
      <c r="AB86" s="28" t="n">
        <f aca="false">IF(AB83=0,0,AB85*AB71/AB83)</f>
        <v>284.364049272168</v>
      </c>
      <c r="AC86" s="28" t="n">
        <f aca="false">IF(AC83=0,0,AC85*AC71/AC83)</f>
        <v>434.425951904392</v>
      </c>
      <c r="AD86" s="28" t="n">
        <f aca="false">IF(AD83=0,0,AD85*AD71/AD83)</f>
        <v>577.960043653353</v>
      </c>
      <c r="AE86" s="28" t="n">
        <f aca="false">IF(AE83=0,0,AE85*AE71/AE83)</f>
        <v>677.512571451975</v>
      </c>
    </row>
    <row r="87" customFormat="false" ht="15" hidden="false" customHeight="false" outlineLevel="0" collapsed="false">
      <c r="A87" s="6" t="s">
        <v>480</v>
      </c>
      <c r="B87" s="23" t="s">
        <v>114</v>
      </c>
      <c r="C87" s="55" t="n">
        <f aca="false">IF(C71=0,0,C82/C71*Assumptions!$B$31)</f>
        <v>0</v>
      </c>
      <c r="D87" s="55" t="n">
        <f aca="false">IF(D71=0,0,D82/D71*Assumptions!$B$31)</f>
        <v>0</v>
      </c>
      <c r="E87" s="55" t="n">
        <f aca="false">IF(E71=0,0,E82/E71*Assumptions!$B$31)</f>
        <v>0</v>
      </c>
      <c r="F87" s="55" t="n">
        <f aca="false">IF(F71=0,0,F82/F71*Assumptions!$B$31)</f>
        <v>0</v>
      </c>
      <c r="G87" s="55" t="n">
        <f aca="false">IF(G71=0,0,G82/G71*Assumptions!$B$31)</f>
        <v>0</v>
      </c>
      <c r="H87" s="55" t="n">
        <f aca="false">IF(H71=0,0,H82/H71*Assumptions!$B$31)</f>
        <v>0</v>
      </c>
      <c r="I87" s="55" t="n">
        <f aca="false">IF(I71=0,0,I82/I71*Assumptions!$B$31)</f>
        <v>0</v>
      </c>
      <c r="J87" s="55" t="n">
        <f aca="false">IF(J71=0,0,J82/J71*Assumptions!$B$31)</f>
        <v>0</v>
      </c>
      <c r="K87" s="55" t="n">
        <f aca="false">IF(K71=0,0,K82/K71*Assumptions!$B$31)</f>
        <v>0</v>
      </c>
      <c r="L87" s="55" t="n">
        <f aca="false">IF(L71=0,0,L82/L71*Assumptions!$B$31)</f>
        <v>0</v>
      </c>
      <c r="M87" s="55" t="n">
        <f aca="false">IF(M71=0,0,M82/M71*Assumptions!$B$31)</f>
        <v>0</v>
      </c>
      <c r="N87" s="55" t="n">
        <f aca="false">IF(N71=0,0,N82/N71*Assumptions!$B$31)</f>
        <v>0</v>
      </c>
      <c r="O87" s="55" t="n">
        <f aca="false">IF(O71=0,0,O82/O71*Assumptions!$B$31)</f>
        <v>13.1287972085386</v>
      </c>
      <c r="P87" s="55" t="n">
        <f aca="false">IF(P71=0,0,P82/P71*Assumptions!$B$31)</f>
        <v>19.8659271356416</v>
      </c>
      <c r="Q87" s="55" t="n">
        <f aca="false">IF(Q71=0,0,Q82/Q71*Assumptions!$B$31)</f>
        <v>26.6946325781983</v>
      </c>
      <c r="R87" s="55" t="n">
        <f aca="false">IF(R71=0,0,R82/R71*Assumptions!$B$31)</f>
        <v>32.1254133638931</v>
      </c>
      <c r="S87" s="55" t="n">
        <f aca="false">IF(S71=0,0,S82/S71*Assumptions!$B$31)</f>
        <v>38.6623710682442</v>
      </c>
      <c r="T87" s="55" t="n">
        <f aca="false">IF(T71=0,0,T82/T71*Assumptions!$B$31)</f>
        <v>46.2331131802946</v>
      </c>
      <c r="U87" s="55" t="n">
        <f aca="false">IF(U71=0,0,U82/U71*Assumptions!$B$31)</f>
        <v>53.7854280069674</v>
      </c>
      <c r="V87" s="55" t="n">
        <f aca="false">IF(V71=0,0,V82/V71*Assumptions!$B$31)</f>
        <v>61.1424408207425</v>
      </c>
      <c r="W87" s="55" t="n">
        <f aca="false">IF(W71=0,0,W82/W71*Assumptions!$B$31)</f>
        <v>67.6890415503293</v>
      </c>
      <c r="X87" s="55" t="n">
        <f aca="false">IF(X71=0,0,X82/X71*Assumptions!$B$31)</f>
        <v>71.598482472296</v>
      </c>
      <c r="Y87" s="55" t="n">
        <f aca="false">IF(Y71=0,0,Y82/Y71*Assumptions!$B$31)</f>
        <v>76.8841763619756</v>
      </c>
      <c r="Z87" s="55" t="n">
        <f aca="false">IF(Z71=0,0,Z82/Z71*Assumptions!$B$31)</f>
        <v>83.5420957640282</v>
      </c>
      <c r="AA87" s="55" t="n">
        <f aca="false">IF(AA71=0,0,AA82/AA71*Assumptions!$B$31)</f>
        <v>193.23365222653</v>
      </c>
      <c r="AB87" s="55" t="n">
        <f aca="false">IF(AB71=0,0,AB82/AB71*Assumptions!$B$31)</f>
        <v>261.051924270085</v>
      </c>
      <c r="AC87" s="55" t="n">
        <f aca="false">IF(AC71=0,0,AC82/AC71*Assumptions!$B$31)</f>
        <v>316.66081178438</v>
      </c>
      <c r="AD87" s="55" t="n">
        <f aca="false">IF(AD71=0,0,AD82/AD71*Assumptions!$B$31)</f>
        <v>378.652627865357</v>
      </c>
      <c r="AE87" s="55" t="n">
        <f aca="false">IF(AE71=0,0,AE82/AE71*Assumptions!$B$31)</f>
        <v>456.877154415403</v>
      </c>
    </row>
    <row r="88" customFormat="false" ht="15" hidden="false" customHeight="false" outlineLevel="0" collapsed="false">
      <c r="A88" s="6" t="s">
        <v>481</v>
      </c>
      <c r="B88" s="23" t="s">
        <v>76</v>
      </c>
      <c r="C88" s="55" t="n">
        <f aca="false">C87*Assumptions!$B$156*Assumptions!$B$158</f>
        <v>0</v>
      </c>
      <c r="D88" s="55" t="n">
        <f aca="false">D87*Assumptions!$B$156*Assumptions!$B$158</f>
        <v>0</v>
      </c>
      <c r="E88" s="55" t="n">
        <f aca="false">E87*Assumptions!$B$156*Assumptions!$B$158</f>
        <v>0</v>
      </c>
      <c r="F88" s="55" t="n">
        <f aca="false">F87*Assumptions!$B$156*Assumptions!$B$158</f>
        <v>0</v>
      </c>
      <c r="G88" s="55" t="n">
        <f aca="false">G87*Assumptions!$B$156*Assumptions!$B$158</f>
        <v>0</v>
      </c>
      <c r="H88" s="55" t="n">
        <f aca="false">H87*Assumptions!$B$156*Assumptions!$B$158</f>
        <v>0</v>
      </c>
      <c r="I88" s="55" t="n">
        <f aca="false">I87*Assumptions!$B$156*Assumptions!$B$158</f>
        <v>0</v>
      </c>
      <c r="J88" s="55" t="n">
        <f aca="false">J87*Assumptions!$B$156*Assumptions!$B$158</f>
        <v>0</v>
      </c>
      <c r="K88" s="55" t="n">
        <f aca="false">K87*Assumptions!$B$156*Assumptions!$B$158</f>
        <v>0</v>
      </c>
      <c r="L88" s="55" t="n">
        <f aca="false">L87*Assumptions!$B$156*Assumptions!$B$158</f>
        <v>0</v>
      </c>
      <c r="M88" s="55" t="n">
        <f aca="false">M87*Assumptions!$B$156*Assumptions!$B$158</f>
        <v>0</v>
      </c>
      <c r="N88" s="55" t="n">
        <f aca="false">N87*Assumptions!$B$156*Assumptions!$B$158</f>
        <v>0</v>
      </c>
      <c r="O88" s="55" t="n">
        <f aca="false">O87*Assumptions!$B$156*Assumptions!$B$158</f>
        <v>13.7852370689655</v>
      </c>
      <c r="P88" s="55" t="n">
        <f aca="false">P87*Assumptions!$B$156*Assumptions!$B$158</f>
        <v>20.8592234924237</v>
      </c>
      <c r="Q88" s="55" t="n">
        <f aca="false">Q87*Assumptions!$B$156*Assumptions!$B$158</f>
        <v>28.0293642071082</v>
      </c>
      <c r="R88" s="55" t="n">
        <f aca="false">R87*Assumptions!$B$156*Assumptions!$B$158</f>
        <v>33.7316840320877</v>
      </c>
      <c r="S88" s="55" t="n">
        <f aca="false">S87*Assumptions!$B$156*Assumptions!$B$158</f>
        <v>40.5954896216565</v>
      </c>
      <c r="T88" s="55" t="n">
        <f aca="false">T87*Assumptions!$B$156*Assumptions!$B$158</f>
        <v>48.5447688393093</v>
      </c>
      <c r="U88" s="55" t="n">
        <f aca="false">U87*Assumptions!$B$156*Assumptions!$B$158</f>
        <v>56.4746994073158</v>
      </c>
      <c r="V88" s="55" t="n">
        <f aca="false">V87*Assumptions!$B$156*Assumptions!$B$158</f>
        <v>64.1995628617797</v>
      </c>
      <c r="W88" s="55" t="n">
        <f aca="false">W87*Assumptions!$B$156*Assumptions!$B$158</f>
        <v>71.0734936278457</v>
      </c>
      <c r="X88" s="55" t="n">
        <f aca="false">X87*Assumptions!$B$156*Assumptions!$B$158</f>
        <v>75.1784065959108</v>
      </c>
      <c r="Y88" s="55" t="n">
        <f aca="false">Y87*Assumptions!$B$156*Assumptions!$B$158</f>
        <v>80.7283851800744</v>
      </c>
      <c r="Z88" s="55" t="n">
        <f aca="false">Z87*Assumptions!$B$156*Assumptions!$B$158</f>
        <v>87.7192005522296</v>
      </c>
      <c r="AA88" s="55" t="n">
        <f aca="false">AA87*Assumptions!$B$156*Assumptions!$B$158</f>
        <v>202.895334837856</v>
      </c>
      <c r="AB88" s="55" t="n">
        <f aca="false">AB87*Assumptions!$B$156*Assumptions!$B$158</f>
        <v>274.104520483589</v>
      </c>
      <c r="AC88" s="55" t="n">
        <f aca="false">AC87*Assumptions!$B$156*Assumptions!$B$158</f>
        <v>332.493852373599</v>
      </c>
      <c r="AD88" s="55" t="n">
        <f aca="false">AD87*Assumptions!$B$156*Assumptions!$B$158</f>
        <v>397.585259258625</v>
      </c>
      <c r="AE88" s="55" t="n">
        <f aca="false">AE87*Assumptions!$B$156*Assumptions!$B$158</f>
        <v>479.721012136173</v>
      </c>
    </row>
    <row r="89" customFormat="false" ht="15" hidden="false" customHeight="false" outlineLevel="0" collapsed="false">
      <c r="A89" s="6" t="s">
        <v>482</v>
      </c>
      <c r="B89" s="23" t="s">
        <v>114</v>
      </c>
      <c r="C89" s="55" t="n">
        <f aca="false">C88/12*C16</f>
        <v>0</v>
      </c>
      <c r="D89" s="55" t="n">
        <f aca="false">D88/12*D16</f>
        <v>0</v>
      </c>
      <c r="E89" s="55" t="n">
        <f aca="false">E88/12*E16</f>
        <v>0</v>
      </c>
      <c r="F89" s="55" t="n">
        <f aca="false">F88/12*F16</f>
        <v>0</v>
      </c>
      <c r="G89" s="55" t="n">
        <f aca="false">G88/12*G16</f>
        <v>0</v>
      </c>
      <c r="H89" s="55" t="n">
        <f aca="false">H88/12*H16</f>
        <v>0</v>
      </c>
      <c r="I89" s="55" t="n">
        <f aca="false">I88/12*I16</f>
        <v>0</v>
      </c>
      <c r="J89" s="55" t="n">
        <f aca="false">J88/12*J16</f>
        <v>0</v>
      </c>
      <c r="K89" s="55" t="n">
        <f aca="false">K88/12*K16</f>
        <v>0</v>
      </c>
      <c r="L89" s="55" t="n">
        <f aca="false">L88/12*L16</f>
        <v>0</v>
      </c>
      <c r="M89" s="55" t="n">
        <f aca="false">M88/12*M16</f>
        <v>0</v>
      </c>
      <c r="N89" s="55" t="n">
        <f aca="false">N88/12*N16</f>
        <v>0</v>
      </c>
      <c r="O89" s="55" t="n">
        <f aca="false">O88/12*O16</f>
        <v>1.26364673132184</v>
      </c>
      <c r="P89" s="55" t="n">
        <f aca="false">P88/12*P16</f>
        <v>1.73826862436864</v>
      </c>
      <c r="Q89" s="55" t="n">
        <f aca="false">Q88/12*Q16</f>
        <v>2.28906474358051</v>
      </c>
      <c r="R89" s="55" t="n">
        <f aca="false">R88/12*R16</f>
        <v>2.75475419595383</v>
      </c>
      <c r="S89" s="55" t="n">
        <f aca="false">S88/12*S16</f>
        <v>3.38295746847137</v>
      </c>
      <c r="T89" s="55" t="n">
        <f aca="false">T88/12*T16</f>
        <v>3.84312753311198</v>
      </c>
      <c r="U89" s="55" t="n">
        <f aca="false">U88/12*U16</f>
        <v>4.14147795653649</v>
      </c>
      <c r="V89" s="55" t="n">
        <f aca="false">V88/12*V16</f>
        <v>4.81496721463347</v>
      </c>
      <c r="W89" s="55" t="n">
        <f aca="false">W88/12*W16</f>
        <v>5.92279113565381</v>
      </c>
      <c r="X89" s="55" t="n">
        <f aca="false">X88/12*X16</f>
        <v>6.39016456065242</v>
      </c>
      <c r="Y89" s="55" t="n">
        <f aca="false">Y88/12*Y16</f>
        <v>7.06373370325651</v>
      </c>
      <c r="Z89" s="55" t="n">
        <f aca="false">Z88/12*Z16</f>
        <v>8.33332405246181</v>
      </c>
      <c r="AA89" s="55" t="n">
        <f aca="false">AA88/12*AA16</f>
        <v>16.9079445698213</v>
      </c>
      <c r="AB89" s="55" t="n">
        <f aca="false">AB88/12*AB16</f>
        <v>22.8420433736324</v>
      </c>
      <c r="AC89" s="55" t="n">
        <f aca="false">AC88/12*AC16</f>
        <v>27.7078210311333</v>
      </c>
      <c r="AD89" s="55" t="n">
        <f aca="false">AD88/12*AD16</f>
        <v>33.1321049382187</v>
      </c>
      <c r="AE89" s="55" t="n">
        <f aca="false">AE88/12*AE16</f>
        <v>39.9767510113478</v>
      </c>
    </row>
    <row r="90" customFormat="false" ht="15" hidden="false" customHeight="false" outlineLevel="0" collapsed="false">
      <c r="A90" s="6" t="s">
        <v>483</v>
      </c>
      <c r="B90" s="23" t="s">
        <v>484</v>
      </c>
      <c r="C90" s="45" t="n">
        <f aca="false">C86*C89*Assumptions!$B$7*C7</f>
        <v>0</v>
      </c>
      <c r="D90" s="45" t="n">
        <f aca="false">D86*D89*Assumptions!$B$7*D7</f>
        <v>0</v>
      </c>
      <c r="E90" s="45" t="n">
        <f aca="false">E86*E89*Assumptions!$B$7*E7</f>
        <v>0</v>
      </c>
      <c r="F90" s="45" t="n">
        <f aca="false">F86*F89*Assumptions!$B$7*F7</f>
        <v>0</v>
      </c>
      <c r="G90" s="45" t="n">
        <f aca="false">G86*G89*Assumptions!$B$7*G7</f>
        <v>0</v>
      </c>
      <c r="H90" s="45" t="n">
        <f aca="false">H86*H89*Assumptions!$B$7*H7</f>
        <v>0</v>
      </c>
      <c r="I90" s="45" t="n">
        <f aca="false">I86*I89*Assumptions!$B$7*I7</f>
        <v>0</v>
      </c>
      <c r="J90" s="45" t="n">
        <f aca="false">J86*J89*Assumptions!$B$7*J7</f>
        <v>0</v>
      </c>
      <c r="K90" s="45" t="n">
        <f aca="false">K86*K89*Assumptions!$B$7*K7</f>
        <v>0</v>
      </c>
      <c r="L90" s="45" t="n">
        <f aca="false">L86*L89*Assumptions!$B$7*L7</f>
        <v>0</v>
      </c>
      <c r="M90" s="45" t="n">
        <f aca="false">M86*M89*Assumptions!$B$7*M7</f>
        <v>0</v>
      </c>
      <c r="N90" s="45" t="n">
        <f aca="false">N86*N89*Assumptions!$B$7*N7</f>
        <v>0</v>
      </c>
      <c r="O90" s="45" t="n">
        <f aca="false">O86*O89*Assumptions!$B$7*O7</f>
        <v>0</v>
      </c>
      <c r="P90" s="45" t="n">
        <f aca="false">P86*P89*Assumptions!$B$7*P7</f>
        <v>0</v>
      </c>
      <c r="Q90" s="45" t="n">
        <f aca="false">Q86*Q89*Assumptions!$B$7*Q7</f>
        <v>0</v>
      </c>
      <c r="R90" s="45" t="n">
        <f aca="false">R86*R89*Assumptions!$B$7*R7</f>
        <v>0</v>
      </c>
      <c r="S90" s="45" t="n">
        <f aca="false">S86*S89*Assumptions!$B$7*S7</f>
        <v>0</v>
      </c>
      <c r="T90" s="45" t="n">
        <f aca="false">T86*T89*Assumptions!$B$7*T7</f>
        <v>0</v>
      </c>
      <c r="U90" s="45" t="n">
        <f aca="false">U86*U89*Assumptions!$B$7*U7</f>
        <v>0</v>
      </c>
      <c r="V90" s="45" t="n">
        <f aca="false">V86*V89*Assumptions!$B$7*V7</f>
        <v>0</v>
      </c>
      <c r="W90" s="45" t="n">
        <f aca="false">W86*W89*Assumptions!$B$7*W7</f>
        <v>125.833368104286</v>
      </c>
      <c r="X90" s="45" t="n">
        <f aca="false">X86*X89*Assumptions!$B$7*X7</f>
        <v>265.002007730012</v>
      </c>
      <c r="Y90" s="45" t="n">
        <f aca="false">Y86*Y89*Assumptions!$B$7*Y7</f>
        <v>427.829795479843</v>
      </c>
      <c r="Z90" s="45" t="n">
        <f aca="false">Z86*Z89*Assumptions!$B$7*Z7</f>
        <v>700.749281272421</v>
      </c>
      <c r="AA90" s="45" t="n">
        <f aca="false">AA86*AA89*Assumptions!$B$7*AA7</f>
        <v>121588.869925441</v>
      </c>
      <c r="AB90" s="45" t="n">
        <f aca="false">AB86*AB89*Assumptions!$B$7*AB7</f>
        <v>286254.743600888</v>
      </c>
      <c r="AC90" s="45" t="n">
        <f aca="false">AC86*AC89*Assumptions!$B$7*AC7</f>
        <v>530470.436929315</v>
      </c>
      <c r="AD90" s="45" t="n">
        <f aca="false">AD86*AD89*Assumptions!$B$7*AD7</f>
        <v>843897.876219645</v>
      </c>
      <c r="AE90" s="45" t="n">
        <f aca="false">AE86*AE89*Assumptions!$B$7*AE7</f>
        <v>1193624.99314004</v>
      </c>
    </row>
    <row r="91" customFormat="false" ht="15" hidden="false" customHeight="false" outlineLevel="0" collapsed="false">
      <c r="A91" s="6" t="s">
        <v>483</v>
      </c>
      <c r="B91" s="23" t="s">
        <v>114</v>
      </c>
      <c r="C91" s="55" t="n">
        <f aca="false">C90/Assumptions!$B$7</f>
        <v>0</v>
      </c>
      <c r="D91" s="55" t="n">
        <f aca="false">D90/Assumptions!$B$7</f>
        <v>0</v>
      </c>
      <c r="E91" s="55" t="n">
        <f aca="false">E90/Assumptions!$B$7</f>
        <v>0</v>
      </c>
      <c r="F91" s="55" t="n">
        <f aca="false">F90/Assumptions!$B$7</f>
        <v>0</v>
      </c>
      <c r="G91" s="55" t="n">
        <f aca="false">G90/Assumptions!$B$7</f>
        <v>0</v>
      </c>
      <c r="H91" s="55" t="n">
        <f aca="false">H90/Assumptions!$B$7</f>
        <v>0</v>
      </c>
      <c r="I91" s="55" t="n">
        <f aca="false">I90/Assumptions!$B$7</f>
        <v>0</v>
      </c>
      <c r="J91" s="55" t="n">
        <f aca="false">J90/Assumptions!$B$7</f>
        <v>0</v>
      </c>
      <c r="K91" s="55" t="n">
        <f aca="false">K90/Assumptions!$B$7</f>
        <v>0</v>
      </c>
      <c r="L91" s="55" t="n">
        <f aca="false">L90/Assumptions!$B$7</f>
        <v>0</v>
      </c>
      <c r="M91" s="55" t="n">
        <f aca="false">M90/Assumptions!$B$7</f>
        <v>0</v>
      </c>
      <c r="N91" s="55" t="n">
        <f aca="false">N90/Assumptions!$B$7</f>
        <v>0</v>
      </c>
      <c r="O91" s="55" t="n">
        <f aca="false">O90/Assumptions!$B$7</f>
        <v>0</v>
      </c>
      <c r="P91" s="55" t="n">
        <f aca="false">P90/Assumptions!$B$7</f>
        <v>0</v>
      </c>
      <c r="Q91" s="55" t="n">
        <f aca="false">Q90/Assumptions!$B$7</f>
        <v>0</v>
      </c>
      <c r="R91" s="55" t="n">
        <f aca="false">R90/Assumptions!$B$7</f>
        <v>0</v>
      </c>
      <c r="S91" s="55" t="n">
        <f aca="false">S90/Assumptions!$B$7</f>
        <v>0</v>
      </c>
      <c r="T91" s="55" t="n">
        <f aca="false">T90/Assumptions!$B$7</f>
        <v>0</v>
      </c>
      <c r="U91" s="55" t="n">
        <f aca="false">U90/Assumptions!$B$7</f>
        <v>0</v>
      </c>
      <c r="V91" s="55" t="n">
        <f aca="false">V90/Assumptions!$B$7</f>
        <v>0</v>
      </c>
      <c r="W91" s="55" t="n">
        <f aca="false">W90/Assumptions!$B$7</f>
        <v>34.2636808997375</v>
      </c>
      <c r="X91" s="55" t="n">
        <f aca="false">X90/Assumptions!$B$7</f>
        <v>72.158477258002</v>
      </c>
      <c r="Y91" s="55" t="n">
        <f aca="false">Y90/Assumptions!$B$7</f>
        <v>116.495519531612</v>
      </c>
      <c r="Z91" s="55" t="n">
        <f aca="false">Z90/Assumptions!$B$7</f>
        <v>190.809879175608</v>
      </c>
      <c r="AA91" s="55" t="n">
        <f aca="false">AA90/Assumptions!$B$7</f>
        <v>33107.9291832379</v>
      </c>
      <c r="AB91" s="55" t="n">
        <f aca="false">AB90/Assumptions!$B$7</f>
        <v>77945.4713685194</v>
      </c>
      <c r="AC91" s="55" t="n">
        <f aca="false">AC90/Assumptions!$B$7</f>
        <v>144443.958319759</v>
      </c>
      <c r="AD91" s="55" t="n">
        <f aca="false">AD90/Assumptions!$B$7</f>
        <v>229788.393797044</v>
      </c>
      <c r="AE91" s="55" t="n">
        <f aca="false">AE90/Assumptions!$B$7</f>
        <v>325017.016511923</v>
      </c>
    </row>
    <row r="92" customFormat="false" ht="15" hidden="false" customHeight="false" outlineLevel="0" collapsed="false">
      <c r="A92" s="6" t="s">
        <v>485</v>
      </c>
      <c r="B92" s="23" t="s">
        <v>484</v>
      </c>
      <c r="C92" s="45" t="n">
        <f aca="false">IF(Assumptions!$B$144=0,0,C87*Assumptions!$B$156*Assumptions!$B$7/Assumptions!$B$144)</f>
        <v>0</v>
      </c>
      <c r="D92" s="45" t="n">
        <f aca="false">IF(Assumptions!$B$144=0,0,D87*Assumptions!$B$156*Assumptions!$B$7/Assumptions!$B$144)</f>
        <v>0</v>
      </c>
      <c r="E92" s="45" t="n">
        <f aca="false">IF(Assumptions!$B$144=0,0,E87*Assumptions!$B$156*Assumptions!$B$7/Assumptions!$B$144)</f>
        <v>0</v>
      </c>
      <c r="F92" s="45" t="n">
        <f aca="false">IF(Assumptions!$B$144=0,0,F87*Assumptions!$B$156*Assumptions!$B$7/Assumptions!$B$144)</f>
        <v>0</v>
      </c>
      <c r="G92" s="45" t="n">
        <f aca="false">IF(Assumptions!$B$144=0,0,G87*Assumptions!$B$156*Assumptions!$B$7/Assumptions!$B$144)</f>
        <v>0</v>
      </c>
      <c r="H92" s="45" t="n">
        <f aca="false">IF(Assumptions!$B$144=0,0,H87*Assumptions!$B$156*Assumptions!$B$7/Assumptions!$B$144)</f>
        <v>0</v>
      </c>
      <c r="I92" s="45" t="n">
        <f aca="false">IF(Assumptions!$B$144=0,0,I87*Assumptions!$B$156*Assumptions!$B$7/Assumptions!$B$144)</f>
        <v>0</v>
      </c>
      <c r="J92" s="45" t="n">
        <f aca="false">IF(Assumptions!$B$144=0,0,J87*Assumptions!$B$156*Assumptions!$B$7/Assumptions!$B$144)</f>
        <v>0</v>
      </c>
      <c r="K92" s="45" t="n">
        <f aca="false">IF(Assumptions!$B$144=0,0,K87*Assumptions!$B$156*Assumptions!$B$7/Assumptions!$B$144)</f>
        <v>0</v>
      </c>
      <c r="L92" s="45" t="n">
        <f aca="false">IF(Assumptions!$B$144=0,0,L87*Assumptions!$B$156*Assumptions!$B$7/Assumptions!$B$144)</f>
        <v>0</v>
      </c>
      <c r="M92" s="45" t="n">
        <f aca="false">IF(Assumptions!$B$144=0,0,M87*Assumptions!$B$156*Assumptions!$B$7/Assumptions!$B$144)</f>
        <v>0</v>
      </c>
      <c r="N92" s="45" t="n">
        <f aca="false">IF(Assumptions!$B$144=0,0,N87*Assumptions!$B$156*Assumptions!$B$7/Assumptions!$B$144)</f>
        <v>0</v>
      </c>
      <c r="O92" s="45" t="n">
        <f aca="false">IF(Assumptions!$B$144=0,0,O87*Assumptions!$B$156*Assumptions!$B$7/Assumptions!$B$144)</f>
        <v>6.02693846854475</v>
      </c>
      <c r="P92" s="45" t="n">
        <f aca="false">IF(Assumptions!$B$144=0,0,P87*Assumptions!$B$156*Assumptions!$B$7/Assumptions!$B$144)</f>
        <v>9.11970217570547</v>
      </c>
      <c r="Q92" s="45" t="n">
        <f aca="false">IF(Assumptions!$B$144=0,0,Q87*Assumptions!$B$156*Assumptions!$B$7/Assumptions!$B$144)</f>
        <v>12.2545047679292</v>
      </c>
      <c r="R92" s="45" t="n">
        <f aca="false">IF(Assumptions!$B$144=0,0,R87*Assumptions!$B$156*Assumptions!$B$7/Assumptions!$B$144)</f>
        <v>14.7475725723622</v>
      </c>
      <c r="S92" s="45" t="n">
        <f aca="false">IF(Assumptions!$B$144=0,0,S87*Assumptions!$B$156*Assumptions!$B$7/Assumptions!$B$144)</f>
        <v>17.7484447185159</v>
      </c>
      <c r="T92" s="45" t="n">
        <f aca="false">IF(Assumptions!$B$144=0,0,T87*Assumptions!$B$156*Assumptions!$B$7/Assumptions!$B$144)</f>
        <v>21.223888519329</v>
      </c>
      <c r="U92" s="45" t="n">
        <f aca="false">IF(Assumptions!$B$144=0,0,U87*Assumptions!$B$156*Assumptions!$B$7/Assumptions!$B$144)</f>
        <v>24.6908730444485</v>
      </c>
      <c r="V92" s="45" t="n">
        <f aca="false">IF(Assumptions!$B$144=0,0,V87*Assumptions!$B$156*Assumptions!$B$7/Assumptions!$B$144)</f>
        <v>28.0682017392721</v>
      </c>
      <c r="W92" s="45" t="n">
        <f aca="false">IF(Assumptions!$B$144=0,0,W87*Assumptions!$B$156*Assumptions!$B$7/Assumptions!$B$144)</f>
        <v>31.073500636698</v>
      </c>
      <c r="X92" s="45" t="n">
        <f aca="false">IF(Assumptions!$B$144=0,0,X87*Assumptions!$B$156*Assumptions!$B$7/Assumptions!$B$144)</f>
        <v>32.8681783599384</v>
      </c>
      <c r="Y92" s="45" t="n">
        <f aca="false">IF(Assumptions!$B$144=0,0,Y87*Assumptions!$B$156*Assumptions!$B$7/Assumptions!$B$144)</f>
        <v>35.2946422111694</v>
      </c>
      <c r="Z92" s="45" t="n">
        <f aca="false">IF(Assumptions!$B$144=0,0,Z87*Assumptions!$B$156*Assumptions!$B$7/Assumptions!$B$144)</f>
        <v>38.3510433366742</v>
      </c>
      <c r="AA92" s="45" t="n">
        <f aca="false">IF(Assumptions!$B$144=0,0,AA87*Assumptions!$B$156*Assumptions!$B$7/Assumptions!$B$144)</f>
        <v>88.7063234752412</v>
      </c>
      <c r="AB92" s="45" t="n">
        <f aca="false">IF(Assumptions!$B$144=0,0,AB87*Assumptions!$B$156*Assumptions!$B$7/Assumptions!$B$144)</f>
        <v>119.839148985236</v>
      </c>
      <c r="AC92" s="45" t="n">
        <f aca="false">IF(Assumptions!$B$144=0,0,AC87*Assumptions!$B$156*Assumptions!$B$7/Assumptions!$B$144)</f>
        <v>145.367103909767</v>
      </c>
      <c r="AD92" s="45" t="n">
        <f aca="false">IF(Assumptions!$B$144=0,0,AD87*Assumptions!$B$156*Assumptions!$B$7/Assumptions!$B$144)</f>
        <v>173.82522197944</v>
      </c>
      <c r="AE92" s="45" t="n">
        <f aca="false">IF(Assumptions!$B$144=0,0,AE87*Assumptions!$B$156*Assumptions!$B$7/Assumptions!$B$144)</f>
        <v>209.735168698821</v>
      </c>
    </row>
    <row r="93" customFormat="false" ht="15" hidden="false" customHeight="false" outlineLevel="0" collapsed="false">
      <c r="A93" s="6" t="s">
        <v>486</v>
      </c>
      <c r="B93" s="23" t="s">
        <v>487</v>
      </c>
      <c r="C93" s="45" t="n">
        <f aca="false">C86*Assumptions!$B$158*Assumptions!$B$144*C7/12*(1+Assumptions!$B$16)</f>
        <v>0</v>
      </c>
      <c r="D93" s="45" t="n">
        <f aca="false">D86*Assumptions!$B$158*Assumptions!$B$144*D7/12*(1+Assumptions!$B$16)</f>
        <v>0</v>
      </c>
      <c r="E93" s="45" t="n">
        <f aca="false">E86*Assumptions!$B$158*Assumptions!$B$144*E7/12*(1+Assumptions!$B$16)</f>
        <v>0</v>
      </c>
      <c r="F93" s="45" t="n">
        <f aca="false">F86*Assumptions!$B$158*Assumptions!$B$144*F7/12*(1+Assumptions!$B$16)</f>
        <v>0</v>
      </c>
      <c r="G93" s="45" t="n">
        <f aca="false">G86*Assumptions!$B$158*Assumptions!$B$144*G7/12*(1+Assumptions!$B$16)</f>
        <v>0</v>
      </c>
      <c r="H93" s="45" t="n">
        <f aca="false">H86*Assumptions!$B$158*Assumptions!$B$144*H7/12*(1+Assumptions!$B$16)</f>
        <v>0</v>
      </c>
      <c r="I93" s="45" t="n">
        <f aca="false">I86*Assumptions!$B$158*Assumptions!$B$144*I7/12*(1+Assumptions!$B$16)</f>
        <v>0</v>
      </c>
      <c r="J93" s="45" t="n">
        <f aca="false">J86*Assumptions!$B$158*Assumptions!$B$144*J7/12*(1+Assumptions!$B$16)</f>
        <v>0</v>
      </c>
      <c r="K93" s="45" t="n">
        <f aca="false">K86*Assumptions!$B$158*Assumptions!$B$144*K7/12*(1+Assumptions!$B$16)</f>
        <v>0</v>
      </c>
      <c r="L93" s="45" t="n">
        <f aca="false">L86*Assumptions!$B$158*Assumptions!$B$144*L7/12*(1+Assumptions!$B$16)</f>
        <v>0</v>
      </c>
      <c r="M93" s="45" t="n">
        <f aca="false">M86*Assumptions!$B$158*Assumptions!$B$144*M7/12*(1+Assumptions!$B$16)</f>
        <v>0</v>
      </c>
      <c r="N93" s="45" t="n">
        <f aca="false">N86*Assumptions!$B$158*Assumptions!$B$144*N7/12*(1+Assumptions!$B$16)</f>
        <v>0</v>
      </c>
      <c r="O93" s="45" t="n">
        <f aca="false">O86*Assumptions!$B$158*Assumptions!$B$144*O7/12*(1+Assumptions!$B$16)</f>
        <v>0</v>
      </c>
      <c r="P93" s="45" t="n">
        <f aca="false">P86*Assumptions!$B$158*Assumptions!$B$144*P7/12*(1+Assumptions!$B$16)</f>
        <v>0</v>
      </c>
      <c r="Q93" s="45" t="n">
        <f aca="false">Q86*Assumptions!$B$158*Assumptions!$B$144*Q7/12*(1+Assumptions!$B$16)</f>
        <v>0</v>
      </c>
      <c r="R93" s="45" t="n">
        <f aca="false">R86*Assumptions!$B$158*Assumptions!$B$144*R7/12*(1+Assumptions!$B$16)</f>
        <v>0</v>
      </c>
      <c r="S93" s="45" t="n">
        <f aca="false">S86*Assumptions!$B$158*Assumptions!$B$144*S7/12*(1+Assumptions!$B$16)</f>
        <v>0</v>
      </c>
      <c r="T93" s="45" t="n">
        <f aca="false">T86*Assumptions!$B$158*Assumptions!$B$144*T7/12*(1+Assumptions!$B$16)</f>
        <v>0</v>
      </c>
      <c r="U93" s="45" t="n">
        <f aca="false">U86*Assumptions!$B$158*Assumptions!$B$144*U7/12*(1+Assumptions!$B$16)</f>
        <v>0</v>
      </c>
      <c r="V93" s="45" t="n">
        <f aca="false">V86*Assumptions!$B$158*Assumptions!$B$144*V7/12*(1+Assumptions!$B$16)</f>
        <v>0</v>
      </c>
      <c r="W93" s="45" t="n">
        <f aca="false">W86*Assumptions!$B$158*Assumptions!$B$144*W7/12*(1+Assumptions!$B$16)</f>
        <v>4.29251186565753</v>
      </c>
      <c r="X93" s="45" t="n">
        <f aca="false">X86*Assumptions!$B$158*Assumptions!$B$144*X7/12*(1+Assumptions!$B$16)</f>
        <v>8.37874981422561</v>
      </c>
      <c r="Y93" s="45" t="n">
        <f aca="false">Y86*Assumptions!$B$158*Assumptions!$B$144*Y7/12*(1+Assumptions!$B$16)</f>
        <v>12.2371084646928</v>
      </c>
      <c r="Z93" s="45" t="n">
        <f aca="false">Z86*Assumptions!$B$158*Assumptions!$B$144*Z7/12*(1+Assumptions!$B$16)</f>
        <v>16.9897305633369</v>
      </c>
      <c r="AA93" s="45" t="n">
        <f aca="false">AA86*Assumptions!$B$158*Assumptions!$B$144*AA7/12*(1+Assumptions!$B$16)</f>
        <v>1452.93139284417</v>
      </c>
      <c r="AB93" s="45" t="n">
        <f aca="false">AB86*Assumptions!$B$158*Assumptions!$B$144*AB7/12*(1+Assumptions!$B$16)</f>
        <v>2531.97749471939</v>
      </c>
      <c r="AC93" s="45" t="n">
        <f aca="false">AC86*Assumptions!$B$158*Assumptions!$B$144*AC7/12*(1+Assumptions!$B$16)</f>
        <v>3868.1286757567</v>
      </c>
      <c r="AD93" s="45" t="n">
        <f aca="false">AD86*Assumptions!$B$158*Assumptions!$B$144*AD7/12*(1+Assumptions!$B$16)</f>
        <v>5146.15622868946</v>
      </c>
      <c r="AE93" s="45" t="n">
        <f aca="false">AE86*Assumptions!$B$158*Assumptions!$B$144*AE7/12*(1+Assumptions!$B$16)</f>
        <v>6032.57193620839</v>
      </c>
    </row>
    <row r="94" customFormat="false" ht="15" hidden="false" customHeight="false" outlineLevel="0" collapsed="false">
      <c r="A94" s="6" t="s">
        <v>488</v>
      </c>
      <c r="B94" s="23" t="s">
        <v>114</v>
      </c>
      <c r="C94" s="55" t="n">
        <f aca="false">C75*Assumptions!$B$8</f>
        <v>0</v>
      </c>
      <c r="D94" s="55" t="n">
        <f aca="false">D75*Assumptions!$B$8</f>
        <v>0</v>
      </c>
      <c r="E94" s="55" t="n">
        <f aca="false">E75*Assumptions!$B$8</f>
        <v>0</v>
      </c>
      <c r="F94" s="55" t="n">
        <f aca="false">F75*Assumptions!$B$8</f>
        <v>0</v>
      </c>
      <c r="G94" s="55" t="n">
        <f aca="false">G75*Assumptions!$B$8</f>
        <v>0</v>
      </c>
      <c r="H94" s="55" t="n">
        <f aca="false">H75*Assumptions!$B$8</f>
        <v>0</v>
      </c>
      <c r="I94" s="55" t="n">
        <f aca="false">I75*Assumptions!$B$8</f>
        <v>0</v>
      </c>
      <c r="J94" s="55" t="n">
        <f aca="false">J75*Assumptions!$B$8</f>
        <v>0</v>
      </c>
      <c r="K94" s="55" t="n">
        <f aca="false">K75*Assumptions!$B$8</f>
        <v>0</v>
      </c>
      <c r="L94" s="55" t="n">
        <f aca="false">L75*Assumptions!$B$8</f>
        <v>0</v>
      </c>
      <c r="M94" s="55" t="n">
        <f aca="false">M75*Assumptions!$B$8</f>
        <v>0</v>
      </c>
      <c r="N94" s="55" t="n">
        <f aca="false">N75*Assumptions!$B$8</f>
        <v>0</v>
      </c>
      <c r="O94" s="55" t="n">
        <f aca="false">O75*Assumptions!$B$8</f>
        <v>91.8644196314507</v>
      </c>
      <c r="P94" s="55" t="n">
        <f aca="false">P75*Assumptions!$B$8</f>
        <v>177.201999729406</v>
      </c>
      <c r="Q94" s="55" t="n">
        <f aca="false">Q75*Assumptions!$B$8</f>
        <v>256.845247305797</v>
      </c>
      <c r="R94" s="55" t="n">
        <f aca="false">R75*Assumptions!$B$8</f>
        <v>357.220457577989</v>
      </c>
      <c r="S94" s="55" t="n">
        <f aca="false">S75*Assumptions!$B$8</f>
        <v>444.798455339358</v>
      </c>
      <c r="T94" s="55" t="n">
        <f aca="false">T75*Assumptions!$B$8</f>
        <v>514.075305900748</v>
      </c>
      <c r="U94" s="55" t="n">
        <f aca="false">U75*Assumptions!$B$8</f>
        <v>578.467860139732</v>
      </c>
      <c r="V94" s="55" t="n">
        <f aca="false">V75*Assumptions!$B$8</f>
        <v>641.184416456586</v>
      </c>
      <c r="W94" s="55" t="n">
        <f aca="false">W75*Assumptions!$B$8</f>
        <v>710.935173317737</v>
      </c>
      <c r="X94" s="55" t="n">
        <f aca="false">X75*Assumptions!$B$8</f>
        <v>814.300000625194</v>
      </c>
      <c r="Y94" s="55" t="n">
        <f aca="false">Y75*Assumptions!$B$8</f>
        <v>904.732897183082</v>
      </c>
      <c r="Z94" s="55" t="n">
        <f aca="false">Z75*Assumptions!$B$8</f>
        <v>977.304753793148</v>
      </c>
      <c r="AA94" s="55" t="n">
        <f aca="false">AA75*Assumptions!$B$8</f>
        <v>25712.7992961613</v>
      </c>
      <c r="AB94" s="55" t="n">
        <f aca="false">AB75*Assumptions!$B$8</f>
        <v>44808.880491372</v>
      </c>
      <c r="AC94" s="55" t="n">
        <f aca="false">AC75*Assumptions!$B$8</f>
        <v>68454.9984819041</v>
      </c>
      <c r="AD94" s="55" t="n">
        <f aca="false">AD75*Assumptions!$B$8</f>
        <v>91072.491727195</v>
      </c>
      <c r="AE94" s="55" t="n">
        <f aca="false">AE75*Assumptions!$B$8</f>
        <v>106759.556713645</v>
      </c>
    </row>
    <row r="95" customFormat="false" ht="15" hidden="false" customHeight="false" outlineLevel="0" collapsed="false">
      <c r="A95" s="6" t="s">
        <v>489</v>
      </c>
      <c r="B95" s="23" t="s">
        <v>114</v>
      </c>
      <c r="C95" s="55" t="n">
        <f aca="false">C76*Assumptions!$B$8</f>
        <v>0</v>
      </c>
      <c r="D95" s="55" t="n">
        <f aca="false">D76*Assumptions!$B$8</f>
        <v>0</v>
      </c>
      <c r="E95" s="55" t="n">
        <f aca="false">E76*Assumptions!$B$8</f>
        <v>0</v>
      </c>
      <c r="F95" s="55" t="n">
        <f aca="false">F76*Assumptions!$B$8</f>
        <v>0</v>
      </c>
      <c r="G95" s="55" t="n">
        <f aca="false">G76*Assumptions!$B$8</f>
        <v>0</v>
      </c>
      <c r="H95" s="55" t="n">
        <f aca="false">H76*Assumptions!$B$8</f>
        <v>0</v>
      </c>
      <c r="I95" s="55" t="n">
        <f aca="false">I76*Assumptions!$B$8</f>
        <v>0</v>
      </c>
      <c r="J95" s="55" t="n">
        <f aca="false">J76*Assumptions!$B$8</f>
        <v>0</v>
      </c>
      <c r="K95" s="55" t="n">
        <f aca="false">K76*Assumptions!$B$8</f>
        <v>0</v>
      </c>
      <c r="L95" s="55" t="n">
        <f aca="false">L76*Assumptions!$B$8</f>
        <v>0</v>
      </c>
      <c r="M95" s="55" t="n">
        <f aca="false">M76*Assumptions!$B$8</f>
        <v>0</v>
      </c>
      <c r="N95" s="55" t="n">
        <f aca="false">N76*Assumptions!$B$8</f>
        <v>0</v>
      </c>
      <c r="O95" s="55" t="n">
        <f aca="false">O76*Assumptions!$B$8</f>
        <v>7.25787802536942</v>
      </c>
      <c r="P95" s="55" t="n">
        <f aca="false">P76*Assumptions!$B$8</f>
        <v>14.0000938888778</v>
      </c>
      <c r="Q95" s="55" t="n">
        <f aca="false">Q76*Assumptions!$B$8</f>
        <v>20.292420981051</v>
      </c>
      <c r="R95" s="55" t="n">
        <f aca="false">R76*Assumptions!$B$8</f>
        <v>28.2227060233892</v>
      </c>
      <c r="S95" s="55" t="n">
        <f aca="false">S76*Assumptions!$B$8</f>
        <v>35.1419292439589</v>
      </c>
      <c r="T95" s="55" t="n">
        <f aca="false">T76*Assumptions!$B$8</f>
        <v>40.6152445206841</v>
      </c>
      <c r="U95" s="55" t="n">
        <f aca="false">U76*Assumptions!$B$8</f>
        <v>45.7026690783474</v>
      </c>
      <c r="V95" s="55" t="n">
        <f aca="false">V76*Assumptions!$B$8</f>
        <v>50.657679056586</v>
      </c>
      <c r="W95" s="55" t="n">
        <f aca="false">W76*Assumptions!$B$8</f>
        <v>56.1684359688533</v>
      </c>
      <c r="X95" s="55" t="n">
        <f aca="false">X76*Assumptions!$B$8</f>
        <v>64.3349199211892</v>
      </c>
      <c r="Y95" s="55" t="n">
        <f aca="false">Y76*Assumptions!$B$8</f>
        <v>71.4796984473172</v>
      </c>
      <c r="Z95" s="55" t="n">
        <f aca="false">Z76*Assumptions!$B$8</f>
        <v>77.2133403237215</v>
      </c>
      <c r="AA95" s="55" t="n">
        <f aca="false">AA76*Assumptions!$B$8</f>
        <v>2031.47597003326</v>
      </c>
      <c r="AB95" s="55" t="n">
        <f aca="false">AB76*Assumptions!$B$8</f>
        <v>3540.18879523179</v>
      </c>
      <c r="AC95" s="55" t="n">
        <f aca="false">AC76*Assumptions!$B$8</f>
        <v>5408.38369416326</v>
      </c>
      <c r="AD95" s="55" t="n">
        <f aca="false">AD76*Assumptions!$B$8</f>
        <v>7195.3106444723</v>
      </c>
      <c r="AE95" s="55" t="n">
        <f aca="false">AE76*Assumptions!$B$8</f>
        <v>8434.6893365107</v>
      </c>
    </row>
    <row r="96" customFormat="false" ht="15" hidden="false" customHeight="false" outlineLevel="0" collapsed="false">
      <c r="A96" s="6" t="s">
        <v>490</v>
      </c>
      <c r="B96" s="23" t="s">
        <v>114</v>
      </c>
      <c r="C96" s="55" t="n">
        <f aca="false">C91*IF(Assumptions!$B$178=1,MIN(Assumptions!$B$14,1%),Assumptions!$B$14)*(1-Assumptions!$B$142)</f>
        <v>0</v>
      </c>
      <c r="D96" s="55" t="n">
        <f aca="false">D91*IF(Assumptions!$B$178=1,MIN(Assumptions!$B$14,1%),Assumptions!$B$14)*(1-Assumptions!$B$142)</f>
        <v>0</v>
      </c>
      <c r="E96" s="55" t="n">
        <f aca="false">E91*IF(Assumptions!$B$178=1,MIN(Assumptions!$B$14,1%),Assumptions!$B$14)*(1-Assumptions!$B$142)</f>
        <v>0</v>
      </c>
      <c r="F96" s="55" t="n">
        <f aca="false">F91*IF(Assumptions!$B$178=1,MIN(Assumptions!$B$14,1%),Assumptions!$B$14)*(1-Assumptions!$B$142)</f>
        <v>0</v>
      </c>
      <c r="G96" s="55" t="n">
        <f aca="false">G91*IF(Assumptions!$B$178=1,MIN(Assumptions!$B$14,1%),Assumptions!$B$14)*(1-Assumptions!$B$142)</f>
        <v>0</v>
      </c>
      <c r="H96" s="55" t="n">
        <f aca="false">H91*IF(Assumptions!$B$178=1,MIN(Assumptions!$B$14,1%),Assumptions!$B$14)*(1-Assumptions!$B$142)</f>
        <v>0</v>
      </c>
      <c r="I96" s="55" t="n">
        <f aca="false">I91*IF(Assumptions!$B$178=1,MIN(Assumptions!$B$14,1%),Assumptions!$B$14)*(1-Assumptions!$B$142)</f>
        <v>0</v>
      </c>
      <c r="J96" s="55" t="n">
        <f aca="false">J91*IF(Assumptions!$B$178=1,MIN(Assumptions!$B$14,1%),Assumptions!$B$14)*(1-Assumptions!$B$142)</f>
        <v>0</v>
      </c>
      <c r="K96" s="55" t="n">
        <f aca="false">K91*IF(Assumptions!$B$178=1,MIN(Assumptions!$B$14,1%),Assumptions!$B$14)*(1-Assumptions!$B$142)</f>
        <v>0</v>
      </c>
      <c r="L96" s="55" t="n">
        <f aca="false">L91*IF(Assumptions!$B$178=1,MIN(Assumptions!$B$14,1%),Assumptions!$B$14)*(1-Assumptions!$B$142)</f>
        <v>0</v>
      </c>
      <c r="M96" s="55" t="n">
        <f aca="false">M91*IF(Assumptions!$B$178=1,MIN(Assumptions!$B$14,1%),Assumptions!$B$14)*(1-Assumptions!$B$142)</f>
        <v>0</v>
      </c>
      <c r="N96" s="55" t="n">
        <f aca="false">N91*IF(Assumptions!$B$178=1,MIN(Assumptions!$B$14,1%),Assumptions!$B$14)*(1-Assumptions!$B$142)</f>
        <v>0</v>
      </c>
      <c r="O96" s="55" t="n">
        <f aca="false">O91*IF(Assumptions!$B$178=1,MIN(Assumptions!$B$14,1%),Assumptions!$B$14)*(1-Assumptions!$B$142)</f>
        <v>0</v>
      </c>
      <c r="P96" s="55" t="n">
        <f aca="false">P91*IF(Assumptions!$B$178=1,MIN(Assumptions!$B$14,1%),Assumptions!$B$14)*(1-Assumptions!$B$142)</f>
        <v>0</v>
      </c>
      <c r="Q96" s="55" t="n">
        <f aca="false">Q91*IF(Assumptions!$B$178=1,MIN(Assumptions!$B$14,1%),Assumptions!$B$14)*(1-Assumptions!$B$142)</f>
        <v>0</v>
      </c>
      <c r="R96" s="55" t="n">
        <f aca="false">R91*IF(Assumptions!$B$178=1,MIN(Assumptions!$B$14,1%),Assumptions!$B$14)*(1-Assumptions!$B$142)</f>
        <v>0</v>
      </c>
      <c r="S96" s="55" t="n">
        <f aca="false">S91*IF(Assumptions!$B$178=1,MIN(Assumptions!$B$14,1%),Assumptions!$B$14)*(1-Assumptions!$B$142)</f>
        <v>0</v>
      </c>
      <c r="T96" s="55" t="n">
        <f aca="false">T91*IF(Assumptions!$B$178=1,MIN(Assumptions!$B$14,1%),Assumptions!$B$14)*(1-Assumptions!$B$142)</f>
        <v>0</v>
      </c>
      <c r="U96" s="55" t="n">
        <f aca="false">U91*IF(Assumptions!$B$178=1,MIN(Assumptions!$B$14,1%),Assumptions!$B$14)*(1-Assumptions!$B$142)</f>
        <v>0</v>
      </c>
      <c r="V96" s="55" t="n">
        <f aca="false">V91*IF(Assumptions!$B$178=1,MIN(Assumptions!$B$14,1%),Assumptions!$B$14)*(1-Assumptions!$B$142)</f>
        <v>0</v>
      </c>
      <c r="W96" s="55" t="n">
        <f aca="false">W91*IF(Assumptions!$B$178=1,MIN(Assumptions!$B$14,1%),Assumptions!$B$14)*(1-Assumptions!$B$142)</f>
        <v>0.24669850247811</v>
      </c>
      <c r="X96" s="55" t="n">
        <f aca="false">X91*IF(Assumptions!$B$178=1,MIN(Assumptions!$B$14,1%),Assumptions!$B$14)*(1-Assumptions!$B$142)</f>
        <v>0.519541036257614</v>
      </c>
      <c r="Y96" s="55" t="n">
        <f aca="false">Y91*IF(Assumptions!$B$178=1,MIN(Assumptions!$B$14,1%),Assumptions!$B$14)*(1-Assumptions!$B$142)</f>
        <v>0.838767740627603</v>
      </c>
      <c r="Z96" s="55" t="n">
        <f aca="false">Z91*IF(Assumptions!$B$178=1,MIN(Assumptions!$B$14,1%),Assumptions!$B$14)*(1-Assumptions!$B$142)</f>
        <v>1.37383113006438</v>
      </c>
      <c r="AA96" s="55" t="n">
        <f aca="false">AA91*IF(Assumptions!$B$178=1,MIN(Assumptions!$B$14,1%),Assumptions!$B$14)*(1-Assumptions!$B$142)</f>
        <v>238.377090119313</v>
      </c>
      <c r="AB96" s="55" t="n">
        <f aca="false">AB91*IF(Assumptions!$B$178=1,MIN(Assumptions!$B$14,1%),Assumptions!$B$14)*(1-Assumptions!$B$142)</f>
        <v>561.20739385334</v>
      </c>
      <c r="AC96" s="55" t="n">
        <f aca="false">AC91*IF(Assumptions!$B$178=1,MIN(Assumptions!$B$14,1%),Assumptions!$B$14)*(1-Assumptions!$B$142)</f>
        <v>1039.99649990226</v>
      </c>
      <c r="AD96" s="55" t="n">
        <f aca="false">AD91*IF(Assumptions!$B$178=1,MIN(Assumptions!$B$14,1%),Assumptions!$B$14)*(1-Assumptions!$B$142)</f>
        <v>1654.47643533872</v>
      </c>
      <c r="AE96" s="55" t="n">
        <f aca="false">AE91*IF(Assumptions!$B$178=1,MIN(Assumptions!$B$14,1%),Assumptions!$B$14)*(1-Assumptions!$B$142)</f>
        <v>2340.12251888585</v>
      </c>
    </row>
    <row r="97" customFormat="false" ht="15" hidden="false" customHeight="false" outlineLevel="0" collapsed="false">
      <c r="A97" s="6" t="s">
        <v>491</v>
      </c>
      <c r="B97" s="23" t="s">
        <v>492</v>
      </c>
      <c r="C97" s="54" t="n">
        <f aca="false">IF(C2&gt;=Assumptions!$B$50,C70*Assumptions!$B$159*(1-Assumptions!$B$162)^(C7/2),0)</f>
        <v>0</v>
      </c>
      <c r="D97" s="54" t="n">
        <f aca="false">IF(D2&gt;=Assumptions!$B$50,C97*(1-Assumptions!$B$162)^D7+D70*Assumptions!$B$159*(1-Assumptions!$B$162)^(D7/2),0)</f>
        <v>0</v>
      </c>
      <c r="E97" s="54" t="n">
        <f aca="false">IF(E2&gt;=Assumptions!$B$50,D97*(1-Assumptions!$B$162)^E7+E70*Assumptions!$B$159*(1-Assumptions!$B$162)^(E7/2),0)</f>
        <v>0</v>
      </c>
      <c r="F97" s="54" t="n">
        <f aca="false">IF(F2&gt;=Assumptions!$B$50,E97*(1-Assumptions!$B$162)^F7+F70*Assumptions!$B$159*(1-Assumptions!$B$162)^(F7/2),0)</f>
        <v>0</v>
      </c>
      <c r="G97" s="54" t="n">
        <f aca="false">IF(G2&gt;=Assumptions!$B$50,F97*(1-Assumptions!$B$162)^G7+G70*Assumptions!$B$159*(1-Assumptions!$B$162)^(G7/2),0)</f>
        <v>0</v>
      </c>
      <c r="H97" s="54" t="n">
        <f aca="false">IF(H2&gt;=Assumptions!$B$50,G97*(1-Assumptions!$B$162)^H7+H70*Assumptions!$B$159*(1-Assumptions!$B$162)^(H7/2),0)</f>
        <v>0</v>
      </c>
      <c r="I97" s="54" t="n">
        <f aca="false">IF(I2&gt;=Assumptions!$B$50,H97*(1-Assumptions!$B$162)^I7+I70*Assumptions!$B$159*(1-Assumptions!$B$162)^(I7/2),0)</f>
        <v>0</v>
      </c>
      <c r="J97" s="54" t="n">
        <f aca="false">IF(J2&gt;=Assumptions!$B$50,I97*(1-Assumptions!$B$162)^J7+J70*Assumptions!$B$159*(1-Assumptions!$B$162)^(J7/2),0)</f>
        <v>0</v>
      </c>
      <c r="K97" s="54" t="n">
        <f aca="false">IF(K2&gt;=Assumptions!$B$50,J97*(1-Assumptions!$B$162)^K7+K70*Assumptions!$B$159*(1-Assumptions!$B$162)^(K7/2),0)</f>
        <v>0</v>
      </c>
      <c r="L97" s="54" t="n">
        <f aca="false">IF(L2&gt;=Assumptions!$B$50,K97*(1-Assumptions!$B$162)^L7+L70*Assumptions!$B$159*(1-Assumptions!$B$162)^(L7/2),0)</f>
        <v>0</v>
      </c>
      <c r="M97" s="54" t="n">
        <f aca="false">IF(M2&gt;=Assumptions!$B$50,L97*(1-Assumptions!$B$162)^M7+M70*Assumptions!$B$159*(1-Assumptions!$B$162)^(M7/2),0)</f>
        <v>0</v>
      </c>
      <c r="N97" s="54" t="n">
        <f aca="false">IF(N2&gt;=Assumptions!$B$50,M97*(1-Assumptions!$B$162)^N7+N70*Assumptions!$B$159*(1-Assumptions!$B$162)^(N7/2),0)</f>
        <v>0</v>
      </c>
      <c r="O97" s="54" t="n">
        <f aca="false">IF(O2&gt;=Assumptions!$B$50,N97*(1-Assumptions!$B$162)^O7+O70*Assumptions!$B$159*(1-Assumptions!$B$162)^(O7/2),0)</f>
        <v>10.4734427163082</v>
      </c>
      <c r="P97" s="54" t="n">
        <f aca="false">IF(P2&gt;=Assumptions!$B$50,O97*(1-Assumptions!$B$162)^P7+P70*Assumptions!$B$159*(1-Assumptions!$B$162)^(P7/2),0)</f>
        <v>19.9667199131755</v>
      </c>
      <c r="Q97" s="54" t="n">
        <f aca="false">IF(Q2&gt;=Assumptions!$B$50,P97*(1-Assumptions!$B$162)^Q7+Q70*Assumptions!$B$159*(1-Assumptions!$B$162)^(Q7/2),0)</f>
        <v>28.6083071370879</v>
      </c>
      <c r="R97" s="54" t="n">
        <f aca="false">IF(R2&gt;=Assumptions!$B$50,Q97*(1-Assumptions!$B$162)^R7+R70*Assumptions!$B$159*(1-Assumptions!$B$162)^(R7/2),0)</f>
        <v>39.4400956797798</v>
      </c>
      <c r="S97" s="54" t="n">
        <f aca="false">IF(S2&gt;=Assumptions!$B$50,R97*(1-Assumptions!$B$162)^S7+S70*Assumptions!$B$159*(1-Assumptions!$B$162)^(S7/2),0)</f>
        <v>48.5984997961401</v>
      </c>
      <c r="T97" s="54" t="n">
        <f aca="false">IF(T2&gt;=Assumptions!$B$50,S97*(1-Assumptions!$B$162)^T7+T70*Assumptions!$B$159*(1-Assumptions!$B$162)^(T7/2),0)</f>
        <v>55.5041489846609</v>
      </c>
      <c r="U97" s="54" t="n">
        <f aca="false">IF(U2&gt;=Assumptions!$B$50,T97*(1-Assumptions!$B$162)^U7+U70*Assumptions!$B$159*(1-Assumptions!$B$162)^(U7/2),0)</f>
        <v>61.7455456497404</v>
      </c>
      <c r="V97" s="54" t="n">
        <f aca="false">IF(V2&gt;=Assumptions!$B$50,U97*(1-Assumptions!$B$162)^V7+V70*Assumptions!$B$159*(1-Assumptions!$B$162)^(V7/2),0)</f>
        <v>67.7086568838067</v>
      </c>
      <c r="W97" s="54" t="n">
        <f aca="false">IF(W2&gt;=Assumptions!$B$50,V97*(1-Assumptions!$B$162)^W7+W70*Assumptions!$B$159*(1-Assumptions!$B$162)^(W7/2),0)</f>
        <v>74.3970404086573</v>
      </c>
      <c r="X97" s="54" t="n">
        <f aca="false">IF(X2&gt;=Assumptions!$B$50,W97*(1-Assumptions!$B$162)^X7+X70*Assumptions!$B$159*(1-Assumptions!$B$162)^(X7/2),0)</f>
        <v>84.8284432022391</v>
      </c>
      <c r="Y97" s="54" t="n">
        <f aca="false">IF(Y2&gt;=Assumptions!$B$50,X97*(1-Assumptions!$B$162)^Y7+Y70*Assumptions!$B$159*(1-Assumptions!$B$162)^(Y7/2),0)</f>
        <v>93.6161491179718</v>
      </c>
      <c r="Z97" s="54" t="n">
        <f aca="false">IF(Z2&gt;=Assumptions!$B$50,Y97*(1-Assumptions!$B$162)^Z7+Z70*Assumptions!$B$159*(1-Assumptions!$B$162)^(Z7/2),0)</f>
        <v>100.243465079666</v>
      </c>
      <c r="AA97" s="54" t="n">
        <f aca="false">IF(AA2&gt;=Assumptions!$B$50,Z97*(1-Assumptions!$B$162)^AA7+AA70*Assumptions!$B$159*(1-Assumptions!$B$162)^(AA7/2),0)</f>
        <v>201.753222444659</v>
      </c>
      <c r="AB97" s="54" t="n">
        <f aca="false">IF(AB2&gt;=Assumptions!$B$50,AA97*(1-Assumptions!$B$162)^AB7+AB70*Assumptions!$B$159*(1-Assumptions!$B$162)^(AB7/2),0)</f>
        <v>338.59112016786</v>
      </c>
      <c r="AC97" s="54" t="n">
        <f aca="false">IF(AC2&gt;=Assumptions!$B$50,AB97*(1-Assumptions!$B$162)^AC7+AC70*Assumptions!$B$159*(1-Assumptions!$B$162)^(AC7/2),0)</f>
        <v>504.482989472956</v>
      </c>
      <c r="AD97" s="54" t="n">
        <f aca="false">IF(AD2&gt;=Assumptions!$B$50,AC97*(1-Assumptions!$B$162)^AD7+AD70*Assumptions!$B$159*(1-Assumptions!$B$162)^(AD7/2),0)</f>
        <v>652.955186868693</v>
      </c>
      <c r="AE97" s="54" t="n">
        <f aca="false">IF(AE2&gt;=Assumptions!$B$50,AD97*(1-Assumptions!$B$162)^AE7+AE70*Assumptions!$B$159*(1-Assumptions!$B$162)^(AE7/2),0)</f>
        <v>741.241975437636</v>
      </c>
    </row>
    <row r="98" customFormat="false" ht="15" hidden="false" customHeight="false" outlineLevel="0" collapsed="false">
      <c r="A98" s="6" t="s">
        <v>493</v>
      </c>
      <c r="B98" s="23" t="s">
        <v>114</v>
      </c>
      <c r="C98" s="55" t="n">
        <f aca="false">C97*(Assumptions!$B$25+MAX(0,Assumptions!$B$161-1)*Assumptions!$B$26)/12*C7</f>
        <v>0</v>
      </c>
      <c r="D98" s="55" t="n">
        <f aca="false">D97*(Assumptions!$B$25+MAX(0,Assumptions!$B$161-1)*Assumptions!$B$26)/12*D7</f>
        <v>0</v>
      </c>
      <c r="E98" s="55" t="n">
        <f aca="false">E97*(Assumptions!$B$25+MAX(0,Assumptions!$B$161-1)*Assumptions!$B$26)/12*E7</f>
        <v>0</v>
      </c>
      <c r="F98" s="55" t="n">
        <f aca="false">F97*(Assumptions!$B$25+MAX(0,Assumptions!$B$161-1)*Assumptions!$B$26)/12*F7</f>
        <v>0</v>
      </c>
      <c r="G98" s="55" t="n">
        <f aca="false">G97*(Assumptions!$B$25+MAX(0,Assumptions!$B$161-1)*Assumptions!$B$26)/12*G7</f>
        <v>0</v>
      </c>
      <c r="H98" s="55" t="n">
        <f aca="false">H97*(Assumptions!$B$25+MAX(0,Assumptions!$B$161-1)*Assumptions!$B$26)/12*H7</f>
        <v>0</v>
      </c>
      <c r="I98" s="55" t="n">
        <f aca="false">I97*(Assumptions!$B$25+MAX(0,Assumptions!$B$161-1)*Assumptions!$B$26)/12*I7</f>
        <v>0</v>
      </c>
      <c r="J98" s="55" t="n">
        <f aca="false">J97*(Assumptions!$B$25+MAX(0,Assumptions!$B$161-1)*Assumptions!$B$26)/12*J7</f>
        <v>0</v>
      </c>
      <c r="K98" s="55" t="n">
        <f aca="false">K97*(Assumptions!$B$25+MAX(0,Assumptions!$B$161-1)*Assumptions!$B$26)/12*K7</f>
        <v>0</v>
      </c>
      <c r="L98" s="55" t="n">
        <f aca="false">L97*(Assumptions!$B$25+MAX(0,Assumptions!$B$161-1)*Assumptions!$B$26)/12*L7</f>
        <v>0</v>
      </c>
      <c r="M98" s="55" t="n">
        <f aca="false">M97*(Assumptions!$B$25+MAX(0,Assumptions!$B$161-1)*Assumptions!$B$26)/12*M7</f>
        <v>0</v>
      </c>
      <c r="N98" s="55" t="n">
        <f aca="false">N97*(Assumptions!$B$25+MAX(0,Assumptions!$B$161-1)*Assumptions!$B$26)/12*N7</f>
        <v>0</v>
      </c>
      <c r="O98" s="55" t="n">
        <f aca="false">O97*(Assumptions!$B$25+MAX(0,Assumptions!$B$161-1)*Assumptions!$B$26)/12*O7</f>
        <v>51.4944266885152</v>
      </c>
      <c r="P98" s="55" t="n">
        <f aca="false">P97*(Assumptions!$B$25+MAX(0,Assumptions!$B$161-1)*Assumptions!$B$26)/12*P7</f>
        <v>98.1697062397794</v>
      </c>
      <c r="Q98" s="55" t="n">
        <f aca="false">Q97*(Assumptions!$B$25+MAX(0,Assumptions!$B$161-1)*Assumptions!$B$26)/12*Q7</f>
        <v>140.657510090682</v>
      </c>
      <c r="R98" s="55" t="n">
        <f aca="false">R97*(Assumptions!$B$25+MAX(0,Assumptions!$B$161-1)*Assumptions!$B$26)/12*R7</f>
        <v>193.913803758917</v>
      </c>
      <c r="S98" s="55" t="n">
        <f aca="false">S97*(Assumptions!$B$25+MAX(0,Assumptions!$B$161-1)*Assumptions!$B$26)/12*S7</f>
        <v>238.942623997689</v>
      </c>
      <c r="T98" s="55" t="n">
        <f aca="false">T97*(Assumptions!$B$25+MAX(0,Assumptions!$B$161-1)*Assumptions!$B$26)/12*T7</f>
        <v>272.895399174583</v>
      </c>
      <c r="U98" s="55" t="n">
        <f aca="false">U97*(Assumptions!$B$25+MAX(0,Assumptions!$B$161-1)*Assumptions!$B$26)/12*U7</f>
        <v>303.582266111224</v>
      </c>
      <c r="V98" s="55" t="n">
        <f aca="false">V97*(Assumptions!$B$25+MAX(0,Assumptions!$B$161-1)*Assumptions!$B$26)/12*V7</f>
        <v>332.900896345383</v>
      </c>
      <c r="W98" s="55" t="n">
        <f aca="false">W97*(Assumptions!$B$25+MAX(0,Assumptions!$B$161-1)*Assumptions!$B$26)/12*W7</f>
        <v>365.785448675898</v>
      </c>
      <c r="X98" s="55" t="n">
        <f aca="false">X97*(Assumptions!$B$25+MAX(0,Assumptions!$B$161-1)*Assumptions!$B$26)/12*X7</f>
        <v>417.073179077675</v>
      </c>
      <c r="Y98" s="55" t="n">
        <f aca="false">Y97*(Assumptions!$B$25+MAX(0,Assumptions!$B$161-1)*Assumptions!$B$26)/12*Y7</f>
        <v>460.279399830028</v>
      </c>
      <c r="Z98" s="55" t="n">
        <f aca="false">Z97*(Assumptions!$B$25+MAX(0,Assumptions!$B$161-1)*Assumptions!$B$26)/12*Z7</f>
        <v>492.863703308358</v>
      </c>
      <c r="AA98" s="55" t="n">
        <f aca="false">AA97*(Assumptions!$B$25+MAX(0,Assumptions!$B$161-1)*Assumptions!$B$26)/12*AA7</f>
        <v>11903.4401242349</v>
      </c>
      <c r="AB98" s="55" t="n">
        <f aca="false">AB97*(Assumptions!$B$25+MAX(0,Assumptions!$B$161-1)*Assumptions!$B$26)/12*AB7</f>
        <v>19976.8760899038</v>
      </c>
      <c r="AC98" s="55" t="n">
        <f aca="false">AC97*(Assumptions!$B$25+MAX(0,Assumptions!$B$161-1)*Assumptions!$B$26)/12*AC7</f>
        <v>29764.4963789044</v>
      </c>
      <c r="AD98" s="55" t="n">
        <f aca="false">AD97*(Assumptions!$B$25+MAX(0,Assumptions!$B$161-1)*Assumptions!$B$26)/12*AD7</f>
        <v>38524.3560252529</v>
      </c>
      <c r="AE98" s="55" t="n">
        <f aca="false">AE97*(Assumptions!$B$25+MAX(0,Assumptions!$B$161-1)*Assumptions!$B$26)/12*AE7</f>
        <v>43733.2765508205</v>
      </c>
    </row>
    <row r="99" customFormat="false" ht="15" hidden="false" customHeight="false" outlineLevel="0" collapsed="false">
      <c r="A99" s="6" t="s">
        <v>494</v>
      </c>
      <c r="B99" s="23" t="s">
        <v>114</v>
      </c>
      <c r="C99" s="55" t="n">
        <f aca="false">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0</v>
      </c>
      <c r="D99" s="55" t="n">
        <f aca="false">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0</v>
      </c>
      <c r="E99" s="55" t="n">
        <f aca="false">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0</v>
      </c>
      <c r="F99" s="55" t="n">
        <f aca="false">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0</v>
      </c>
      <c r="G99" s="55" t="n">
        <f aca="false">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0</v>
      </c>
      <c r="H99" s="55" t="n">
        <f aca="false">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0</v>
      </c>
      <c r="I99" s="55" t="n">
        <f aca="false">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0</v>
      </c>
      <c r="J99" s="55" t="n">
        <f aca="false">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0</v>
      </c>
      <c r="K99" s="55" t="n">
        <f aca="false">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0</v>
      </c>
      <c r="L99" s="55" t="n">
        <f aca="false">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0</v>
      </c>
      <c r="M99" s="55" t="n">
        <f aca="false">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0</v>
      </c>
      <c r="N99" s="55" t="n">
        <f aca="false">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0</v>
      </c>
      <c r="O99" s="55" t="n">
        <f aca="false">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0</v>
      </c>
      <c r="P99" s="55" t="n">
        <f aca="false">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0</v>
      </c>
      <c r="Q99" s="55" t="n">
        <f aca="false">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0</v>
      </c>
      <c r="R99" s="55" t="n">
        <f aca="false">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0</v>
      </c>
      <c r="S99" s="55" t="n">
        <f aca="false">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0</v>
      </c>
      <c r="T99" s="55" t="n">
        <f aca="false">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0</v>
      </c>
      <c r="U99" s="55" t="n">
        <f aca="false">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0</v>
      </c>
      <c r="V99" s="55" t="n">
        <f aca="false">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0</v>
      </c>
      <c r="W99" s="55" t="n">
        <f aca="false">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22.5007977677099</v>
      </c>
      <c r="X99" s="55" t="n">
        <f aca="false">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44.4040257441513</v>
      </c>
      <c r="Y99" s="55" t="n">
        <f aca="false">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65.6290800778229</v>
      </c>
      <c r="Z99" s="55" t="n">
        <f aca="false">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92.3425706953811</v>
      </c>
      <c r="AA99" s="55" t="n">
        <f aca="false">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9240.12569817366</v>
      </c>
      <c r="AB99" s="55" t="n">
        <f aca="false">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17912.4645569676</v>
      </c>
      <c r="AC99" s="55" t="n">
        <f aca="false">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29956.5108981784</v>
      </c>
      <c r="AD99" s="55" t="n">
        <f aca="false">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44053.2418344171</v>
      </c>
      <c r="AE99" s="55" t="n">
        <f aca="false">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58212.1626771116</v>
      </c>
    </row>
    <row r="100" customFormat="false" ht="15" hidden="false" customHeight="false" outlineLevel="0" collapsed="false">
      <c r="A100" s="6" t="s">
        <v>495</v>
      </c>
      <c r="B100" s="23" t="s">
        <v>114</v>
      </c>
      <c r="C100" s="55" t="n">
        <f aca="false">IF(C2&gt;=Assumptions!$B$53,C85*C87*(1-Assumptions!$B$178)*Assumptions!$B$156*Assumptions!$B$157,0)</f>
        <v>0</v>
      </c>
      <c r="D100" s="55" t="n">
        <f aca="false">IF(D2&gt;=Assumptions!$B$53,D85*D87*(1-Assumptions!$B$178)*Assumptions!$B$156*Assumptions!$B$157,0)</f>
        <v>0</v>
      </c>
      <c r="E100" s="55" t="n">
        <f aca="false">IF(E2&gt;=Assumptions!$B$53,E85*E87*(1-Assumptions!$B$178)*Assumptions!$B$156*Assumptions!$B$157,0)</f>
        <v>0</v>
      </c>
      <c r="F100" s="55" t="n">
        <f aca="false">IF(F2&gt;=Assumptions!$B$53,F85*F87*(1-Assumptions!$B$178)*Assumptions!$B$156*Assumptions!$B$157,0)</f>
        <v>0</v>
      </c>
      <c r="G100" s="55" t="n">
        <f aca="false">IF(G2&gt;=Assumptions!$B$53,G85*G87*(1-Assumptions!$B$178)*Assumptions!$B$156*Assumptions!$B$157,0)</f>
        <v>0</v>
      </c>
      <c r="H100" s="55" t="n">
        <f aca="false">IF(H2&gt;=Assumptions!$B$53,H85*H87*(1-Assumptions!$B$178)*Assumptions!$B$156*Assumptions!$B$157,0)</f>
        <v>0</v>
      </c>
      <c r="I100" s="55" t="n">
        <f aca="false">IF(I2&gt;=Assumptions!$B$53,I85*I87*(1-Assumptions!$B$178)*Assumptions!$B$156*Assumptions!$B$157,0)</f>
        <v>0</v>
      </c>
      <c r="J100" s="55" t="n">
        <f aca="false">IF(J2&gt;=Assumptions!$B$53,J85*J87*(1-Assumptions!$B$178)*Assumptions!$B$156*Assumptions!$B$157,0)</f>
        <v>0</v>
      </c>
      <c r="K100" s="55" t="n">
        <f aca="false">IF(K2&gt;=Assumptions!$B$53,K85*K87*(1-Assumptions!$B$178)*Assumptions!$B$156*Assumptions!$B$157,0)</f>
        <v>0</v>
      </c>
      <c r="L100" s="55" t="n">
        <f aca="false">IF(L2&gt;=Assumptions!$B$53,L85*L87*(1-Assumptions!$B$178)*Assumptions!$B$156*Assumptions!$B$157,0)</f>
        <v>0</v>
      </c>
      <c r="M100" s="55" t="n">
        <f aca="false">IF(M2&gt;=Assumptions!$B$53,M85*M87*(1-Assumptions!$B$178)*Assumptions!$B$156*Assumptions!$B$157,0)</f>
        <v>0</v>
      </c>
      <c r="N100" s="55" t="n">
        <f aca="false">IF(N2&gt;=Assumptions!$B$53,N85*N87*(1-Assumptions!$B$178)*Assumptions!$B$156*Assumptions!$B$157,0)</f>
        <v>0</v>
      </c>
      <c r="O100" s="55" t="n">
        <f aca="false">IF(O2&gt;=Assumptions!$B$53,O85*O87*(1-Assumptions!$B$178)*Assumptions!$B$156*Assumptions!$B$157,0)</f>
        <v>0</v>
      </c>
      <c r="P100" s="55" t="n">
        <f aca="false">IF(P2&gt;=Assumptions!$B$53,P85*P87*(1-Assumptions!$B$178)*Assumptions!$B$156*Assumptions!$B$157,0)</f>
        <v>0</v>
      </c>
      <c r="Q100" s="55" t="n">
        <f aca="false">IF(Q2&gt;=Assumptions!$B$53,Q85*Q87*(1-Assumptions!$B$178)*Assumptions!$B$156*Assumptions!$B$157,0)</f>
        <v>0</v>
      </c>
      <c r="R100" s="55" t="n">
        <f aca="false">IF(R2&gt;=Assumptions!$B$53,R85*R87*(1-Assumptions!$B$178)*Assumptions!$B$156*Assumptions!$B$157,0)</f>
        <v>0</v>
      </c>
      <c r="S100" s="55" t="n">
        <f aca="false">IF(S2&gt;=Assumptions!$B$53,S85*S87*(1-Assumptions!$B$178)*Assumptions!$B$156*Assumptions!$B$157,0)</f>
        <v>0</v>
      </c>
      <c r="T100" s="55" t="n">
        <f aca="false">IF(T2&gt;=Assumptions!$B$53,T85*T87*(1-Assumptions!$B$178)*Assumptions!$B$156*Assumptions!$B$157,0)</f>
        <v>0</v>
      </c>
      <c r="U100" s="55" t="n">
        <f aca="false">IF(U2&gt;=Assumptions!$B$53,U85*U87*(1-Assumptions!$B$178)*Assumptions!$B$156*Assumptions!$B$157,0)</f>
        <v>0</v>
      </c>
      <c r="V100" s="55" t="n">
        <f aca="false">IF(V2&gt;=Assumptions!$B$53,V85*V87*(1-Assumptions!$B$178)*Assumptions!$B$156*Assumptions!$B$157,0)</f>
        <v>0</v>
      </c>
      <c r="W100" s="55" t="n">
        <f aca="false">IF(W2&gt;=Assumptions!$B$53,W85*W87*(1-Assumptions!$B$178)*Assumptions!$B$156*Assumptions!$B$157,0)</f>
        <v>101.951837755112</v>
      </c>
      <c r="X100" s="55" t="n">
        <f aca="false">IF(X2&gt;=Assumptions!$B$53,X85*X87*(1-Assumptions!$B$178)*Assumptions!$B$156*Assumptions!$B$157,0)</f>
        <v>213.259355194654</v>
      </c>
      <c r="Y100" s="55" t="n">
        <f aca="false">IF(Y2&gt;=Assumptions!$B$53,Y85*Y87*(1-Assumptions!$B$178)*Assumptions!$B$156*Assumptions!$B$157,0)</f>
        <v>340.25460988196</v>
      </c>
      <c r="Z100" s="55" t="n">
        <f aca="false">IF(Z2&gt;=Assumptions!$B$53,Z85*Z87*(1-Assumptions!$B$178)*Assumptions!$B$156*Assumptions!$B$157,0)</f>
        <v>524.303985218755</v>
      </c>
      <c r="AA100" s="55" t="n">
        <f aca="false">IF(AA2&gt;=Assumptions!$B$53,AA85*AA87*(1-Assumptions!$B$178)*Assumptions!$B$156*Assumptions!$B$157,0)</f>
        <v>10630.6126084739</v>
      </c>
      <c r="AB100" s="55" t="n">
        <f aca="false">IF(AB2&gt;=Assumptions!$B$53,AB85*AB87*(1-Assumptions!$B$178)*Assumptions!$B$156*Assumptions!$B$157,0)</f>
        <v>28747.7335508927</v>
      </c>
      <c r="AC100" s="55" t="n">
        <f aca="false">IF(AC2&gt;=Assumptions!$B$53,AC85*AC87*(1-Assumptions!$B$178)*Assumptions!$B$156*Assumptions!$B$157,0)</f>
        <v>59801.2439153075</v>
      </c>
      <c r="AD100" s="55" t="n">
        <f aca="false">IF(AD2&gt;=Assumptions!$B$53,AD85*AD87*(1-Assumptions!$B$178)*Assumptions!$B$156*Assumptions!$B$157,0)</f>
        <v>107858.973347412</v>
      </c>
      <c r="AE100" s="55" t="n">
        <f aca="false">IF(AE2&gt;=Assumptions!$B$53,AE85*AE87*(1-Assumptions!$B$178)*Assumptions!$B$156*Assumptions!$B$157,0)</f>
        <v>176667.512700899</v>
      </c>
    </row>
    <row r="101" customFormat="false" ht="15" hidden="false" customHeight="false" outlineLevel="0" collapsed="false">
      <c r="A101" s="6" t="s">
        <v>496</v>
      </c>
      <c r="B101" s="23" t="s">
        <v>114</v>
      </c>
      <c r="C101" s="55" t="n">
        <f aca="false">IF(C2&gt;=Assumptions!$B$53,(C100*Assumptions!$B$29*Assumptions!$B$30+C86*C88*(1-Assumptions!$B$178)*Assumptions!$B$27*Assumptions!$B$28)*C7/12,0)</f>
        <v>0</v>
      </c>
      <c r="D101" s="55" t="n">
        <f aca="false">IF(D2&gt;=Assumptions!$B$53,(D100*Assumptions!$B$29*Assumptions!$B$30+D86*D88*(1-Assumptions!$B$178)*Assumptions!$B$27*Assumptions!$B$28)*D7/12,0)</f>
        <v>0</v>
      </c>
      <c r="E101" s="55" t="n">
        <f aca="false">IF(E2&gt;=Assumptions!$B$53,(E100*Assumptions!$B$29*Assumptions!$B$30+E86*E88*(1-Assumptions!$B$178)*Assumptions!$B$27*Assumptions!$B$28)*E7/12,0)</f>
        <v>0</v>
      </c>
      <c r="F101" s="55" t="n">
        <f aca="false">IF(F2&gt;=Assumptions!$B$53,(F100*Assumptions!$B$29*Assumptions!$B$30+F86*F88*(1-Assumptions!$B$178)*Assumptions!$B$27*Assumptions!$B$28)*F7/12,0)</f>
        <v>0</v>
      </c>
      <c r="G101" s="55" t="n">
        <f aca="false">IF(G2&gt;=Assumptions!$B$53,(G100*Assumptions!$B$29*Assumptions!$B$30+G86*G88*(1-Assumptions!$B$178)*Assumptions!$B$27*Assumptions!$B$28)*G7/12,0)</f>
        <v>0</v>
      </c>
      <c r="H101" s="55" t="n">
        <f aca="false">IF(H2&gt;=Assumptions!$B$53,(H100*Assumptions!$B$29*Assumptions!$B$30+H86*H88*(1-Assumptions!$B$178)*Assumptions!$B$27*Assumptions!$B$28)*H7/12,0)</f>
        <v>0</v>
      </c>
      <c r="I101" s="55" t="n">
        <f aca="false">IF(I2&gt;=Assumptions!$B$53,(I100*Assumptions!$B$29*Assumptions!$B$30+I86*I88*(1-Assumptions!$B$178)*Assumptions!$B$27*Assumptions!$B$28)*I7/12,0)</f>
        <v>0</v>
      </c>
      <c r="J101" s="55" t="n">
        <f aca="false">IF(J2&gt;=Assumptions!$B$53,(J100*Assumptions!$B$29*Assumptions!$B$30+J86*J88*(1-Assumptions!$B$178)*Assumptions!$B$27*Assumptions!$B$28)*J7/12,0)</f>
        <v>0</v>
      </c>
      <c r="K101" s="55" t="n">
        <f aca="false">IF(K2&gt;=Assumptions!$B$53,(K100*Assumptions!$B$29*Assumptions!$B$30+K86*K88*(1-Assumptions!$B$178)*Assumptions!$B$27*Assumptions!$B$28)*K7/12,0)</f>
        <v>0</v>
      </c>
      <c r="L101" s="55" t="n">
        <f aca="false">IF(L2&gt;=Assumptions!$B$53,(L100*Assumptions!$B$29*Assumptions!$B$30+L86*L88*(1-Assumptions!$B$178)*Assumptions!$B$27*Assumptions!$B$28)*L7/12,0)</f>
        <v>0</v>
      </c>
      <c r="M101" s="55" t="n">
        <f aca="false">IF(M2&gt;=Assumptions!$B$53,(M100*Assumptions!$B$29*Assumptions!$B$30+M86*M88*(1-Assumptions!$B$178)*Assumptions!$B$27*Assumptions!$B$28)*M7/12,0)</f>
        <v>0</v>
      </c>
      <c r="N101" s="55" t="n">
        <f aca="false">IF(N2&gt;=Assumptions!$B$53,(N100*Assumptions!$B$29*Assumptions!$B$30+N86*N88*(1-Assumptions!$B$178)*Assumptions!$B$27*Assumptions!$B$28)*N7/12,0)</f>
        <v>0</v>
      </c>
      <c r="O101" s="55" t="n">
        <f aca="false">IF(O2&gt;=Assumptions!$B$53,(O100*Assumptions!$B$29*Assumptions!$B$30+O86*O88*(1-Assumptions!$B$178)*Assumptions!$B$27*Assumptions!$B$28)*O7/12,0)</f>
        <v>0</v>
      </c>
      <c r="P101" s="55" t="n">
        <f aca="false">IF(P2&gt;=Assumptions!$B$53,(P100*Assumptions!$B$29*Assumptions!$B$30+P86*P88*(1-Assumptions!$B$178)*Assumptions!$B$27*Assumptions!$B$28)*P7/12,0)</f>
        <v>0</v>
      </c>
      <c r="Q101" s="55" t="n">
        <f aca="false">IF(Q2&gt;=Assumptions!$B$53,(Q100*Assumptions!$B$29*Assumptions!$B$30+Q86*Q88*(1-Assumptions!$B$178)*Assumptions!$B$27*Assumptions!$B$28)*Q7/12,0)</f>
        <v>0</v>
      </c>
      <c r="R101" s="55" t="n">
        <f aca="false">IF(R2&gt;=Assumptions!$B$53,(R100*Assumptions!$B$29*Assumptions!$B$30+R86*R88*(1-Assumptions!$B$178)*Assumptions!$B$27*Assumptions!$B$28)*R7/12,0)</f>
        <v>0</v>
      </c>
      <c r="S101" s="55" t="n">
        <f aca="false">IF(S2&gt;=Assumptions!$B$53,(S100*Assumptions!$B$29*Assumptions!$B$30+S86*S88*(1-Assumptions!$B$178)*Assumptions!$B$27*Assumptions!$B$28)*S7/12,0)</f>
        <v>0</v>
      </c>
      <c r="T101" s="55" t="n">
        <f aca="false">IF(T2&gt;=Assumptions!$B$53,(T100*Assumptions!$B$29*Assumptions!$B$30+T86*T88*(1-Assumptions!$B$178)*Assumptions!$B$27*Assumptions!$B$28)*T7/12,0)</f>
        <v>0</v>
      </c>
      <c r="U101" s="55" t="n">
        <f aca="false">IF(U2&gt;=Assumptions!$B$53,(U100*Assumptions!$B$29*Assumptions!$B$30+U86*U88*(1-Assumptions!$B$178)*Assumptions!$B$27*Assumptions!$B$28)*U7/12,0)</f>
        <v>0</v>
      </c>
      <c r="V101" s="55" t="n">
        <f aca="false">IF(V2&gt;=Assumptions!$B$53,(V100*Assumptions!$B$29*Assumptions!$B$30+V86*V88*(1-Assumptions!$B$178)*Assumptions!$B$27*Assumptions!$B$28)*V7/12,0)</f>
        <v>0</v>
      </c>
      <c r="W101" s="55" t="n">
        <f aca="false">IF(W2&gt;=Assumptions!$B$53,(W100*Assumptions!$B$29*Assumptions!$B$30+W86*W88*(1-Assumptions!$B$178)*Assumptions!$B$27*Assumptions!$B$28)*W7/12,0)</f>
        <v>0.201054357177262</v>
      </c>
      <c r="X101" s="55" t="n">
        <f aca="false">IF(X2&gt;=Assumptions!$B$53,(X100*Assumptions!$B$29*Assumptions!$B$30+X86*X88*(1-Assumptions!$B$178)*Assumptions!$B$27*Assumptions!$B$28)*X7/12,0)</f>
        <v>0.415918671039627</v>
      </c>
      <c r="Y101" s="55" t="n">
        <f aca="false">IF(Y2&gt;=Assumptions!$B$53,(Y100*Assumptions!$B$29*Assumptions!$B$30+Y86*Y88*(1-Assumptions!$B$178)*Assumptions!$B$27*Assumptions!$B$28)*Y7/12,0)</f>
        <v>0.653981497080388</v>
      </c>
      <c r="Z101" s="55" t="n">
        <f aca="false">IF(Z2&gt;=Assumptions!$B$53,(Z100*Assumptions!$B$29*Assumptions!$B$30+Z86*Z88*(1-Assumptions!$B$178)*Assumptions!$B$27*Assumptions!$B$28)*Z7/12,0)</f>
        <v>0.989807430669541</v>
      </c>
      <c r="AA101" s="55" t="n">
        <f aca="false">IF(AA2&gt;=Assumptions!$B$53,(AA100*Assumptions!$B$29*Assumptions!$B$30+AA86*AA88*(1-Assumptions!$B$178)*Assumptions!$B$27*Assumptions!$B$28)*AA7/12,0)</f>
        <v>202.746790045848</v>
      </c>
      <c r="AB101" s="55" t="n">
        <f aca="false">IF(AB2&gt;=Assumptions!$B$53,(AB100*Assumptions!$B$29*Assumptions!$B$30+AB86*AB88*(1-Assumptions!$B$178)*Assumptions!$B$27*Assumptions!$B$28)*AB7/12,0)</f>
        <v>490.344424270721</v>
      </c>
      <c r="AC101" s="55" t="n">
        <f aca="false">IF(AC2&gt;=Assumptions!$B$53,(AC100*Assumptions!$B$29*Assumptions!$B$30+AC86*AC88*(1-Assumptions!$B$178)*Assumptions!$B$27*Assumptions!$B$28)*AC7/12,0)</f>
        <v>931.524145302371</v>
      </c>
      <c r="AD101" s="55" t="n">
        <f aca="false">IF(AD2&gt;=Assumptions!$B$53,(AD100*Assumptions!$B$29*Assumptions!$B$30+AD86*AD88*(1-Assumptions!$B$178)*Assumptions!$B$27*Assumptions!$B$28)*AD7/12,0)</f>
        <v>1526.44837570116</v>
      </c>
      <c r="AE101" s="55" t="n">
        <f aca="false">IF(AE2&gt;=Assumptions!$B$53,(AE100*Assumptions!$B$29*Assumptions!$B$30+AE86*AE88*(1-Assumptions!$B$178)*Assumptions!$B$27*Assumptions!$B$28)*AE7/12,0)</f>
        <v>2243.42137701276</v>
      </c>
    </row>
    <row r="102" customFormat="false" ht="15" hidden="false" customHeight="false" outlineLevel="0" collapsed="false">
      <c r="A102" s="6" t="s">
        <v>497</v>
      </c>
      <c r="B102" s="23" t="s">
        <v>498</v>
      </c>
      <c r="C102" s="45" t="n">
        <f aca="false">IF(C2&gt;=Assumptions!$B$49,(C71+C73*Assumptions!$B$138)*Assumptions!$B$137*C7/12,0)</f>
        <v>0</v>
      </c>
      <c r="D102" s="45" t="n">
        <f aca="false">IF(D2&gt;=Assumptions!$B$49,(D71+D73*Assumptions!$B$138)*Assumptions!$B$137*D7/12,0)</f>
        <v>0</v>
      </c>
      <c r="E102" s="45" t="n">
        <f aca="false">IF(E2&gt;=Assumptions!$B$49,(E71+E73*Assumptions!$B$138)*Assumptions!$B$137*E7/12,0)</f>
        <v>0</v>
      </c>
      <c r="F102" s="45" t="n">
        <f aca="false">IF(F2&gt;=Assumptions!$B$49,(F71+F73*Assumptions!$B$138)*Assumptions!$B$137*F7/12,0)</f>
        <v>0</v>
      </c>
      <c r="G102" s="45" t="n">
        <f aca="false">IF(G2&gt;=Assumptions!$B$49,(G71+G73*Assumptions!$B$138)*Assumptions!$B$137*G7/12,0)</f>
        <v>0</v>
      </c>
      <c r="H102" s="45" t="n">
        <f aca="false">IF(H2&gt;=Assumptions!$B$49,(H71+H73*Assumptions!$B$138)*Assumptions!$B$137*H7/12,0)</f>
        <v>0</v>
      </c>
      <c r="I102" s="45" t="n">
        <f aca="false">IF(I2&gt;=Assumptions!$B$49,(I71+I73*Assumptions!$B$138)*Assumptions!$B$137*I7/12,0)</f>
        <v>0</v>
      </c>
      <c r="J102" s="45" t="n">
        <f aca="false">IF(J2&gt;=Assumptions!$B$49,(J71+J73*Assumptions!$B$138)*Assumptions!$B$137*J7/12,0)</f>
        <v>0</v>
      </c>
      <c r="K102" s="45" t="n">
        <f aca="false">IF(K2&gt;=Assumptions!$B$49,(K71+K73*Assumptions!$B$138)*Assumptions!$B$137*K7/12,0)</f>
        <v>0</v>
      </c>
      <c r="L102" s="45" t="n">
        <f aca="false">IF(L2&gt;=Assumptions!$B$49,(L71+L73*Assumptions!$B$138)*Assumptions!$B$137*L7/12,0)</f>
        <v>0</v>
      </c>
      <c r="M102" s="45" t="n">
        <f aca="false">IF(M2&gt;=Assumptions!$B$49,(M71+M73*Assumptions!$B$138)*Assumptions!$B$137*M7/12,0)</f>
        <v>0</v>
      </c>
      <c r="N102" s="45" t="n">
        <f aca="false">IF(N2&gt;=Assumptions!$B$49,(N71+N73*Assumptions!$B$138)*Assumptions!$B$137*N7/12,0)</f>
        <v>0</v>
      </c>
      <c r="O102" s="45" t="n">
        <f aca="false">IF(O2&gt;=Assumptions!$B$49,(O71+O73*Assumptions!$B$138)*Assumptions!$B$137*O7/12,0)</f>
        <v>0.367583585465883</v>
      </c>
      <c r="P102" s="45" t="n">
        <f aca="false">IF(P2&gt;=Assumptions!$B$49,(P71+P73*Assumptions!$B$138)*Assumptions!$B$137*P7/12,0)</f>
        <v>0.737217856484448</v>
      </c>
      <c r="Q102" s="45" t="n">
        <f aca="false">IF(Q2&gt;=Assumptions!$B$49,(Q71+Q73*Assumptions!$B$138)*Assumptions!$B$137*Q7/12,0)</f>
        <v>1.11023275662047</v>
      </c>
      <c r="R102" s="45" t="n">
        <f aca="false">IF(R2&gt;=Assumptions!$B$49,(R71+R73*Assumptions!$B$138)*Assumptions!$B$137*R7/12,0)</f>
        <v>1.5906237193864</v>
      </c>
      <c r="S102" s="45" t="n">
        <f aca="false">IF(S2&gt;=Assumptions!$B$49,(S71+S73*Assumptions!$B$138)*Assumptions!$B$137*S7/12,0)</f>
        <v>2.05058481602419</v>
      </c>
      <c r="T102" s="45" t="n">
        <f aca="false">IF(T2&gt;=Assumptions!$B$49,(T71+T73*Assumptions!$B$138)*Assumptions!$B$137*T7/12,0)</f>
        <v>2.4641689496779</v>
      </c>
      <c r="U102" s="45" t="n">
        <f aca="false">IF(U2&gt;=Assumptions!$B$49,(U71+U73*Assumptions!$B$138)*Assumptions!$B$137*U7/12,0)</f>
        <v>2.87945051033906</v>
      </c>
      <c r="V102" s="45" t="n">
        <f aca="false">IF(V2&gt;=Assumptions!$B$49,(V71+V73*Assumptions!$B$138)*Assumptions!$B$137*V7/12,0)</f>
        <v>3.30776949135478</v>
      </c>
      <c r="W102" s="45" t="n">
        <f aca="false">IF(W2&gt;=Assumptions!$B$49,(W71+W73*Assumptions!$B$138)*Assumptions!$B$137*W7/12,0)</f>
        <v>3.78346473881685</v>
      </c>
      <c r="X102" s="45" t="n">
        <f aca="false">IF(X2&gt;=Assumptions!$B$49,(X71+X73*Assumptions!$B$138)*Assumptions!$B$137*X7/12,0)</f>
        <v>4.41504895188073</v>
      </c>
      <c r="Y102" s="45" t="n">
        <f aca="false">IF(Y2&gt;=Assumptions!$B$49,(Y71+Y73*Assumptions!$B$138)*Assumptions!$B$137*Y7/12,0)</f>
        <v>5.02658090200232</v>
      </c>
      <c r="Z102" s="45" t="n">
        <f aca="false">IF(Z2&gt;=Assumptions!$B$49,(Z71+Z73*Assumptions!$B$138)*Assumptions!$B$137*Z7/12,0)</f>
        <v>5.59437227552617</v>
      </c>
      <c r="AA102" s="45" t="n">
        <f aca="false">IF(AA2&gt;=Assumptions!$B$49,(AA71+AA73*Assumptions!$B$138)*Assumptions!$B$137*AA7/12,0)</f>
        <v>194.697020600024</v>
      </c>
      <c r="AB102" s="45" t="n">
        <f aca="false">IF(AB2&gt;=Assumptions!$B$49,(AB71+AB73*Assumptions!$B$138)*Assumptions!$B$137*AB7/12,0)</f>
        <v>405.097816641299</v>
      </c>
      <c r="AC102" s="45" t="n">
        <f aca="false">IF(AC2&gt;=Assumptions!$B$49,(AC71+AC73*Assumptions!$B$138)*Assumptions!$B$137*AC7/12,0)</f>
        <v>714.059365598447</v>
      </c>
      <c r="AD102" s="45" t="n">
        <f aca="false">IF(AD2&gt;=Assumptions!$B$49,(AD71+AD73*Assumptions!$B$138)*Assumptions!$B$137*AD7/12,0)</f>
        <v>1105.15460996012</v>
      </c>
      <c r="AE102" s="45" t="n">
        <f aca="false">IF(AE2&gt;=Assumptions!$B$49,(AE71+AE73*Assumptions!$B$138)*Assumptions!$B$137*AE7/12,0)</f>
        <v>1539.18993303524</v>
      </c>
    </row>
    <row r="103" customFormat="false" ht="15" hidden="false" customHeight="false" outlineLevel="0" collapsed="false">
      <c r="A103" s="3" t="s">
        <v>501</v>
      </c>
      <c r="B103" s="23" t="s">
        <v>114</v>
      </c>
      <c r="C103" s="57" t="n">
        <f aca="false">C94+C95+C96+C98+C99+C101</f>
        <v>0</v>
      </c>
      <c r="D103" s="57" t="n">
        <f aca="false">D94+D95+D96+D98+D99+D101</f>
        <v>0</v>
      </c>
      <c r="E103" s="57" t="n">
        <f aca="false">E94+E95+E96+E98+E99+E101</f>
        <v>0</v>
      </c>
      <c r="F103" s="57" t="n">
        <f aca="false">F94+F95+F96+F98+F99+F101</f>
        <v>0</v>
      </c>
      <c r="G103" s="57" t="n">
        <f aca="false">G94+G95+G96+G98+G99+G101</f>
        <v>0</v>
      </c>
      <c r="H103" s="57" t="n">
        <f aca="false">H94+H95+H96+H98+H99+H101</f>
        <v>0</v>
      </c>
      <c r="I103" s="57" t="n">
        <f aca="false">I94+I95+I96+I98+I99+I101</f>
        <v>0</v>
      </c>
      <c r="J103" s="57" t="n">
        <f aca="false">J94+J95+J96+J98+J99+J101</f>
        <v>0</v>
      </c>
      <c r="K103" s="57" t="n">
        <f aca="false">K94+K95+K96+K98+K99+K101</f>
        <v>0</v>
      </c>
      <c r="L103" s="57" t="n">
        <f aca="false">L94+L95+L96+L98+L99+L101</f>
        <v>0</v>
      </c>
      <c r="M103" s="57" t="n">
        <f aca="false">M94+M95+M96+M98+M99+M101</f>
        <v>0</v>
      </c>
      <c r="N103" s="57" t="n">
        <f aca="false">N94+N95+N96+N98+N99+N101</f>
        <v>0</v>
      </c>
      <c r="O103" s="57" t="n">
        <f aca="false">O94+O95+O96+O98+O99+O101</f>
        <v>150.616724345335</v>
      </c>
      <c r="P103" s="57" t="n">
        <f aca="false">P94+P95+P96+P98+P99+P101</f>
        <v>289.371799858064</v>
      </c>
      <c r="Q103" s="57" t="n">
        <f aca="false">Q94+Q95+Q96+Q98+Q99+Q101</f>
        <v>417.79517837753</v>
      </c>
      <c r="R103" s="57" t="n">
        <f aca="false">R94+R95+R96+R98+R99+R101</f>
        <v>579.356967360296</v>
      </c>
      <c r="S103" s="57" t="n">
        <f aca="false">S94+S95+S96+S98+S99+S101</f>
        <v>718.883008581006</v>
      </c>
      <c r="T103" s="57" t="n">
        <f aca="false">T94+T95+T96+T98+T99+T101</f>
        <v>827.585949596015</v>
      </c>
      <c r="U103" s="57" t="n">
        <f aca="false">U94+U95+U96+U98+U99+U101</f>
        <v>927.752795329303</v>
      </c>
      <c r="V103" s="57" t="n">
        <f aca="false">V94+V95+V96+V98+V99+V101</f>
        <v>1024.74299185856</v>
      </c>
      <c r="W103" s="57" t="n">
        <f aca="false">W94+W95+W96+W98+W99+W101</f>
        <v>1155.83760858985</v>
      </c>
      <c r="X103" s="57" t="n">
        <f aca="false">X94+X95+X96+X98+X99+X101</f>
        <v>1341.04758507551</v>
      </c>
      <c r="Y103" s="57" t="n">
        <f aca="false">Y94+Y95+Y96+Y98+Y99+Y101</f>
        <v>1503.61382477596</v>
      </c>
      <c r="Z103" s="57" t="n">
        <f aca="false">Z94+Z95+Z96+Z98+Z99+Z101</f>
        <v>1642.08800668134</v>
      </c>
      <c r="AA103" s="57" t="n">
        <f aca="false">AA94+AA95+AA96+AA98+AA99+AA101</f>
        <v>49328.9649687683</v>
      </c>
      <c r="AB103" s="57" t="n">
        <f aca="false">AB94+AB95+AB96+AB98+AB99+AB101</f>
        <v>87289.9617515992</v>
      </c>
      <c r="AC103" s="57" t="n">
        <f aca="false">AC94+AC95+AC96+AC98+AC99+AC101</f>
        <v>135555.910098355</v>
      </c>
      <c r="AD103" s="57" t="n">
        <f aca="false">AD94+AD95+AD96+AD98+AD99+AD101</f>
        <v>184026.325042377</v>
      </c>
      <c r="AE103" s="57" t="n">
        <f aca="false">AE94+AE95+AE96+AE98+AE99+AE101</f>
        <v>221723.229173986</v>
      </c>
    </row>
    <row r="105" customFormat="false" ht="15" hidden="false" customHeight="false" outlineLevel="0" collapsed="false">
      <c r="A105" s="46" t="s">
        <v>502</v>
      </c>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row>
    <row r="106" customFormat="false" ht="15" hidden="false" customHeight="false" outlineLevel="0" collapsed="false">
      <c r="A106" s="6" t="s">
        <v>457</v>
      </c>
      <c r="B106" s="23" t="s">
        <v>190</v>
      </c>
      <c r="C106" s="53" t="n">
        <f aca="false">INDEX(Assumptions!$B$100:$B$106,C5)*Assumptions!$B$129/12*C7/Assumptions!$B$126*(1+Assumptions!$B$132)*IF(C2&gt;=Assumptions!$B$57,1,0)</f>
        <v>162.5</v>
      </c>
      <c r="D106" s="53" t="n">
        <f aca="false">INDEX(Assumptions!$B$100:$B$106,D5)*Assumptions!$B$129/12*D7/Assumptions!$B$126*(1+Assumptions!$B$132)*IF(D2&gt;=Assumptions!$B$57,1,0)</f>
        <v>162.5</v>
      </c>
      <c r="E106" s="53" t="n">
        <f aca="false">INDEX(Assumptions!$B$100:$B$106,E5)*Assumptions!$B$129/12*E7/Assumptions!$B$126*(1+Assumptions!$B$132)*IF(E2&gt;=Assumptions!$B$57,1,0)</f>
        <v>162.5</v>
      </c>
      <c r="F106" s="53" t="n">
        <f aca="false">INDEX(Assumptions!$B$100:$B$106,F5)*Assumptions!$B$129/12*F7/Assumptions!$B$126*(1+Assumptions!$B$132)*IF(F2&gt;=Assumptions!$B$57,1,0)</f>
        <v>162.5</v>
      </c>
      <c r="G106" s="53" t="n">
        <f aca="false">INDEX(Assumptions!$B$100:$B$106,G5)*Assumptions!$B$129/12*G7/Assumptions!$B$126*(1+Assumptions!$B$132)*IF(G2&gt;=Assumptions!$B$57,1,0)</f>
        <v>162.5</v>
      </c>
      <c r="H106" s="53" t="n">
        <f aca="false">INDEX(Assumptions!$B$100:$B$106,H5)*Assumptions!$B$129/12*H7/Assumptions!$B$126*(1+Assumptions!$B$132)*IF(H2&gt;=Assumptions!$B$57,1,0)</f>
        <v>162.5</v>
      </c>
      <c r="I106" s="53" t="n">
        <f aca="false">INDEX(Assumptions!$B$100:$B$106,I5)*Assumptions!$B$129/12*I7/Assumptions!$B$126*(1+Assumptions!$B$132)*IF(I2&gt;=Assumptions!$B$57,1,0)</f>
        <v>162.5</v>
      </c>
      <c r="J106" s="53" t="n">
        <f aca="false">INDEX(Assumptions!$B$100:$B$106,J5)*Assumptions!$B$129/12*J7/Assumptions!$B$126*(1+Assumptions!$B$132)*IF(J2&gt;=Assumptions!$B$57,1,0)</f>
        <v>162.5</v>
      </c>
      <c r="K106" s="53" t="n">
        <f aca="false">INDEX(Assumptions!$B$100:$B$106,K5)*Assumptions!$B$129/12*K7/Assumptions!$B$126*(1+Assumptions!$B$132)*IF(K2&gt;=Assumptions!$B$57,1,0)</f>
        <v>162.5</v>
      </c>
      <c r="L106" s="53" t="n">
        <f aca="false">INDEX(Assumptions!$B$100:$B$106,L5)*Assumptions!$B$129/12*L7/Assumptions!$B$126*(1+Assumptions!$B$132)*IF(L2&gt;=Assumptions!$B$57,1,0)</f>
        <v>162.5</v>
      </c>
      <c r="M106" s="53" t="n">
        <f aca="false">INDEX(Assumptions!$B$100:$B$106,M5)*Assumptions!$B$129/12*M7/Assumptions!$B$126*(1+Assumptions!$B$132)*IF(M2&gt;=Assumptions!$B$57,1,0)</f>
        <v>162.5</v>
      </c>
      <c r="N106" s="53" t="n">
        <f aca="false">INDEX(Assumptions!$B$100:$B$106,N5)*Assumptions!$B$129/12*N7/Assumptions!$B$126*(1+Assumptions!$B$132)*IF(N2&gt;=Assumptions!$B$57,1,0)</f>
        <v>162.5</v>
      </c>
      <c r="O106" s="53" t="n">
        <f aca="false">INDEX(Assumptions!$B$100:$B$106,O5)*Assumptions!$B$129/12*O7/Assumptions!$B$126*(1+Assumptions!$B$132)*IF(O2&gt;=Assumptions!$B$57,1,0)</f>
        <v>487.5</v>
      </c>
      <c r="P106" s="53" t="n">
        <f aca="false">INDEX(Assumptions!$B$100:$B$106,P5)*Assumptions!$B$129/12*P7/Assumptions!$B$126*(1+Assumptions!$B$132)*IF(P2&gt;=Assumptions!$B$57,1,0)</f>
        <v>487.5</v>
      </c>
      <c r="Q106" s="53" t="n">
        <f aca="false">INDEX(Assumptions!$B$100:$B$106,Q5)*Assumptions!$B$129/12*Q7/Assumptions!$B$126*(1+Assumptions!$B$132)*IF(Q2&gt;=Assumptions!$B$57,1,0)</f>
        <v>487.5</v>
      </c>
      <c r="R106" s="53" t="n">
        <f aca="false">INDEX(Assumptions!$B$100:$B$106,R5)*Assumptions!$B$129/12*R7/Assumptions!$B$126*(1+Assumptions!$B$132)*IF(R2&gt;=Assumptions!$B$57,1,0)</f>
        <v>487.5</v>
      </c>
      <c r="S106" s="53" t="n">
        <f aca="false">INDEX(Assumptions!$B$100:$B$106,S5)*Assumptions!$B$129/12*S7/Assumptions!$B$126*(1+Assumptions!$B$132)*IF(S2&gt;=Assumptions!$B$57,1,0)</f>
        <v>487.5</v>
      </c>
      <c r="T106" s="53" t="n">
        <f aca="false">INDEX(Assumptions!$B$100:$B$106,T5)*Assumptions!$B$129/12*T7/Assumptions!$B$126*(1+Assumptions!$B$132)*IF(T2&gt;=Assumptions!$B$57,1,0)</f>
        <v>487.5</v>
      </c>
      <c r="U106" s="53" t="n">
        <f aca="false">INDEX(Assumptions!$B$100:$B$106,U5)*Assumptions!$B$129/12*U7/Assumptions!$B$126*(1+Assumptions!$B$132)*IF(U2&gt;=Assumptions!$B$57,1,0)</f>
        <v>487.5</v>
      </c>
      <c r="V106" s="53" t="n">
        <f aca="false">INDEX(Assumptions!$B$100:$B$106,V5)*Assumptions!$B$129/12*V7/Assumptions!$B$126*(1+Assumptions!$B$132)*IF(V2&gt;=Assumptions!$B$57,1,0)</f>
        <v>487.5</v>
      </c>
      <c r="W106" s="53" t="n">
        <f aca="false">INDEX(Assumptions!$B$100:$B$106,W5)*Assumptions!$B$129/12*W7/Assumptions!$B$126*(1+Assumptions!$B$132)*IF(W2&gt;=Assumptions!$B$57,1,0)</f>
        <v>487.5</v>
      </c>
      <c r="X106" s="53" t="n">
        <f aca="false">INDEX(Assumptions!$B$100:$B$106,X5)*Assumptions!$B$129/12*X7/Assumptions!$B$126*(1+Assumptions!$B$132)*IF(X2&gt;=Assumptions!$B$57,1,0)</f>
        <v>487.5</v>
      </c>
      <c r="Y106" s="53" t="n">
        <f aca="false">INDEX(Assumptions!$B$100:$B$106,Y5)*Assumptions!$B$129/12*Y7/Assumptions!$B$126*(1+Assumptions!$B$132)*IF(Y2&gt;=Assumptions!$B$57,1,0)</f>
        <v>487.5</v>
      </c>
      <c r="Z106" s="53" t="n">
        <f aca="false">INDEX(Assumptions!$B$100:$B$106,Z5)*Assumptions!$B$129/12*Z7/Assumptions!$B$126*(1+Assumptions!$B$132)*IF(Z2&gt;=Assumptions!$B$57,1,0)</f>
        <v>487.5</v>
      </c>
      <c r="AA106" s="53" t="n">
        <f aca="false">INDEX(Assumptions!$B$100:$B$106,AA5)*Assumptions!$B$129/12*AA7/Assumptions!$B$126*(1+Assumptions!$B$132)*IF(AA2&gt;=Assumptions!$B$57,1,0)</f>
        <v>8125</v>
      </c>
      <c r="AB106" s="53" t="n">
        <f aca="false">INDEX(Assumptions!$B$100:$B$106,AB5)*Assumptions!$B$129/12*AB7/Assumptions!$B$126*(1+Assumptions!$B$132)*IF(AB2&gt;=Assumptions!$B$57,1,0)</f>
        <v>13000</v>
      </c>
      <c r="AC106" s="53" t="n">
        <f aca="false">INDEX(Assumptions!$B$100:$B$106,AC5)*Assumptions!$B$129/12*AC7/Assumptions!$B$126*(1+Assumptions!$B$132)*IF(AC2&gt;=Assumptions!$B$57,1,0)</f>
        <v>19500</v>
      </c>
      <c r="AD106" s="53" t="n">
        <f aca="false">INDEX(Assumptions!$B$100:$B$106,AD5)*Assumptions!$B$129/12*AD7/Assumptions!$B$126*(1+Assumptions!$B$132)*IF(AD2&gt;=Assumptions!$B$57,1,0)</f>
        <v>27625</v>
      </c>
      <c r="AE106" s="53" t="n">
        <f aca="false">INDEX(Assumptions!$B$100:$B$106,AE5)*Assumptions!$B$129/12*AE7/Assumptions!$B$126*(1+Assumptions!$B$132)*IF(AE2&gt;=Assumptions!$B$57,1,0)</f>
        <v>35750</v>
      </c>
    </row>
    <row r="107" customFormat="false" ht="15" hidden="false" customHeight="false" outlineLevel="0" collapsed="false">
      <c r="A107" s="6" t="s">
        <v>458</v>
      </c>
      <c r="B107" s="23" t="s">
        <v>190</v>
      </c>
      <c r="C107" s="54" t="n">
        <v>0</v>
      </c>
      <c r="D107" s="54" t="n">
        <f aca="false">IF(D2&gt;=Assumptions!$B$55,C111*Assumptions!$B$130/12*Assumptions!$B$131*D7,0)</f>
        <v>0</v>
      </c>
      <c r="E107" s="54" t="n">
        <f aca="false">IF(E2&gt;=Assumptions!$B$55,D111*Assumptions!$B$130/12*Assumptions!$B$131*E7,0)</f>
        <v>0</v>
      </c>
      <c r="F107" s="54" t="n">
        <f aca="false">IF(F2&gt;=Assumptions!$B$55,E111*Assumptions!$B$130/12*Assumptions!$B$131*F7,0)</f>
        <v>0</v>
      </c>
      <c r="G107" s="54" t="n">
        <f aca="false">IF(G2&gt;=Assumptions!$B$55,F111*Assumptions!$B$130/12*Assumptions!$B$131*G7,0)</f>
        <v>0</v>
      </c>
      <c r="H107" s="54" t="n">
        <f aca="false">IF(H2&gt;=Assumptions!$B$55,G111*Assumptions!$B$130/12*Assumptions!$B$131*H7,0)</f>
        <v>0</v>
      </c>
      <c r="I107" s="54" t="n">
        <f aca="false">IF(I2&gt;=Assumptions!$B$55,H111*Assumptions!$B$130/12*Assumptions!$B$131*I7,0)</f>
        <v>0</v>
      </c>
      <c r="J107" s="54" t="n">
        <f aca="false">IF(J2&gt;=Assumptions!$B$55,I111*Assumptions!$B$130/12*Assumptions!$B$131*J7,0)</f>
        <v>0</v>
      </c>
      <c r="K107" s="54" t="n">
        <f aca="false">IF(K2&gt;=Assumptions!$B$55,J111*Assumptions!$B$130/12*Assumptions!$B$131*K7,0)</f>
        <v>0</v>
      </c>
      <c r="L107" s="54" t="n">
        <f aca="false">IF(L2&gt;=Assumptions!$B$55,K111*Assumptions!$B$130/12*Assumptions!$B$131*L7,0)</f>
        <v>0</v>
      </c>
      <c r="M107" s="54" t="n">
        <f aca="false">IF(M2&gt;=Assumptions!$B$55,L111*Assumptions!$B$130/12*Assumptions!$B$131*M7,0)</f>
        <v>0</v>
      </c>
      <c r="N107" s="54" t="n">
        <f aca="false">IF(N2&gt;=Assumptions!$B$55,M111*Assumptions!$B$130/12*Assumptions!$B$131*N7,0)</f>
        <v>0</v>
      </c>
      <c r="O107" s="54" t="n">
        <f aca="false">IF(O2&gt;=Assumptions!$B$55,N111*Assumptions!$B$130/12*Assumptions!$B$131*O7,0)</f>
        <v>49.3648525600531</v>
      </c>
      <c r="P107" s="54" t="n">
        <f aca="false">IF(P2&gt;=Assumptions!$B$55,O111*Assumptions!$B$130/12*Assumptions!$B$131*P7,0)</f>
        <v>64.670049408076</v>
      </c>
      <c r="Q107" s="54" t="n">
        <f aca="false">IF(Q2&gt;=Assumptions!$B$55,P111*Assumptions!$B$130/12*Assumptions!$B$131*Q7,0)</f>
        <v>78.7095129302573</v>
      </c>
      <c r="R107" s="54" t="n">
        <f aca="false">IF(R2&gt;=Assumptions!$B$55,Q111*Assumptions!$B$130/12*Assumptions!$B$131*R7,0)</f>
        <v>91.6546036538516</v>
      </c>
      <c r="S107" s="54" t="n">
        <f aca="false">IF(S2&gt;=Assumptions!$B$55,R111*Assumptions!$B$130/12*Assumptions!$B$131*S7,0)</f>
        <v>108.504048896778</v>
      </c>
      <c r="T107" s="54" t="n">
        <f aca="false">IF(T2&gt;=Assumptions!$B$55,S111*Assumptions!$B$130/12*Assumptions!$B$131*T7,0)</f>
        <v>122.895568725977</v>
      </c>
      <c r="U107" s="54" t="n">
        <f aca="false">IF(U2&gt;=Assumptions!$B$55,T111*Assumptions!$B$130/12*Assumptions!$B$131*U7,0)</f>
        <v>133.839618524663</v>
      </c>
      <c r="V107" s="54" t="n">
        <f aca="false">IF(V2&gt;=Assumptions!$B$55,U111*Assumptions!$B$130/12*Assumptions!$B$131*V7,0)</f>
        <v>143.867194124147</v>
      </c>
      <c r="W107" s="54" t="n">
        <f aca="false">IF(W2&gt;=Assumptions!$B$55,V111*Assumptions!$B$130/12*Assumptions!$B$131*W7,0)</f>
        <v>153.576441248339</v>
      </c>
      <c r="X107" s="54" t="n">
        <f aca="false">IF(X2&gt;=Assumptions!$B$55,W111*Assumptions!$B$130/12*Assumptions!$B$131*X7,0)</f>
        <v>164.558799062824</v>
      </c>
      <c r="Y107" s="54" t="n">
        <f aca="false">IF(Y2&gt;=Assumptions!$B$55,X111*Assumptions!$B$130/12*Assumptions!$B$131*Y7,0)</f>
        <v>181.616852770461</v>
      </c>
      <c r="Z107" s="54" t="n">
        <f aca="false">IF(Z2&gt;=Assumptions!$B$55,Y111*Assumptions!$B$130/12*Assumptions!$B$131*Z7,0)</f>
        <v>196.232919649206</v>
      </c>
      <c r="AA107" s="54" t="n">
        <f aca="false">IF(AA2&gt;=Assumptions!$B$55,Z111*Assumptions!$B$130/12*Assumptions!$B$131*AA7,0)</f>
        <v>2490.74560007367</v>
      </c>
      <c r="AB107" s="54" t="n">
        <f aca="false">IF(AB2&gt;=Assumptions!$B$55,AA111*Assumptions!$B$130/12*Assumptions!$B$131*AB7,0)</f>
        <v>4565.14680628669</v>
      </c>
      <c r="AC107" s="54" t="n">
        <f aca="false">IF(AC2&gt;=Assumptions!$B$55,AB111*Assumptions!$B$130/12*Assumptions!$B$131*AC7,0)</f>
        <v>7197.75865363728</v>
      </c>
      <c r="AD107" s="54" t="n">
        <f aca="false">IF(AD2&gt;=Assumptions!$B$55,AC111*Assumptions!$B$130/12*Assumptions!$B$131*AD7,0)</f>
        <v>9904.21356022277</v>
      </c>
      <c r="AE107" s="54" t="n">
        <f aca="false">IF(AE2&gt;=Assumptions!$B$55,AD111*Assumptions!$B$130/12*Assumptions!$B$131*AE7,0)</f>
        <v>11584.0542011576</v>
      </c>
    </row>
    <row r="108" customFormat="false" ht="15" hidden="false" customHeight="false" outlineLevel="0" collapsed="false">
      <c r="A108" s="6" t="s">
        <v>459</v>
      </c>
      <c r="B108" s="23" t="s">
        <v>190</v>
      </c>
      <c r="C108" s="54" t="n">
        <f aca="false">C106+C107+IF(C23=0,0,C20*Assumptions!$B$116/C23*IF(C2&gt;=Assumptions!$B$57,1,0))</f>
        <v>176.9</v>
      </c>
      <c r="D108" s="54" t="n">
        <f aca="false">D106+D107+IF(D23=0,0,D20*Assumptions!$B$116/D23*IF(D2&gt;=Assumptions!$B$57,1,0))</f>
        <v>176.9</v>
      </c>
      <c r="E108" s="54" t="n">
        <f aca="false">E106+E107+IF(E23=0,0,E20*Assumptions!$B$116/E23*IF(E2&gt;=Assumptions!$B$57,1,0))</f>
        <v>176.9</v>
      </c>
      <c r="F108" s="54" t="n">
        <f aca="false">F106+F107+IF(F23=0,0,F20*Assumptions!$B$116/F23*IF(F2&gt;=Assumptions!$B$57,1,0))</f>
        <v>176.9</v>
      </c>
      <c r="G108" s="54" t="n">
        <f aca="false">G106+G107+IF(G23=0,0,G20*Assumptions!$B$116/G23*IF(G2&gt;=Assumptions!$B$57,1,0))</f>
        <v>176.9</v>
      </c>
      <c r="H108" s="54" t="n">
        <f aca="false">H106+H107+IF(H23=0,0,H20*Assumptions!$B$116/H23*IF(H2&gt;=Assumptions!$B$57,1,0))</f>
        <v>176.9</v>
      </c>
      <c r="I108" s="54" t="n">
        <f aca="false">I106+I107+IF(I23=0,0,I20*Assumptions!$B$116/I23*IF(I2&gt;=Assumptions!$B$57,1,0))</f>
        <v>176.9</v>
      </c>
      <c r="J108" s="54" t="n">
        <f aca="false">J106+J107+IF(J23=0,0,J20*Assumptions!$B$116/J23*IF(J2&gt;=Assumptions!$B$57,1,0))</f>
        <v>176.9</v>
      </c>
      <c r="K108" s="54" t="n">
        <f aca="false">K106+K107+IF(K23=0,0,K20*Assumptions!$B$116/K23*IF(K2&gt;=Assumptions!$B$57,1,0))</f>
        <v>176.9</v>
      </c>
      <c r="L108" s="54" t="n">
        <f aca="false">L106+L107+IF(L23=0,0,L20*Assumptions!$B$116/L23*IF(L2&gt;=Assumptions!$B$57,1,0))</f>
        <v>176.9</v>
      </c>
      <c r="M108" s="54" t="n">
        <f aca="false">M106+M107+IF(M23=0,0,M20*Assumptions!$B$116/M23*IF(M2&gt;=Assumptions!$B$57,1,0))</f>
        <v>176.9</v>
      </c>
      <c r="N108" s="54" t="n">
        <f aca="false">N106+N107+IF(N23=0,0,N20*Assumptions!$B$116/N23*IF(N2&gt;=Assumptions!$B$57,1,0))</f>
        <v>176.9</v>
      </c>
      <c r="O108" s="54" t="n">
        <f aca="false">O106+O107+IF(O23=0,0,O20*Assumptions!$B$116/O23*IF(O2&gt;=Assumptions!$B$57,1,0))</f>
        <v>589.649852560053</v>
      </c>
      <c r="P108" s="54" t="n">
        <f aca="false">P106+P107+IF(P23=0,0,P20*Assumptions!$B$116/P23*IF(P2&gt;=Assumptions!$B$57,1,0))</f>
        <v>604.955049408076</v>
      </c>
      <c r="Q108" s="54" t="n">
        <f aca="false">Q106+Q107+IF(Q23=0,0,Q20*Assumptions!$B$116/Q23*IF(Q2&gt;=Assumptions!$B$57,1,0))</f>
        <v>618.994512930257</v>
      </c>
      <c r="R108" s="54" t="n">
        <f aca="false">R106+R107+IF(R23=0,0,R20*Assumptions!$B$116/R23*IF(R2&gt;=Assumptions!$B$57,1,0))</f>
        <v>631.939603653852</v>
      </c>
      <c r="S108" s="54" t="n">
        <f aca="false">S106+S107+IF(S23=0,0,S20*Assumptions!$B$116/S23*IF(S2&gt;=Assumptions!$B$57,1,0))</f>
        <v>648.789048896778</v>
      </c>
      <c r="T108" s="54" t="n">
        <f aca="false">T106+T107+IF(T23=0,0,T20*Assumptions!$B$116/T23*IF(T2&gt;=Assumptions!$B$57,1,0))</f>
        <v>663.180568725977</v>
      </c>
      <c r="U108" s="54" t="n">
        <f aca="false">U106+U107+IF(U23=0,0,U20*Assumptions!$B$116/U23*IF(U2&gt;=Assumptions!$B$57,1,0))</f>
        <v>674.124618524663</v>
      </c>
      <c r="V108" s="54" t="n">
        <f aca="false">V106+V107+IF(V23=0,0,V20*Assumptions!$B$116/V23*IF(V2&gt;=Assumptions!$B$57,1,0))</f>
        <v>684.152194124147</v>
      </c>
      <c r="W108" s="54" t="n">
        <f aca="false">W106+W107+IF(W23=0,0,W20*Assumptions!$B$116/W23*IF(W2&gt;=Assumptions!$B$57,1,0))</f>
        <v>693.861441248339</v>
      </c>
      <c r="X108" s="54" t="n">
        <f aca="false">X106+X107+IF(X23=0,0,X20*Assumptions!$B$116/X23*IF(X2&gt;=Assumptions!$B$57,1,0))</f>
        <v>704.843799062824</v>
      </c>
      <c r="Y108" s="54" t="n">
        <f aca="false">Y106+Y107+IF(Y23=0,0,Y20*Assumptions!$B$116/Y23*IF(Y2&gt;=Assumptions!$B$57,1,0))</f>
        <v>721.901852770461</v>
      </c>
      <c r="Z108" s="54" t="n">
        <f aca="false">Z106+Z107+IF(Z23=0,0,Z20*Assumptions!$B$116/Z23*IF(Z2&gt;=Assumptions!$B$57,1,0))</f>
        <v>736.517919649206</v>
      </c>
      <c r="AA108" s="54" t="n">
        <f aca="false">AA106+AA107+IF(AA23=0,0,AA20*Assumptions!$B$116/AA23*IF(AA2&gt;=Assumptions!$B$57,1,0))</f>
        <v>12559.7456000737</v>
      </c>
      <c r="AB108" s="54" t="n">
        <f aca="false">AB106+AB107+IF(AB23=0,0,AB20*Assumptions!$B$116/AB23*IF(AB2&gt;=Assumptions!$B$57,1,0))</f>
        <v>20481.1468062867</v>
      </c>
      <c r="AC108" s="54" t="n">
        <f aca="false">AC106+AC107+IF(AC23=0,0,AC20*Assumptions!$B$116/AC23*IF(AC2&gt;=Assumptions!$B$57,1,0))</f>
        <v>31071.7586536373</v>
      </c>
      <c r="AD108" s="54" t="n">
        <f aca="false">AD106+AD107+IF(AD23=0,0,AD20*Assumptions!$B$116/AD23*IF(AD2&gt;=Assumptions!$B$57,1,0))</f>
        <v>42680.8135602228</v>
      </c>
      <c r="AE108" s="54" t="n">
        <f aca="false">AE106+AE107+IF(AE23=0,0,AE20*Assumptions!$B$116/AE23*IF(AE2&gt;=Assumptions!$B$57,1,0))</f>
        <v>53360.4542011576</v>
      </c>
    </row>
    <row r="109" customFormat="false" ht="15" hidden="false" customHeight="false" outlineLevel="0" collapsed="false">
      <c r="A109" s="6" t="s">
        <v>460</v>
      </c>
      <c r="B109" s="23" t="s">
        <v>455</v>
      </c>
      <c r="C109" s="51" t="n">
        <v>1</v>
      </c>
      <c r="D109" s="51" t="n">
        <f aca="false">MAX(0,1-C114/Assumptions!$B$86)</f>
        <v>0.998570648</v>
      </c>
      <c r="E109" s="51" t="n">
        <f aca="false">MAX(0,1-D114/Assumptions!$B$86)</f>
        <v>0.997213997906192</v>
      </c>
      <c r="F109" s="51" t="n">
        <f aca="false">MAX(0,1-E114/Assumptions!$B$86)</f>
        <v>0.995915641236343</v>
      </c>
      <c r="G109" s="51" t="n">
        <f aca="false">MAX(0,1-F114/Assumptions!$B$86)</f>
        <v>0.994294808448543</v>
      </c>
      <c r="H109" s="51" t="n">
        <f aca="false">MAX(0,1-G114/Assumptions!$B$86)</f>
        <v>0.99283139739511</v>
      </c>
      <c r="I109" s="51" t="n">
        <f aca="false">MAX(0,1-H114/Assumptions!$B$86)</f>
        <v>0.991594949000748</v>
      </c>
      <c r="J109" s="51" t="n">
        <f aca="false">MAX(0,1-I114/Assumptions!$B$86)</f>
        <v>0.990402139604696</v>
      </c>
      <c r="K109" s="51" t="n">
        <f aca="false">MAX(0,1-J114/Assumptions!$B$86)</f>
        <v>0.989210765062923</v>
      </c>
      <c r="L109" s="51" t="n">
        <f aca="false">MAX(0,1-K114/Assumptions!$B$86)</f>
        <v>0.987908829163436</v>
      </c>
      <c r="M109" s="51" t="n">
        <f aca="false">MAX(0,1-L114/Assumptions!$B$86)</f>
        <v>0.986161218444646</v>
      </c>
      <c r="N109" s="51" t="n">
        <f aca="false">MAX(0,1-M114/Assumptions!$B$86)</f>
        <v>0.984556260784851</v>
      </c>
      <c r="O109" s="51" t="n">
        <f aca="false">MAX(0,1-N114/Assumptions!$B$86)</f>
        <v>0.983148983324386</v>
      </c>
      <c r="P109" s="51" t="n">
        <f aca="false">MAX(0,1-O114/Assumptions!$B$86)</f>
        <v>0.978464897007647</v>
      </c>
      <c r="Q109" s="51" t="n">
        <f aca="false">MAX(0,1-P114/Assumptions!$B$86)</f>
        <v>0.973918895496376</v>
      </c>
      <c r="R109" s="51" t="n">
        <f aca="false">MAX(0,1-Q114/Assumptions!$B$86)</f>
        <v>0.96948191616707</v>
      </c>
      <c r="S109" s="51" t="n">
        <f aca="false">MAX(0,1-R114/Assumptions!$B$86)</f>
        <v>0.96384549920283</v>
      </c>
      <c r="T109" s="51" t="n">
        <f aca="false">MAX(0,1-S114/Assumptions!$B$86)</f>
        <v>0.958642733595633</v>
      </c>
      <c r="U109" s="51" t="n">
        <f aca="false">MAX(0,1-T114/Assumptions!$B$86)</f>
        <v>0.954167030833405</v>
      </c>
      <c r="V109" s="51" t="n">
        <f aca="false">MAX(0,1-U114/Assumptions!$B$86)</f>
        <v>0.949793083930853</v>
      </c>
      <c r="W109" s="51" t="n">
        <f aca="false">MAX(0,1-V114/Assumptions!$B$86)</f>
        <v>0.945374423378974</v>
      </c>
      <c r="X109" s="51" t="n">
        <f aca="false">MAX(0,1-W114/Assumptions!$B$86)</f>
        <v>0.940494089461131</v>
      </c>
      <c r="Y109" s="51" t="n">
        <f aca="false">MAX(0,1-X114/Assumptions!$B$86)</f>
        <v>0.933865075191012</v>
      </c>
      <c r="Z109" s="51" t="n">
        <f aca="false">MAX(0,1-Y114/Assumptions!$B$86)</f>
        <v>0.927662813053246</v>
      </c>
      <c r="AA109" s="51" t="n">
        <f aca="false">MAX(0,1-Z114/Assumptions!$B$86)</f>
        <v>0.922142231548783</v>
      </c>
      <c r="AB109" s="51" t="n">
        <f aca="false">MAX(0,1-AA114/Assumptions!$B$86)</f>
        <v>0.829487256866087</v>
      </c>
      <c r="AC109" s="51" t="n">
        <f aca="false">MAX(0,1-AB114/Assumptions!$B$86)</f>
        <v>0.69357645461154</v>
      </c>
      <c r="AD109" s="51" t="n">
        <f aca="false">MAX(0,1-AC114/Assumptions!$B$86)</f>
        <v>0.521171332967259</v>
      </c>
      <c r="AE109" s="51" t="n">
        <f aca="false">MAX(0,1-AD114/Assumptions!$B$86)</f>
        <v>0.343219201004792</v>
      </c>
    </row>
    <row r="110" customFormat="false" ht="15" hidden="false" customHeight="false" outlineLevel="0" collapsed="false">
      <c r="A110" s="6" t="s">
        <v>461</v>
      </c>
      <c r="B110" s="23" t="s">
        <v>190</v>
      </c>
      <c r="C110" s="54" t="n">
        <f aca="false">C108*C109*C15</f>
        <v>178.669</v>
      </c>
      <c r="D110" s="54" t="n">
        <f aca="false">D108*D109*D15</f>
        <v>169.581261725952</v>
      </c>
      <c r="E110" s="54" t="n">
        <f aca="false">E108*E109*E15</f>
        <v>162.294583731237</v>
      </c>
      <c r="F110" s="54" t="n">
        <f aca="false">F108*F109*F15</f>
        <v>202.604098474915</v>
      </c>
      <c r="G110" s="54" t="n">
        <f aca="false">G108*G109*G15</f>
        <v>182.926381679129</v>
      </c>
      <c r="H110" s="54" t="n">
        <f aca="false">H108*H109*H15</f>
        <v>154.556049295292</v>
      </c>
      <c r="I110" s="54" t="n">
        <f aca="false">I108*I109*I15</f>
        <v>149.101174506497</v>
      </c>
      <c r="J110" s="54" t="n">
        <f aca="false">J108*J109*J15</f>
        <v>148.92181772166</v>
      </c>
      <c r="K110" s="54" t="n">
        <f aca="false">K108*K109*K15</f>
        <v>162.741987435857</v>
      </c>
      <c r="L110" s="54" t="n">
        <f aca="false">L108*L109*L15</f>
        <v>218.451339848765</v>
      </c>
      <c r="M110" s="54" t="n">
        <f aca="false">M108*M109*M15</f>
        <v>200.619707474286</v>
      </c>
      <c r="N110" s="54" t="n">
        <f aca="false">N108*N109*N15</f>
        <v>175.909682558169</v>
      </c>
      <c r="O110" s="54" t="n">
        <f aca="false">O108*O109*O15</f>
        <v>585.510789592408</v>
      </c>
      <c r="P110" s="54" t="n">
        <f aca="false">P108*P109*P15</f>
        <v>568.250188908796</v>
      </c>
      <c r="Q110" s="54" t="n">
        <f aca="false">Q108*Q109*Q15</f>
        <v>554.622416163245</v>
      </c>
      <c r="R110" s="54" t="n">
        <f aca="false">R108*R109*R15</f>
        <v>704.552120530024</v>
      </c>
      <c r="S110" s="54" t="n">
        <f aca="false">S108*S109*S15</f>
        <v>650.345700899694</v>
      </c>
      <c r="T110" s="54" t="n">
        <f aca="false">T108*T109*T15</f>
        <v>559.46284527846</v>
      </c>
      <c r="U110" s="54" t="n">
        <f aca="false">U108*U109*U15</f>
        <v>546.743362818973</v>
      </c>
      <c r="V110" s="54" t="n">
        <f aca="false">V108*V109*V15</f>
        <v>552.332568984948</v>
      </c>
      <c r="W110" s="54" t="n">
        <f aca="false">W108*W109*W15</f>
        <v>610.041739730299</v>
      </c>
      <c r="X110" s="54" t="n">
        <f aca="false">X108*X109*X15</f>
        <v>828.626783764894</v>
      </c>
      <c r="Y110" s="54" t="n">
        <f aca="false">Y108*Y109*Y15</f>
        <v>775.28276722072</v>
      </c>
      <c r="Z110" s="54" t="n">
        <f aca="false">Z108*Z109*Z15</f>
        <v>690.072688057966</v>
      </c>
      <c r="AA110" s="54" t="n">
        <f aca="false">AA108*AA109*AA15</f>
        <v>11581.8718353369</v>
      </c>
      <c r="AB110" s="54" t="n">
        <f aca="false">AB108*AB109*AB15</f>
        <v>16988.8502818184</v>
      </c>
      <c r="AC110" s="54" t="n">
        <f aca="false">AC108*AC109*AC15</f>
        <v>21550.6402055352</v>
      </c>
      <c r="AD110" s="54" t="n">
        <f aca="false">AD108*AD109*AD15</f>
        <v>22244.0164953083</v>
      </c>
      <c r="AE110" s="54" t="n">
        <f aca="false">AE108*AE109*AE15</f>
        <v>18314.3324561741</v>
      </c>
    </row>
    <row r="111" customFormat="false" ht="15" hidden="false" customHeight="false" outlineLevel="0" collapsed="false">
      <c r="A111" s="6" t="s">
        <v>462</v>
      </c>
      <c r="B111" s="23" t="s">
        <v>190</v>
      </c>
      <c r="C111" s="28" t="n">
        <f aca="false">C110*(1-Assumptions!$B$122)^(C7/2)</f>
        <v>174.273352344836</v>
      </c>
      <c r="D111" s="28" t="n">
        <f aca="false">C111*(1-Assumptions!$B$122)^D7+D110*(1-Assumptions!$B$122)^(D7/2)</f>
        <v>331.213016374406</v>
      </c>
      <c r="E111" s="28" t="n">
        <f aca="false">D111*(1-Assumptions!$B$122)^E7+E110*(1-Assumptions!$B$122)^(E7/2)</f>
        <v>473.418144020398</v>
      </c>
      <c r="F111" s="28" t="n">
        <f aca="false">E111*(1-Assumptions!$B$122)^F7+F110*(1-Assumptions!$B$122)^(F7/2)</f>
        <v>648.030042940469</v>
      </c>
      <c r="G111" s="28" t="n">
        <f aca="false">F111*(1-Assumptions!$B$122)^G7+G110*(1-Assumptions!$B$122)^(G7/2)</f>
        <v>794.962358566973</v>
      </c>
      <c r="H111" s="28" t="n">
        <f aca="false">G111*(1-Assumptions!$B$122)^H7+H110*(1-Assumptions!$B$122)^(H7/2)</f>
        <v>907.081535506214</v>
      </c>
      <c r="I111" s="28" t="n">
        <f aca="false">H111*(1-Assumptions!$B$122)^I7+I110*(1-Assumptions!$B$122)^(I7/2)</f>
        <v>1008.43114828689</v>
      </c>
      <c r="J111" s="28" t="n">
        <f aca="false">I111*(1-Assumptions!$B$122)^J7+J110*(1-Assumptions!$B$122)^(J7/2)</f>
        <v>1104.68031678338</v>
      </c>
      <c r="K111" s="28" t="n">
        <f aca="false">J111*(1-Assumptions!$B$122)^K7+K110*(1-Assumptions!$B$122)^(K7/2)</f>
        <v>1209.7320255715</v>
      </c>
      <c r="L111" s="28" t="n">
        <f aca="false">K111*(1-Assumptions!$B$122)^L7+L110*(1-Assumptions!$B$122)^(L7/2)</f>
        <v>1364.01709641503</v>
      </c>
      <c r="M111" s="28" t="n">
        <f aca="false">L111*(1-Assumptions!$B$122)^M7+M110*(1-Assumptions!$B$122)^(M7/2)</f>
        <v>1493.41111624799</v>
      </c>
      <c r="N111" s="28" t="n">
        <f aca="false">M111*(1-Assumptions!$B$122)^N7+N110*(1-Assumptions!$B$122)^(N7/2)</f>
        <v>1592.41459871139</v>
      </c>
      <c r="O111" s="28" t="n">
        <f aca="false">N111*(1-Assumptions!$B$122)^O7+O110*(1-Assumptions!$B$122)^(O7/2)</f>
        <v>2086.13062606697</v>
      </c>
      <c r="P111" s="28" t="n">
        <f aca="false">O111*(1-Assumptions!$B$122)^P7+P110*(1-Assumptions!$B$122)^(P7/2)</f>
        <v>2539.01654613733</v>
      </c>
      <c r="Q111" s="28" t="n">
        <f aca="false">P111*(1-Assumptions!$B$122)^Q7+Q110*(1-Assumptions!$B$122)^(Q7/2)</f>
        <v>2956.60011786618</v>
      </c>
      <c r="R111" s="28" t="n">
        <f aca="false">Q111*(1-Assumptions!$B$122)^R7+R110*(1-Assumptions!$B$122)^(R7/2)</f>
        <v>3500.13060957349</v>
      </c>
      <c r="S111" s="28" t="n">
        <f aca="false">R111*(1-Assumptions!$B$122)^S7+S110*(1-Assumptions!$B$122)^(S7/2)</f>
        <v>3964.37318470895</v>
      </c>
      <c r="T111" s="28" t="n">
        <f aca="false">S111*(1-Assumptions!$B$122)^T7+T110*(1-Assumptions!$B$122)^(T7/2)</f>
        <v>4317.40704918269</v>
      </c>
      <c r="U111" s="28" t="n">
        <f aca="false">T111*(1-Assumptions!$B$122)^U7+U110*(1-Assumptions!$B$122)^(U7/2)</f>
        <v>4640.87722981119</v>
      </c>
      <c r="V111" s="28" t="n">
        <f aca="false">U111*(1-Assumptions!$B$122)^V7+V110*(1-Assumptions!$B$122)^(V7/2)</f>
        <v>4954.07874994642</v>
      </c>
      <c r="W111" s="28" t="n">
        <f aca="false">V111*(1-Assumptions!$B$122)^W7+W110*(1-Assumptions!$B$122)^(W7/2)</f>
        <v>5308.34835686531</v>
      </c>
      <c r="X111" s="28" t="n">
        <f aca="false">W111*(1-Assumptions!$B$122)^X7+X110*(1-Assumptions!$B$122)^(X7/2)</f>
        <v>5858.60815388583</v>
      </c>
      <c r="Y111" s="28" t="n">
        <f aca="false">X111*(1-Assumptions!$B$122)^Y7+Y110*(1-Assumptions!$B$122)^(Y7/2)</f>
        <v>6330.09418223245</v>
      </c>
      <c r="Z111" s="28" t="n">
        <f aca="false">Y111*(1-Assumptions!$B$122)^Z7+Z110*(1-Assumptions!$B$122)^(Z7/2)</f>
        <v>6695.55268837007</v>
      </c>
      <c r="AA111" s="28" t="n">
        <f aca="false">Z111*(1-Assumptions!$B$122)^AA7+AA110*(1-Assumptions!$B$122)^(AA7/2)</f>
        <v>12271.9000168997</v>
      </c>
      <c r="AB111" s="28" t="n">
        <f aca="false">AA111*(1-Assumptions!$B$122)^AB7+AB110*(1-Assumptions!$B$122)^(AB7/2)</f>
        <v>19348.8135850464</v>
      </c>
      <c r="AC111" s="28" t="n">
        <f aca="false">AB111*(1-Assumptions!$B$122)^AC7+AC110*(1-Assumptions!$B$122)^(AC7/2)</f>
        <v>26624.2300005988</v>
      </c>
      <c r="AD111" s="28" t="n">
        <f aca="false">AC111*(1-Assumptions!$B$122)^AD7+AD110*(1-Assumptions!$B$122)^(AD7/2)</f>
        <v>31139.930648273</v>
      </c>
      <c r="AE111" s="28" t="n">
        <f aca="false">AD111*(1-Assumptions!$B$122)^AE7+AE110*(1-Assumptions!$B$122)^(AE7/2)</f>
        <v>30709.2343219147</v>
      </c>
    </row>
    <row r="112" customFormat="false" ht="15" hidden="false" customHeight="false" outlineLevel="0" collapsed="false">
      <c r="A112" s="6" t="s">
        <v>463</v>
      </c>
      <c r="B112" s="23" t="s">
        <v>190</v>
      </c>
      <c r="C112" s="54" t="n">
        <f aca="false">C110-C111</f>
        <v>4.39564765516386</v>
      </c>
      <c r="D112" s="54" t="n">
        <f aca="false">C111+D110-D111</f>
        <v>12.641597696382</v>
      </c>
      <c r="E112" s="54" t="n">
        <f aca="false">D111+E110-E111</f>
        <v>20.089456085245</v>
      </c>
      <c r="F112" s="54" t="n">
        <f aca="false">E111+F110-F111</f>
        <v>27.9921995548447</v>
      </c>
      <c r="G112" s="54" t="n">
        <f aca="false">F111+G110-G111</f>
        <v>35.9940660526252</v>
      </c>
      <c r="H112" s="54" t="n">
        <f aca="false">G111+H110-H111</f>
        <v>42.4368723560501</v>
      </c>
      <c r="I112" s="54" t="n">
        <f aca="false">H111+I110-I111</f>
        <v>47.751561725818</v>
      </c>
      <c r="J112" s="54" t="n">
        <f aca="false">I111+J110-J111</f>
        <v>52.6726492251698</v>
      </c>
      <c r="K112" s="54" t="n">
        <f aca="false">J111+K110-K111</f>
        <v>57.6902786477388</v>
      </c>
      <c r="L112" s="54" t="n">
        <f aca="false">K111+L110-L111</f>
        <v>64.166269005239</v>
      </c>
      <c r="M112" s="54" t="n">
        <f aca="false">L111+M110-M111</f>
        <v>71.2256876413294</v>
      </c>
      <c r="N112" s="54" t="n">
        <f aca="false">M111+N110-N111</f>
        <v>76.9062000947645</v>
      </c>
      <c r="O112" s="54" t="n">
        <f aca="false">N111+O110-O111</f>
        <v>91.7947622368292</v>
      </c>
      <c r="P112" s="54" t="n">
        <f aca="false">O111+P110-P111</f>
        <v>115.364268838432</v>
      </c>
      <c r="Q112" s="54" t="n">
        <f aca="false">P111+Q110-Q111</f>
        <v>137.038844434396</v>
      </c>
      <c r="R112" s="54" t="n">
        <f aca="false">Q111+R110-R111</f>
        <v>161.021628822715</v>
      </c>
      <c r="S112" s="54" t="n">
        <f aca="false">R111+S110-S111</f>
        <v>186.103125764239</v>
      </c>
      <c r="T112" s="54" t="n">
        <f aca="false">S111+T110-T111</f>
        <v>206.428980804721</v>
      </c>
      <c r="U112" s="54" t="n">
        <f aca="false">T111+U110-U111</f>
        <v>223.273182190469</v>
      </c>
      <c r="V112" s="54" t="n">
        <f aca="false">U111+V110-V111</f>
        <v>239.131048849713</v>
      </c>
      <c r="W112" s="54" t="n">
        <f aca="false">V111+W110-W111</f>
        <v>255.772132811419</v>
      </c>
      <c r="X112" s="54" t="n">
        <f aca="false">W111+X110-X111</f>
        <v>278.366986744371</v>
      </c>
      <c r="Y112" s="54" t="n">
        <f aca="false">X111+Y110-Y111</f>
        <v>303.796738874094</v>
      </c>
      <c r="Z112" s="54" t="n">
        <f aca="false">Y111+Z110-Z111</f>
        <v>324.614181920346</v>
      </c>
      <c r="AA112" s="54" t="n">
        <f aca="false">Z111+AA110-AA111</f>
        <v>6005.52450680731</v>
      </c>
      <c r="AB112" s="54" t="n">
        <f aca="false">AA111+AB110-AB111</f>
        <v>9911.93671367163</v>
      </c>
      <c r="AC112" s="54" t="n">
        <f aca="false">AB111+AC110-AC111</f>
        <v>14275.2237899828</v>
      </c>
      <c r="AD112" s="54" t="n">
        <f aca="false">AC111+AD110-AD111</f>
        <v>17728.3158476342</v>
      </c>
      <c r="AE112" s="54" t="n">
        <f aca="false">AD111+AE110-AE111</f>
        <v>18745.0287825324</v>
      </c>
    </row>
    <row r="113" customFormat="false" ht="15" hidden="false" customHeight="false" outlineLevel="0" collapsed="false">
      <c r="A113" s="6" t="s">
        <v>464</v>
      </c>
      <c r="B113" s="23" t="s">
        <v>190</v>
      </c>
      <c r="C113" s="45" t="n">
        <f aca="false">C112</f>
        <v>4.39564765516386</v>
      </c>
      <c r="D113" s="45" t="n">
        <f aca="false">C113+D112</f>
        <v>17.0372453515459</v>
      </c>
      <c r="E113" s="45" t="n">
        <f aca="false">D113+E112</f>
        <v>37.1267014367909</v>
      </c>
      <c r="F113" s="45" t="n">
        <f aca="false">E113+F112</f>
        <v>65.1189009916356</v>
      </c>
      <c r="G113" s="45" t="n">
        <f aca="false">F113+G112</f>
        <v>101.112967044261</v>
      </c>
      <c r="H113" s="45" t="n">
        <f aca="false">G113+H112</f>
        <v>143.549839400311</v>
      </c>
      <c r="I113" s="45" t="n">
        <f aca="false">H113+I112</f>
        <v>191.301401126129</v>
      </c>
      <c r="J113" s="45" t="n">
        <f aca="false">I113+J112</f>
        <v>243.974050351299</v>
      </c>
      <c r="K113" s="45" t="n">
        <f aca="false">J113+K112</f>
        <v>301.664328999037</v>
      </c>
      <c r="L113" s="45" t="n">
        <f aca="false">K113+L112</f>
        <v>365.830598004276</v>
      </c>
      <c r="M113" s="45" t="n">
        <f aca="false">L113+M112</f>
        <v>437.056285645606</v>
      </c>
      <c r="N113" s="45" t="n">
        <f aca="false">M113+N112</f>
        <v>513.96248574037</v>
      </c>
      <c r="O113" s="45" t="n">
        <f aca="false">N113+O112</f>
        <v>605.757247977199</v>
      </c>
      <c r="P113" s="45" t="n">
        <f aca="false">O113+P112</f>
        <v>721.121516815632</v>
      </c>
      <c r="Q113" s="45" t="n">
        <f aca="false">P113+Q112</f>
        <v>858.160361250028</v>
      </c>
      <c r="R113" s="45" t="n">
        <f aca="false">Q113+R112</f>
        <v>1019.18199007274</v>
      </c>
      <c r="S113" s="45" t="n">
        <f aca="false">R113+S112</f>
        <v>1205.28511583698</v>
      </c>
      <c r="T113" s="45" t="n">
        <f aca="false">S113+T112</f>
        <v>1411.7140966417</v>
      </c>
      <c r="U113" s="45" t="n">
        <f aca="false">T113+U112</f>
        <v>1634.98727883217</v>
      </c>
      <c r="V113" s="45" t="n">
        <f aca="false">U113+V112</f>
        <v>1874.11832768188</v>
      </c>
      <c r="W113" s="45" t="n">
        <f aca="false">V113+W112</f>
        <v>2129.8904604933</v>
      </c>
      <c r="X113" s="45" t="n">
        <f aca="false">W113+X112</f>
        <v>2408.25744723767</v>
      </c>
      <c r="Y113" s="45" t="n">
        <f aca="false">X113+Y112</f>
        <v>2712.05418611177</v>
      </c>
      <c r="Z113" s="45" t="n">
        <f aca="false">Y113+Z112</f>
        <v>3036.66836803211</v>
      </c>
      <c r="AA113" s="45" t="n">
        <f aca="false">Z113+AA112</f>
        <v>9042.19287483942</v>
      </c>
      <c r="AB113" s="45" t="n">
        <f aca="false">AA113+AB112</f>
        <v>18954.129588511</v>
      </c>
      <c r="AC113" s="45" t="n">
        <f aca="false">AB113+AC112</f>
        <v>33229.3533784938</v>
      </c>
      <c r="AD113" s="45" t="n">
        <f aca="false">AC113+AD112</f>
        <v>50957.669226128</v>
      </c>
      <c r="AE113" s="45" t="n">
        <f aca="false">AD113+AE112</f>
        <v>69702.6980086604</v>
      </c>
    </row>
    <row r="114" customFormat="false" ht="15" hidden="false" customHeight="false" outlineLevel="0" collapsed="false">
      <c r="A114" s="6" t="s">
        <v>465</v>
      </c>
      <c r="B114" s="23" t="s">
        <v>190</v>
      </c>
      <c r="C114" s="45" t="n">
        <f aca="false">C110</f>
        <v>178.669</v>
      </c>
      <c r="D114" s="45" t="n">
        <f aca="false">C114+D110</f>
        <v>348.250261725952</v>
      </c>
      <c r="E114" s="45" t="n">
        <f aca="false">D114+E110</f>
        <v>510.544845457189</v>
      </c>
      <c r="F114" s="45" t="n">
        <f aca="false">E114+F110</f>
        <v>713.148943932104</v>
      </c>
      <c r="G114" s="45" t="n">
        <f aca="false">F114+G110</f>
        <v>896.075325611233</v>
      </c>
      <c r="H114" s="45" t="n">
        <f aca="false">G114+H110</f>
        <v>1050.63137490653</v>
      </c>
      <c r="I114" s="45" t="n">
        <f aca="false">H114+I110</f>
        <v>1199.73254941302</v>
      </c>
      <c r="J114" s="45" t="n">
        <f aca="false">I114+J110</f>
        <v>1348.65436713468</v>
      </c>
      <c r="K114" s="45" t="n">
        <f aca="false">J114+K110</f>
        <v>1511.39635457054</v>
      </c>
      <c r="L114" s="45" t="n">
        <f aca="false">K114+L110</f>
        <v>1729.8476944193</v>
      </c>
      <c r="M114" s="45" t="n">
        <f aca="false">L114+M110</f>
        <v>1930.46740189359</v>
      </c>
      <c r="N114" s="45" t="n">
        <f aca="false">M114+N110</f>
        <v>2106.37708445176</v>
      </c>
      <c r="O114" s="45" t="n">
        <f aca="false">N114+O110</f>
        <v>2691.88787404417</v>
      </c>
      <c r="P114" s="45" t="n">
        <f aca="false">O114+P110</f>
        <v>3260.13806295296</v>
      </c>
      <c r="Q114" s="45" t="n">
        <f aca="false">P114+Q110</f>
        <v>3814.76047911621</v>
      </c>
      <c r="R114" s="45" t="n">
        <f aca="false">Q114+R110</f>
        <v>4519.31259964623</v>
      </c>
      <c r="S114" s="45" t="n">
        <f aca="false">R114+S110</f>
        <v>5169.65830054593</v>
      </c>
      <c r="T114" s="45" t="n">
        <f aca="false">S114+T110</f>
        <v>5729.12114582439</v>
      </c>
      <c r="U114" s="45" t="n">
        <f aca="false">T114+U110</f>
        <v>6275.86450864336</v>
      </c>
      <c r="V114" s="45" t="n">
        <f aca="false">U114+V110</f>
        <v>6828.19707762831</v>
      </c>
      <c r="W114" s="45" t="n">
        <f aca="false">V114+W110</f>
        <v>7438.23881735861</v>
      </c>
      <c r="X114" s="45" t="n">
        <f aca="false">W114+X110</f>
        <v>8266.8656011235</v>
      </c>
      <c r="Y114" s="45" t="n">
        <f aca="false">X114+Y110</f>
        <v>9042.14836834422</v>
      </c>
      <c r="Z114" s="45" t="n">
        <f aca="false">Y114+Z110</f>
        <v>9732.22105640219</v>
      </c>
      <c r="AA114" s="45" t="n">
        <f aca="false">Z114+AA110</f>
        <v>21314.0928917391</v>
      </c>
      <c r="AB114" s="45" t="n">
        <f aca="false">AA114+AB110</f>
        <v>38302.9431735575</v>
      </c>
      <c r="AC114" s="45" t="n">
        <f aca="false">AB114+AC110</f>
        <v>59853.5833790927</v>
      </c>
      <c r="AD114" s="45" t="n">
        <f aca="false">AC114+AD110</f>
        <v>82097.599874401</v>
      </c>
      <c r="AE114" s="45" t="n">
        <f aca="false">AD114+AE110</f>
        <v>100411.932330575</v>
      </c>
    </row>
    <row r="115" customFormat="false" ht="15" hidden="false" customHeight="false" outlineLevel="0" collapsed="false">
      <c r="A115" s="6" t="s">
        <v>466</v>
      </c>
      <c r="B115" s="23" t="s">
        <v>114</v>
      </c>
      <c r="C115" s="55" t="n">
        <f aca="false">IF(C2&gt;=Assumptions!$B$47,C111*Assumptions!$B$177*C7,0)</f>
        <v>5228.20057034509</v>
      </c>
      <c r="D115" s="55" t="n">
        <f aca="false">IF(D2&gt;=Assumptions!$B$47,D111*Assumptions!$B$177*D7,0)</f>
        <v>9936.39049123219</v>
      </c>
      <c r="E115" s="55" t="n">
        <f aca="false">IF(E2&gt;=Assumptions!$B$47,E111*Assumptions!$B$177*E7,0)</f>
        <v>14202.5443206119</v>
      </c>
      <c r="F115" s="55" t="n">
        <f aca="false">IF(F2&gt;=Assumptions!$B$47,F111*Assumptions!$B$177*F7,0)</f>
        <v>19440.9012882141</v>
      </c>
      <c r="G115" s="55" t="n">
        <f aca="false">IF(G2&gt;=Assumptions!$B$47,G111*Assumptions!$B$177*G7,0)</f>
        <v>23848.8707570092</v>
      </c>
      <c r="H115" s="55" t="n">
        <f aca="false">IF(H2&gt;=Assumptions!$B$47,H111*Assumptions!$B$177*H7,0)</f>
        <v>27212.4460651864</v>
      </c>
      <c r="I115" s="55" t="n">
        <f aca="false">IF(I2&gt;=Assumptions!$B$47,I111*Assumptions!$B$177*I7,0)</f>
        <v>30252.9344486068</v>
      </c>
      <c r="J115" s="55" t="n">
        <f aca="false">IF(J2&gt;=Assumptions!$B$47,J111*Assumptions!$B$177*J7,0)</f>
        <v>33140.4095035015</v>
      </c>
      <c r="K115" s="55" t="n">
        <f aca="false">IF(K2&gt;=Assumptions!$B$47,K111*Assumptions!$B$177*K7,0)</f>
        <v>36291.9607671451</v>
      </c>
      <c r="L115" s="55" t="n">
        <f aca="false">IF(L2&gt;=Assumptions!$B$47,L111*Assumptions!$B$177*L7,0)</f>
        <v>40920.5128924508</v>
      </c>
      <c r="M115" s="55" t="n">
        <f aca="false">IF(M2&gt;=Assumptions!$B$47,M111*Assumptions!$B$177*M7,0)</f>
        <v>44802.3334874396</v>
      </c>
      <c r="N115" s="55" t="n">
        <f aca="false">IF(N2&gt;=Assumptions!$B$47,N111*Assumptions!$B$177*N7,0)</f>
        <v>47772.4379613417</v>
      </c>
      <c r="O115" s="55" t="n">
        <f aca="false">IF(O2&gt;=Assumptions!$B$47,O111*Assumptions!$B$177*O7,0)</f>
        <v>62583.918782009</v>
      </c>
      <c r="P115" s="55" t="n">
        <f aca="false">IF(P2&gt;=Assumptions!$B$47,P111*Assumptions!$B$177*P7,0)</f>
        <v>76170.49638412</v>
      </c>
      <c r="Q115" s="55" t="n">
        <f aca="false">IF(Q2&gt;=Assumptions!$B$47,Q111*Assumptions!$B$177*Q7,0)</f>
        <v>88698.0035359854</v>
      </c>
      <c r="R115" s="55" t="n">
        <f aca="false">IF(R2&gt;=Assumptions!$B$47,R111*Assumptions!$B$177*R7,0)</f>
        <v>105003.918287205</v>
      </c>
      <c r="S115" s="55" t="n">
        <f aca="false">IF(S2&gt;=Assumptions!$B$47,S111*Assumptions!$B$177*S7,0)</f>
        <v>118931.195541268</v>
      </c>
      <c r="T115" s="55" t="n">
        <f aca="false">IF(T2&gt;=Assumptions!$B$47,T111*Assumptions!$B$177*T7,0)</f>
        <v>129522.211475481</v>
      </c>
      <c r="U115" s="55" t="n">
        <f aca="false">IF(U2&gt;=Assumptions!$B$47,U111*Assumptions!$B$177*U7,0)</f>
        <v>139226.316894336</v>
      </c>
      <c r="V115" s="55" t="n">
        <f aca="false">IF(V2&gt;=Assumptions!$B$47,V111*Assumptions!$B$177*V7,0)</f>
        <v>148622.362498393</v>
      </c>
      <c r="W115" s="55" t="n">
        <f aca="false">IF(W2&gt;=Assumptions!$B$47,W111*Assumptions!$B$177*W7,0)</f>
        <v>159250.450705959</v>
      </c>
      <c r="X115" s="55" t="n">
        <f aca="false">IF(X2&gt;=Assumptions!$B$47,X111*Assumptions!$B$177*X7,0)</f>
        <v>175758.244616575</v>
      </c>
      <c r="Y115" s="55" t="n">
        <f aca="false">IF(Y2&gt;=Assumptions!$B$47,Y111*Assumptions!$B$177*Y7,0)</f>
        <v>189902.825466974</v>
      </c>
      <c r="Z115" s="55" t="n">
        <f aca="false">IF(Z2&gt;=Assumptions!$B$47,Z111*Assumptions!$B$177*Z7,0)</f>
        <v>200866.580651102</v>
      </c>
      <c r="AA115" s="55" t="n">
        <f aca="false">IF(AA2&gt;=Assumptions!$B$47,AA111*Assumptions!$B$177*AA7,0)</f>
        <v>4417884.00608389</v>
      </c>
      <c r="AB115" s="55" t="n">
        <f aca="false">IF(AB2&gt;=Assumptions!$B$47,AB111*Assumptions!$B$177*AB7,0)</f>
        <v>6965572.89061672</v>
      </c>
      <c r="AC115" s="55" t="n">
        <f aca="false">IF(AC2&gt;=Assumptions!$B$47,AC111*Assumptions!$B$177*AC7,0)</f>
        <v>9584722.80021558</v>
      </c>
      <c r="AD115" s="55" t="n">
        <f aca="false">IF(AD2&gt;=Assumptions!$B$47,AD111*Assumptions!$B$177*AD7,0)</f>
        <v>11210375.0333783</v>
      </c>
      <c r="AE115" s="55" t="n">
        <f aca="false">IF(AE2&gt;=Assumptions!$B$47,AE111*Assumptions!$B$177*AE7,0)</f>
        <v>11055324.3558893</v>
      </c>
    </row>
    <row r="116" customFormat="false" ht="15" hidden="false" customHeight="false" outlineLevel="0" collapsed="false">
      <c r="A116" s="6" t="s">
        <v>467</v>
      </c>
      <c r="B116" s="23" t="s">
        <v>114</v>
      </c>
      <c r="C116" s="55" t="n">
        <f aca="false">IF(C2&gt;=Assumptions!$B$48,C111*Assumptions!$B$37*Assumptions!$B$139*Assumptions!$B$141*Assumptions!$B$34*Assumptions!$B$140/12*C7,0)</f>
        <v>345.642148817258</v>
      </c>
      <c r="D116" s="55" t="n">
        <f aca="false">IF(D2&gt;=Assumptions!$B$48,D111*Assumptions!$B$37*Assumptions!$B$139*Assumptions!$B$141*Assumptions!$B$34*Assumptions!$B$140/12*D7,0)</f>
        <v>656.905815809239</v>
      </c>
      <c r="E116" s="55" t="n">
        <f aca="false">IF(E2&gt;=Assumptions!$B$48,E111*Assumptions!$B$37*Assumptions!$B$139*Assumptions!$B$141*Assumptions!$B$34*Assumptions!$B$140/12*E7,0)</f>
        <v>938.945985640456</v>
      </c>
      <c r="F116" s="55" t="n">
        <f aca="false">IF(F2&gt;=Assumptions!$B$48,F111*Assumptions!$B$37*Assumptions!$B$139*Assumptions!$B$141*Assumptions!$B$34*Assumptions!$B$140/12*F7,0)</f>
        <v>1285.25958516526</v>
      </c>
      <c r="G116" s="55" t="n">
        <f aca="false">IF(G2&gt;=Assumptions!$B$48,G111*Assumptions!$B$37*Assumptions!$B$139*Assumptions!$B$141*Assumptions!$B$34*Assumptions!$B$140/12*G7,0)</f>
        <v>1576.67534449116</v>
      </c>
      <c r="H116" s="55" t="n">
        <f aca="false">IF(H2&gt;=Assumptions!$B$48,H111*Assumptions!$B$37*Assumptions!$B$139*Assumptions!$B$141*Assumptions!$B$34*Assumptions!$B$140/12*H7,0)</f>
        <v>1799.04504542066</v>
      </c>
      <c r="I116" s="55" t="n">
        <f aca="false">IF(I2&gt;=Assumptions!$B$48,I111*Assumptions!$B$37*Assumptions!$B$139*Assumptions!$B$141*Assumptions!$B$34*Assumptions!$B$140/12*I7,0)</f>
        <v>2000.05511076901</v>
      </c>
      <c r="J116" s="55" t="n">
        <f aca="false">IF(J2&gt;=Assumptions!$B$48,J111*Assumptions!$B$37*Assumptions!$B$139*Assumptions!$B$141*Assumptions!$B$34*Assumptions!$B$140/12*J7,0)</f>
        <v>2190.94929495371</v>
      </c>
      <c r="K116" s="55" t="n">
        <f aca="false">IF(K2&gt;=Assumptions!$B$48,K111*Assumptions!$B$37*Assumptions!$B$139*Assumptions!$B$141*Assumptions!$B$34*Assumptions!$B$140/12*K7,0)</f>
        <v>2399.30185071681</v>
      </c>
      <c r="L116" s="55" t="n">
        <f aca="false">IF(L2&gt;=Assumptions!$B$48,L111*Assumptions!$B$37*Assumptions!$B$139*Assumptions!$B$141*Assumptions!$B$34*Assumptions!$B$140/12*L7,0)</f>
        <v>2705.30057455647</v>
      </c>
      <c r="M116" s="55" t="n">
        <f aca="false">IF(M2&gt;=Assumptions!$B$48,M111*Assumptions!$B$37*Assumptions!$B$139*Assumptions!$B$141*Assumptions!$B$34*Assumptions!$B$140/12*M7,0)</f>
        <v>2961.93204722517</v>
      </c>
      <c r="N116" s="55" t="n">
        <f aca="false">IF(N2&gt;=Assumptions!$B$48,N111*Assumptions!$B$37*Assumptions!$B$139*Assumptions!$B$141*Assumptions!$B$34*Assumptions!$B$140/12*N7,0)</f>
        <v>3158.28895411092</v>
      </c>
      <c r="O116" s="55" t="n">
        <f aca="false">IF(O2&gt;=Assumptions!$B$48,O111*Assumptions!$B$37*Assumptions!$B$139*Assumptions!$B$141*Assumptions!$B$34*Assumptions!$B$140/12*O7,0)</f>
        <v>4137.49240836615</v>
      </c>
      <c r="P116" s="55" t="n">
        <f aca="false">IF(P2&gt;=Assumptions!$B$48,P111*Assumptions!$B$37*Assumptions!$B$139*Assumptions!$B$141*Assumptions!$B$34*Assumptions!$B$140/12*P7,0)</f>
        <v>5035.71614983904</v>
      </c>
      <c r="Q116" s="55" t="n">
        <f aca="false">IF(Q2&gt;=Assumptions!$B$48,Q111*Assumptions!$B$37*Assumptions!$B$139*Assumptions!$B$141*Assumptions!$B$34*Assumptions!$B$140/12*Q7,0)</f>
        <v>5863.92356710126</v>
      </c>
      <c r="R116" s="55" t="n">
        <f aca="false">IF(R2&gt;=Assumptions!$B$48,R111*Assumptions!$B$37*Assumptions!$B$139*Assumptions!$B$141*Assumptions!$B$34*Assumptions!$B$140/12*R7,0)</f>
        <v>6941.92570898742</v>
      </c>
      <c r="S116" s="55" t="n">
        <f aca="false">IF(S2&gt;=Assumptions!$B$48,S111*Assumptions!$B$37*Assumptions!$B$139*Assumptions!$B$141*Assumptions!$B$34*Assumptions!$B$140/12*S7,0)</f>
        <v>7862.67348300608</v>
      </c>
      <c r="T116" s="55" t="n">
        <f aca="false">IF(T2&gt;=Assumptions!$B$48,T111*Assumptions!$B$37*Assumptions!$B$139*Assumptions!$B$141*Assumptions!$B$34*Assumptions!$B$140/12*T7,0)</f>
        <v>8562.85731421232</v>
      </c>
      <c r="U116" s="55" t="n">
        <f aca="false">IF(U2&gt;=Assumptions!$B$48,U111*Assumptions!$B$37*Assumptions!$B$139*Assumptions!$B$141*Assumptions!$B$34*Assumptions!$B$140/12*U7,0)</f>
        <v>9204.40650579219</v>
      </c>
      <c r="V116" s="55" t="n">
        <f aca="false">IF(V2&gt;=Assumptions!$B$48,V111*Assumptions!$B$37*Assumptions!$B$139*Assumptions!$B$141*Assumptions!$B$34*Assumptions!$B$140/12*V7,0)</f>
        <v>9825.58952072707</v>
      </c>
      <c r="W116" s="55" t="n">
        <f aca="false">IF(W2&gt;=Assumptions!$B$48,W111*Assumptions!$B$37*Assumptions!$B$139*Assumptions!$B$141*Assumptions!$B$34*Assumptions!$B$140/12*W7,0)</f>
        <v>10528.2242411162</v>
      </c>
      <c r="X116" s="55" t="n">
        <f aca="false">IF(X2&gt;=Assumptions!$B$48,X111*Assumptions!$B$37*Assumptions!$B$139*Assumptions!$B$141*Assumptions!$B$34*Assumptions!$B$140/12*X7,0)</f>
        <v>11619.5728385402</v>
      </c>
      <c r="Y116" s="55" t="n">
        <f aca="false">IF(Y2&gt;=Assumptions!$B$48,Y111*Assumptions!$B$37*Assumptions!$B$139*Assumptions!$B$141*Assumptions!$B$34*Assumptions!$B$140/12*Y7,0)</f>
        <v>12554.686794761</v>
      </c>
      <c r="Z116" s="55" t="n">
        <f aca="false">IF(Z2&gt;=Assumptions!$B$48,Z111*Assumptions!$B$37*Assumptions!$B$139*Assumptions!$B$141*Assumptions!$B$34*Assumptions!$B$140/12*Z7,0)</f>
        <v>13279.512831934</v>
      </c>
      <c r="AA116" s="55" t="n">
        <f aca="false">IF(AA2&gt;=Assumptions!$B$48,AA111*Assumptions!$B$37*Assumptions!$B$139*Assumptions!$B$141*Assumptions!$B$34*Assumptions!$B$140/12*AA7,0)</f>
        <v>292071.220402213</v>
      </c>
      <c r="AB116" s="55" t="n">
        <f aca="false">IF(AB2&gt;=Assumptions!$B$48,AB111*Assumptions!$B$37*Assumptions!$B$139*Assumptions!$B$141*Assumptions!$B$34*Assumptions!$B$140/12*AB7,0)</f>
        <v>460501.763324105</v>
      </c>
      <c r="AC116" s="55" t="n">
        <f aca="false">IF(AC2&gt;=Assumptions!$B$48,AC111*Assumptions!$B$37*Assumptions!$B$139*Assumptions!$B$141*Assumptions!$B$34*Assumptions!$B$140/12*AC7,0)</f>
        <v>633656.674014252</v>
      </c>
      <c r="AD116" s="55" t="n">
        <f aca="false">IF(AD2&gt;=Assumptions!$B$48,AD111*Assumptions!$B$37*Assumptions!$B$139*Assumptions!$B$141*Assumptions!$B$34*Assumptions!$B$140/12*AD7,0)</f>
        <v>741130.349428898</v>
      </c>
      <c r="AE116" s="55" t="n">
        <f aca="false">IF(AE2&gt;=Assumptions!$B$48,AE111*Assumptions!$B$37*Assumptions!$B$139*Assumptions!$B$141*Assumptions!$B$34*Assumptions!$B$140/12*AE7,0)</f>
        <v>730879.77686157</v>
      </c>
    </row>
    <row r="117" customFormat="false" ht="15" hidden="false" customHeight="false" outlineLevel="0" collapsed="false">
      <c r="A117" s="6" t="s">
        <v>468</v>
      </c>
      <c r="B117" s="23" t="s">
        <v>47</v>
      </c>
      <c r="C117" s="54" t="n">
        <f aca="false">(C115+C116)*(1-Assumptions!$B$8)/C21/(1+Assumptions!$B$9)</f>
        <v>36.8789560745764</v>
      </c>
      <c r="D117" s="54" t="n">
        <f aca="false">(D115+D116)*(1-Assumptions!$B$8)/D21/(1+Assumptions!$B$9)</f>
        <v>70.0898336885732</v>
      </c>
      <c r="E117" s="54" t="n">
        <f aca="false">(E115+E116)*(1-Assumptions!$B$8)/E21/(1+Assumptions!$B$9)</f>
        <v>100.182653878656</v>
      </c>
      <c r="F117" s="54" t="n">
        <f aca="false">(F115+F116)*(1-Assumptions!$B$8)/F21/(1+Assumptions!$B$9)</f>
        <v>137.133251682213</v>
      </c>
      <c r="G117" s="54" t="n">
        <f aca="false">(G115+G116)*(1-Assumptions!$B$8)/G21/(1+Assumptions!$B$9)</f>
        <v>168.226418486072</v>
      </c>
      <c r="H117" s="54" t="n">
        <f aca="false">(H115+H116)*(1-Assumptions!$B$8)/H21/(1+Assumptions!$B$9)</f>
        <v>191.95258284698</v>
      </c>
      <c r="I117" s="54" t="n">
        <f aca="false">(I115+I116)*(1-Assumptions!$B$8)/I21/(1+Assumptions!$B$9)</f>
        <v>213.399739670578</v>
      </c>
      <c r="J117" s="54" t="n">
        <f aca="false">(J115+J116)*(1-Assumptions!$B$8)/J21/(1+Assumptions!$B$9)</f>
        <v>233.767563032196</v>
      </c>
      <c r="K117" s="54" t="n">
        <f aca="false">(K115+K116)*(1-Assumptions!$B$8)/K21/(1+Assumptions!$B$9)</f>
        <v>255.998141039844</v>
      </c>
      <c r="L117" s="54" t="n">
        <f aca="false">(L115+L116)*(1-Assumptions!$B$8)/L21/(1+Assumptions!$B$9)</f>
        <v>288.647265384125</v>
      </c>
      <c r="M117" s="54" t="n">
        <f aca="false">(M115+M116)*(1-Assumptions!$B$8)/M21/(1+Assumptions!$B$9)</f>
        <v>316.029055597756</v>
      </c>
      <c r="N117" s="54" t="n">
        <f aca="false">(N115+N116)*(1-Assumptions!$B$8)/N21/(1+Assumptions!$B$9)</f>
        <v>336.979734699708</v>
      </c>
      <c r="O117" s="54" t="n">
        <f aca="false">(O115+O116)*(1-Assumptions!$B$8)/O21/(1+Assumptions!$B$9)</f>
        <v>408.379035041151</v>
      </c>
      <c r="P117" s="54" t="n">
        <f aca="false">(P115+P116)*(1-Assumptions!$B$8)/P21/(1+Assumptions!$B$9)</f>
        <v>497.035571075401</v>
      </c>
      <c r="Q117" s="54" t="n">
        <f aca="false">(Q115+Q116)*(1-Assumptions!$B$8)/Q21/(1+Assumptions!$B$9)</f>
        <v>578.781351488574</v>
      </c>
      <c r="R117" s="54" t="n">
        <f aca="false">(R115+R116)*(1-Assumptions!$B$8)/R21/(1+Assumptions!$B$9)</f>
        <v>685.182386469472</v>
      </c>
      <c r="S117" s="54" t="n">
        <f aca="false">(S115+S116)*(1-Assumptions!$B$8)/S21/(1+Assumptions!$B$9)</f>
        <v>776.062090975929</v>
      </c>
      <c r="T117" s="54" t="n">
        <f aca="false">(T115+T116)*(1-Assumptions!$B$8)/T21/(1+Assumptions!$B$9)</f>
        <v>845.171679373298</v>
      </c>
      <c r="U117" s="54" t="n">
        <f aca="false">(U115+U116)*(1-Assumptions!$B$8)/U21/(1+Assumptions!$B$9)</f>
        <v>908.493907894866</v>
      </c>
      <c r="V117" s="54" t="n">
        <f aca="false">(V115+V116)*(1-Assumptions!$B$8)/V21/(1+Assumptions!$B$9)</f>
        <v>969.805952772608</v>
      </c>
      <c r="W117" s="54" t="n">
        <f aca="false">(W115+W116)*(1-Assumptions!$B$8)/W21/(1+Assumptions!$B$9)</f>
        <v>1039.15744898773</v>
      </c>
      <c r="X117" s="54" t="n">
        <f aca="false">(X115+X116)*(1-Assumptions!$B$8)/X21/(1+Assumptions!$B$9)</f>
        <v>1146.87580665973</v>
      </c>
      <c r="Y117" s="54" t="n">
        <f aca="false">(Y115+Y116)*(1-Assumptions!$B$8)/Y21/(1+Assumptions!$B$9)</f>
        <v>1239.17348298242</v>
      </c>
      <c r="Z117" s="54" t="n">
        <f aca="false">(Z115+Z116)*(1-Assumptions!$B$8)/Z21/(1+Assumptions!$B$9)</f>
        <v>1310.71530793776</v>
      </c>
      <c r="AA117" s="54" t="n">
        <f aca="false">(AA115+AA116)*(1-Assumptions!$B$8)/AA21/(1+Assumptions!$B$9)</f>
        <v>26667.9296059674</v>
      </c>
      <c r="AB117" s="54" t="n">
        <f aca="false">(AB115+AB116)*(1-Assumptions!$B$8)/AB21/(1+Assumptions!$B$9)</f>
        <v>38896.1071859026</v>
      </c>
      <c r="AC117" s="54" t="n">
        <f aca="false">(AC115+AC116)*(1-Assumptions!$B$8)/AC21/(1+Assumptions!$B$9)</f>
        <v>49511.1666935735</v>
      </c>
      <c r="AD117" s="54" t="n">
        <f aca="false">(AD115+AD116)*(1-Assumptions!$B$8)/AD21/(1+Assumptions!$B$9)</f>
        <v>53569.5565073215</v>
      </c>
      <c r="AE117" s="54" t="n">
        <f aca="false">(AE115+AE116)*(1-Assumptions!$B$8)/AE21/(1+Assumptions!$B$9)</f>
        <v>48870.1536215703</v>
      </c>
    </row>
    <row r="118" customFormat="false" ht="15" hidden="false" customHeight="false" outlineLevel="0" collapsed="false">
      <c r="A118" s="6" t="s">
        <v>469</v>
      </c>
      <c r="B118" s="23" t="s">
        <v>470</v>
      </c>
      <c r="C118" s="56" t="n">
        <f aca="false">(Assumptions!$B$136+Assumptions!$B$137*IF(C111+C113=0,1,(C111+C113*Assumptions!$B$138)/(C111+C113)))*C7/12</f>
        <v>0.0100738065527064</v>
      </c>
      <c r="D118" s="56" t="n">
        <f aca="false">(Assumptions!$B$136+Assumptions!$B$137*IF(D111+D113=0,1,(D111+D113*Assumptions!$B$138)/(D111+D113)))*D7/12</f>
        <v>0.0101467672581244</v>
      </c>
      <c r="E118" s="56" t="n">
        <f aca="false">(Assumptions!$B$136+Assumptions!$B$137*IF(E111+E113=0,1,(E111+E113*Assumptions!$B$138)/(E111+E113)))*E7/12</f>
        <v>0.0102181592964877</v>
      </c>
      <c r="F118" s="56" t="n">
        <f aca="false">(Assumptions!$B$136+Assumptions!$B$137*IF(F111+F113=0,1,(F111+F113*Assumptions!$B$138)/(F111+F113)))*F7/12</f>
        <v>0.0102739353463777</v>
      </c>
      <c r="G118" s="56" t="n">
        <f aca="false">(Assumptions!$B$136+Assumptions!$B$137*IF(G111+G113=0,1,(G111+G113*Assumptions!$B$138)/(G111+G113)))*G7/12</f>
        <v>0.0103385194218197</v>
      </c>
      <c r="H118" s="56" t="n">
        <f aca="false">(Assumptions!$B$136+Assumptions!$B$137*IF(H111+H113=0,1,(H111+H113*Assumptions!$B$138)/(H111+H113)))*H7/12</f>
        <v>0.0104098959240002</v>
      </c>
      <c r="I118" s="56" t="n">
        <f aca="false">(Assumptions!$B$136+Assumptions!$B$137*IF(I111+I113=0,1,(I111+I113*Assumptions!$B$138)/(I111+I113)))*I7/12</f>
        <v>0.0104783601175605</v>
      </c>
      <c r="J118" s="56" t="n">
        <f aca="false">(Assumptions!$B$136+Assumptions!$B$137*IF(J111+J113=0,1,(J111+J113*Assumptions!$B$138)/(J111+J113)))*J7/12</f>
        <v>0.0105427055062365</v>
      </c>
      <c r="K118" s="56" t="n">
        <f aca="false">(Assumptions!$B$136+Assumptions!$B$137*IF(K111+K113=0,1,(K111+K113*Assumptions!$B$138)/(K111+K113)))*K7/12</f>
        <v>0.0105987793898406</v>
      </c>
      <c r="L118" s="56" t="n">
        <f aca="false">(Assumptions!$B$136+Assumptions!$B$137*IF(L111+L113=0,1,(L111+L113*Assumptions!$B$138)/(L111+L113)))*L7/12</f>
        <v>0.0106344441753765</v>
      </c>
      <c r="M118" s="56" t="n">
        <f aca="false">(Assumptions!$B$136+Assumptions!$B$137*IF(M111+M113=0,1,(M111+M113*Assumptions!$B$138)/(M111+M113)))*M7/12</f>
        <v>0.010679197615899</v>
      </c>
      <c r="N118" s="56" t="n">
        <f aca="false">(Assumptions!$B$136+Assumptions!$B$137*IF(N111+N113=0,1,(N111+N113*Assumptions!$B$138)/(N111+N113)))*N7/12</f>
        <v>0.010732009225035</v>
      </c>
      <c r="O118" s="56" t="n">
        <f aca="false">(Assumptions!$B$136+Assumptions!$B$137*IF(O111+O113=0,1,(O111+O113*Assumptions!$B$138)/(O111+O113)))*O7/12</f>
        <v>0.0106750919165149</v>
      </c>
      <c r="P118" s="56" t="n">
        <f aca="false">(Assumptions!$B$136+Assumptions!$B$137*IF(P111+P113=0,1,(P111+P113*Assumptions!$B$138)/(P111+P113)))*P7/12</f>
        <v>0.0106635806547675</v>
      </c>
      <c r="Q118" s="56" t="n">
        <f aca="false">(Assumptions!$B$136+Assumptions!$B$137*IF(Q111+Q113=0,1,(Q111+Q113*Assumptions!$B$138)/(Q111+Q113)))*Q7/12</f>
        <v>0.0106748735858631</v>
      </c>
      <c r="R118" s="56" t="n">
        <f aca="false">(Assumptions!$B$136+Assumptions!$B$137*IF(R111+R113=0,1,(R111+R113*Assumptions!$B$138)/(R111+R113)))*R7/12</f>
        <v>0.0106765511132064</v>
      </c>
      <c r="S118" s="56" t="n">
        <f aca="false">(Assumptions!$B$136+Assumptions!$B$137*IF(S111+S113=0,1,(S111+S113*Assumptions!$B$138)/(S111+S113)))*S7/12</f>
        <v>0.0106994379777729</v>
      </c>
      <c r="T118" s="56" t="n">
        <f aca="false">(Assumptions!$B$136+Assumptions!$B$137*IF(T111+T113=0,1,(T111+T113*Assumptions!$B$138)/(T111+T113)))*T7/12</f>
        <v>0.0107392307095848</v>
      </c>
      <c r="U118" s="56" t="n">
        <f aca="false">(Assumptions!$B$136+Assumptions!$B$137*IF(U111+U113=0,1,(U111+U113*Assumptions!$B$138)/(U111+U113)))*U7/12</f>
        <v>0.0107815595492448</v>
      </c>
      <c r="V118" s="56" t="n">
        <f aca="false">(Assumptions!$B$136+Assumptions!$B$137*IF(V111+V113=0,1,(V111+V113*Assumptions!$B$138)/(V111+V113)))*V7/12</f>
        <v>0.0108234025642679</v>
      </c>
      <c r="W118" s="56" t="n">
        <f aca="false">(Assumptions!$B$136+Assumptions!$B$137*IF(W111+W113=0,1,(W111+W113*Assumptions!$B$138)/(W111+W113)))*W7/12</f>
        <v>0.0108590301465675</v>
      </c>
      <c r="X118" s="56" t="n">
        <f aca="false">(Assumptions!$B$136+Assumptions!$B$137*IF(X111+X113=0,1,(X111+X113*Assumptions!$B$138)/(X111+X113)))*X7/12</f>
        <v>0.010873943365032</v>
      </c>
      <c r="Y118" s="56" t="n">
        <f aca="false">(Assumptions!$B$136+Assumptions!$B$137*IF(Y111+Y113=0,1,(Y111+Y113*Assumptions!$B$138)/(Y111+Y113)))*Y7/12</f>
        <v>0.0108998041424336</v>
      </c>
      <c r="Z118" s="56" t="n">
        <f aca="false">(Assumptions!$B$136+Assumptions!$B$137*IF(Z111+Z113=0,1,(Z111+Z113*Assumptions!$B$138)/(Z111+Z113)))*Z7/12</f>
        <v>0.0109360663975161</v>
      </c>
      <c r="AA118" s="56" t="n">
        <f aca="false">(Assumptions!$B$136+Assumptions!$B$137*IF(AA111+AA113=0,1,(AA111+AA113*Assumptions!$B$138)/(AA111+AA113)))*AA7/12</f>
        <v>0.135272474655508</v>
      </c>
      <c r="AB118" s="56" t="n">
        <f aca="false">(Assumptions!$B$136+Assumptions!$B$137*IF(AB111+AB113=0,1,(AB111+AB113*Assumptions!$B$138)/(AB111+AB113)))*AB7/12</f>
        <v>0.137814523079716</v>
      </c>
      <c r="AC118" s="56" t="n">
        <f aca="false">(Assumptions!$B$136+Assumptions!$B$137*IF(AC111+AC113=0,1,(AC111+AC113*Assumptions!$B$138)/(AC111+AC113)))*AC7/12</f>
        <v>0.13998638434142</v>
      </c>
      <c r="AD118" s="56" t="n">
        <f aca="false">(Assumptions!$B$136+Assumptions!$B$137*IF(AD111+AD113=0,1,(AD111+AD113*Assumptions!$B$138)/(AD111+AD113)))*AD7/12</f>
        <v>0.142345063618755</v>
      </c>
      <c r="AE118" s="56" t="n">
        <f aca="false">(Assumptions!$B$136+Assumptions!$B$137*IF(AE111+AE113=0,1,(AE111+AE113*Assumptions!$B$138)/(AE111+AE113)))*AE7/12</f>
        <v>0.144990029273122</v>
      </c>
    </row>
    <row r="119" customFormat="false" ht="15" hidden="false" customHeight="false" outlineLevel="0" collapsed="false">
      <c r="A119" s="6" t="s">
        <v>471</v>
      </c>
      <c r="B119" s="23" t="s">
        <v>470</v>
      </c>
      <c r="C119" s="56" t="n">
        <f aca="false">Assumptions!$B$137*IF(C111+C113=0,1,(C111+C113*Assumptions!$B$138)/(C111+C113))*C7/12</f>
        <v>0.00507380655270635</v>
      </c>
      <c r="D119" s="56" t="n">
        <f aca="false">Assumptions!$B$137*IF(D111+D113=0,1,(D111+D113*Assumptions!$B$138)/(D111+D113))*D7/12</f>
        <v>0.00514676725812444</v>
      </c>
      <c r="E119" s="56" t="n">
        <f aca="false">Assumptions!$B$137*IF(E111+E113=0,1,(E111+E113*Assumptions!$B$138)/(E111+E113))*E7/12</f>
        <v>0.00521815929648772</v>
      </c>
      <c r="F119" s="56" t="n">
        <f aca="false">Assumptions!$B$137*IF(F111+F113=0,1,(F111+F113*Assumptions!$B$138)/(F111+F113))*F7/12</f>
        <v>0.00527393534637767</v>
      </c>
      <c r="G119" s="56" t="n">
        <f aca="false">Assumptions!$B$137*IF(G111+G113=0,1,(G111+G113*Assumptions!$B$138)/(G111+G113))*G7/12</f>
        <v>0.00533851942181966</v>
      </c>
      <c r="H119" s="56" t="n">
        <f aca="false">Assumptions!$B$137*IF(H111+H113=0,1,(H111+H113*Assumptions!$B$138)/(H111+H113))*H7/12</f>
        <v>0.00540989592400022</v>
      </c>
      <c r="I119" s="56" t="n">
        <f aca="false">Assumptions!$B$137*IF(I111+I113=0,1,(I111+I113*Assumptions!$B$138)/(I111+I113))*I7/12</f>
        <v>0.00547836011756051</v>
      </c>
      <c r="J119" s="56" t="n">
        <f aca="false">Assumptions!$B$137*IF(J111+J113=0,1,(J111+J113*Assumptions!$B$138)/(J111+J113))*J7/12</f>
        <v>0.0055427055062365</v>
      </c>
      <c r="K119" s="56" t="n">
        <f aca="false">Assumptions!$B$137*IF(K111+K113=0,1,(K111+K113*Assumptions!$B$138)/(K111+K113))*K7/12</f>
        <v>0.00559877938984064</v>
      </c>
      <c r="L119" s="56" t="n">
        <f aca="false">Assumptions!$B$137*IF(L111+L113=0,1,(L111+L113*Assumptions!$B$138)/(L111+L113))*L7/12</f>
        <v>0.00563444417537652</v>
      </c>
      <c r="M119" s="56" t="n">
        <f aca="false">Assumptions!$B$137*IF(M111+M113=0,1,(M111+M113*Assumptions!$B$138)/(M111+M113))*M7/12</f>
        <v>0.00567919761589898</v>
      </c>
      <c r="N119" s="56" t="n">
        <f aca="false">Assumptions!$B$137*IF(N111+N113=0,1,(N111+N113*Assumptions!$B$138)/(N111+N113))*N7/12</f>
        <v>0.00573200922503505</v>
      </c>
      <c r="O119" s="56" t="n">
        <f aca="false">Assumptions!$B$137*IF(O111+O113=0,1,(O111+O113*Assumptions!$B$138)/(O111+O113))*O7/12</f>
        <v>0.00567509191651486</v>
      </c>
      <c r="P119" s="56" t="n">
        <f aca="false">Assumptions!$B$137*IF(P111+P113=0,1,(P111+P113*Assumptions!$B$138)/(P111+P113))*P7/12</f>
        <v>0.00566358065476754</v>
      </c>
      <c r="Q119" s="56" t="n">
        <f aca="false">Assumptions!$B$137*IF(Q111+Q113=0,1,(Q111+Q113*Assumptions!$B$138)/(Q111+Q113))*Q7/12</f>
        <v>0.00567487358586312</v>
      </c>
      <c r="R119" s="56" t="n">
        <f aca="false">Assumptions!$B$137*IF(R111+R113=0,1,(R111+R113*Assumptions!$B$138)/(R111+R113))*R7/12</f>
        <v>0.00567655111320637</v>
      </c>
      <c r="S119" s="56" t="n">
        <f aca="false">Assumptions!$B$137*IF(S111+S113=0,1,(S111+S113*Assumptions!$B$138)/(S111+S113))*S7/12</f>
        <v>0.00569943797777294</v>
      </c>
      <c r="T119" s="56" t="n">
        <f aca="false">Assumptions!$B$137*IF(T111+T113=0,1,(T111+T113*Assumptions!$B$138)/(T111+T113))*T7/12</f>
        <v>0.00573923070958481</v>
      </c>
      <c r="U119" s="56" t="n">
        <f aca="false">Assumptions!$B$137*IF(U111+U113=0,1,(U111+U113*Assumptions!$B$138)/(U111+U113))*U7/12</f>
        <v>0.00578155954924476</v>
      </c>
      <c r="V119" s="56" t="n">
        <f aca="false">Assumptions!$B$137*IF(V111+V113=0,1,(V111+V113*Assumptions!$B$138)/(V111+V113))*V7/12</f>
        <v>0.00582340256426789</v>
      </c>
      <c r="W119" s="56" t="n">
        <f aca="false">Assumptions!$B$137*IF(W111+W113=0,1,(W111+W113*Assumptions!$B$138)/(W111+W113))*W7/12</f>
        <v>0.00585903014656754</v>
      </c>
      <c r="X119" s="56" t="n">
        <f aca="false">Assumptions!$B$137*IF(X111+X113=0,1,(X111+X113*Assumptions!$B$138)/(X111+X113))*X7/12</f>
        <v>0.00587394336503198</v>
      </c>
      <c r="Y119" s="56" t="n">
        <f aca="false">Assumptions!$B$137*IF(Y111+Y113=0,1,(Y111+Y113*Assumptions!$B$138)/(Y111+Y113))*Y7/12</f>
        <v>0.0058998041424336</v>
      </c>
      <c r="Z119" s="56" t="n">
        <f aca="false">Assumptions!$B$137*IF(Z111+Z113=0,1,(Z111+Z113*Assumptions!$B$138)/(Z111+Z113))*Z7/12</f>
        <v>0.00593606639751606</v>
      </c>
      <c r="AA119" s="56" t="n">
        <f aca="false">Assumptions!$B$137*IF(AA111+AA113=0,1,(AA111+AA113*Assumptions!$B$138)/(AA111+AA113))*AA7/12</f>
        <v>0.0752724746555075</v>
      </c>
      <c r="AB119" s="56" t="n">
        <f aca="false">Assumptions!$B$137*IF(AB111+AB113=0,1,(AB111+AB113*Assumptions!$B$138)/(AB111+AB113))*AB7/12</f>
        <v>0.0778145230797162</v>
      </c>
      <c r="AC119" s="56" t="n">
        <f aca="false">Assumptions!$B$137*IF(AC111+AC113=0,1,(AC111+AC113*Assumptions!$B$138)/(AC111+AC113))*AC7/12</f>
        <v>0.0799863843414201</v>
      </c>
      <c r="AD119" s="56" t="n">
        <f aca="false">Assumptions!$B$137*IF(AD111+AD113=0,1,(AD111+AD113*Assumptions!$B$138)/(AD111+AD113))*AD7/12</f>
        <v>0.0823450636187553</v>
      </c>
      <c r="AE119" s="56" t="n">
        <f aca="false">Assumptions!$B$137*IF(AE111+AE113=0,1,(AE111+AE113*Assumptions!$B$138)/(AE111+AE113))*AE7/12</f>
        <v>0.0849900292731216</v>
      </c>
    </row>
    <row r="120" customFormat="false" ht="15" hidden="false" customHeight="false" outlineLevel="0" collapsed="false">
      <c r="A120" s="6" t="s">
        <v>472</v>
      </c>
      <c r="B120" s="23" t="s">
        <v>47</v>
      </c>
      <c r="C120" s="45" t="n">
        <f aca="false">C117</f>
        <v>36.8789560745764</v>
      </c>
      <c r="D120" s="45" t="n">
        <f aca="false">C120*(1-D118)+D117</f>
        <v>106.594587579138</v>
      </c>
      <c r="E120" s="45" t="n">
        <f aca="false">D120*(1-E118)+E117</f>
        <v>205.688040981767</v>
      </c>
      <c r="F120" s="45" t="n">
        <f aca="false">E120*(1-F118)+F117</f>
        <v>340.708067029411</v>
      </c>
      <c r="G120" s="45" t="n">
        <f aca="false">F120*(1-G118)+G117</f>
        <v>505.412068547328</v>
      </c>
      <c r="H120" s="45" t="n">
        <f aca="false">G120*(1-H118)+H117</f>
        <v>692.103364361997</v>
      </c>
      <c r="I120" s="45" t="n">
        <f aca="false">H120*(1-I118)+I117</f>
        <v>898.250995742215</v>
      </c>
      <c r="J120" s="45" t="n">
        <f aca="false">I120*(1-J118)+J117</f>
        <v>1122.54856305562</v>
      </c>
      <c r="K120" s="45" t="n">
        <f aca="false">J120*(1-K118)+K117</f>
        <v>1366.64905952125</v>
      </c>
      <c r="L120" s="45" t="n">
        <f aca="false">K120*(1-L118)+L117</f>
        <v>1640.76277177457</v>
      </c>
      <c r="M120" s="45" t="n">
        <f aca="false">L120*(1-M118)+M117</f>
        <v>1939.26979749173</v>
      </c>
      <c r="N120" s="45" t="n">
        <f aca="false">M120*(1-N118)+N117</f>
        <v>2255.43727083493</v>
      </c>
      <c r="O120" s="45" t="n">
        <f aca="false">N120*(1-O118)+O117</f>
        <v>2639.73930569798</v>
      </c>
      <c r="P120" s="45" t="n">
        <f aca="false">O120*(1-P118)+P117</f>
        <v>3108.62580377951</v>
      </c>
      <c r="Q120" s="45" t="n">
        <f aca="false">P120*(1-Q118)+Q117</f>
        <v>3654.22296778699</v>
      </c>
      <c r="R120" s="45" t="n">
        <f aca="false">Q120*(1-R118)+R117</f>
        <v>4300.39085596183</v>
      </c>
      <c r="S120" s="45" t="n">
        <f aca="false">R120*(1-S118)+S117</f>
        <v>5030.44118169421</v>
      </c>
      <c r="T120" s="45" t="n">
        <f aca="false">S120*(1-T118)+T117</f>
        <v>5821.5897926463</v>
      </c>
      <c r="U120" s="45" t="n">
        <f aca="false">T120*(1-U118)+U117</f>
        <v>6667.31788352047</v>
      </c>
      <c r="V120" s="45" t="n">
        <f aca="false">U120*(1-V118)+V117</f>
        <v>7564.9607708158</v>
      </c>
      <c r="W120" s="45" t="n">
        <f aca="false">V120*(1-W118)+W117</f>
        <v>8521.97008273564</v>
      </c>
      <c r="X120" s="45" t="n">
        <f aca="false">W120*(1-X118)+X117</f>
        <v>9576.1784693572</v>
      </c>
      <c r="Y120" s="45" t="n">
        <f aca="false">X120*(1-Y118)+Y117</f>
        <v>10710.9734825906</v>
      </c>
      <c r="Z120" s="45" t="n">
        <f aca="false">Y120*(1-Z118)+Z117</f>
        <v>11904.5528733408</v>
      </c>
      <c r="AA120" s="45" t="n">
        <f aca="false">Z120*(1-AA118)+AA117</f>
        <v>36962.124152464</v>
      </c>
      <c r="AB120" s="45" t="n">
        <f aca="false">AA120*(1-AB118)+AB117</f>
        <v>70764.3138262815</v>
      </c>
      <c r="AC120" s="45" t="n">
        <f aca="false">AB120*(1-AC118)+AC117</f>
        <v>110369.440086912</v>
      </c>
      <c r="AD120" s="45" t="n">
        <f aca="false">AC120*(1-AD118)+AD117</f>
        <v>148228.451623496</v>
      </c>
      <c r="AE120" s="45" t="n">
        <f aca="false">AD120*(1-AE118)+AE117</f>
        <v>175606.957705066</v>
      </c>
    </row>
    <row r="121" customFormat="false" ht="15" hidden="false" customHeight="false" outlineLevel="0" collapsed="false">
      <c r="A121" s="6" t="s">
        <v>473</v>
      </c>
      <c r="B121" s="23" t="s">
        <v>47</v>
      </c>
      <c r="C121" s="45" t="n">
        <f aca="false">C117</f>
        <v>36.8789560745764</v>
      </c>
      <c r="D121" s="45" t="n">
        <f aca="false">C121*(1-D119)+D117</f>
        <v>106.778982359511</v>
      </c>
      <c r="E121" s="45" t="n">
        <f aca="false">D121*(1-E119)+E117</f>
        <v>206.404446498698</v>
      </c>
      <c r="F121" s="45" t="n">
        <f aca="false">E121*(1-F119)+F117</f>
        <v>342.449134474872</v>
      </c>
      <c r="G121" s="45" t="n">
        <f aca="false">F121*(1-G119)+G117</f>
        <v>508.847381605565</v>
      </c>
      <c r="H121" s="45" t="n">
        <f aca="false">G121*(1-H119)+H117</f>
        <v>698.047153076858</v>
      </c>
      <c r="I121" s="45" t="n">
        <f aca="false">H121*(1-I119)+I117</f>
        <v>907.622739063844</v>
      </c>
      <c r="J121" s="45" t="n">
        <f aca="false">I121*(1-J119)+J117</f>
        <v>1136.35961654265</v>
      </c>
      <c r="K121" s="45" t="n">
        <f aca="false">J121*(1-K119)+K117</f>
        <v>1385.99553078194</v>
      </c>
      <c r="L121" s="45" t="n">
        <f aca="false">K121*(1-L119)+L117</f>
        <v>1666.83348172056</v>
      </c>
      <c r="M121" s="45" t="n">
        <f aca="false">L121*(1-M119)+M117</f>
        <v>1973.39626058282</v>
      </c>
      <c r="N121" s="45" t="n">
        <f aca="false">M121*(1-N119)+N117</f>
        <v>2299.06446971222</v>
      </c>
      <c r="O121" s="45" t="n">
        <f aca="false">N121*(1-O119)+O117</f>
        <v>2694.39610256576</v>
      </c>
      <c r="P121" s="45" t="n">
        <f aca="false">O121*(1-P119)+P117</f>
        <v>3176.17174399839</v>
      </c>
      <c r="Q121" s="45" t="n">
        <f aca="false">P121*(1-Q119)+Q117</f>
        <v>3736.92872235278</v>
      </c>
      <c r="R121" s="45" t="n">
        <f aca="false">Q121*(1-R119)+R117</f>
        <v>4400.89824192341</v>
      </c>
      <c r="S121" s="45" t="n">
        <f aca="false">R121*(1-S119)+S117</f>
        <v>5151.87768632301</v>
      </c>
      <c r="T121" s="45" t="n">
        <f aca="false">S121*(1-T119)+T117</f>
        <v>5967.48155106694</v>
      </c>
      <c r="U121" s="45" t="n">
        <f aca="false">T121*(1-U119)+U117</f>
        <v>6841.47410901529</v>
      </c>
      <c r="V121" s="45" t="n">
        <f aca="false">U121*(1-V119)+V117</f>
        <v>7771.43940391808</v>
      </c>
      <c r="W121" s="45" t="n">
        <f aca="false">V121*(1-W119)+W117</f>
        <v>8765.06375515604</v>
      </c>
      <c r="X121" s="45" t="n">
        <f aca="false">W121*(1-X119)+X117</f>
        <v>9860.45407372708</v>
      </c>
      <c r="Y121" s="45" t="n">
        <f aca="false">X121*(1-Y119)+Y117</f>
        <v>11041.452808919</v>
      </c>
      <c r="Z121" s="45" t="n">
        <f aca="false">Y121*(1-Z119)+Z117</f>
        <v>12286.625319858</v>
      </c>
      <c r="AA121" s="45" t="n">
        <f aca="false">Z121*(1-AA119)+AA117</f>
        <v>38029.7102328347</v>
      </c>
      <c r="AB121" s="45" t="n">
        <f aca="false">AA121*(1-AB119)+AB117</f>
        <v>73966.5536541094</v>
      </c>
      <c r="AC121" s="45" t="n">
        <f aca="false">AB121*(1-AC119)+AC117</f>
        <v>117561.403158695</v>
      </c>
      <c r="AD121" s="45" t="n">
        <f aca="false">AC121*(1-AD119)+AD117</f>
        <v>161450.358443804</v>
      </c>
      <c r="AE121" s="45" t="n">
        <f aca="false">AD121*(1-AE119)+AE117</f>
        <v>196598.841375079</v>
      </c>
    </row>
    <row r="122" customFormat="false" ht="15" hidden="false" customHeight="false" outlineLevel="0" collapsed="false">
      <c r="A122" s="6" t="s">
        <v>474</v>
      </c>
      <c r="B122" s="23" t="s">
        <v>114</v>
      </c>
      <c r="C122" s="57" t="n">
        <f aca="false">C120*C21</f>
        <v>5216.89712630958</v>
      </c>
      <c r="D122" s="57" t="n">
        <f aca="false">D120*D21</f>
        <v>15078.8703589449</v>
      </c>
      <c r="E122" s="57" t="n">
        <f aca="false">E120*E21</f>
        <v>29096.6302772808</v>
      </c>
      <c r="F122" s="57" t="n">
        <f aca="false">F120*F21</f>
        <v>48196.5631619804</v>
      </c>
      <c r="G122" s="57" t="n">
        <f aca="false">G120*G21</f>
        <v>71495.5912167051</v>
      </c>
      <c r="H122" s="57" t="n">
        <f aca="false">H120*H21</f>
        <v>97904.941922648</v>
      </c>
      <c r="I122" s="57" t="n">
        <f aca="false">I120*I21</f>
        <v>127066.585857694</v>
      </c>
      <c r="J122" s="57" t="n">
        <f aca="false">J120*J21</f>
        <v>158795.719729848</v>
      </c>
      <c r="K122" s="57" t="n">
        <f aca="false">K120*K21</f>
        <v>193326.175959876</v>
      </c>
      <c r="L122" s="57" t="n">
        <f aca="false">L120*L21</f>
        <v>232102.30169523</v>
      </c>
      <c r="M122" s="57" t="n">
        <f aca="false">M120*M21</f>
        <v>274329.105553181</v>
      </c>
      <c r="N122" s="57" t="n">
        <f aca="false">N120*N21</f>
        <v>319054.156332309</v>
      </c>
      <c r="O122" s="57" t="n">
        <f aca="false">O120*O21</f>
        <v>403664.341480944</v>
      </c>
      <c r="P122" s="57" t="n">
        <f aca="false">P120*P21</f>
        <v>475365.648905065</v>
      </c>
      <c r="Q122" s="57" t="n">
        <f aca="false">Q120*Q21</f>
        <v>558797.417886022</v>
      </c>
      <c r="R122" s="57" t="n">
        <f aca="false">R120*R21</f>
        <v>657608.287013594</v>
      </c>
      <c r="S122" s="57" t="n">
        <f aca="false">S120*S21</f>
        <v>769246.312537023</v>
      </c>
      <c r="T122" s="57" t="n">
        <f aca="false">T120*T21</f>
        <v>890227.381525233</v>
      </c>
      <c r="U122" s="57" t="n">
        <f aca="false">U120*U21</f>
        <v>1019554.64961483</v>
      </c>
      <c r="V122" s="57" t="n">
        <f aca="false">V120*V21</f>
        <v>1156820.63804141</v>
      </c>
      <c r="W122" s="57" t="n">
        <f aca="false">W120*W21</f>
        <v>1303164.83682399</v>
      </c>
      <c r="X122" s="57" t="n">
        <f aca="false">X120*X21</f>
        <v>1464372.54898357</v>
      </c>
      <c r="Y122" s="57" t="n">
        <f aca="false">Y120*Y21</f>
        <v>1637903.4278639</v>
      </c>
      <c r="Z122" s="57" t="n">
        <f aca="false">Z120*Z21</f>
        <v>1820423.51146927</v>
      </c>
      <c r="AA122" s="57" t="n">
        <f aca="false">AA120*AA21</f>
        <v>6110010.59191397</v>
      </c>
      <c r="AB122" s="57" t="n">
        <f aca="false">AB120*AB21</f>
        <v>12645180.573168</v>
      </c>
      <c r="AC122" s="57" t="n">
        <f aca="false">AC120*AC21</f>
        <v>21319905.1832036</v>
      </c>
      <c r="AD122" s="57" t="n">
        <f aca="false">AD120*AD21</f>
        <v>30952354.8423841</v>
      </c>
      <c r="AE122" s="57" t="n">
        <f aca="false">AE120*AE21</f>
        <v>39639624.9276434</v>
      </c>
    </row>
    <row r="123" customFormat="false" ht="15" hidden="false" customHeight="false" outlineLevel="0" collapsed="false">
      <c r="A123" s="6" t="s">
        <v>475</v>
      </c>
      <c r="B123" s="23" t="s">
        <v>190</v>
      </c>
      <c r="C123" s="54" t="n">
        <f aca="false">C111+C113*Assumptions!$B$179</f>
        <v>178.669</v>
      </c>
      <c r="D123" s="54" t="n">
        <f aca="false">D111+D113*Assumptions!$B$179</f>
        <v>348.250261725952</v>
      </c>
      <c r="E123" s="54" t="n">
        <f aca="false">E111+E113*Assumptions!$B$179</f>
        <v>510.544845457189</v>
      </c>
      <c r="F123" s="54" t="n">
        <f aca="false">F111+F113*Assumptions!$B$179</f>
        <v>713.148943932104</v>
      </c>
      <c r="G123" s="54" t="n">
        <f aca="false">G111+G113*Assumptions!$B$179</f>
        <v>896.075325611234</v>
      </c>
      <c r="H123" s="54" t="n">
        <f aca="false">H111+H113*Assumptions!$B$179</f>
        <v>1050.63137490653</v>
      </c>
      <c r="I123" s="54" t="n">
        <f aca="false">I111+I113*Assumptions!$B$179</f>
        <v>1199.73254941302</v>
      </c>
      <c r="J123" s="54" t="n">
        <f aca="false">J111+J113*Assumptions!$B$179</f>
        <v>1348.65436713468</v>
      </c>
      <c r="K123" s="54" t="n">
        <f aca="false">K111+K113*Assumptions!$B$179</f>
        <v>1511.39635457054</v>
      </c>
      <c r="L123" s="54" t="n">
        <f aca="false">L111+L113*Assumptions!$B$179</f>
        <v>1729.8476944193</v>
      </c>
      <c r="M123" s="54" t="n">
        <f aca="false">M111+M113*Assumptions!$B$179</f>
        <v>1930.46740189359</v>
      </c>
      <c r="N123" s="54" t="n">
        <f aca="false">N111+N113*Assumptions!$B$179</f>
        <v>2106.37708445176</v>
      </c>
      <c r="O123" s="54" t="n">
        <f aca="false">O111+O113*Assumptions!$B$179</f>
        <v>2691.88787404417</v>
      </c>
      <c r="P123" s="54" t="n">
        <f aca="false">P111+P113*Assumptions!$B$179</f>
        <v>3260.13806295296</v>
      </c>
      <c r="Q123" s="54" t="n">
        <f aca="false">Q111+Q113*Assumptions!$B$179</f>
        <v>3814.76047911621</v>
      </c>
      <c r="R123" s="54" t="n">
        <f aca="false">R111+R113*Assumptions!$B$179</f>
        <v>4519.31259964623</v>
      </c>
      <c r="S123" s="54" t="n">
        <f aca="false">S111+S113*Assumptions!$B$179</f>
        <v>5169.65830054593</v>
      </c>
      <c r="T123" s="54" t="n">
        <f aca="false">T111+T113*Assumptions!$B$179</f>
        <v>5729.12114582439</v>
      </c>
      <c r="U123" s="54" t="n">
        <f aca="false">U111+U113*Assumptions!$B$179</f>
        <v>6275.86450864336</v>
      </c>
      <c r="V123" s="54" t="n">
        <f aca="false">V111+V113*Assumptions!$B$179</f>
        <v>6828.19707762831</v>
      </c>
      <c r="W123" s="54" t="n">
        <f aca="false">W111+W113*Assumptions!$B$179</f>
        <v>7438.23881735861</v>
      </c>
      <c r="X123" s="54" t="n">
        <f aca="false">X111+X113*Assumptions!$B$179</f>
        <v>8266.8656011235</v>
      </c>
      <c r="Y123" s="54" t="n">
        <f aca="false">Y111+Y113*Assumptions!$B$179</f>
        <v>9042.14836834422</v>
      </c>
      <c r="Z123" s="54" t="n">
        <f aca="false">Z111+Z113*Assumptions!$B$179</f>
        <v>9732.22105640219</v>
      </c>
      <c r="AA123" s="54" t="n">
        <f aca="false">AA111+AA113*Assumptions!$B$179</f>
        <v>21314.0928917391</v>
      </c>
      <c r="AB123" s="54" t="n">
        <f aca="false">AB111+AB113*Assumptions!$B$179</f>
        <v>38302.9431735575</v>
      </c>
      <c r="AC123" s="54" t="n">
        <f aca="false">AC111+AC113*Assumptions!$B$179</f>
        <v>59853.5833790927</v>
      </c>
      <c r="AD123" s="54" t="n">
        <f aca="false">AD111+AD113*Assumptions!$B$179</f>
        <v>82097.599874401</v>
      </c>
      <c r="AE123" s="54" t="n">
        <f aca="false">AE111+AE113*Assumptions!$B$179</f>
        <v>100411.932330575</v>
      </c>
    </row>
    <row r="124" customFormat="false" ht="15" hidden="false" customHeight="false" outlineLevel="0" collapsed="false">
      <c r="A124" s="6" t="s">
        <v>476</v>
      </c>
      <c r="B124" s="23" t="s">
        <v>190</v>
      </c>
      <c r="C124" s="45" t="n">
        <f aca="false">IF(C7&gt;1,C123*Assumptions!$B$134,IF(C2&gt;Assumptions!$B$135,INDEX($C$123:$AE$123,1,C2-Assumptions!$B$135)*Assumptions!$B$134,0))</f>
        <v>0</v>
      </c>
      <c r="D124" s="45" t="n">
        <f aca="false">IF(D7&gt;1,D123*Assumptions!$B$134,IF(D2&gt;Assumptions!$B$135,INDEX($C$123:$AE$123,1,D2-Assumptions!$B$135)*Assumptions!$B$134,0))</f>
        <v>0</v>
      </c>
      <c r="E124" s="45" t="n">
        <f aca="false">IF(E7&gt;1,E123*Assumptions!$B$134,IF(E2&gt;Assumptions!$B$135,INDEX($C$123:$AE$123,1,E2-Assumptions!$B$135)*Assumptions!$B$134,0))</f>
        <v>0</v>
      </c>
      <c r="F124" s="45" t="n">
        <f aca="false">IF(F7&gt;1,F123*Assumptions!$B$134,IF(F2&gt;Assumptions!$B$135,INDEX($C$123:$AE$123,1,F2-Assumptions!$B$135)*Assumptions!$B$134,0))</f>
        <v>0</v>
      </c>
      <c r="G124" s="45" t="n">
        <f aca="false">IF(G7&gt;1,G123*Assumptions!$B$134,IF(G2&gt;Assumptions!$B$135,INDEX($C$123:$AE$123,1,G2-Assumptions!$B$135)*Assumptions!$B$134,0))</f>
        <v>0</v>
      </c>
      <c r="H124" s="45" t="n">
        <f aca="false">IF(H7&gt;1,H123*Assumptions!$B$134,IF(H2&gt;Assumptions!$B$135,INDEX($C$123:$AE$123,1,H2-Assumptions!$B$135)*Assumptions!$B$134,0))</f>
        <v>0</v>
      </c>
      <c r="I124" s="45" t="n">
        <f aca="false">IF(I7&gt;1,I123*Assumptions!$B$134,IF(I2&gt;Assumptions!$B$135,INDEX($C$123:$AE$123,1,I2-Assumptions!$B$135)*Assumptions!$B$134,0))</f>
        <v>0</v>
      </c>
      <c r="J124" s="45" t="n">
        <f aca="false">IF(J7&gt;1,J123*Assumptions!$B$134,IF(J2&gt;Assumptions!$B$135,INDEX($C$123:$AE$123,1,J2-Assumptions!$B$135)*Assumptions!$B$134,0))</f>
        <v>0</v>
      </c>
      <c r="K124" s="45" t="n">
        <f aca="false">IF(K7&gt;1,K123*Assumptions!$B$134,IF(K2&gt;Assumptions!$B$135,INDEX($C$123:$AE$123,1,K2-Assumptions!$B$135)*Assumptions!$B$134,0))</f>
        <v>98.26795</v>
      </c>
      <c r="L124" s="45" t="n">
        <f aca="false">IF(L7&gt;1,L123*Assumptions!$B$134,IF(L2&gt;Assumptions!$B$135,INDEX($C$123:$AE$123,1,L2-Assumptions!$B$135)*Assumptions!$B$134,0))</f>
        <v>191.537643949274</v>
      </c>
      <c r="M124" s="45" t="n">
        <f aca="false">IF(M7&gt;1,M123*Assumptions!$B$134,IF(M2&gt;Assumptions!$B$135,INDEX($C$123:$AE$123,1,M2-Assumptions!$B$135)*Assumptions!$B$134,0))</f>
        <v>280.799665001454</v>
      </c>
      <c r="N124" s="45" t="n">
        <f aca="false">IF(N7&gt;1,N123*Assumptions!$B$134,IF(N2&gt;Assumptions!$B$135,INDEX($C$123:$AE$123,1,N2-Assumptions!$B$135)*Assumptions!$B$134,0))</f>
        <v>392.231919162657</v>
      </c>
      <c r="O124" s="45" t="n">
        <f aca="false">IF(O7&gt;1,O123*Assumptions!$B$134,IF(O2&gt;Assumptions!$B$135,INDEX($C$123:$AE$123,1,O2-Assumptions!$B$135)*Assumptions!$B$134,0))</f>
        <v>492.841429086179</v>
      </c>
      <c r="P124" s="45" t="n">
        <f aca="false">IF(P7&gt;1,P123*Assumptions!$B$134,IF(P2&gt;Assumptions!$B$135,INDEX($C$123:$AE$123,1,P2-Assumptions!$B$135)*Assumptions!$B$134,0))</f>
        <v>577.847256198589</v>
      </c>
      <c r="Q124" s="45" t="n">
        <f aca="false">IF(Q7&gt;1,Q123*Assumptions!$B$134,IF(Q2&gt;Assumptions!$B$135,INDEX($C$123:$AE$123,1,Q2-Assumptions!$B$135)*Assumptions!$B$134,0))</f>
        <v>659.852902177163</v>
      </c>
      <c r="R124" s="45" t="n">
        <f aca="false">IF(R7&gt;1,R123*Assumptions!$B$134,IF(R2&gt;Assumptions!$B$135,INDEX($C$123:$AE$123,1,R2-Assumptions!$B$135)*Assumptions!$B$134,0))</f>
        <v>741.759901924076</v>
      </c>
      <c r="S124" s="45" t="n">
        <f aca="false">IF(S7&gt;1,S123*Assumptions!$B$134,IF(S2&gt;Assumptions!$B$135,INDEX($C$123:$AE$123,1,S2-Assumptions!$B$135)*Assumptions!$B$134,0))</f>
        <v>831.267995013797</v>
      </c>
      <c r="T124" s="45" t="n">
        <f aca="false">IF(T7&gt;1,T123*Assumptions!$B$134,IF(T2&gt;Assumptions!$B$135,INDEX($C$123:$AE$123,1,T2-Assumptions!$B$135)*Assumptions!$B$134,0))</f>
        <v>951.416231930618</v>
      </c>
      <c r="U124" s="45" t="n">
        <f aca="false">IF(U7&gt;1,U123*Assumptions!$B$134,IF(U2&gt;Assumptions!$B$135,INDEX($C$123:$AE$123,1,U2-Assumptions!$B$135)*Assumptions!$B$134,0))</f>
        <v>1061.75707104148</v>
      </c>
      <c r="V124" s="45" t="n">
        <f aca="false">IF(V7&gt;1,V123*Assumptions!$B$134,IF(V2&gt;Assumptions!$B$135,INDEX($C$123:$AE$123,1,V2-Assumptions!$B$135)*Assumptions!$B$134,0))</f>
        <v>1158.50739644847</v>
      </c>
      <c r="W124" s="45" t="n">
        <f aca="false">IF(W7&gt;1,W123*Assumptions!$B$134,IF(W2&gt;Assumptions!$B$135,INDEX($C$123:$AE$123,1,W2-Assumptions!$B$135)*Assumptions!$B$134,0))</f>
        <v>1480.53833072429</v>
      </c>
      <c r="X124" s="45" t="n">
        <f aca="false">IF(X7&gt;1,X123*Assumptions!$B$134,IF(X2&gt;Assumptions!$B$135,INDEX($C$123:$AE$123,1,X2-Assumptions!$B$135)*Assumptions!$B$134,0))</f>
        <v>1793.07593462413</v>
      </c>
      <c r="Y124" s="45" t="n">
        <f aca="false">IF(Y7&gt;1,Y123*Assumptions!$B$134,IF(Y2&gt;Assumptions!$B$135,INDEX($C$123:$AE$123,1,Y2-Assumptions!$B$135)*Assumptions!$B$134,0))</f>
        <v>2098.11826351392</v>
      </c>
      <c r="Z124" s="45" t="n">
        <f aca="false">IF(Z7&gt;1,Z123*Assumptions!$B$134,IF(Z2&gt;Assumptions!$B$135,INDEX($C$123:$AE$123,1,Z2-Assumptions!$B$135)*Assumptions!$B$134,0))</f>
        <v>2485.62192980543</v>
      </c>
      <c r="AA124" s="45" t="n">
        <f aca="false">IF(AA7&gt;1,AA123*Assumptions!$B$134,IF(AA2&gt;Assumptions!$B$135,INDEX($C$123:$AE$123,1,AA2-Assumptions!$B$135)*Assumptions!$B$134,0))</f>
        <v>11722.7510904565</v>
      </c>
      <c r="AB124" s="45" t="n">
        <f aca="false">IF(AB7&gt;1,AB123*Assumptions!$B$134,IF(AB2&gt;Assumptions!$B$135,INDEX($C$123:$AE$123,1,AB2-Assumptions!$B$135)*Assumptions!$B$134,0))</f>
        <v>21066.6187454566</v>
      </c>
      <c r="AC124" s="45" t="n">
        <f aca="false">IF(AC7&gt;1,AC123*Assumptions!$B$134,IF(AC2&gt;Assumptions!$B$135,INDEX($C$123:$AE$123,1,AC2-Assumptions!$B$135)*Assumptions!$B$134,0))</f>
        <v>32919.470858501</v>
      </c>
      <c r="AD124" s="45" t="n">
        <f aca="false">IF(AD7&gt;1,AD123*Assumptions!$B$134,IF(AD2&gt;Assumptions!$B$135,INDEX($C$123:$AE$123,1,AD2-Assumptions!$B$135)*Assumptions!$B$134,0))</f>
        <v>45153.6799309206</v>
      </c>
      <c r="AE124" s="45" t="n">
        <f aca="false">IF(AE7&gt;1,AE123*Assumptions!$B$134,IF(AE2&gt;Assumptions!$B$135,INDEX($C$123:$AE$123,1,AE2-Assumptions!$B$135)*Assumptions!$B$134,0))</f>
        <v>55226.5627818163</v>
      </c>
    </row>
    <row r="125" customFormat="false" ht="15" hidden="false" customHeight="false" outlineLevel="0" collapsed="false">
      <c r="A125" s="6" t="s">
        <v>477</v>
      </c>
      <c r="B125" s="23" t="s">
        <v>478</v>
      </c>
      <c r="C125" s="28" t="n">
        <f aca="false">IF(C2&gt;=Assumptions!$B$51,C124*Assumptions!$B$143,0)</f>
        <v>0</v>
      </c>
      <c r="D125" s="28" t="n">
        <f aca="false">IF(D2&gt;=Assumptions!$B$51,D124*Assumptions!$B$143,0)</f>
        <v>0</v>
      </c>
      <c r="E125" s="28" t="n">
        <f aca="false">IF(E2&gt;=Assumptions!$B$51,E124*Assumptions!$B$143,0)</f>
        <v>0</v>
      </c>
      <c r="F125" s="28" t="n">
        <f aca="false">IF(F2&gt;=Assumptions!$B$51,F124*Assumptions!$B$143,0)</f>
        <v>0</v>
      </c>
      <c r="G125" s="28" t="n">
        <f aca="false">IF(G2&gt;=Assumptions!$B$51,G124*Assumptions!$B$143,0)</f>
        <v>0</v>
      </c>
      <c r="H125" s="28" t="n">
        <f aca="false">IF(H2&gt;=Assumptions!$B$51,H124*Assumptions!$B$143,0)</f>
        <v>0</v>
      </c>
      <c r="I125" s="28" t="n">
        <f aca="false">IF(I2&gt;=Assumptions!$B$51,I124*Assumptions!$B$143,0)</f>
        <v>0</v>
      </c>
      <c r="J125" s="28" t="n">
        <f aca="false">IF(J2&gt;=Assumptions!$B$51,J124*Assumptions!$B$143,0)</f>
        <v>0</v>
      </c>
      <c r="K125" s="28" t="n">
        <f aca="false">IF(K2&gt;=Assumptions!$B$51,K124*Assumptions!$B$143,0)</f>
        <v>0</v>
      </c>
      <c r="L125" s="28" t="n">
        <f aca="false">IF(L2&gt;=Assumptions!$B$51,L124*Assumptions!$B$143,0)</f>
        <v>0</v>
      </c>
      <c r="M125" s="28" t="n">
        <f aca="false">IF(M2&gt;=Assumptions!$B$51,M124*Assumptions!$B$143,0)</f>
        <v>0</v>
      </c>
      <c r="N125" s="28" t="n">
        <f aca="false">IF(N2&gt;=Assumptions!$B$51,N124*Assumptions!$B$143,0)</f>
        <v>0</v>
      </c>
      <c r="O125" s="28" t="n">
        <f aca="false">IF(O2&gt;=Assumptions!$B$51,O124*Assumptions!$B$143,0)</f>
        <v>88.7114572355121</v>
      </c>
      <c r="P125" s="28" t="n">
        <f aca="false">IF(P2&gt;=Assumptions!$B$51,P124*Assumptions!$B$143,0)</f>
        <v>104.012506115746</v>
      </c>
      <c r="Q125" s="28" t="n">
        <f aca="false">IF(Q2&gt;=Assumptions!$B$51,Q124*Assumptions!$B$143,0)</f>
        <v>118.773522391889</v>
      </c>
      <c r="R125" s="28" t="n">
        <f aca="false">IF(R2&gt;=Assumptions!$B$51,R124*Assumptions!$B$143,0)</f>
        <v>133.516782346334</v>
      </c>
      <c r="S125" s="28" t="n">
        <f aca="false">IF(S2&gt;=Assumptions!$B$51,S124*Assumptions!$B$143,0)</f>
        <v>149.628239102483</v>
      </c>
      <c r="T125" s="28" t="n">
        <f aca="false">IF(T2&gt;=Assumptions!$B$51,T124*Assumptions!$B$143,0)</f>
        <v>171.254921747511</v>
      </c>
      <c r="U125" s="28" t="n">
        <f aca="false">IF(U2&gt;=Assumptions!$B$51,U124*Assumptions!$B$143,0)</f>
        <v>191.116272787466</v>
      </c>
      <c r="V125" s="28" t="n">
        <f aca="false">IF(V2&gt;=Assumptions!$B$51,V124*Assumptions!$B$143,0)</f>
        <v>208.531331360724</v>
      </c>
      <c r="W125" s="28" t="n">
        <f aca="false">IF(W2&gt;=Assumptions!$B$51,W124*Assumptions!$B$143,0)</f>
        <v>266.496899530373</v>
      </c>
      <c r="X125" s="28" t="n">
        <f aca="false">IF(X2&gt;=Assumptions!$B$51,X124*Assumptions!$B$143,0)</f>
        <v>322.753668232343</v>
      </c>
      <c r="Y125" s="28" t="n">
        <f aca="false">IF(Y2&gt;=Assumptions!$B$51,Y124*Assumptions!$B$143,0)</f>
        <v>377.661287432505</v>
      </c>
      <c r="Z125" s="28" t="n">
        <f aca="false">IF(Z2&gt;=Assumptions!$B$51,Z124*Assumptions!$B$143,0)</f>
        <v>447.411947364977</v>
      </c>
      <c r="AA125" s="28" t="n">
        <f aca="false">IF(AA2&gt;=Assumptions!$B$51,AA124*Assumptions!$B$143,0)</f>
        <v>2110.09519628217</v>
      </c>
      <c r="AB125" s="28" t="n">
        <f aca="false">IF(AB2&gt;=Assumptions!$B$51,AB124*Assumptions!$B$143,0)</f>
        <v>3791.99137418219</v>
      </c>
      <c r="AC125" s="28" t="n">
        <f aca="false">IF(AC2&gt;=Assumptions!$B$51,AC124*Assumptions!$B$143,0)</f>
        <v>5925.50475453018</v>
      </c>
      <c r="AD125" s="28" t="n">
        <f aca="false">IF(AD2&gt;=Assumptions!$B$51,AD124*Assumptions!$B$143,0)</f>
        <v>8127.6623875657</v>
      </c>
      <c r="AE125" s="28" t="n">
        <f aca="false">IF(AE2&gt;=Assumptions!$B$51,AE124*Assumptions!$B$143,0)</f>
        <v>9940.78130072694</v>
      </c>
    </row>
    <row r="126" customFormat="false" ht="15" hidden="false" customHeight="false" outlineLevel="0" collapsed="false">
      <c r="A126" s="6" t="s">
        <v>479</v>
      </c>
      <c r="B126" s="23" t="s">
        <v>478</v>
      </c>
      <c r="C126" s="28" t="n">
        <f aca="false">IF(C123=0,0,C125*C111/C123)</f>
        <v>0</v>
      </c>
      <c r="D126" s="28" t="n">
        <f aca="false">IF(D123=0,0,D125*D111/D123)</f>
        <v>0</v>
      </c>
      <c r="E126" s="28" t="n">
        <f aca="false">IF(E123=0,0,E125*E111/E123)</f>
        <v>0</v>
      </c>
      <c r="F126" s="28" t="n">
        <f aca="false">IF(F123=0,0,F125*F111/F123)</f>
        <v>0</v>
      </c>
      <c r="G126" s="28" t="n">
        <f aca="false">IF(G123=0,0,G125*G111/G123)</f>
        <v>0</v>
      </c>
      <c r="H126" s="28" t="n">
        <f aca="false">IF(H123=0,0,H125*H111/H123)</f>
        <v>0</v>
      </c>
      <c r="I126" s="28" t="n">
        <f aca="false">IF(I123=0,0,I125*I111/I123)</f>
        <v>0</v>
      </c>
      <c r="J126" s="28" t="n">
        <f aca="false">IF(J123=0,0,J125*J111/J123)</f>
        <v>0</v>
      </c>
      <c r="K126" s="28" t="n">
        <f aca="false">IF(K123=0,0,K125*K111/K123)</f>
        <v>0</v>
      </c>
      <c r="L126" s="28" t="n">
        <f aca="false">IF(L123=0,0,L125*L111/L123)</f>
        <v>0</v>
      </c>
      <c r="M126" s="28" t="n">
        <f aca="false">IF(M123=0,0,M125*M111/M123)</f>
        <v>0</v>
      </c>
      <c r="N126" s="28" t="n">
        <f aca="false">IF(N123=0,0,N125*N111/N123)</f>
        <v>0</v>
      </c>
      <c r="O126" s="28" t="n">
        <f aca="false">IF(O123=0,0,O125*O111/O123)</f>
        <v>68.7486613415294</v>
      </c>
      <c r="P126" s="28" t="n">
        <f aca="false">IF(P123=0,0,P125*P111/P123)</f>
        <v>81.005610478313</v>
      </c>
      <c r="Q126" s="28" t="n">
        <f aca="false">IF(Q123=0,0,Q125*Q111/Q123)</f>
        <v>92.0544847378198</v>
      </c>
      <c r="R126" s="28" t="n">
        <f aca="false">IF(R123=0,0,R125*R111/R123)</f>
        <v>103.406473103619</v>
      </c>
      <c r="S126" s="28" t="n">
        <f aca="false">IF(S123=0,0,S125*S111/S123)</f>
        <v>114.743014777294</v>
      </c>
      <c r="T126" s="28" t="n">
        <f aca="false">IF(T123=0,0,T125*T111/T123)</f>
        <v>129.055955973077</v>
      </c>
      <c r="U126" s="28" t="n">
        <f aca="false">IF(U123=0,0,U125*U111/U123)</f>
        <v>141.326690116429</v>
      </c>
      <c r="V126" s="28" t="n">
        <f aca="false">IF(V123=0,0,V125*V111/V123)</f>
        <v>151.296253703185</v>
      </c>
      <c r="W126" s="28" t="n">
        <f aca="false">IF(W123=0,0,W125*W111/W123)</f>
        <v>190.187275975916</v>
      </c>
      <c r="X126" s="28" t="n">
        <f aca="false">IF(X123=0,0,X125*X111/X123)</f>
        <v>228.730859268546</v>
      </c>
      <c r="Y126" s="28" t="n">
        <f aca="false">IF(Y123=0,0,Y125*Y111/Y123)</f>
        <v>264.387557142981</v>
      </c>
      <c r="Z126" s="28" t="n">
        <f aca="false">IF(Z123=0,0,Z125*Z111/Z123)</f>
        <v>307.809517439784</v>
      </c>
      <c r="AA126" s="28" t="n">
        <f aca="false">IF(AA123=0,0,AA125*AA111/AA123)</f>
        <v>1214.91810167307</v>
      </c>
      <c r="AB126" s="28" t="n">
        <f aca="false">IF(AB123=0,0,AB125*AB111/AB123)</f>
        <v>1915.5325449196</v>
      </c>
      <c r="AC126" s="28" t="n">
        <f aca="false">IF(AC123=0,0,AC125*AC111/AC123)</f>
        <v>2635.79877005929</v>
      </c>
      <c r="AD126" s="28" t="n">
        <f aca="false">IF(AD123=0,0,AD125*AD111/AD123)</f>
        <v>3082.85313417903</v>
      </c>
      <c r="AE126" s="28" t="n">
        <f aca="false">IF(AE123=0,0,AE125*AE111/AE123)</f>
        <v>3040.21419786956</v>
      </c>
    </row>
    <row r="127" customFormat="false" ht="15" hidden="false" customHeight="false" outlineLevel="0" collapsed="false">
      <c r="A127" s="6" t="s">
        <v>480</v>
      </c>
      <c r="B127" s="23" t="s">
        <v>114</v>
      </c>
      <c r="C127" s="55" t="n">
        <f aca="false">IF(C111=0,0,C122/C111*Assumptions!$B$31)</f>
        <v>14.9675697865353</v>
      </c>
      <c r="D127" s="55" t="n">
        <f aca="false">IF(D111=0,0,D122/D111*Assumptions!$B$31)</f>
        <v>22.7631005025171</v>
      </c>
      <c r="E127" s="55" t="n">
        <f aca="false">IF(E111=0,0,E122/E111*Assumptions!$B$31)</f>
        <v>30.7303708621982</v>
      </c>
      <c r="F127" s="55" t="n">
        <f aca="false">IF(F111=0,0,F122/F111*Assumptions!$B$31)</f>
        <v>37.1869820597253</v>
      </c>
      <c r="G127" s="55" t="n">
        <f aca="false">IF(G111=0,0,G122/G111*Assumptions!$B$31)</f>
        <v>44.9679097671905</v>
      </c>
      <c r="H127" s="55" t="n">
        <f aca="false">IF(H111=0,0,H122/H111*Assumptions!$B$31)</f>
        <v>53.9670019123531</v>
      </c>
      <c r="I127" s="55" t="n">
        <f aca="false">IF(I111=0,0,I122/I111*Assumptions!$B$31)</f>
        <v>63.0021127736645</v>
      </c>
      <c r="J127" s="55" t="n">
        <f aca="false">IF(J111=0,0,J122/J111*Assumptions!$B$31)</f>
        <v>71.8740604486509</v>
      </c>
      <c r="K127" s="55" t="n">
        <f aca="false">IF(K111=0,0,K122/K111*Assumptions!$B$31)</f>
        <v>79.9045457478672</v>
      </c>
      <c r="L127" s="55" t="n">
        <f aca="false">IF(L111=0,0,L122/L111*Assumptions!$B$31)</f>
        <v>85.0804224907636</v>
      </c>
      <c r="M127" s="55" t="n">
        <f aca="false">IF(M111=0,0,M122/M111*Assumptions!$B$31)</f>
        <v>91.8464790333151</v>
      </c>
      <c r="N127" s="55" t="n">
        <f aca="false">IF(N111=0,0,N122/N111*Assumptions!$B$31)</f>
        <v>100.179361766243</v>
      </c>
      <c r="O127" s="55" t="n">
        <f aca="false">IF(O111=0,0,O122/O111*Assumptions!$B$31)</f>
        <v>96.749536303482</v>
      </c>
      <c r="P127" s="55" t="n">
        <f aca="false">IF(P111=0,0,P122/P111*Assumptions!$B$31)</f>
        <v>93.6121605092039</v>
      </c>
      <c r="Q127" s="55" t="n">
        <f aca="false">IF(Q111=0,0,Q122/Q111*Assumptions!$B$31)</f>
        <v>94.4999992574772</v>
      </c>
      <c r="R127" s="55" t="n">
        <f aca="false">IF(R111=0,0,R122/R111*Assumptions!$B$31)</f>
        <v>93.9405354210092</v>
      </c>
      <c r="S127" s="55" t="n">
        <f aca="false">IF(S111=0,0,S122/S111*Assumptions!$B$31)</f>
        <v>97.0199167303543</v>
      </c>
      <c r="T127" s="55" t="n">
        <f aca="false">IF(T111=0,0,T122/T111*Assumptions!$B$31)</f>
        <v>103.097457731459</v>
      </c>
      <c r="U127" s="55" t="n">
        <f aca="false">IF(U111=0,0,U122/U111*Assumptions!$B$31)</f>
        <v>109.845035661104</v>
      </c>
      <c r="V127" s="55" t="n">
        <f aca="false">IF(V111=0,0,V122/V111*Assumptions!$B$31)</f>
        <v>116.754365082905</v>
      </c>
      <c r="W127" s="55" t="n">
        <f aca="false">IF(W111=0,0,W122/W111*Assumptions!$B$31)</f>
        <v>122.746732996395</v>
      </c>
      <c r="X127" s="55" t="n">
        <f aca="false">IF(X111=0,0,X122/X111*Assumptions!$B$31)</f>
        <v>124.976147108618</v>
      </c>
      <c r="Y127" s="55" t="n">
        <f aca="false">IF(Y111=0,0,Y122/Y111*Assumptions!$B$31)</f>
        <v>129.374333201963</v>
      </c>
      <c r="Z127" s="55" t="n">
        <f aca="false">IF(Z111=0,0,Z122/Z111*Assumptions!$B$31)</f>
        <v>135.94273663407</v>
      </c>
      <c r="AA127" s="55" t="n">
        <f aca="false">IF(AA111=0,0,AA122/AA111*Assumptions!$B$31)</f>
        <v>248.943137717054</v>
      </c>
      <c r="AB127" s="55" t="n">
        <f aca="false">IF(AB111=0,0,AB122/AB111*Assumptions!$B$31)</f>
        <v>326.768887342547</v>
      </c>
      <c r="AC127" s="55" t="n">
        <f aca="false">IF(AC111=0,0,AC122/AC111*Assumptions!$B$31)</f>
        <v>400.385385468877</v>
      </c>
      <c r="AD127" s="55" t="n">
        <f aca="false">IF(AD111=0,0,AD122/AD111*Assumptions!$B$31)</f>
        <v>496.988178811192</v>
      </c>
      <c r="AE127" s="55" t="n">
        <f aca="false">IF(AE111=0,0,AE122/AE111*Assumptions!$B$31)</f>
        <v>645.402365166686</v>
      </c>
    </row>
    <row r="128" customFormat="false" ht="15" hidden="false" customHeight="false" outlineLevel="0" collapsed="false">
      <c r="A128" s="6" t="s">
        <v>481</v>
      </c>
      <c r="B128" s="23" t="s">
        <v>76</v>
      </c>
      <c r="C128" s="55" t="n">
        <f aca="false">C127*Assumptions!$B$156*Assumptions!$B$158</f>
        <v>15.7159482758621</v>
      </c>
      <c r="D128" s="55" t="n">
        <f aca="false">D127*Assumptions!$B$156*Assumptions!$B$158</f>
        <v>23.901255527643</v>
      </c>
      <c r="E128" s="55" t="n">
        <f aca="false">E127*Assumptions!$B$156*Assumptions!$B$158</f>
        <v>32.2668894053081</v>
      </c>
      <c r="F128" s="55" t="n">
        <f aca="false">F127*Assumptions!$B$156*Assumptions!$B$158</f>
        <v>39.0463311627115</v>
      </c>
      <c r="G128" s="55" t="n">
        <f aca="false">G127*Assumptions!$B$156*Assumptions!$B$158</f>
        <v>47.21630525555</v>
      </c>
      <c r="H128" s="55" t="n">
        <f aca="false">H127*Assumptions!$B$156*Assumptions!$B$158</f>
        <v>56.6653520079707</v>
      </c>
      <c r="I128" s="55" t="n">
        <f aca="false">I127*Assumptions!$B$156*Assumptions!$B$158</f>
        <v>66.1522184123477</v>
      </c>
      <c r="J128" s="55" t="n">
        <f aca="false">J127*Assumptions!$B$156*Assumptions!$B$158</f>
        <v>75.4677634710835</v>
      </c>
      <c r="K128" s="55" t="n">
        <f aca="false">K127*Assumptions!$B$156*Assumptions!$B$158</f>
        <v>83.8997730352606</v>
      </c>
      <c r="L128" s="55" t="n">
        <f aca="false">L127*Assumptions!$B$156*Assumptions!$B$158</f>
        <v>89.3344436153018</v>
      </c>
      <c r="M128" s="55" t="n">
        <f aca="false">M127*Assumptions!$B$156*Assumptions!$B$158</f>
        <v>96.4388029849809</v>
      </c>
      <c r="N128" s="55" t="n">
        <f aca="false">N127*Assumptions!$B$156*Assumptions!$B$158</f>
        <v>105.188329854555</v>
      </c>
      <c r="O128" s="55" t="n">
        <f aca="false">O127*Assumptions!$B$156*Assumptions!$B$158</f>
        <v>101.587013118656</v>
      </c>
      <c r="P128" s="55" t="n">
        <f aca="false">P127*Assumptions!$B$156*Assumptions!$B$158</f>
        <v>98.2927685346641</v>
      </c>
      <c r="Q128" s="55" t="n">
        <f aca="false">Q127*Assumptions!$B$156*Assumptions!$B$158</f>
        <v>99.2249992203511</v>
      </c>
      <c r="R128" s="55" t="n">
        <f aca="false">R127*Assumptions!$B$156*Assumptions!$B$158</f>
        <v>98.6375621920596</v>
      </c>
      <c r="S128" s="55" t="n">
        <f aca="false">S127*Assumptions!$B$156*Assumptions!$B$158</f>
        <v>101.870912566872</v>
      </c>
      <c r="T128" s="55" t="n">
        <f aca="false">T127*Assumptions!$B$156*Assumptions!$B$158</f>
        <v>108.252330618032</v>
      </c>
      <c r="U128" s="55" t="n">
        <f aca="false">U127*Assumptions!$B$156*Assumptions!$B$158</f>
        <v>115.337287444159</v>
      </c>
      <c r="V128" s="55" t="n">
        <f aca="false">V127*Assumptions!$B$156*Assumptions!$B$158</f>
        <v>122.59208333705</v>
      </c>
      <c r="W128" s="55" t="n">
        <f aca="false">W127*Assumptions!$B$156*Assumptions!$B$158</f>
        <v>128.884069646214</v>
      </c>
      <c r="X128" s="55" t="n">
        <f aca="false">X127*Assumptions!$B$156*Assumptions!$B$158</f>
        <v>131.224954464049</v>
      </c>
      <c r="Y128" s="55" t="n">
        <f aca="false">Y127*Assumptions!$B$156*Assumptions!$B$158</f>
        <v>135.843049862061</v>
      </c>
      <c r="Z128" s="55" t="n">
        <f aca="false">Z127*Assumptions!$B$156*Assumptions!$B$158</f>
        <v>142.739873465774</v>
      </c>
      <c r="AA128" s="55" t="n">
        <f aca="false">AA127*Assumptions!$B$156*Assumptions!$B$158</f>
        <v>261.390294602907</v>
      </c>
      <c r="AB128" s="55" t="n">
        <f aca="false">AB127*Assumptions!$B$156*Assumptions!$B$158</f>
        <v>343.107331709675</v>
      </c>
      <c r="AC128" s="55" t="n">
        <f aca="false">AC127*Assumptions!$B$156*Assumptions!$B$158</f>
        <v>420.404654742321</v>
      </c>
      <c r="AD128" s="55" t="n">
        <f aca="false">AD127*Assumptions!$B$156*Assumptions!$B$158</f>
        <v>521.837587751752</v>
      </c>
      <c r="AE128" s="55" t="n">
        <f aca="false">AE127*Assumptions!$B$156*Assumptions!$B$158</f>
        <v>677.67248342502</v>
      </c>
    </row>
    <row r="129" customFormat="false" ht="15" hidden="false" customHeight="false" outlineLevel="0" collapsed="false">
      <c r="A129" s="6" t="s">
        <v>482</v>
      </c>
      <c r="B129" s="23" t="s">
        <v>114</v>
      </c>
      <c r="C129" s="55" t="n">
        <f aca="false">C128/12*C16</f>
        <v>1.44062859195402</v>
      </c>
      <c r="D129" s="55" t="n">
        <f aca="false">D128/12*D16</f>
        <v>1.99177129397025</v>
      </c>
      <c r="E129" s="55" t="n">
        <f aca="false">E128/12*E16</f>
        <v>2.6351293014335</v>
      </c>
      <c r="F129" s="55" t="n">
        <f aca="false">F128/12*F16</f>
        <v>3.18878371162144</v>
      </c>
      <c r="G129" s="55" t="n">
        <f aca="false">G128/12*G16</f>
        <v>3.93469210462916</v>
      </c>
      <c r="H129" s="55" t="n">
        <f aca="false">H128/12*H16</f>
        <v>4.48600703396435</v>
      </c>
      <c r="I129" s="55" t="n">
        <f aca="false">I128/12*I16</f>
        <v>4.85116268357217</v>
      </c>
      <c r="J129" s="55" t="n">
        <f aca="false">J128/12*J16</f>
        <v>5.66008226033126</v>
      </c>
      <c r="K129" s="55" t="n">
        <f aca="false">K128/12*K16</f>
        <v>6.99164775293838</v>
      </c>
      <c r="L129" s="55" t="n">
        <f aca="false">L128/12*L16</f>
        <v>7.59342770730065</v>
      </c>
      <c r="M129" s="55" t="n">
        <f aca="false">M128/12*M16</f>
        <v>8.43839526118583</v>
      </c>
      <c r="N129" s="55" t="n">
        <f aca="false">N128/12*N16</f>
        <v>9.99289133618271</v>
      </c>
      <c r="O129" s="55" t="n">
        <f aca="false">O128/12*O16</f>
        <v>9.31214286921014</v>
      </c>
      <c r="P129" s="55" t="n">
        <f aca="false">P128/12*P16</f>
        <v>8.19106404455534</v>
      </c>
      <c r="Q129" s="55" t="n">
        <f aca="false">Q128/12*Q16</f>
        <v>8.10337493632867</v>
      </c>
      <c r="R129" s="55" t="n">
        <f aca="false">R128/12*R16</f>
        <v>8.05540091235154</v>
      </c>
      <c r="S129" s="55" t="n">
        <f aca="false">S128/12*S16</f>
        <v>8.489242713906</v>
      </c>
      <c r="T129" s="55" t="n">
        <f aca="false">T128/12*T16</f>
        <v>8.56997617392756</v>
      </c>
      <c r="U129" s="55" t="n">
        <f aca="false">U128/12*U16</f>
        <v>8.45806774590503</v>
      </c>
      <c r="V129" s="55" t="n">
        <f aca="false">V128/12*V16</f>
        <v>9.19440625027875</v>
      </c>
      <c r="W129" s="55" t="n">
        <f aca="false">W128/12*W16</f>
        <v>10.7403391371845</v>
      </c>
      <c r="X129" s="55" t="n">
        <f aca="false">X128/12*X16</f>
        <v>11.1541211294442</v>
      </c>
      <c r="Y129" s="55" t="n">
        <f aca="false">Y128/12*Y16</f>
        <v>11.8862668629304</v>
      </c>
      <c r="Z129" s="55" t="n">
        <f aca="false">Z128/12*Z16</f>
        <v>13.5602879792485</v>
      </c>
      <c r="AA129" s="55" t="n">
        <f aca="false">AA128/12*AA16</f>
        <v>21.7825245502423</v>
      </c>
      <c r="AB129" s="55" t="n">
        <f aca="false">AB128/12*AB16</f>
        <v>28.5922776424729</v>
      </c>
      <c r="AC129" s="55" t="n">
        <f aca="false">AC128/12*AC16</f>
        <v>35.0337212285267</v>
      </c>
      <c r="AD129" s="55" t="n">
        <f aca="false">AD128/12*AD16</f>
        <v>43.4864656459793</v>
      </c>
      <c r="AE129" s="55" t="n">
        <f aca="false">AE128/12*AE16</f>
        <v>56.472706952085</v>
      </c>
    </row>
    <row r="130" customFormat="false" ht="15" hidden="false" customHeight="false" outlineLevel="0" collapsed="false">
      <c r="A130" s="6" t="s">
        <v>483</v>
      </c>
      <c r="B130" s="23" t="s">
        <v>484</v>
      </c>
      <c r="C130" s="45" t="n">
        <f aca="false">C126*C129*Assumptions!$B$7*C7</f>
        <v>0</v>
      </c>
      <c r="D130" s="45" t="n">
        <f aca="false">D126*D129*Assumptions!$B$7*D7</f>
        <v>0</v>
      </c>
      <c r="E130" s="45" t="n">
        <f aca="false">E126*E129*Assumptions!$B$7*E7</f>
        <v>0</v>
      </c>
      <c r="F130" s="45" t="n">
        <f aca="false">F126*F129*Assumptions!$B$7*F7</f>
        <v>0</v>
      </c>
      <c r="G130" s="45" t="n">
        <f aca="false">G126*G129*Assumptions!$B$7*G7</f>
        <v>0</v>
      </c>
      <c r="H130" s="45" t="n">
        <f aca="false">H126*H129*Assumptions!$B$7*H7</f>
        <v>0</v>
      </c>
      <c r="I130" s="45" t="n">
        <f aca="false">I126*I129*Assumptions!$B$7*I7</f>
        <v>0</v>
      </c>
      <c r="J130" s="45" t="n">
        <f aca="false">J126*J129*Assumptions!$B$7*J7</f>
        <v>0</v>
      </c>
      <c r="K130" s="45" t="n">
        <f aca="false">K126*K129*Assumptions!$B$7*K7</f>
        <v>0</v>
      </c>
      <c r="L130" s="45" t="n">
        <f aca="false">L126*L129*Assumptions!$B$7*L7</f>
        <v>0</v>
      </c>
      <c r="M130" s="45" t="n">
        <f aca="false">M126*M129*Assumptions!$B$7*M7</f>
        <v>0</v>
      </c>
      <c r="N130" s="45" t="n">
        <f aca="false">N126*N129*Assumptions!$B$7*N7</f>
        <v>0</v>
      </c>
      <c r="O130" s="45" t="n">
        <f aca="false">O126*O129*Assumptions!$B$7*O7</f>
        <v>2351.1247916701</v>
      </c>
      <c r="P130" s="45" t="n">
        <f aca="false">P126*P129*Assumptions!$B$7*P7</f>
        <v>2436.78507162241</v>
      </c>
      <c r="Q130" s="45" t="n">
        <f aca="false">Q126*Q129*Assumptions!$B$7*Q7</f>
        <v>2739.50873616304</v>
      </c>
      <c r="R130" s="45" t="n">
        <f aca="false">R126*R129*Assumptions!$B$7*R7</f>
        <v>3059.12124535419</v>
      </c>
      <c r="S130" s="45" t="n">
        <f aca="false">S126*S129*Assumptions!$B$7*S7</f>
        <v>3577.31358221843</v>
      </c>
      <c r="T130" s="45" t="n">
        <f aca="false">T126*T129*Assumptions!$B$7*T7</f>
        <v>4061.80875296873</v>
      </c>
      <c r="U130" s="45" t="n">
        <f aca="false">U126*U129*Assumptions!$B$7*U7</f>
        <v>4389.92551666333</v>
      </c>
      <c r="V130" s="45" t="n">
        <f aca="false">V126*V129*Assumptions!$B$7*V7</f>
        <v>5108.73843799256</v>
      </c>
      <c r="W130" s="45" t="n">
        <f aca="false">W126*W129*Assumptions!$B$7*W7</f>
        <v>7501.72703546912</v>
      </c>
      <c r="X130" s="45" t="n">
        <f aca="false">X126*X129*Assumptions!$B$7*X7</f>
        <v>9369.61880616199</v>
      </c>
      <c r="Y130" s="45" t="n">
        <f aca="false">Y126*Y129*Assumptions!$B$7*Y7</f>
        <v>11541.1289407924</v>
      </c>
      <c r="Z130" s="45" t="n">
        <f aca="false">Z126*Z129*Assumptions!$B$7*Z7</f>
        <v>15328.9624804478</v>
      </c>
      <c r="AA130" s="45" t="n">
        <f aca="false">AA126*AA129*Assumptions!$B$7*AA7</f>
        <v>1166267.74739034</v>
      </c>
      <c r="AB130" s="45" t="n">
        <f aca="false">AB126*AB129*Assumptions!$B$7*AB7</f>
        <v>2413689.14841651</v>
      </c>
      <c r="AC130" s="45" t="n">
        <f aca="false">AC126*AC129*Assumptions!$B$7*AC7</f>
        <v>4069504.85904176</v>
      </c>
      <c r="AD130" s="45" t="n">
        <f aca="false">AD126*AD129*Assumptions!$B$7*AD7</f>
        <v>5908129.39117112</v>
      </c>
      <c r="AE130" s="45" t="n">
        <f aca="false">AE126*AE129*Assumptions!$B$7*AE7</f>
        <v>7566339.7593684</v>
      </c>
    </row>
    <row r="131" customFormat="false" ht="15" hidden="false" customHeight="false" outlineLevel="0" collapsed="false">
      <c r="A131" s="6" t="s">
        <v>483</v>
      </c>
      <c r="B131" s="23" t="s">
        <v>114</v>
      </c>
      <c r="C131" s="55" t="n">
        <f aca="false">C130/Assumptions!$B$7</f>
        <v>0</v>
      </c>
      <c r="D131" s="55" t="n">
        <f aca="false">D130/Assumptions!$B$7</f>
        <v>0</v>
      </c>
      <c r="E131" s="55" t="n">
        <f aca="false">E130/Assumptions!$B$7</f>
        <v>0</v>
      </c>
      <c r="F131" s="55" t="n">
        <f aca="false">F130/Assumptions!$B$7</f>
        <v>0</v>
      </c>
      <c r="G131" s="55" t="n">
        <f aca="false">G130/Assumptions!$B$7</f>
        <v>0</v>
      </c>
      <c r="H131" s="55" t="n">
        <f aca="false">H130/Assumptions!$B$7</f>
        <v>0</v>
      </c>
      <c r="I131" s="55" t="n">
        <f aca="false">I130/Assumptions!$B$7</f>
        <v>0</v>
      </c>
      <c r="J131" s="55" t="n">
        <f aca="false">J130/Assumptions!$B$7</f>
        <v>0</v>
      </c>
      <c r="K131" s="55" t="n">
        <f aca="false">K130/Assumptions!$B$7</f>
        <v>0</v>
      </c>
      <c r="L131" s="55" t="n">
        <f aca="false">L130/Assumptions!$B$7</f>
        <v>0</v>
      </c>
      <c r="M131" s="55" t="n">
        <f aca="false">M130/Assumptions!$B$7</f>
        <v>0</v>
      </c>
      <c r="N131" s="55" t="n">
        <f aca="false">N130/Assumptions!$B$7</f>
        <v>0</v>
      </c>
      <c r="O131" s="55" t="n">
        <f aca="false">O130/Assumptions!$B$7</f>
        <v>640.197356479266</v>
      </c>
      <c r="P131" s="55" t="n">
        <f aca="false">P130/Assumptions!$B$7</f>
        <v>663.522143396165</v>
      </c>
      <c r="Q131" s="55" t="n">
        <f aca="false">Q130/Assumptions!$B$7</f>
        <v>745.952004401099</v>
      </c>
      <c r="R131" s="55" t="n">
        <f aca="false">R130/Assumptions!$B$7</f>
        <v>832.980597781945</v>
      </c>
      <c r="S131" s="55" t="n">
        <f aca="false">S130/Assumptions!$B$7</f>
        <v>974.081302169755</v>
      </c>
      <c r="T131" s="55" t="n">
        <f aca="false">T130/Assumptions!$B$7</f>
        <v>1106.00646779271</v>
      </c>
      <c r="U131" s="55" t="n">
        <f aca="false">U130/Assumptions!$B$7</f>
        <v>1195.35071930928</v>
      </c>
      <c r="V131" s="55" t="n">
        <f aca="false">V130/Assumptions!$B$7</f>
        <v>1391.07922069233</v>
      </c>
      <c r="W131" s="55" t="n">
        <f aca="false">W130/Assumptions!$B$7</f>
        <v>2042.67584355864</v>
      </c>
      <c r="X131" s="55" t="n">
        <f aca="false">X130/Assumptions!$B$7</f>
        <v>2551.29171032321</v>
      </c>
      <c r="Y131" s="55" t="n">
        <f aca="false">Y130/Assumptions!$B$7</f>
        <v>3142.58105943972</v>
      </c>
      <c r="Z131" s="55" t="n">
        <f aca="false">Z130/Assumptions!$B$7</f>
        <v>4173.98569923699</v>
      </c>
      <c r="AA131" s="55" t="n">
        <f aca="false">AA130/Assumptions!$B$7</f>
        <v>317567.800514728</v>
      </c>
      <c r="AB131" s="55" t="n">
        <f aca="false">AB130/Assumptions!$B$7</f>
        <v>657233.260290405</v>
      </c>
      <c r="AC131" s="55" t="n">
        <f aca="false">AC130/Assumptions!$B$7</f>
        <v>1108102.07189701</v>
      </c>
      <c r="AD131" s="55" t="n">
        <f aca="false">AD130/Assumptions!$B$7</f>
        <v>1608748.64293291</v>
      </c>
      <c r="AE131" s="55" t="n">
        <f aca="false">AE130/Assumptions!$B$7</f>
        <v>2060269.50561427</v>
      </c>
    </row>
    <row r="132" customFormat="false" ht="15" hidden="false" customHeight="false" outlineLevel="0" collapsed="false">
      <c r="A132" s="6" t="s">
        <v>485</v>
      </c>
      <c r="B132" s="23" t="s">
        <v>484</v>
      </c>
      <c r="C132" s="45" t="n">
        <f aca="false">IF(Assumptions!$B$144=0,0,C127*Assumptions!$B$156*Assumptions!$B$7/Assumptions!$B$144)</f>
        <v>6.87105000513136</v>
      </c>
      <c r="D132" s="45" t="n">
        <f aca="false">IF(Assumptions!$B$144=0,0,D127*Assumptions!$B$156*Assumptions!$B$7/Assumptions!$B$144)</f>
        <v>10.4496858244368</v>
      </c>
      <c r="E132" s="45" t="n">
        <f aca="false">IF(Assumptions!$B$144=0,0,E127*Assumptions!$B$156*Assumptions!$B$7/Assumptions!$B$144)</f>
        <v>14.1071608739279</v>
      </c>
      <c r="F132" s="45" t="n">
        <f aca="false">IF(Assumptions!$B$144=0,0,F127*Assumptions!$B$156*Assumptions!$B$7/Assumptions!$B$144)</f>
        <v>17.0711489517926</v>
      </c>
      <c r="G132" s="45" t="n">
        <f aca="false">IF(Assumptions!$B$144=0,0,G127*Assumptions!$B$156*Assumptions!$B$7/Assumptions!$B$144)</f>
        <v>20.6430810775009</v>
      </c>
      <c r="H132" s="45" t="n">
        <f aca="false">IF(Assumptions!$B$144=0,0,H127*Assumptions!$B$156*Assumptions!$B$7/Assumptions!$B$144)</f>
        <v>24.7742268153896</v>
      </c>
      <c r="I132" s="45" t="n">
        <f aca="false">IF(Assumptions!$B$144=0,0,I127*Assumptions!$B$156*Assumptions!$B$7/Assumptions!$B$144)</f>
        <v>28.9219073951604</v>
      </c>
      <c r="J132" s="45" t="n">
        <f aca="false">IF(Assumptions!$B$144=0,0,J127*Assumptions!$B$156*Assumptions!$B$7/Assumptions!$B$144)</f>
        <v>32.9946858747088</v>
      </c>
      <c r="K132" s="45" t="n">
        <f aca="false">IF(Assumptions!$B$144=0,0,K127*Assumptions!$B$156*Assumptions!$B$7/Assumptions!$B$144)</f>
        <v>36.6811805323803</v>
      </c>
      <c r="L132" s="45" t="n">
        <f aca="false">IF(Assumptions!$B$144=0,0,L127*Assumptions!$B$156*Assumptions!$B$7/Assumptions!$B$144)</f>
        <v>39.0572314496662</v>
      </c>
      <c r="M132" s="45" t="n">
        <f aca="false">IF(Assumptions!$B$144=0,0,M127*Assumptions!$B$156*Assumptions!$B$7/Assumptions!$B$144)</f>
        <v>42.1632742812312</v>
      </c>
      <c r="N132" s="45" t="n">
        <f aca="false">IF(Assumptions!$B$144=0,0,N127*Assumptions!$B$156*Assumptions!$B$7/Assumptions!$B$144)</f>
        <v>45.9885882608158</v>
      </c>
      <c r="O132" s="45" t="n">
        <f aca="false">IF(Assumptions!$B$144=0,0,O127*Assumptions!$B$156*Assumptions!$B$7/Assumptions!$B$144)</f>
        <v>44.4140840093172</v>
      </c>
      <c r="P132" s="45" t="n">
        <f aca="false">IF(Assumptions!$B$144=0,0,P127*Assumptions!$B$156*Assumptions!$B$7/Assumptions!$B$144)</f>
        <v>42.9738324337564</v>
      </c>
      <c r="Q132" s="45" t="n">
        <f aca="false">IF(Assumptions!$B$144=0,0,Q127*Assumptions!$B$156*Assumptions!$B$7/Assumptions!$B$144)</f>
        <v>43.3814059091356</v>
      </c>
      <c r="R132" s="45" t="n">
        <f aca="false">IF(Assumptions!$B$144=0,0,R127*Assumptions!$B$156*Assumptions!$B$7/Assumptions!$B$144)</f>
        <v>43.124577041707</v>
      </c>
      <c r="S132" s="45" t="n">
        <f aca="false">IF(Assumptions!$B$144=0,0,S127*Assumptions!$B$156*Assumptions!$B$7/Assumptions!$B$144)</f>
        <v>44.5382055240283</v>
      </c>
      <c r="T132" s="45" t="n">
        <f aca="false">IF(Assumptions!$B$144=0,0,T127*Assumptions!$B$156*Assumptions!$B$7/Assumptions!$B$144)</f>
        <v>47.3281766898481</v>
      </c>
      <c r="U132" s="45" t="n">
        <f aca="false">IF(Assumptions!$B$144=0,0,U127*Assumptions!$B$156*Assumptions!$B$7/Assumptions!$B$144)</f>
        <v>50.4257366831757</v>
      </c>
      <c r="V132" s="45" t="n">
        <f aca="false">IF(Assumptions!$B$144=0,0,V127*Assumptions!$B$156*Assumptions!$B$7/Assumptions!$B$144)</f>
        <v>53.597550720871</v>
      </c>
      <c r="W132" s="45" t="n">
        <f aca="false">IF(Assumptions!$B$144=0,0,W127*Assumptions!$B$156*Assumptions!$B$7/Assumptions!$B$144)</f>
        <v>56.3484221161574</v>
      </c>
      <c r="X132" s="45" t="n">
        <f aca="false">IF(Assumptions!$B$144=0,0,X127*Assumptions!$B$156*Assumptions!$B$7/Assumptions!$B$144)</f>
        <v>57.3718625320499</v>
      </c>
      <c r="Y132" s="45" t="n">
        <f aca="false">IF(Assumptions!$B$144=0,0,Y127*Assumptions!$B$156*Assumptions!$B$7/Assumptions!$B$144)</f>
        <v>59.3909048355263</v>
      </c>
      <c r="Z132" s="45" t="n">
        <f aca="false">IF(Assumptions!$B$144=0,0,Z127*Assumptions!$B$156*Assumptions!$B$7/Assumptions!$B$144)</f>
        <v>62.4062125360779</v>
      </c>
      <c r="AA132" s="45" t="n">
        <f aca="false">IF(Assumptions!$B$144=0,0,AA127*Assumptions!$B$156*Assumptions!$B$7/Assumptions!$B$144)</f>
        <v>114.280459158235</v>
      </c>
      <c r="AB132" s="45" t="n">
        <f aca="false">IF(Assumptions!$B$144=0,0,AB127*Assumptions!$B$156*Assumptions!$B$7/Assumptions!$B$144)</f>
        <v>150.007342345688</v>
      </c>
      <c r="AC132" s="45" t="n">
        <f aca="false">IF(Assumptions!$B$144=0,0,AC127*Assumptions!$B$156*Assumptions!$B$7/Assumptions!$B$144)</f>
        <v>183.801916016806</v>
      </c>
      <c r="AD132" s="45" t="n">
        <f aca="false">IF(Assumptions!$B$144=0,0,AD127*Assumptions!$B$156*Assumptions!$B$7/Assumptions!$B$144)</f>
        <v>228.148635835513</v>
      </c>
      <c r="AE132" s="45" t="n">
        <f aca="false">IF(Assumptions!$B$144=0,0,AE127*Assumptions!$B$156*Assumptions!$B$7/Assumptions!$B$144)</f>
        <v>296.280023259332</v>
      </c>
    </row>
    <row r="133" customFormat="false" ht="15" hidden="false" customHeight="false" outlineLevel="0" collapsed="false">
      <c r="A133" s="6" t="s">
        <v>486</v>
      </c>
      <c r="B133" s="23" t="s">
        <v>487</v>
      </c>
      <c r="C133" s="45" t="n">
        <f aca="false">C126*Assumptions!$B$158*Assumptions!$B$144*C7/12*(1+Assumptions!$B$16)</f>
        <v>0</v>
      </c>
      <c r="D133" s="45" t="n">
        <f aca="false">D126*Assumptions!$B$158*Assumptions!$B$144*D7/12*(1+Assumptions!$B$16)</f>
        <v>0</v>
      </c>
      <c r="E133" s="45" t="n">
        <f aca="false">E126*Assumptions!$B$158*Assumptions!$B$144*E7/12*(1+Assumptions!$B$16)</f>
        <v>0</v>
      </c>
      <c r="F133" s="45" t="n">
        <f aca="false">F126*Assumptions!$B$158*Assumptions!$B$144*F7/12*(1+Assumptions!$B$16)</f>
        <v>0</v>
      </c>
      <c r="G133" s="45" t="n">
        <f aca="false">G126*Assumptions!$B$158*Assumptions!$B$144*G7/12*(1+Assumptions!$B$16)</f>
        <v>0</v>
      </c>
      <c r="H133" s="45" t="n">
        <f aca="false">H126*Assumptions!$B$158*Assumptions!$B$144*H7/12*(1+Assumptions!$B$16)</f>
        <v>0</v>
      </c>
      <c r="I133" s="45" t="n">
        <f aca="false">I126*Assumptions!$B$158*Assumptions!$B$144*I7/12*(1+Assumptions!$B$16)</f>
        <v>0</v>
      </c>
      <c r="J133" s="45" t="n">
        <f aca="false">J126*Assumptions!$B$158*Assumptions!$B$144*J7/12*(1+Assumptions!$B$16)</f>
        <v>0</v>
      </c>
      <c r="K133" s="45" t="n">
        <f aca="false">K126*Assumptions!$B$158*Assumptions!$B$144*K7/12*(1+Assumptions!$B$16)</f>
        <v>0</v>
      </c>
      <c r="L133" s="45" t="n">
        <f aca="false">L126*Assumptions!$B$158*Assumptions!$B$144*L7/12*(1+Assumptions!$B$16)</f>
        <v>0</v>
      </c>
      <c r="M133" s="45" t="n">
        <f aca="false">M126*Assumptions!$B$158*Assumptions!$B$144*M7/12*(1+Assumptions!$B$16)</f>
        <v>0</v>
      </c>
      <c r="N133" s="45" t="n">
        <f aca="false">N126*Assumptions!$B$158*Assumptions!$B$144*N7/12*(1+Assumptions!$B$16)</f>
        <v>0</v>
      </c>
      <c r="O133" s="45" t="n">
        <f aca="false">O126*Assumptions!$B$158*Assumptions!$B$144*O7/12*(1+Assumptions!$B$16)</f>
        <v>51.0115067154148</v>
      </c>
      <c r="P133" s="45" t="n">
        <f aca="false">P126*Assumptions!$B$158*Assumptions!$B$144*P7/12*(1+Assumptions!$B$16)</f>
        <v>60.1061629749082</v>
      </c>
      <c r="Q133" s="45" t="n">
        <f aca="false">Q126*Assumptions!$B$158*Assumptions!$B$144*Q7/12*(1+Assumptions!$B$16)</f>
        <v>68.3044276754623</v>
      </c>
      <c r="R133" s="45" t="n">
        <f aca="false">R126*Assumptions!$B$158*Assumptions!$B$144*R7/12*(1+Assumptions!$B$16)</f>
        <v>76.7276030428851</v>
      </c>
      <c r="S133" s="45" t="n">
        <f aca="false">S126*Assumptions!$B$158*Assumptions!$B$144*S7/12*(1+Assumptions!$B$16)</f>
        <v>85.1393169647524</v>
      </c>
      <c r="T133" s="45" t="n">
        <f aca="false">T126*Assumptions!$B$158*Assumptions!$B$144*T7/12*(1+Assumptions!$B$16)</f>
        <v>95.7595193320228</v>
      </c>
      <c r="U133" s="45" t="n">
        <f aca="false">U126*Assumptions!$B$158*Assumptions!$B$144*U7/12*(1+Assumptions!$B$16)</f>
        <v>104.86440406639</v>
      </c>
      <c r="V133" s="45" t="n">
        <f aca="false">V126*Assumptions!$B$158*Assumptions!$B$144*V7/12*(1+Assumptions!$B$16)</f>
        <v>112.261820247763</v>
      </c>
      <c r="W133" s="45" t="n">
        <f aca="false">W126*Assumptions!$B$158*Assumptions!$B$144*W7/12*(1+Assumptions!$B$16)</f>
        <v>141.11895877413</v>
      </c>
      <c r="X133" s="45" t="n">
        <f aca="false">X126*Assumptions!$B$158*Assumptions!$B$144*X7/12*(1+Assumptions!$B$16)</f>
        <v>169.718297577262</v>
      </c>
      <c r="Y133" s="45" t="n">
        <f aca="false">Y126*Assumptions!$B$158*Assumptions!$B$144*Y7/12*(1+Assumptions!$B$16)</f>
        <v>196.175567400092</v>
      </c>
      <c r="Z133" s="45" t="n">
        <f aca="false">Z126*Assumptions!$B$158*Assumptions!$B$144*Z7/12*(1+Assumptions!$B$16)</f>
        <v>228.39466194032</v>
      </c>
      <c r="AA133" s="45" t="n">
        <f aca="false">AA126*Assumptions!$B$158*Assumptions!$B$144*AA7/12*(1+Assumptions!$B$16)</f>
        <v>10817.630777297</v>
      </c>
      <c r="AB133" s="45" t="n">
        <f aca="false">AB126*Assumptions!$B$158*Assumptions!$B$144*AB7/12*(1+Assumptions!$B$16)</f>
        <v>17055.9017799641</v>
      </c>
      <c r="AC133" s="45" t="n">
        <f aca="false">AC126*Assumptions!$B$158*Assumptions!$B$144*AC7/12*(1+Assumptions!$B$16)</f>
        <v>23469.1522486079</v>
      </c>
      <c r="AD133" s="45" t="n">
        <f aca="false">AD126*Assumptions!$B$158*Assumptions!$B$144*AD7/12*(1+Assumptions!$B$16)</f>
        <v>27449.7243067301</v>
      </c>
      <c r="AE133" s="45" t="n">
        <f aca="false">AE126*Assumptions!$B$158*Assumptions!$B$144*AE7/12*(1+Assumptions!$B$16)</f>
        <v>27070.0672178305</v>
      </c>
    </row>
    <row r="134" customFormat="false" ht="15" hidden="false" customHeight="false" outlineLevel="0" collapsed="false">
      <c r="A134" s="6" t="s">
        <v>488</v>
      </c>
      <c r="B134" s="23" t="s">
        <v>114</v>
      </c>
      <c r="C134" s="55" t="n">
        <f aca="false">C115*Assumptions!$B$8</f>
        <v>261.410028517254</v>
      </c>
      <c r="D134" s="55" t="n">
        <f aca="false">D115*Assumptions!$B$8</f>
        <v>496.819524561609</v>
      </c>
      <c r="E134" s="55" t="n">
        <f aca="false">E115*Assumptions!$B$8</f>
        <v>710.127216030597</v>
      </c>
      <c r="F134" s="55" t="n">
        <f aca="false">F115*Assumptions!$B$8</f>
        <v>972.045064410703</v>
      </c>
      <c r="G134" s="55" t="n">
        <f aca="false">G115*Assumptions!$B$8</f>
        <v>1192.44353785046</v>
      </c>
      <c r="H134" s="55" t="n">
        <f aca="false">H115*Assumptions!$B$8</f>
        <v>1360.62230325932</v>
      </c>
      <c r="I134" s="55" t="n">
        <f aca="false">I115*Assumptions!$B$8</f>
        <v>1512.64672243034</v>
      </c>
      <c r="J134" s="55" t="n">
        <f aca="false">J115*Assumptions!$B$8</f>
        <v>1657.02047517508</v>
      </c>
      <c r="K134" s="55" t="n">
        <f aca="false">K115*Assumptions!$B$8</f>
        <v>1814.59803835725</v>
      </c>
      <c r="L134" s="55" t="n">
        <f aca="false">L115*Assumptions!$B$8</f>
        <v>2046.02564462254</v>
      </c>
      <c r="M134" s="55" t="n">
        <f aca="false">M115*Assumptions!$B$8</f>
        <v>2240.11667437198</v>
      </c>
      <c r="N134" s="55" t="n">
        <f aca="false">N115*Assumptions!$B$8</f>
        <v>2388.62189806708</v>
      </c>
      <c r="O134" s="55" t="n">
        <f aca="false">O115*Assumptions!$B$8</f>
        <v>3129.19593910045</v>
      </c>
      <c r="P134" s="55" t="n">
        <f aca="false">P115*Assumptions!$B$8</f>
        <v>3808.524819206</v>
      </c>
      <c r="Q134" s="55" t="n">
        <f aca="false">Q115*Assumptions!$B$8</f>
        <v>4434.90017679927</v>
      </c>
      <c r="R134" s="55" t="n">
        <f aca="false">R115*Assumptions!$B$8</f>
        <v>5250.19591436024</v>
      </c>
      <c r="S134" s="55" t="n">
        <f aca="false">S115*Assumptions!$B$8</f>
        <v>5946.55977706342</v>
      </c>
      <c r="T134" s="55" t="n">
        <f aca="false">T115*Assumptions!$B$8</f>
        <v>6476.11057377403</v>
      </c>
      <c r="U134" s="55" t="n">
        <f aca="false">U115*Assumptions!$B$8</f>
        <v>6961.31584471678</v>
      </c>
      <c r="V134" s="55" t="n">
        <f aca="false">V115*Assumptions!$B$8</f>
        <v>7431.11812491964</v>
      </c>
      <c r="W134" s="55" t="n">
        <f aca="false">W115*Assumptions!$B$8</f>
        <v>7962.52253529796</v>
      </c>
      <c r="X134" s="55" t="n">
        <f aca="false">X115*Assumptions!$B$8</f>
        <v>8787.91223082874</v>
      </c>
      <c r="Y134" s="55" t="n">
        <f aca="false">Y115*Assumptions!$B$8</f>
        <v>9495.14127334868</v>
      </c>
      <c r="Z134" s="55" t="n">
        <f aca="false">Z115*Assumptions!$B$8</f>
        <v>10043.3290325551</v>
      </c>
      <c r="AA134" s="55" t="n">
        <f aca="false">AA115*Assumptions!$B$8</f>
        <v>220894.200304195</v>
      </c>
      <c r="AB134" s="55" t="n">
        <f aca="false">AB115*Assumptions!$B$8</f>
        <v>348278.644530836</v>
      </c>
      <c r="AC134" s="55" t="n">
        <f aca="false">AC115*Assumptions!$B$8</f>
        <v>479236.140010779</v>
      </c>
      <c r="AD134" s="55" t="n">
        <f aca="false">AD115*Assumptions!$B$8</f>
        <v>560518.751668915</v>
      </c>
      <c r="AE134" s="55" t="n">
        <f aca="false">AE115*Assumptions!$B$8</f>
        <v>552766.217794465</v>
      </c>
    </row>
    <row r="135" customFormat="false" ht="15" hidden="false" customHeight="false" outlineLevel="0" collapsed="false">
      <c r="A135" s="6" t="s">
        <v>489</v>
      </c>
      <c r="B135" s="23" t="s">
        <v>114</v>
      </c>
      <c r="C135" s="55" t="n">
        <f aca="false">C116*Assumptions!$B$8</f>
        <v>17.2821074408629</v>
      </c>
      <c r="D135" s="55" t="n">
        <f aca="false">D116*Assumptions!$B$8</f>
        <v>32.8452907904619</v>
      </c>
      <c r="E135" s="55" t="n">
        <f aca="false">E116*Assumptions!$B$8</f>
        <v>46.9472992820228</v>
      </c>
      <c r="F135" s="55" t="n">
        <f aca="false">F116*Assumptions!$B$8</f>
        <v>64.2629792582631</v>
      </c>
      <c r="G135" s="55" t="n">
        <f aca="false">G116*Assumptions!$B$8</f>
        <v>78.8337672245581</v>
      </c>
      <c r="H135" s="55" t="n">
        <f aca="false">H116*Assumptions!$B$8</f>
        <v>89.9522522710329</v>
      </c>
      <c r="I135" s="55" t="n">
        <f aca="false">I116*Assumptions!$B$8</f>
        <v>100.00275553845</v>
      </c>
      <c r="J135" s="55" t="n">
        <f aca="false">J116*Assumptions!$B$8</f>
        <v>109.547464747686</v>
      </c>
      <c r="K135" s="55" t="n">
        <f aca="false">K116*Assumptions!$B$8</f>
        <v>119.965092535841</v>
      </c>
      <c r="L135" s="55" t="n">
        <f aca="false">L116*Assumptions!$B$8</f>
        <v>135.265028727824</v>
      </c>
      <c r="M135" s="55" t="n">
        <f aca="false">M116*Assumptions!$B$8</f>
        <v>148.096602361259</v>
      </c>
      <c r="N135" s="55" t="n">
        <f aca="false">N116*Assumptions!$B$8</f>
        <v>157.914447705546</v>
      </c>
      <c r="O135" s="55" t="n">
        <f aca="false">O116*Assumptions!$B$8</f>
        <v>206.874620418308</v>
      </c>
      <c r="P135" s="55" t="n">
        <f aca="false">P116*Assumptions!$B$8</f>
        <v>251.785807491952</v>
      </c>
      <c r="Q135" s="55" t="n">
        <f aca="false">Q116*Assumptions!$B$8</f>
        <v>293.196178355063</v>
      </c>
      <c r="R135" s="55" t="n">
        <f aca="false">R116*Assumptions!$B$8</f>
        <v>347.096285449371</v>
      </c>
      <c r="S135" s="55" t="n">
        <f aca="false">S116*Assumptions!$B$8</f>
        <v>393.133674150304</v>
      </c>
      <c r="T135" s="55" t="n">
        <f aca="false">T116*Assumptions!$B$8</f>
        <v>428.142865710616</v>
      </c>
      <c r="U135" s="55" t="n">
        <f aca="false">U116*Assumptions!$B$8</f>
        <v>460.22032528961</v>
      </c>
      <c r="V135" s="55" t="n">
        <f aca="false">V116*Assumptions!$B$8</f>
        <v>491.279476036354</v>
      </c>
      <c r="W135" s="55" t="n">
        <f aca="false">W116*Assumptions!$B$8</f>
        <v>526.411212055809</v>
      </c>
      <c r="X135" s="55" t="n">
        <f aca="false">X116*Assumptions!$B$8</f>
        <v>580.978641927011</v>
      </c>
      <c r="Y135" s="55" t="n">
        <f aca="false">Y116*Assumptions!$B$8</f>
        <v>627.734339738051</v>
      </c>
      <c r="Z135" s="55" t="n">
        <f aca="false">Z116*Assumptions!$B$8</f>
        <v>663.975641596699</v>
      </c>
      <c r="AA135" s="55" t="n">
        <f aca="false">AA116*Assumptions!$B$8</f>
        <v>14603.5610201106</v>
      </c>
      <c r="AB135" s="55" t="n">
        <f aca="false">AB116*Assumptions!$B$8</f>
        <v>23025.0881662053</v>
      </c>
      <c r="AC135" s="55" t="n">
        <f aca="false">AC116*Assumptions!$B$8</f>
        <v>31682.8337007126</v>
      </c>
      <c r="AD135" s="55" t="n">
        <f aca="false">AD116*Assumptions!$B$8</f>
        <v>37056.5174714449</v>
      </c>
      <c r="AE135" s="55" t="n">
        <f aca="false">AE116*Assumptions!$B$8</f>
        <v>36543.9888430785</v>
      </c>
    </row>
    <row r="136" customFormat="false" ht="15" hidden="false" customHeight="false" outlineLevel="0" collapsed="false">
      <c r="A136" s="6" t="s">
        <v>490</v>
      </c>
      <c r="B136" s="23" t="s">
        <v>114</v>
      </c>
      <c r="C136" s="55" t="n">
        <f aca="false">C131*IF(Assumptions!$B$178=1,MIN(Assumptions!$B$14,1%),Assumptions!$B$14)*(1-Assumptions!$B$142)</f>
        <v>0</v>
      </c>
      <c r="D136" s="55" t="n">
        <f aca="false">D131*IF(Assumptions!$B$178=1,MIN(Assumptions!$B$14,1%),Assumptions!$B$14)*(1-Assumptions!$B$142)</f>
        <v>0</v>
      </c>
      <c r="E136" s="55" t="n">
        <f aca="false">E131*IF(Assumptions!$B$178=1,MIN(Assumptions!$B$14,1%),Assumptions!$B$14)*(1-Assumptions!$B$142)</f>
        <v>0</v>
      </c>
      <c r="F136" s="55" t="n">
        <f aca="false">F131*IF(Assumptions!$B$178=1,MIN(Assumptions!$B$14,1%),Assumptions!$B$14)*(1-Assumptions!$B$142)</f>
        <v>0</v>
      </c>
      <c r="G136" s="55" t="n">
        <f aca="false">G131*IF(Assumptions!$B$178=1,MIN(Assumptions!$B$14,1%),Assumptions!$B$14)*(1-Assumptions!$B$142)</f>
        <v>0</v>
      </c>
      <c r="H136" s="55" t="n">
        <f aca="false">H131*IF(Assumptions!$B$178=1,MIN(Assumptions!$B$14,1%),Assumptions!$B$14)*(1-Assumptions!$B$142)</f>
        <v>0</v>
      </c>
      <c r="I136" s="55" t="n">
        <f aca="false">I131*IF(Assumptions!$B$178=1,MIN(Assumptions!$B$14,1%),Assumptions!$B$14)*(1-Assumptions!$B$142)</f>
        <v>0</v>
      </c>
      <c r="J136" s="55" t="n">
        <f aca="false">J131*IF(Assumptions!$B$178=1,MIN(Assumptions!$B$14,1%),Assumptions!$B$14)*(1-Assumptions!$B$142)</f>
        <v>0</v>
      </c>
      <c r="K136" s="55" t="n">
        <f aca="false">K131*IF(Assumptions!$B$178=1,MIN(Assumptions!$B$14,1%),Assumptions!$B$14)*(1-Assumptions!$B$142)</f>
        <v>0</v>
      </c>
      <c r="L136" s="55" t="n">
        <f aca="false">L131*IF(Assumptions!$B$178=1,MIN(Assumptions!$B$14,1%),Assumptions!$B$14)*(1-Assumptions!$B$142)</f>
        <v>0</v>
      </c>
      <c r="M136" s="55" t="n">
        <f aca="false">M131*IF(Assumptions!$B$178=1,MIN(Assumptions!$B$14,1%),Assumptions!$B$14)*(1-Assumptions!$B$142)</f>
        <v>0</v>
      </c>
      <c r="N136" s="55" t="n">
        <f aca="false">N131*IF(Assumptions!$B$178=1,MIN(Assumptions!$B$14,1%),Assumptions!$B$14)*(1-Assumptions!$B$142)</f>
        <v>0</v>
      </c>
      <c r="O136" s="55" t="n">
        <f aca="false">O131*IF(Assumptions!$B$178=1,MIN(Assumptions!$B$14,1%),Assumptions!$B$14)*(1-Assumptions!$B$142)</f>
        <v>4.60942096665072</v>
      </c>
      <c r="P136" s="55" t="n">
        <f aca="false">P131*IF(Assumptions!$B$178=1,MIN(Assumptions!$B$14,1%),Assumptions!$B$14)*(1-Assumptions!$B$142)</f>
        <v>4.77735943245239</v>
      </c>
      <c r="Q136" s="55" t="n">
        <f aca="false">Q131*IF(Assumptions!$B$178=1,MIN(Assumptions!$B$14,1%),Assumptions!$B$14)*(1-Assumptions!$B$142)</f>
        <v>5.37085443168792</v>
      </c>
      <c r="R136" s="55" t="n">
        <f aca="false">R131*IF(Assumptions!$B$178=1,MIN(Assumptions!$B$14,1%),Assumptions!$B$14)*(1-Assumptions!$B$142)</f>
        <v>5.99746030403001</v>
      </c>
      <c r="S136" s="55" t="n">
        <f aca="false">S131*IF(Assumptions!$B$178=1,MIN(Assumptions!$B$14,1%),Assumptions!$B$14)*(1-Assumptions!$B$142)</f>
        <v>7.01338537562224</v>
      </c>
      <c r="T136" s="55" t="n">
        <f aca="false">T131*IF(Assumptions!$B$178=1,MIN(Assumptions!$B$14,1%),Assumptions!$B$14)*(1-Assumptions!$B$142)</f>
        <v>7.96324656810751</v>
      </c>
      <c r="U136" s="55" t="n">
        <f aca="false">U131*IF(Assumptions!$B$178=1,MIN(Assumptions!$B$14,1%),Assumptions!$B$14)*(1-Assumptions!$B$142)</f>
        <v>8.60652517902681</v>
      </c>
      <c r="V136" s="55" t="n">
        <f aca="false">V131*IF(Assumptions!$B$178=1,MIN(Assumptions!$B$14,1%),Assumptions!$B$14)*(1-Assumptions!$B$142)</f>
        <v>10.0157703889847</v>
      </c>
      <c r="W136" s="55" t="n">
        <f aca="false">W131*IF(Assumptions!$B$178=1,MIN(Assumptions!$B$14,1%),Assumptions!$B$14)*(1-Assumptions!$B$142)</f>
        <v>14.7072660736222</v>
      </c>
      <c r="X136" s="55" t="n">
        <f aca="false">X131*IF(Assumptions!$B$178=1,MIN(Assumptions!$B$14,1%),Assumptions!$B$14)*(1-Assumptions!$B$142)</f>
        <v>18.3693003143271</v>
      </c>
      <c r="Y136" s="55" t="n">
        <f aca="false">Y131*IF(Assumptions!$B$178=1,MIN(Assumptions!$B$14,1%),Assumptions!$B$14)*(1-Assumptions!$B$142)</f>
        <v>22.626583627966</v>
      </c>
      <c r="Z136" s="55" t="n">
        <f aca="false">Z131*IF(Assumptions!$B$178=1,MIN(Assumptions!$B$14,1%),Assumptions!$B$14)*(1-Assumptions!$B$142)</f>
        <v>30.0526970345063</v>
      </c>
      <c r="AA136" s="55" t="n">
        <f aca="false">AA131*IF(Assumptions!$B$178=1,MIN(Assumptions!$B$14,1%),Assumptions!$B$14)*(1-Assumptions!$B$142)</f>
        <v>2286.48816370604</v>
      </c>
      <c r="AB136" s="55" t="n">
        <f aca="false">AB131*IF(Assumptions!$B$178=1,MIN(Assumptions!$B$14,1%),Assumptions!$B$14)*(1-Assumptions!$B$142)</f>
        <v>4732.07947409092</v>
      </c>
      <c r="AC136" s="55" t="n">
        <f aca="false">AC131*IF(Assumptions!$B$178=1,MIN(Assumptions!$B$14,1%),Assumptions!$B$14)*(1-Assumptions!$B$142)</f>
        <v>7978.33491765845</v>
      </c>
      <c r="AD136" s="55" t="n">
        <f aca="false">AD131*IF(Assumptions!$B$178=1,MIN(Assumptions!$B$14,1%),Assumptions!$B$14)*(1-Assumptions!$B$142)</f>
        <v>11582.990229117</v>
      </c>
      <c r="AE136" s="55" t="n">
        <f aca="false">AE131*IF(Assumptions!$B$178=1,MIN(Assumptions!$B$14,1%),Assumptions!$B$14)*(1-Assumptions!$B$142)</f>
        <v>14833.9404404227</v>
      </c>
    </row>
    <row r="137" customFormat="false" ht="15" hidden="false" customHeight="false" outlineLevel="0" collapsed="false">
      <c r="A137" s="6" t="s">
        <v>491</v>
      </c>
      <c r="B137" s="23" t="s">
        <v>492</v>
      </c>
      <c r="C137" s="54" t="n">
        <f aca="false">IF(C2&gt;=Assumptions!$B$50,C110*Assumptions!$B$159*(1-Assumptions!$B$162)^(C7/2),0)</f>
        <v>0</v>
      </c>
      <c r="D137" s="54" t="n">
        <f aca="false">IF(D2&gt;=Assumptions!$B$50,C137*(1-Assumptions!$B$162)^D7+D110*Assumptions!$B$159*(1-Assumptions!$B$162)^(D7/2),0)</f>
        <v>0</v>
      </c>
      <c r="E137" s="54" t="n">
        <f aca="false">IF(E2&gt;=Assumptions!$B$50,D137*(1-Assumptions!$B$162)^E7+E110*Assumptions!$B$159*(1-Assumptions!$B$162)^(E7/2),0)</f>
        <v>0</v>
      </c>
      <c r="F137" s="54" t="n">
        <f aca="false">IF(F2&gt;=Assumptions!$B$50,E137*(1-Assumptions!$B$162)^F7+F110*Assumptions!$B$159*(1-Assumptions!$B$162)^(F7/2),0)</f>
        <v>0</v>
      </c>
      <c r="G137" s="54" t="n">
        <f aca="false">IF(G2&gt;=Assumptions!$B$50,F137*(1-Assumptions!$B$162)^G7+G110*Assumptions!$B$159*(1-Assumptions!$B$162)^(G7/2),0)</f>
        <v>0</v>
      </c>
      <c r="H137" s="54" t="n">
        <f aca="false">IF(H2&gt;=Assumptions!$B$50,G137*(1-Assumptions!$B$162)^H7+H110*Assumptions!$B$159*(1-Assumptions!$B$162)^(H7/2),0)</f>
        <v>0</v>
      </c>
      <c r="I137" s="54" t="n">
        <f aca="false">IF(I2&gt;=Assumptions!$B$50,H137*(1-Assumptions!$B$162)^I7+I110*Assumptions!$B$159*(1-Assumptions!$B$162)^(I7/2),0)</f>
        <v>21.5550146123882</v>
      </c>
      <c r="J137" s="54" t="n">
        <f aca="false">IF(J2&gt;=Assumptions!$B$50,I137*(1-Assumptions!$B$162)^J7+J110*Assumptions!$B$159*(1-Assumptions!$B$162)^(J7/2),0)</f>
        <v>41.5507565155128</v>
      </c>
      <c r="K137" s="54" t="n">
        <f aca="false">IF(K2&gt;=Assumptions!$B$50,J137*(1-Assumptions!$B$162)^K7+K110*Assumptions!$B$159*(1-Assumptions!$B$162)^(K7/2),0)</f>
        <v>62.1220072222137</v>
      </c>
      <c r="L137" s="54" t="n">
        <f aca="false">IF(L2&gt;=Assumptions!$B$50,K137*(1-Assumptions!$B$162)^L7+L110*Assumptions!$B$159*(1-Assumptions!$B$162)^(L7/2),0)</f>
        <v>89.2835939903306</v>
      </c>
      <c r="M137" s="54" t="n">
        <f aca="false">IF(M2&gt;=Assumptions!$B$50,L137*(1-Assumptions!$B$162)^M7+M110*Assumptions!$B$159*(1-Assumptions!$B$162)^(M7/2),0)</f>
        <v>111.935152019527</v>
      </c>
      <c r="N137" s="54" t="n">
        <f aca="false">IF(N2&gt;=Assumptions!$B$50,M137*(1-Assumptions!$B$162)^N7+N110*Assumptions!$B$159*(1-Assumptions!$B$162)^(N7/2),0)</f>
        <v>129.403123820627</v>
      </c>
      <c r="O137" s="54" t="n">
        <f aca="false">IF(O2&gt;=Assumptions!$B$50,N137*(1-Assumptions!$B$162)^O7+O110*Assumptions!$B$159*(1-Assumptions!$B$162)^(O7/2),0)</f>
        <v>204.84303151521</v>
      </c>
      <c r="P137" s="54" t="n">
        <f aca="false">IF(P2&gt;=Assumptions!$B$50,O137*(1-Assumptions!$B$162)^P7+P110*Assumptions!$B$159*(1-Assumptions!$B$162)^(P7/2),0)</f>
        <v>272.421121851111</v>
      </c>
      <c r="Q137" s="54" t="n">
        <f aca="false">IF(Q2&gt;=Assumptions!$B$50,P137*(1-Assumptions!$B$162)^Q7+Q110*Assumptions!$B$159*(1-Assumptions!$B$162)^(Q7/2),0)</f>
        <v>333.221840065556</v>
      </c>
      <c r="R137" s="54" t="n">
        <f aca="false">IF(R2&gt;=Assumptions!$B$50,Q137*(1-Assumptions!$B$162)^R7+R110*Assumptions!$B$159*(1-Assumptions!$B$162)^(R7/2),0)</f>
        <v>411.372212972882</v>
      </c>
      <c r="S137" s="54" t="n">
        <f aca="false">IF(S2&gt;=Assumptions!$B$50,R137*(1-Assumptions!$B$162)^S7+S110*Assumptions!$B$159*(1-Assumptions!$B$162)^(S7/2),0)</f>
        <v>476.126833387836</v>
      </c>
      <c r="T137" s="54" t="n">
        <f aca="false">IF(T2&gt;=Assumptions!$B$50,S137*(1-Assumptions!$B$162)^T7+T110*Assumptions!$B$159*(1-Assumptions!$B$162)^(T7/2),0)</f>
        <v>523.136446450103</v>
      </c>
      <c r="U137" s="54" t="n">
        <f aca="false">IF(U2&gt;=Assumptions!$B$50,T137*(1-Assumptions!$B$162)^U7+U110*Assumptions!$B$159*(1-Assumptions!$B$162)^(U7/2),0)</f>
        <v>564.963160760443</v>
      </c>
      <c r="V137" s="54" t="n">
        <f aca="false">IF(V2&gt;=Assumptions!$B$50,U137*(1-Assumptions!$B$162)^V7+V110*Assumptions!$B$159*(1-Assumptions!$B$162)^(V7/2),0)</f>
        <v>604.622489040405</v>
      </c>
      <c r="W137" s="54" t="n">
        <f aca="false">IF(W2&gt;=Assumptions!$B$50,V137*(1-Assumptions!$B$162)^W7+W110*Assumptions!$B$159*(1-Assumptions!$B$162)^(W7/2),0)</f>
        <v>649.803404841368</v>
      </c>
      <c r="X137" s="54" t="n">
        <f aca="false">IF(X2&gt;=Assumptions!$B$50,W137*(1-Assumptions!$B$162)^X7+X110*Assumptions!$B$159*(1-Assumptions!$B$162)^(X7/2),0)</f>
        <v>723.370362915458</v>
      </c>
      <c r="Y137" s="54" t="n">
        <f aca="false">IF(Y2&gt;=Assumptions!$B$50,X137*(1-Assumptions!$B$162)^Y7+Y110*Assumptions!$B$159*(1-Assumptions!$B$162)^(Y7/2),0)</f>
        <v>783.992290097987</v>
      </c>
      <c r="Z137" s="54" t="n">
        <f aca="false">IF(Z2&gt;=Assumptions!$B$50,Y137*(1-Assumptions!$B$162)^Z7+Z110*Assumptions!$B$159*(1-Assumptions!$B$162)^(Z7/2),0)</f>
        <v>827.983287052711</v>
      </c>
      <c r="AA137" s="54" t="n">
        <f aca="false">IF(AA2&gt;=Assumptions!$B$50,Z137*(1-Assumptions!$B$162)^AA7+AA110*Assumptions!$B$159*(1-Assumptions!$B$162)^(AA7/2),0)</f>
        <v>1457.3318865682</v>
      </c>
      <c r="AB137" s="54" t="n">
        <f aca="false">IF(AB2&gt;=Assumptions!$B$50,AA137*(1-Assumptions!$B$162)^AB7+AB110*Assumptions!$B$159*(1-Assumptions!$B$162)^(AB7/2),0)</f>
        <v>2237.84240156496</v>
      </c>
      <c r="AC137" s="54" t="n">
        <f aca="false">IF(AC2&gt;=Assumptions!$B$50,AB137*(1-Assumptions!$B$162)^AC7+AC110*Assumptions!$B$159*(1-Assumptions!$B$162)^(AC7/2),0)</f>
        <v>2999.28238308978</v>
      </c>
      <c r="AD137" s="54" t="n">
        <f aca="false">IF(AD2&gt;=Assumptions!$B$50,AC137*(1-Assumptions!$B$162)^AD7+AD110*Assumptions!$B$159*(1-Assumptions!$B$162)^(AD7/2),0)</f>
        <v>3380.17572326878</v>
      </c>
      <c r="AE137" s="54" t="n">
        <f aca="false">IF(AE2&gt;=Assumptions!$B$50,AD137*(1-Assumptions!$B$162)^AE7+AE110*Assumptions!$B$159*(1-Assumptions!$B$162)^(AE7/2),0)</f>
        <v>3158.71143526751</v>
      </c>
    </row>
    <row r="138" customFormat="false" ht="15" hidden="false" customHeight="false" outlineLevel="0" collapsed="false">
      <c r="A138" s="6" t="s">
        <v>493</v>
      </c>
      <c r="B138" s="23" t="s">
        <v>114</v>
      </c>
      <c r="C138" s="55" t="n">
        <f aca="false">C137*(Assumptions!$B$25+MAX(0,Assumptions!$B$161-1)*Assumptions!$B$26)/12*C7</f>
        <v>0</v>
      </c>
      <c r="D138" s="55" t="n">
        <f aca="false">D137*(Assumptions!$B$25+MAX(0,Assumptions!$B$161-1)*Assumptions!$B$26)/12*D7</f>
        <v>0</v>
      </c>
      <c r="E138" s="55" t="n">
        <f aca="false">E137*(Assumptions!$B$25+MAX(0,Assumptions!$B$161-1)*Assumptions!$B$26)/12*E7</f>
        <v>0</v>
      </c>
      <c r="F138" s="55" t="n">
        <f aca="false">F137*(Assumptions!$B$25+MAX(0,Assumptions!$B$161-1)*Assumptions!$B$26)/12*F7</f>
        <v>0</v>
      </c>
      <c r="G138" s="55" t="n">
        <f aca="false">G137*(Assumptions!$B$25+MAX(0,Assumptions!$B$161-1)*Assumptions!$B$26)/12*G7</f>
        <v>0</v>
      </c>
      <c r="H138" s="55" t="n">
        <f aca="false">H137*(Assumptions!$B$25+MAX(0,Assumptions!$B$161-1)*Assumptions!$B$26)/12*H7</f>
        <v>0</v>
      </c>
      <c r="I138" s="55" t="n">
        <f aca="false">I137*(Assumptions!$B$25+MAX(0,Assumptions!$B$161-1)*Assumptions!$B$26)/12*I7</f>
        <v>105.978821844242</v>
      </c>
      <c r="J138" s="55" t="n">
        <f aca="false">J137*(Assumptions!$B$25+MAX(0,Assumptions!$B$161-1)*Assumptions!$B$26)/12*J7</f>
        <v>204.291219534605</v>
      </c>
      <c r="K138" s="55" t="n">
        <f aca="false">K137*(Assumptions!$B$25+MAX(0,Assumptions!$B$161-1)*Assumptions!$B$26)/12*K7</f>
        <v>305.433202175884</v>
      </c>
      <c r="L138" s="55" t="n">
        <f aca="false">L137*(Assumptions!$B$25+MAX(0,Assumptions!$B$161-1)*Assumptions!$B$26)/12*L7</f>
        <v>438.977670452459</v>
      </c>
      <c r="M138" s="55" t="n">
        <f aca="false">M137*(Assumptions!$B$25+MAX(0,Assumptions!$B$161-1)*Assumptions!$B$26)/12*M7</f>
        <v>550.347830762677</v>
      </c>
      <c r="N138" s="55" t="n">
        <f aca="false">N137*(Assumptions!$B$25+MAX(0,Assumptions!$B$161-1)*Assumptions!$B$26)/12*N7</f>
        <v>636.232025451416</v>
      </c>
      <c r="O138" s="55" t="n">
        <f aca="false">O137*(Assumptions!$B$25+MAX(0,Assumptions!$B$161-1)*Assumptions!$B$26)/12*O7</f>
        <v>1007.14490494978</v>
      </c>
      <c r="P138" s="55" t="n">
        <f aca="false">P137*(Assumptions!$B$25+MAX(0,Assumptions!$B$161-1)*Assumptions!$B$26)/12*P7</f>
        <v>1339.4038491013</v>
      </c>
      <c r="Q138" s="55" t="n">
        <f aca="false">Q137*(Assumptions!$B$25+MAX(0,Assumptions!$B$161-1)*Assumptions!$B$26)/12*Q7</f>
        <v>1638.34071365565</v>
      </c>
      <c r="R138" s="55" t="n">
        <f aca="false">R137*(Assumptions!$B$25+MAX(0,Assumptions!$B$161-1)*Assumptions!$B$26)/12*R7</f>
        <v>2022.58004711667</v>
      </c>
      <c r="S138" s="55" t="n">
        <f aca="false">S137*(Assumptions!$B$25+MAX(0,Assumptions!$B$161-1)*Assumptions!$B$26)/12*S7</f>
        <v>2340.95693082353</v>
      </c>
      <c r="T138" s="55" t="n">
        <f aca="false">T137*(Assumptions!$B$25+MAX(0,Assumptions!$B$161-1)*Assumptions!$B$26)/12*T7</f>
        <v>2572.08752837967</v>
      </c>
      <c r="U138" s="55" t="n">
        <f aca="false">U137*(Assumptions!$B$25+MAX(0,Assumptions!$B$161-1)*Assumptions!$B$26)/12*U7</f>
        <v>2777.73554040551</v>
      </c>
      <c r="V138" s="55" t="n">
        <f aca="false">V137*(Assumptions!$B$25+MAX(0,Assumptions!$B$161-1)*Assumptions!$B$26)/12*V7</f>
        <v>2972.72723778199</v>
      </c>
      <c r="W138" s="55" t="n">
        <f aca="false">W137*(Assumptions!$B$25+MAX(0,Assumptions!$B$161-1)*Assumptions!$B$26)/12*W7</f>
        <v>3194.86674047006</v>
      </c>
      <c r="X138" s="55" t="n">
        <f aca="false">X137*(Assumptions!$B$25+MAX(0,Assumptions!$B$161-1)*Assumptions!$B$26)/12*X7</f>
        <v>3556.570951001</v>
      </c>
      <c r="Y138" s="55" t="n">
        <f aca="false">Y137*(Assumptions!$B$25+MAX(0,Assumptions!$B$161-1)*Assumptions!$B$26)/12*Y7</f>
        <v>3854.62875964843</v>
      </c>
      <c r="Z138" s="55" t="n">
        <f aca="false">Z137*(Assumptions!$B$25+MAX(0,Assumptions!$B$161-1)*Assumptions!$B$26)/12*Z7</f>
        <v>4070.91782800916</v>
      </c>
      <c r="AA138" s="55" t="n">
        <f aca="false">AA137*(Assumptions!$B$25+MAX(0,Assumptions!$B$161-1)*Assumptions!$B$26)/12*AA7</f>
        <v>85982.5813075237</v>
      </c>
      <c r="AB138" s="55" t="n">
        <f aca="false">AB137*(Assumptions!$B$25+MAX(0,Assumptions!$B$161-1)*Assumptions!$B$26)/12*AB7</f>
        <v>132032.701692333</v>
      </c>
      <c r="AC138" s="55" t="n">
        <f aca="false">AC137*(Assumptions!$B$25+MAX(0,Assumptions!$B$161-1)*Assumptions!$B$26)/12*AC7</f>
        <v>176957.660602297</v>
      </c>
      <c r="AD138" s="55" t="n">
        <f aca="false">AD137*(Assumptions!$B$25+MAX(0,Assumptions!$B$161-1)*Assumptions!$B$26)/12*AD7</f>
        <v>199430.367672858</v>
      </c>
      <c r="AE138" s="55" t="n">
        <f aca="false">AE137*(Assumptions!$B$25+MAX(0,Assumptions!$B$161-1)*Assumptions!$B$26)/12*AE7</f>
        <v>186363.974680783</v>
      </c>
    </row>
    <row r="139" customFormat="false" ht="15" hidden="false" customHeight="false" outlineLevel="0" collapsed="false">
      <c r="A139" s="6" t="s">
        <v>494</v>
      </c>
      <c r="B139" s="23" t="s">
        <v>114</v>
      </c>
      <c r="C139" s="55" t="n">
        <f aca="false">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0</v>
      </c>
      <c r="D139" s="55" t="n">
        <f aca="false">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0</v>
      </c>
      <c r="E139" s="55" t="n">
        <f aca="false">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0</v>
      </c>
      <c r="F139" s="55" t="n">
        <f aca="false">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0</v>
      </c>
      <c r="G139" s="55" t="n">
        <f aca="false">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0</v>
      </c>
      <c r="H139" s="55" t="n">
        <f aca="false">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0</v>
      </c>
      <c r="I139" s="55" t="n">
        <f aca="false">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0</v>
      </c>
      <c r="J139" s="55" t="n">
        <f aca="false">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0</v>
      </c>
      <c r="K139" s="55" t="n">
        <f aca="false">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0</v>
      </c>
      <c r="L139" s="55" t="n">
        <f aca="false">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0</v>
      </c>
      <c r="M139" s="55" t="n">
        <f aca="false">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0</v>
      </c>
      <c r="N139" s="55" t="n">
        <f aca="false">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0</v>
      </c>
      <c r="O139" s="55" t="n">
        <f aca="false">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275.314353791167</v>
      </c>
      <c r="P139" s="55" t="n">
        <f aca="false">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322.875519532025</v>
      </c>
      <c r="Q139" s="55" t="n">
        <f aca="false">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368.052064543607</v>
      </c>
      <c r="R139" s="55" t="n">
        <f aca="false">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413.896915345973</v>
      </c>
      <c r="S139" s="55" t="n">
        <f aca="false">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462.905293367125</v>
      </c>
      <c r="T139" s="55" t="n">
        <f aca="false">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530.76457185794</v>
      </c>
      <c r="U139" s="55" t="n">
        <f aca="false">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589.451925018641</v>
      </c>
      <c r="V139" s="55" t="n">
        <f aca="false">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639.302077625989</v>
      </c>
      <c r="W139" s="55" t="n">
        <f aca="false">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808.421790012131</v>
      </c>
      <c r="X139" s="55" t="n">
        <f aca="false">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980.075842869231</v>
      </c>
      <c r="Y139" s="55" t="n">
        <f aca="false">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1142.608325848</v>
      </c>
      <c r="Z139" s="55" t="n">
        <f aca="false">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1343.94321904184</v>
      </c>
      <c r="AA139" s="55" t="n">
        <f aca="false">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73212.6667398665</v>
      </c>
      <c r="AB139" s="55" t="n">
        <f aca="false">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127957.244427526</v>
      </c>
      <c r="AC139" s="55" t="n">
        <f aca="false">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194895.254590029</v>
      </c>
      <c r="AD139" s="55" t="n">
        <f aca="false">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259578.234571374</v>
      </c>
      <c r="AE139" s="55" t="n">
        <f aca="false">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306659.810994358</v>
      </c>
    </row>
    <row r="140" customFormat="false" ht="15" hidden="false" customHeight="false" outlineLevel="0" collapsed="false">
      <c r="A140" s="6" t="s">
        <v>495</v>
      </c>
      <c r="B140" s="23" t="s">
        <v>114</v>
      </c>
      <c r="C140" s="55" t="n">
        <f aca="false">IF(C2&gt;=Assumptions!$B$53,C125*C127*(1-Assumptions!$B$178)*Assumptions!$B$156*Assumptions!$B$157,0)</f>
        <v>0</v>
      </c>
      <c r="D140" s="55" t="n">
        <f aca="false">IF(D2&gt;=Assumptions!$B$53,D125*D127*(1-Assumptions!$B$178)*Assumptions!$B$156*Assumptions!$B$157,0)</f>
        <v>0</v>
      </c>
      <c r="E140" s="55" t="n">
        <f aca="false">IF(E2&gt;=Assumptions!$B$53,E125*E127*(1-Assumptions!$B$178)*Assumptions!$B$156*Assumptions!$B$157,0)</f>
        <v>0</v>
      </c>
      <c r="F140" s="55" t="n">
        <f aca="false">IF(F2&gt;=Assumptions!$B$53,F125*F127*(1-Assumptions!$B$178)*Assumptions!$B$156*Assumptions!$B$157,0)</f>
        <v>0</v>
      </c>
      <c r="G140" s="55" t="n">
        <f aca="false">IF(G2&gt;=Assumptions!$B$53,G125*G127*(1-Assumptions!$B$178)*Assumptions!$B$156*Assumptions!$B$157,0)</f>
        <v>0</v>
      </c>
      <c r="H140" s="55" t="n">
        <f aca="false">IF(H2&gt;=Assumptions!$B$53,H125*H127*(1-Assumptions!$B$178)*Assumptions!$B$156*Assumptions!$B$157,0)</f>
        <v>0</v>
      </c>
      <c r="I140" s="55" t="n">
        <f aca="false">IF(I2&gt;=Assumptions!$B$53,I125*I127*(1-Assumptions!$B$178)*Assumptions!$B$156*Assumptions!$B$157,0)</f>
        <v>0</v>
      </c>
      <c r="J140" s="55" t="n">
        <f aca="false">IF(J2&gt;=Assumptions!$B$53,J125*J127*(1-Assumptions!$B$178)*Assumptions!$B$156*Assumptions!$B$157,0)</f>
        <v>0</v>
      </c>
      <c r="K140" s="55" t="n">
        <f aca="false">IF(K2&gt;=Assumptions!$B$53,K125*K127*(1-Assumptions!$B$178)*Assumptions!$B$156*Assumptions!$B$157,0)</f>
        <v>0</v>
      </c>
      <c r="L140" s="55" t="n">
        <f aca="false">IF(L2&gt;=Assumptions!$B$53,L125*L127*(1-Assumptions!$B$178)*Assumptions!$B$156*Assumptions!$B$157,0)</f>
        <v>0</v>
      </c>
      <c r="M140" s="55" t="n">
        <f aca="false">IF(M2&gt;=Assumptions!$B$53,M125*M127*(1-Assumptions!$B$178)*Assumptions!$B$156*Assumptions!$B$157,0)</f>
        <v>0</v>
      </c>
      <c r="N140" s="55" t="n">
        <f aca="false">IF(N2&gt;=Assumptions!$B$53,N125*N127*(1-Assumptions!$B$178)*Assumptions!$B$156*Assumptions!$B$157,0)</f>
        <v>0</v>
      </c>
      <c r="O140" s="55" t="n">
        <f aca="false">IF(O2&gt;=Assumptions!$B$53,O125*O127*(1-Assumptions!$B$178)*Assumptions!$B$156*Assumptions!$B$157,0)</f>
        <v>1802.38639399181</v>
      </c>
      <c r="P140" s="55" t="n">
        <f aca="false">IF(P2&gt;=Assumptions!$B$53,P125*P127*(1-Assumptions!$B$178)*Assumptions!$B$156*Assumptions!$B$157,0)</f>
        <v>2044.73543766907</v>
      </c>
      <c r="Q140" s="55" t="n">
        <f aca="false">IF(Q2&gt;=Assumptions!$B$53,Q125*Q127*(1-Assumptions!$B$178)*Assumptions!$B$156*Assumptions!$B$157,0)</f>
        <v>2357.06053334671</v>
      </c>
      <c r="R140" s="55" t="n">
        <f aca="false">IF(R2&gt;=Assumptions!$B$53,R125*R127*(1-Assumptions!$B$178)*Assumptions!$B$156*Assumptions!$B$157,0)</f>
        <v>2633.95398447403</v>
      </c>
      <c r="S140" s="55" t="n">
        <f aca="false">IF(S2&gt;=Assumptions!$B$53,S125*S127*(1-Assumptions!$B$178)*Assumptions!$B$156*Assumptions!$B$157,0)</f>
        <v>3048.55305262882</v>
      </c>
      <c r="T140" s="55" t="n">
        <f aca="false">IF(T2&gt;=Assumptions!$B$53,T125*T127*(1-Assumptions!$B$178)*Assumptions!$B$156*Assumptions!$B$157,0)</f>
        <v>3707.74888179537</v>
      </c>
      <c r="U140" s="55" t="n">
        <f aca="false">IF(U2&gt;=Assumptions!$B$53,U125*U127*(1-Assumptions!$B$178)*Assumptions!$B$156*Assumptions!$B$157,0)</f>
        <v>4408.56649794886</v>
      </c>
      <c r="V140" s="55" t="n">
        <f aca="false">IF(V2&gt;=Assumptions!$B$53,V125*V127*(1-Assumptions!$B$178)*Assumptions!$B$156*Assumptions!$B$157,0)</f>
        <v>5112.85807051198</v>
      </c>
      <c r="W140" s="55" t="n">
        <f aca="false">IF(W2&gt;=Assumptions!$B$53,W125*W127*(1-Assumptions!$B$178)*Assumptions!$B$156*Assumptions!$B$157,0)</f>
        <v>6869.44099191454</v>
      </c>
      <c r="X140" s="55" t="n">
        <f aca="false">IF(X2&gt;=Assumptions!$B$53,X125*X127*(1-Assumptions!$B$178)*Assumptions!$B$156*Assumptions!$B$157,0)</f>
        <v>8470.66708337879</v>
      </c>
      <c r="Y140" s="55" t="n">
        <f aca="false">IF(Y2&gt;=Assumptions!$B$53,Y125*Y127*(1-Assumptions!$B$178)*Assumptions!$B$156*Assumptions!$B$157,0)</f>
        <v>10260.5322199328</v>
      </c>
      <c r="Z140" s="55" t="n">
        <f aca="false">IF(Z2&gt;=Assumptions!$B$53,Z125*Z127*(1-Assumptions!$B$178)*Assumptions!$B$156*Assumptions!$B$157,0)</f>
        <v>12772.7049507905</v>
      </c>
      <c r="AA140" s="55" t="n">
        <f aca="false">IF(AA2&gt;=Assumptions!$B$53,AA125*AA127*(1-Assumptions!$B$178)*Assumptions!$B$156*Assumptions!$B$157,0)</f>
        <v>110311.680999275</v>
      </c>
      <c r="AB140" s="55" t="n">
        <f aca="false">IF(AB2&gt;=Assumptions!$B$53,AB125*AB127*(1-Assumptions!$B$178)*Assumptions!$B$156*Assumptions!$B$157,0)</f>
        <v>260212.008452351</v>
      </c>
      <c r="AC140" s="55" t="n">
        <f aca="false">IF(AC2&gt;=Assumptions!$B$53,AC125*AC127*(1-Assumptions!$B$178)*Assumptions!$B$156*Assumptions!$B$157,0)</f>
        <v>498221.956100447</v>
      </c>
      <c r="AD140" s="55" t="n">
        <f aca="false">IF(AD2&gt;=Assumptions!$B$53,AD125*AD127*(1-Assumptions!$B$178)*Assumptions!$B$156*Assumptions!$B$157,0)</f>
        <v>848263.946877586</v>
      </c>
      <c r="AE140" s="55" t="n">
        <f aca="false">IF(AE2&gt;=Assumptions!$B$53,AE125*AE127*(1-Assumptions!$B$178)*Assumptions!$B$156*Assumptions!$B$157,0)</f>
        <v>1347318.79024973</v>
      </c>
    </row>
    <row r="141" customFormat="false" ht="15" hidden="false" customHeight="false" outlineLevel="0" collapsed="false">
      <c r="A141" s="6" t="s">
        <v>496</v>
      </c>
      <c r="B141" s="23" t="s">
        <v>114</v>
      </c>
      <c r="C141" s="55" t="n">
        <f aca="false">IF(C2&gt;=Assumptions!$B$53,(C140*Assumptions!$B$29*Assumptions!$B$30+C126*C128*(1-Assumptions!$B$178)*Assumptions!$B$27*Assumptions!$B$28)*C7/12,0)</f>
        <v>0</v>
      </c>
      <c r="D141" s="55" t="n">
        <f aca="false">IF(D2&gt;=Assumptions!$B$53,(D140*Assumptions!$B$29*Assumptions!$B$30+D126*D128*(1-Assumptions!$B$178)*Assumptions!$B$27*Assumptions!$B$28)*D7/12,0)</f>
        <v>0</v>
      </c>
      <c r="E141" s="55" t="n">
        <f aca="false">IF(E2&gt;=Assumptions!$B$53,(E140*Assumptions!$B$29*Assumptions!$B$30+E126*E128*(1-Assumptions!$B$178)*Assumptions!$B$27*Assumptions!$B$28)*E7/12,0)</f>
        <v>0</v>
      </c>
      <c r="F141" s="55" t="n">
        <f aca="false">IF(F2&gt;=Assumptions!$B$53,(F140*Assumptions!$B$29*Assumptions!$B$30+F126*F128*(1-Assumptions!$B$178)*Assumptions!$B$27*Assumptions!$B$28)*F7/12,0)</f>
        <v>0</v>
      </c>
      <c r="G141" s="55" t="n">
        <f aca="false">IF(G2&gt;=Assumptions!$B$53,(G140*Assumptions!$B$29*Assumptions!$B$30+G126*G128*(1-Assumptions!$B$178)*Assumptions!$B$27*Assumptions!$B$28)*G7/12,0)</f>
        <v>0</v>
      </c>
      <c r="H141" s="55" t="n">
        <f aca="false">IF(H2&gt;=Assumptions!$B$53,(H140*Assumptions!$B$29*Assumptions!$B$30+H126*H128*(1-Assumptions!$B$178)*Assumptions!$B$27*Assumptions!$B$28)*H7/12,0)</f>
        <v>0</v>
      </c>
      <c r="I141" s="55" t="n">
        <f aca="false">IF(I2&gt;=Assumptions!$B$53,(I140*Assumptions!$B$29*Assumptions!$B$30+I126*I128*(1-Assumptions!$B$178)*Assumptions!$B$27*Assumptions!$B$28)*I7/12,0)</f>
        <v>0</v>
      </c>
      <c r="J141" s="55" t="n">
        <f aca="false">IF(J2&gt;=Assumptions!$B$53,(J140*Assumptions!$B$29*Assumptions!$B$30+J126*J128*(1-Assumptions!$B$178)*Assumptions!$B$27*Assumptions!$B$28)*J7/12,0)</f>
        <v>0</v>
      </c>
      <c r="K141" s="55" t="n">
        <f aca="false">IF(K2&gt;=Assumptions!$B$53,(K140*Assumptions!$B$29*Assumptions!$B$30+K126*K128*(1-Assumptions!$B$178)*Assumptions!$B$27*Assumptions!$B$28)*K7/12,0)</f>
        <v>0</v>
      </c>
      <c r="L141" s="55" t="n">
        <f aca="false">IF(L2&gt;=Assumptions!$B$53,(L140*Assumptions!$B$29*Assumptions!$B$30+L126*L128*(1-Assumptions!$B$178)*Assumptions!$B$27*Assumptions!$B$28)*L7/12,0)</f>
        <v>0</v>
      </c>
      <c r="M141" s="55" t="n">
        <f aca="false">IF(M2&gt;=Assumptions!$B$53,(M140*Assumptions!$B$29*Assumptions!$B$30+M126*M128*(1-Assumptions!$B$178)*Assumptions!$B$27*Assumptions!$B$28)*M7/12,0)</f>
        <v>0</v>
      </c>
      <c r="N141" s="55" t="n">
        <f aca="false">IF(N2&gt;=Assumptions!$B$53,(N140*Assumptions!$B$29*Assumptions!$B$30+N126*N128*(1-Assumptions!$B$178)*Assumptions!$B$27*Assumptions!$B$28)*N7/12,0)</f>
        <v>0</v>
      </c>
      <c r="O141" s="55" t="n">
        <f aca="false">IF(O2&gt;=Assumptions!$B$53,(O140*Assumptions!$B$29*Assumptions!$B$30+O126*O128*(1-Assumptions!$B$178)*Assumptions!$B$27*Assumptions!$B$28)*O7/12,0)</f>
        <v>3.43568401557761</v>
      </c>
      <c r="P141" s="55" t="n">
        <f aca="false">IF(P2&gt;=Assumptions!$B$53,(P140*Assumptions!$B$29*Assumptions!$B$30+P126*P128*(1-Assumptions!$B$178)*Assumptions!$B$27*Assumptions!$B$28)*P7/12,0)</f>
        <v>3.91399188630097</v>
      </c>
      <c r="Q141" s="55" t="n">
        <f aca="false">IF(Q2&gt;=Assumptions!$B$53,(Q140*Assumptions!$B$29*Assumptions!$B$30+Q126*Q128*(1-Assumptions!$B$178)*Assumptions!$B$27*Assumptions!$B$28)*Q7/12,0)</f>
        <v>4.49335356236779</v>
      </c>
      <c r="R141" s="55" t="n">
        <f aca="false">IF(R2&gt;=Assumptions!$B$53,(R140*Assumptions!$B$29*Assumptions!$B$30+R126*R128*(1-Assumptions!$B$178)*Assumptions!$B$27*Assumptions!$B$28)*R7/12,0)</f>
        <v>5.01813758789648</v>
      </c>
      <c r="S141" s="55" t="n">
        <f aca="false">IF(S2&gt;=Assumptions!$B$53,(S140*Assumptions!$B$29*Assumptions!$B$30+S126*S128*(1-Assumptions!$B$178)*Assumptions!$B$27*Assumptions!$B$28)*S7/12,0)</f>
        <v>5.75956781786552</v>
      </c>
      <c r="T141" s="55" t="n">
        <f aca="false">IF(T2&gt;=Assumptions!$B$53,(T140*Assumptions!$B$29*Assumptions!$B$30+T126*T128*(1-Assumptions!$B$178)*Assumptions!$B$27*Assumptions!$B$28)*T7/12,0)</f>
        <v>6.90251342978352</v>
      </c>
      <c r="U141" s="55" t="n">
        <f aca="false">IF(U2&gt;=Assumptions!$B$53,(U140*Assumptions!$B$29*Assumptions!$B$30+U126*U128*(1-Assumptions!$B$178)*Assumptions!$B$27*Assumptions!$B$28)*U7/12,0)</f>
        <v>8.07759734585599</v>
      </c>
      <c r="V141" s="55" t="n">
        <f aca="false">IF(V2&gt;=Assumptions!$B$53,(V140*Assumptions!$B$29*Assumptions!$B$30+V126*V128*(1-Assumptions!$B$178)*Assumptions!$B$27*Assumptions!$B$28)*V7/12,0)</f>
        <v>9.21946816330113</v>
      </c>
      <c r="W141" s="55" t="n">
        <f aca="false">IF(W2&gt;=Assumptions!$B$53,(W140*Assumptions!$B$29*Assumptions!$B$30+W126*W128*(1-Assumptions!$B$178)*Assumptions!$B$27*Assumptions!$B$28)*W7/12,0)</f>
        <v>12.2169661737683</v>
      </c>
      <c r="X141" s="55" t="n">
        <f aca="false">IF(X2&gt;=Assumptions!$B$53,(X140*Assumptions!$B$29*Assumptions!$B$30+X126*X128*(1-Assumptions!$B$178)*Assumptions!$B$27*Assumptions!$B$28)*X7/12,0)</f>
        <v>14.9769431460012</v>
      </c>
      <c r="Y141" s="55" t="n">
        <f aca="false">IF(Y2&gt;=Assumptions!$B$53,(Y140*Assumptions!$B$29*Assumptions!$B$30+Y126*Y128*(1-Assumptions!$B$178)*Assumptions!$B$27*Assumptions!$B$28)*Y7/12,0)</f>
        <v>17.9573269424315</v>
      </c>
      <c r="Z141" s="55" t="n">
        <f aca="false">IF(Z2&gt;=Assumptions!$B$53,(Z140*Assumptions!$B$29*Assumptions!$B$30+Z126*Z128*(1-Assumptions!$B$178)*Assumptions!$B$27*Assumptions!$B$28)*Z7/12,0)</f>
        <v>22.0323270985288</v>
      </c>
      <c r="AA141" s="55" t="n">
        <f aca="false">IF(AA2&gt;=Assumptions!$B$53,(AA140*Assumptions!$B$29*Assumptions!$B$30+AA126*AA128*(1-Assumptions!$B$178)*Assumptions!$B$27*Assumptions!$B$28)*AA7/12,0)</f>
        <v>1973.92988607111</v>
      </c>
      <c r="AB141" s="55" t="n">
        <f aca="false">IF(AB2&gt;=Assumptions!$B$53,(AB140*Assumptions!$B$29*Assumptions!$B$30+AB126*AB128*(1-Assumptions!$B$178)*Assumptions!$B$27*Assumptions!$B$28)*AB7/12,0)</f>
        <v>4196.90833103525</v>
      </c>
      <c r="AC141" s="55" t="n">
        <f aca="false">IF(AC2&gt;=Assumptions!$B$53,(AC140*Assumptions!$B$29*Assumptions!$B$30+AC126*AC128*(1-Assumptions!$B$178)*Assumptions!$B$27*Assumptions!$B$28)*AC7/12,0)</f>
        <v>7284.2872058366</v>
      </c>
      <c r="AD141" s="55" t="n">
        <f aca="false">IF(AD2&gt;=Assumptions!$B$53,(AD140*Assumptions!$B$29*Assumptions!$B$30+AD126*AD128*(1-Assumptions!$B$178)*Assumptions!$B$27*Assumptions!$B$28)*AD7/12,0)</f>
        <v>11012.6670287361</v>
      </c>
      <c r="AE141" s="55" t="n">
        <f aca="false">IF(AE2&gt;=Assumptions!$B$53,(AE140*Assumptions!$B$29*Assumptions!$B$30+AE126*AE128*(1-Assumptions!$B$178)*Assumptions!$B$27*Assumptions!$B$28)*AE7/12,0)</f>
        <v>15016.9632939454</v>
      </c>
    </row>
    <row r="142" customFormat="false" ht="15" hidden="false" customHeight="false" outlineLevel="0" collapsed="false">
      <c r="A142" s="6" t="s">
        <v>497</v>
      </c>
      <c r="B142" s="23" t="s">
        <v>498</v>
      </c>
      <c r="C142" s="45" t="n">
        <f aca="false">IF(C2&gt;=Assumptions!$B$49,(C111+C113*Assumptions!$B$138)*Assumptions!$B$137*C7/12,0)</f>
        <v>0.906531942965492</v>
      </c>
      <c r="D142" s="45" t="n">
        <f aca="false">IF(D2&gt;=Assumptions!$B$49,(D111+D113*Assumptions!$B$138)*Assumptions!$B$137*D7/12,0)</f>
        <v>1.7923630446844</v>
      </c>
      <c r="E142" s="45" t="n">
        <f aca="false">IF(E2&gt;=Assumptions!$B$49,(E111+E113*Assumptions!$B$138)*Assumptions!$B$137*E7/12,0)</f>
        <v>2.66410433159632</v>
      </c>
      <c r="F142" s="45" t="n">
        <f aca="false">IF(F2&gt;=Assumptions!$B$49,(F111+F113*Assumptions!$B$138)*Assumptions!$B$137*F7/12,0)</f>
        <v>3.76110142263543</v>
      </c>
      <c r="G142" s="45" t="n">
        <f aca="false">IF(G2&gt;=Assumptions!$B$49,(G111+G113*Assumptions!$B$138)*Assumptions!$B$137*G7/12,0)</f>
        <v>4.78371552918895</v>
      </c>
      <c r="H142" s="45" t="n">
        <f aca="false">IF(H2&gt;=Assumptions!$B$49,(H111+H113*Assumptions!$B$138)*Assumptions!$B$137*H7/12,0)</f>
        <v>5.68380639273356</v>
      </c>
      <c r="I142" s="45" t="n">
        <f aca="false">IF(I2&gt;=Assumptions!$B$49,(I111+I113*Assumptions!$B$138)*Assumptions!$B$137*I7/12,0)</f>
        <v>6.5725669504435</v>
      </c>
      <c r="J142" s="45" t="n">
        <f aca="false">IF(J2&gt;=Assumptions!$B$49,(J111+J113*Assumptions!$B$138)*Assumptions!$B$137*J7/12,0)</f>
        <v>7.47519398672731</v>
      </c>
      <c r="K142" s="45" t="n">
        <f aca="false">IF(K2&gt;=Assumptions!$B$49,(K111+K113*Assumptions!$B$138)*Assumptions!$B$137*K7/12,0)</f>
        <v>8.46197475984981</v>
      </c>
      <c r="L142" s="45" t="n">
        <f aca="false">IF(L2&gt;=Assumptions!$B$49,(L111+L113*Assumptions!$B$138)*Assumptions!$B$137*L7/12,0)</f>
        <v>9.74673026610935</v>
      </c>
      <c r="M142" s="45" t="n">
        <f aca="false">IF(M2&gt;=Assumptions!$B$49,(M111+M113*Assumptions!$B$138)*Assumptions!$B$137*M7/12,0)</f>
        <v>10.9635058664048</v>
      </c>
      <c r="N142" s="45" t="n">
        <f aca="false">IF(N2&gt;=Assumptions!$B$49,(N111+N113*Assumptions!$B$138)*Assumptions!$B$137*N7/12,0)</f>
        <v>12.0737728794799</v>
      </c>
      <c r="O142" s="45" t="n">
        <f aca="false">IF(O2&gt;=Assumptions!$B$49,(O111+O113*Assumptions!$B$138)*Assumptions!$B$137*O7/12,0)</f>
        <v>15.2767111141524</v>
      </c>
      <c r="P142" s="45" t="n">
        <f aca="false">IF(P2&gt;=Assumptions!$B$49,(P111+P113*Assumptions!$B$138)*Assumptions!$B$137*P7/12,0)</f>
        <v>18.4640548652117</v>
      </c>
      <c r="Q142" s="45" t="n">
        <f aca="false">IF(Q2&gt;=Assumptions!$B$49,(Q111+Q113*Assumptions!$B$138)*Assumptions!$B$137*Q7/12,0)</f>
        <v>21.6482834793311</v>
      </c>
      <c r="R142" s="45" t="n">
        <f aca="false">IF(R2&gt;=Assumptions!$B$49,(R111+R113*Assumptions!$B$138)*Assumptions!$B$137*R7/12,0)</f>
        <v>25.6541089684494</v>
      </c>
      <c r="S142" s="45" t="n">
        <f aca="false">IF(S2&gt;=Assumptions!$B$49,(S111+S113*Assumptions!$B$138)*Assumptions!$B$137*S7/12,0)</f>
        <v>29.4641468502406</v>
      </c>
      <c r="T142" s="45" t="n">
        <f aca="false">IF(T2&gt;=Assumptions!$B$49,(T111+T113*Assumptions!$B$138)*Assumptions!$B$137*T7/12,0)</f>
        <v>32.880748019047</v>
      </c>
      <c r="U142" s="45" t="n">
        <f aca="false">IF(U2&gt;=Assumptions!$B$49,(U111+U113*Assumptions!$B$138)*Assumptions!$B$137*U7/12,0)</f>
        <v>36.2842843797133</v>
      </c>
      <c r="V142" s="45" t="n">
        <f aca="false">IF(V2&gt;=Assumptions!$B$49,(V111+V113*Assumptions!$B$138)*Assumptions!$B$137*V7/12,0)</f>
        <v>39.7633403711872</v>
      </c>
      <c r="W142" s="45" t="n">
        <f aca="false">IF(W2&gt;=Assumptions!$B$49,(W111+W113*Assumptions!$B$138)*Assumptions!$B$137*W7/12,0)</f>
        <v>43.580865468273</v>
      </c>
      <c r="X142" s="45" t="n">
        <f aca="false">IF(X2&gt;=Assumptions!$B$49,(X111+X113*Assumptions!$B$138)*Assumptions!$B$137*X7/12,0)</f>
        <v>48.5591003473305</v>
      </c>
      <c r="Y142" s="45" t="n">
        <f aca="false">IF(Y2&gt;=Assumptions!$B$49,(Y111+Y113*Assumptions!$B$138)*Assumptions!$B$137*Y7/12,0)</f>
        <v>53.3469044000564</v>
      </c>
      <c r="Z142" s="45" t="n">
        <f aca="false">IF(Z2&gt;=Assumptions!$B$49,(Z111+Z113*Assumptions!$B$138)*Assumptions!$B$137*Z7/12,0)</f>
        <v>57.7711103861073</v>
      </c>
      <c r="AA142" s="45" t="n">
        <f aca="false">IF(AA2&gt;=Assumptions!$B$49,(AA111+AA113*Assumptions!$B$138)*Assumptions!$B$137*AA7/12,0)</f>
        <v>1604.36451699857</v>
      </c>
      <c r="AB142" s="45" t="n">
        <f aca="false">IF(AB2&gt;=Assumptions!$B$49,(AB111+AB113*Assumptions!$B$138)*Assumptions!$B$137*AB7/12,0)</f>
        <v>2980.52525559985</v>
      </c>
      <c r="AC142" s="45" t="n">
        <f aca="false">IF(AC2&gt;=Assumptions!$B$49,(AC111+AC113*Assumptions!$B$138)*Assumptions!$B$137*AC7/12,0)</f>
        <v>4787.47172437134</v>
      </c>
      <c r="AD142" s="45" t="n">
        <f aca="false">IF(AD2&gt;=Assumptions!$B$49,(AD111+AD113*Assumptions!$B$138)*Assumptions!$B$137*AD7/12,0)</f>
        <v>6760.33208460467</v>
      </c>
      <c r="AE142" s="45" t="n">
        <f aca="false">IF(AE2&gt;=Assumptions!$B$49,(AE111+AE113*Assumptions!$B$138)*Assumptions!$B$137*AE7/12,0)</f>
        <v>8534.01306814628</v>
      </c>
    </row>
    <row r="143" customFormat="false" ht="15" hidden="false" customHeight="false" outlineLevel="0" collapsed="false">
      <c r="A143" s="3" t="s">
        <v>503</v>
      </c>
      <c r="B143" s="23" t="s">
        <v>114</v>
      </c>
      <c r="C143" s="57" t="n">
        <f aca="false">C134+C135+C136+C138+C139+C141</f>
        <v>278.692135958117</v>
      </c>
      <c r="D143" s="57" t="n">
        <f aca="false">D134+D135+D136+D138+D139+D141</f>
        <v>529.664815352071</v>
      </c>
      <c r="E143" s="57" t="n">
        <f aca="false">E134+E135+E136+E138+E139+E141</f>
        <v>757.07451531262</v>
      </c>
      <c r="F143" s="57" t="n">
        <f aca="false">F134+F135+F136+F138+F139+F141</f>
        <v>1036.30804366897</v>
      </c>
      <c r="G143" s="57" t="n">
        <f aca="false">G134+G135+G136+G138+G139+G141</f>
        <v>1271.27730507502</v>
      </c>
      <c r="H143" s="57" t="n">
        <f aca="false">H134+H135+H136+H138+H139+H141</f>
        <v>1450.57455553035</v>
      </c>
      <c r="I143" s="57" t="n">
        <f aca="false">I134+I135+I136+I138+I139+I141</f>
        <v>1718.62829981303</v>
      </c>
      <c r="J143" s="57" t="n">
        <f aca="false">J134+J135+J136+J138+J139+J141</f>
        <v>1970.85915945737</v>
      </c>
      <c r="K143" s="57" t="n">
        <f aca="false">K134+K135+K136+K138+K139+K141</f>
        <v>2239.99633306898</v>
      </c>
      <c r="L143" s="57" t="n">
        <f aca="false">L134+L135+L136+L138+L139+L141</f>
        <v>2620.26834380282</v>
      </c>
      <c r="M143" s="57" t="n">
        <f aca="false">M134+M135+M136+M138+M139+M141</f>
        <v>2938.56110749591</v>
      </c>
      <c r="N143" s="57" t="n">
        <f aca="false">N134+N135+N136+N138+N139+N141</f>
        <v>3182.76837122405</v>
      </c>
      <c r="O143" s="57" t="n">
        <f aca="false">O134+O135+O136+O138+O139+O141</f>
        <v>4626.57492324194</v>
      </c>
      <c r="P143" s="57" t="n">
        <f aca="false">P134+P135+P136+P138+P139+P141</f>
        <v>5731.28134665002</v>
      </c>
      <c r="Q143" s="57" t="n">
        <f aca="false">Q134+Q135+Q136+Q138+Q139+Q141</f>
        <v>6744.35334134765</v>
      </c>
      <c r="R143" s="57" t="n">
        <f aca="false">R134+R135+R136+R138+R139+R141</f>
        <v>8044.78476016418</v>
      </c>
      <c r="S143" s="57" t="n">
        <f aca="false">S134+S135+S136+S138+S139+S141</f>
        <v>9156.32862859787</v>
      </c>
      <c r="T143" s="57" t="n">
        <f aca="false">T134+T135+T136+T138+T139+T141</f>
        <v>10021.9712997202</v>
      </c>
      <c r="U143" s="57" t="n">
        <f aca="false">U134+U135+U136+U138+U139+U141</f>
        <v>10805.4077579554</v>
      </c>
      <c r="V143" s="57" t="n">
        <f aca="false">V134+V135+V136+V138+V139+V141</f>
        <v>11553.6621549163</v>
      </c>
      <c r="W143" s="57" t="n">
        <f aca="false">W134+W135+W136+W138+W139+W141</f>
        <v>12519.1465100833</v>
      </c>
      <c r="X143" s="57" t="n">
        <f aca="false">X134+X135+X136+X138+X139+X141</f>
        <v>13938.8839100863</v>
      </c>
      <c r="Y143" s="57" t="n">
        <f aca="false">Y134+Y135+Y136+Y138+Y139+Y141</f>
        <v>15160.6966091536</v>
      </c>
      <c r="Z143" s="57" t="n">
        <f aca="false">Z134+Z135+Z136+Z138+Z139+Z141</f>
        <v>16174.2507453358</v>
      </c>
      <c r="AA143" s="57" t="n">
        <f aca="false">AA134+AA135+AA136+AA138+AA139+AA141</f>
        <v>398953.427421473</v>
      </c>
      <c r="AB143" s="57" t="n">
        <f aca="false">AB134+AB135+AB136+AB138+AB139+AB141</f>
        <v>640222.666622026</v>
      </c>
      <c r="AC143" s="57" t="n">
        <f aca="false">AC134+AC135+AC136+AC138+AC139+AC141</f>
        <v>898034.511027313</v>
      </c>
      <c r="AD143" s="57" t="n">
        <f aca="false">AD134+AD135+AD136+AD138+AD139+AD141</f>
        <v>1079179.52864244</v>
      </c>
      <c r="AE143" s="57" t="n">
        <f aca="false">AE134+AE135+AE136+AE138+AE139+AE141</f>
        <v>1112184.89604705</v>
      </c>
    </row>
    <row r="145" customFormat="false" ht="15" hidden="false" customHeight="false" outlineLevel="0" collapsed="false">
      <c r="A145" s="46" t="s">
        <v>504</v>
      </c>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row>
    <row r="146" customFormat="false" ht="15" hidden="false" customHeight="false" outlineLevel="0" collapsed="false">
      <c r="A146" s="6" t="s">
        <v>505</v>
      </c>
      <c r="B146" s="23" t="s">
        <v>114</v>
      </c>
      <c r="C146" s="58" t="n">
        <f aca="false">IF(C2&gt;=Assumptions!$B$54,INDEX(Assumptions!$B$163:$B$169,C5)*Assumptions!$B$174,0)</f>
        <v>0</v>
      </c>
      <c r="D146" s="58" t="n">
        <f aca="false">IF(D2&gt;=Assumptions!$B$54,INDEX(Assumptions!$B$163:$B$169,D5)*Assumptions!$B$174,0)</f>
        <v>0</v>
      </c>
      <c r="E146" s="58" t="n">
        <f aca="false">IF(E2&gt;=Assumptions!$B$54,INDEX(Assumptions!$B$163:$B$169,E5)*Assumptions!$B$174,0)</f>
        <v>0</v>
      </c>
      <c r="F146" s="58" t="n">
        <f aca="false">IF(F2&gt;=Assumptions!$B$54,INDEX(Assumptions!$B$163:$B$169,F5)*Assumptions!$B$174,0)</f>
        <v>0</v>
      </c>
      <c r="G146" s="58" t="n">
        <f aca="false">IF(G2&gt;=Assumptions!$B$54,INDEX(Assumptions!$B$163:$B$169,G5)*Assumptions!$B$174,0)</f>
        <v>0</v>
      </c>
      <c r="H146" s="58" t="n">
        <f aca="false">IF(H2&gt;=Assumptions!$B$54,INDEX(Assumptions!$B$163:$B$169,H5)*Assumptions!$B$174,0)</f>
        <v>0</v>
      </c>
      <c r="I146" s="58" t="n">
        <f aca="false">IF(I2&gt;=Assumptions!$B$54,INDEX(Assumptions!$B$163:$B$169,I5)*Assumptions!$B$174,0)</f>
        <v>0</v>
      </c>
      <c r="J146" s="58" t="n">
        <f aca="false">IF(J2&gt;=Assumptions!$B$54,INDEX(Assumptions!$B$163:$B$169,J5)*Assumptions!$B$174,0)</f>
        <v>0</v>
      </c>
      <c r="K146" s="58" t="n">
        <f aca="false">IF(K2&gt;=Assumptions!$B$54,INDEX(Assumptions!$B$163:$B$169,K5)*Assumptions!$B$174,0)</f>
        <v>0</v>
      </c>
      <c r="L146" s="58" t="n">
        <f aca="false">IF(L2&gt;=Assumptions!$B$54,INDEX(Assumptions!$B$163:$B$169,L5)*Assumptions!$B$174,0)</f>
        <v>0</v>
      </c>
      <c r="M146" s="58" t="n">
        <f aca="false">IF(M2&gt;=Assumptions!$B$54,INDEX(Assumptions!$B$163:$B$169,M5)*Assumptions!$B$174,0)</f>
        <v>0</v>
      </c>
      <c r="N146" s="58" t="n">
        <f aca="false">IF(N2&gt;=Assumptions!$B$54,INDEX(Assumptions!$B$163:$B$169,N5)*Assumptions!$B$174,0)</f>
        <v>0</v>
      </c>
      <c r="O146" s="58" t="n">
        <f aca="false">IF(O2&gt;=Assumptions!$B$54,INDEX(Assumptions!$B$163:$B$169,O5)*Assumptions!$B$174,0)</f>
        <v>18900000</v>
      </c>
      <c r="P146" s="58" t="n">
        <f aca="false">IF(P2&gt;=Assumptions!$B$54,INDEX(Assumptions!$B$163:$B$169,P5)*Assumptions!$B$174,0)</f>
        <v>18900000</v>
      </c>
      <c r="Q146" s="58" t="n">
        <f aca="false">IF(Q2&gt;=Assumptions!$B$54,INDEX(Assumptions!$B$163:$B$169,Q5)*Assumptions!$B$174,0)</f>
        <v>18900000</v>
      </c>
      <c r="R146" s="58" t="n">
        <f aca="false">IF(R2&gt;=Assumptions!$B$54,INDEX(Assumptions!$B$163:$B$169,R5)*Assumptions!$B$174,0)</f>
        <v>18900000</v>
      </c>
      <c r="S146" s="58" t="n">
        <f aca="false">IF(S2&gt;=Assumptions!$B$54,INDEX(Assumptions!$B$163:$B$169,S5)*Assumptions!$B$174,0)</f>
        <v>18900000</v>
      </c>
      <c r="T146" s="58" t="n">
        <f aca="false">IF(T2&gt;=Assumptions!$B$54,INDEX(Assumptions!$B$163:$B$169,T5)*Assumptions!$B$174,0)</f>
        <v>18900000</v>
      </c>
      <c r="U146" s="58" t="n">
        <f aca="false">IF(U2&gt;=Assumptions!$B$54,INDEX(Assumptions!$B$163:$B$169,U5)*Assumptions!$B$174,0)</f>
        <v>18900000</v>
      </c>
      <c r="V146" s="58" t="n">
        <f aca="false">IF(V2&gt;=Assumptions!$B$54,INDEX(Assumptions!$B$163:$B$169,V5)*Assumptions!$B$174,0)</f>
        <v>18900000</v>
      </c>
      <c r="W146" s="58" t="n">
        <f aca="false">IF(W2&gt;=Assumptions!$B$54,INDEX(Assumptions!$B$163:$B$169,W5)*Assumptions!$B$174,0)</f>
        <v>18900000</v>
      </c>
      <c r="X146" s="58" t="n">
        <f aca="false">IF(X2&gt;=Assumptions!$B$54,INDEX(Assumptions!$B$163:$B$169,X5)*Assumptions!$B$174,0)</f>
        <v>18900000</v>
      </c>
      <c r="Y146" s="58" t="n">
        <f aca="false">IF(Y2&gt;=Assumptions!$B$54,INDEX(Assumptions!$B$163:$B$169,Y5)*Assumptions!$B$174,0)</f>
        <v>18900000</v>
      </c>
      <c r="Z146" s="58" t="n">
        <f aca="false">IF(Z2&gt;=Assumptions!$B$54,INDEX(Assumptions!$B$163:$B$169,Z5)*Assumptions!$B$174,0)</f>
        <v>18900000</v>
      </c>
      <c r="AA146" s="58" t="n">
        <f aca="false">IF(AA2&gt;=Assumptions!$B$54,INDEX(Assumptions!$B$163:$B$169,AA5)*Assumptions!$B$174,0)</f>
        <v>56700000</v>
      </c>
      <c r="AB146" s="58" t="n">
        <f aca="false">IF(AB2&gt;=Assumptions!$B$54,INDEX(Assumptions!$B$163:$B$169,AB5)*Assumptions!$B$174,0)</f>
        <v>94500000</v>
      </c>
      <c r="AC146" s="58" t="n">
        <f aca="false">IF(AC2&gt;=Assumptions!$B$54,INDEX(Assumptions!$B$163:$B$169,AC5)*Assumptions!$B$174,0)</f>
        <v>132300000</v>
      </c>
      <c r="AD146" s="58" t="n">
        <f aca="false">IF(AD2&gt;=Assumptions!$B$54,INDEX(Assumptions!$B$163:$B$169,AD5)*Assumptions!$B$174,0)</f>
        <v>170100000</v>
      </c>
      <c r="AE146" s="58" t="n">
        <f aca="false">IF(AE2&gt;=Assumptions!$B$54,INDEX(Assumptions!$B$163:$B$169,AE5)*Assumptions!$B$174,0)</f>
        <v>207900000</v>
      </c>
    </row>
    <row r="147" customFormat="false" ht="15" hidden="false" customHeight="false" outlineLevel="0" collapsed="false">
      <c r="A147" s="6" t="s">
        <v>132</v>
      </c>
      <c r="B147" s="23" t="s">
        <v>114</v>
      </c>
      <c r="C147" s="57" t="n">
        <f aca="false">C146*Assumptions!$B$170*C7/12</f>
        <v>0</v>
      </c>
      <c r="D147" s="57" t="n">
        <f aca="false">D146*Assumptions!$B$170*D7/12</f>
        <v>0</v>
      </c>
      <c r="E147" s="57" t="n">
        <f aca="false">E146*Assumptions!$B$170*E7/12</f>
        <v>0</v>
      </c>
      <c r="F147" s="57" t="n">
        <f aca="false">F146*Assumptions!$B$170*F7/12</f>
        <v>0</v>
      </c>
      <c r="G147" s="57" t="n">
        <f aca="false">G146*Assumptions!$B$170*G7/12</f>
        <v>0</v>
      </c>
      <c r="H147" s="57" t="n">
        <f aca="false">H146*Assumptions!$B$170*H7/12</f>
        <v>0</v>
      </c>
      <c r="I147" s="57" t="n">
        <f aca="false">I146*Assumptions!$B$170*I7/12</f>
        <v>0</v>
      </c>
      <c r="J147" s="57" t="n">
        <f aca="false">J146*Assumptions!$B$170*J7/12</f>
        <v>0</v>
      </c>
      <c r="K147" s="57" t="n">
        <f aca="false">K146*Assumptions!$B$170*K7/12</f>
        <v>0</v>
      </c>
      <c r="L147" s="57" t="n">
        <f aca="false">L146*Assumptions!$B$170*L7/12</f>
        <v>0</v>
      </c>
      <c r="M147" s="57" t="n">
        <f aca="false">M146*Assumptions!$B$170*M7/12</f>
        <v>0</v>
      </c>
      <c r="N147" s="57" t="n">
        <f aca="false">N146*Assumptions!$B$170*N7/12</f>
        <v>0</v>
      </c>
      <c r="O147" s="57" t="n">
        <f aca="false">O146*Assumptions!$B$170*O7/12</f>
        <v>11812.5</v>
      </c>
      <c r="P147" s="57" t="n">
        <f aca="false">P146*Assumptions!$B$170*P7/12</f>
        <v>11812.5</v>
      </c>
      <c r="Q147" s="57" t="n">
        <f aca="false">Q146*Assumptions!$B$170*Q7/12</f>
        <v>11812.5</v>
      </c>
      <c r="R147" s="57" t="n">
        <f aca="false">R146*Assumptions!$B$170*R7/12</f>
        <v>11812.5</v>
      </c>
      <c r="S147" s="57" t="n">
        <f aca="false">S146*Assumptions!$B$170*S7/12</f>
        <v>11812.5</v>
      </c>
      <c r="T147" s="57" t="n">
        <f aca="false">T146*Assumptions!$B$170*T7/12</f>
        <v>11812.5</v>
      </c>
      <c r="U147" s="57" t="n">
        <f aca="false">U146*Assumptions!$B$170*U7/12</f>
        <v>11812.5</v>
      </c>
      <c r="V147" s="57" t="n">
        <f aca="false">V146*Assumptions!$B$170*V7/12</f>
        <v>11812.5</v>
      </c>
      <c r="W147" s="57" t="n">
        <f aca="false">W146*Assumptions!$B$170*W7/12</f>
        <v>11812.5</v>
      </c>
      <c r="X147" s="57" t="n">
        <f aca="false">X146*Assumptions!$B$170*X7/12</f>
        <v>11812.5</v>
      </c>
      <c r="Y147" s="57" t="n">
        <f aca="false">Y146*Assumptions!$B$170*Y7/12</f>
        <v>11812.5</v>
      </c>
      <c r="Z147" s="57" t="n">
        <f aca="false">Z146*Assumptions!$B$170*Z7/12</f>
        <v>11812.5</v>
      </c>
      <c r="AA147" s="57" t="n">
        <f aca="false">AA146*Assumptions!$B$170*AA7/12</f>
        <v>425250</v>
      </c>
      <c r="AB147" s="57" t="n">
        <f aca="false">AB146*Assumptions!$B$170*AB7/12</f>
        <v>708750</v>
      </c>
      <c r="AC147" s="57" t="n">
        <f aca="false">AC146*Assumptions!$B$170*AC7/12</f>
        <v>992250</v>
      </c>
      <c r="AD147" s="57" t="n">
        <f aca="false">AD146*Assumptions!$B$170*AD7/12</f>
        <v>1275750</v>
      </c>
      <c r="AE147" s="57" t="n">
        <f aca="false">AE146*Assumptions!$B$170*AE7/12</f>
        <v>1559250</v>
      </c>
    </row>
    <row r="148" customFormat="false" ht="15" hidden="false" customHeight="false" outlineLevel="0" collapsed="false">
      <c r="A148" s="9" t="s">
        <v>506</v>
      </c>
    </row>
    <row r="150" customFormat="false" ht="15" hidden="false" customHeight="false" outlineLevel="0" collapsed="false">
      <c r="A150" s="46" t="s">
        <v>507</v>
      </c>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row>
    <row r="151" customFormat="false" ht="15" hidden="false" customHeight="false" outlineLevel="0" collapsed="false">
      <c r="A151" s="3" t="s">
        <v>508</v>
      </c>
      <c r="B151" s="23" t="s">
        <v>207</v>
      </c>
      <c r="C151" s="45" t="n">
        <f aca="false">C31+C71+C111</f>
        <v>251.480277935574</v>
      </c>
      <c r="D151" s="45" t="n">
        <f aca="false">D31+D71+D111</f>
        <v>478.011831484714</v>
      </c>
      <c r="E151" s="45" t="n">
        <f aca="false">E31+E71+E111</f>
        <v>683.333667764708</v>
      </c>
      <c r="F151" s="45" t="n">
        <f aca="false">F31+F71+F111</f>
        <v>935.513221147477</v>
      </c>
      <c r="G151" s="45" t="n">
        <f aca="false">G31+G71+G111</f>
        <v>1147.79798975556</v>
      </c>
      <c r="H151" s="45" t="n">
        <f aca="false">H31+H71+H111</f>
        <v>1309.85152205358</v>
      </c>
      <c r="I151" s="45" t="n">
        <f aca="false">I31+I71+I111</f>
        <v>1456.39051524538</v>
      </c>
      <c r="J151" s="45" t="n">
        <f aca="false">J31+J71+J111</f>
        <v>1595.60265462936</v>
      </c>
      <c r="K151" s="45" t="n">
        <f aca="false">K31+K71+K111</f>
        <v>1747.58884970459</v>
      </c>
      <c r="L151" s="45" t="n">
        <f aca="false">L31+L71+L111</f>
        <v>1970.83764949742</v>
      </c>
      <c r="M151" s="45" t="n">
        <f aca="false">M31+M71+M111</f>
        <v>2158.17548445685</v>
      </c>
      <c r="N151" s="45" t="n">
        <f aca="false">N31+N71+N111</f>
        <v>2301.61401378486</v>
      </c>
      <c r="O151" s="45" t="n">
        <f aca="false">O31+O71+O111</f>
        <v>3092.52373526986</v>
      </c>
      <c r="P151" s="45" t="n">
        <f aca="false">P31+P71+P111</f>
        <v>3819.70468225755</v>
      </c>
      <c r="Q151" s="45" t="n">
        <f aca="false">Q31+Q71+Q111</f>
        <v>4491.7702361173</v>
      </c>
      <c r="R151" s="45" t="n">
        <f aca="false">R31+R71+R111</f>
        <v>5364.62420050301</v>
      </c>
      <c r="S151" s="45" t="n">
        <f aca="false">S31+S71+S111</f>
        <v>6112.91356429346</v>
      </c>
      <c r="T151" s="45" t="n">
        <f aca="false">T31+T71+T111</f>
        <v>6685.30243357939</v>
      </c>
      <c r="U151" s="45" t="n">
        <f aca="false">U31+U71+U111</f>
        <v>7211.38099503394</v>
      </c>
      <c r="V151" s="45" t="n">
        <f aca="false">V31+V71+V111</f>
        <v>7721.86397112056</v>
      </c>
      <c r="W151" s="45" t="n">
        <f aca="false">W31+W71+W111</f>
        <v>8298.92052767662</v>
      </c>
      <c r="X151" s="45" t="n">
        <f aca="false">X31+X71+X111</f>
        <v>9191.30396012823</v>
      </c>
      <c r="Y151" s="45" t="n">
        <f aca="false">Y31+Y71+Y111</f>
        <v>9959.596605214</v>
      </c>
      <c r="Z151" s="45" t="n">
        <f aca="false">Z31+Z71+Z111</f>
        <v>10559.3050972055</v>
      </c>
      <c r="AA151" s="45" t="n">
        <f aca="false">AA31+AA71+AA111</f>
        <v>20156.8093499209</v>
      </c>
      <c r="AB151" s="45" t="n">
        <f aca="false">AB31+AB71+AB111</f>
        <v>32759.3321039159</v>
      </c>
      <c r="AC151" s="45" t="n">
        <f aca="false">AC31+AC71+AC111</f>
        <v>46976.6503863533</v>
      </c>
      <c r="AD151" s="45" t="n">
        <f aca="false">AD31+AD71+AD111</f>
        <v>58177.4026631928</v>
      </c>
      <c r="AE151" s="45" t="n">
        <f aca="false">AE31+AE71+AE111</f>
        <v>62599.1124981996</v>
      </c>
    </row>
    <row r="152" customFormat="false" ht="15" hidden="false" customHeight="false" outlineLevel="0" collapsed="false">
      <c r="A152" s="3" t="s">
        <v>509</v>
      </c>
      <c r="B152" s="23" t="s">
        <v>207</v>
      </c>
      <c r="C152" s="45" t="n">
        <f aca="false">C33+C73+C113</f>
        <v>6.34301618207331</v>
      </c>
      <c r="D152" s="45" t="n">
        <f aca="false">D33+D73+D113</f>
        <v>24.5867380310394</v>
      </c>
      <c r="E152" s="45" t="n">
        <f aca="false">E33+E73+E113</f>
        <v>53.5824057114196</v>
      </c>
      <c r="F152" s="45" t="n">
        <f aca="false">F33+F73+F113</f>
        <v>93.9900928451403</v>
      </c>
      <c r="G152" s="45" t="n">
        <f aca="false">G33+G73+G113</f>
        <v>145.956346707378</v>
      </c>
      <c r="H152" s="45" t="n">
        <f aca="false">H33+H73+H113</f>
        <v>207.232700135016</v>
      </c>
      <c r="I152" s="45" t="n">
        <f aca="false">I33+I73+I113</f>
        <v>276.192036150173</v>
      </c>
      <c r="J152" s="45" t="n">
        <f aca="false">J33+J73+J113</f>
        <v>352.267860034575</v>
      </c>
      <c r="K152" s="45" t="n">
        <f aca="false">K33+K73+K113</f>
        <v>435.602111587888</v>
      </c>
      <c r="L152" s="45" t="n">
        <f aca="false">L33+L73+L113</f>
        <v>528.306497078326</v>
      </c>
      <c r="M152" s="45" t="n">
        <f aca="false">M33+M73+M113</f>
        <v>631.228460090131</v>
      </c>
      <c r="N152" s="45" t="n">
        <f aca="false">N33+N73+N113</f>
        <v>742.377252635484</v>
      </c>
      <c r="O152" s="45" t="n">
        <f aca="false">O33+O73+O113</f>
        <v>877.003839328856</v>
      </c>
      <c r="P152" s="45" t="n">
        <f aca="false">P33+P73+P113</f>
        <v>1049.43001280676</v>
      </c>
      <c r="Q152" s="45" t="n">
        <f aca="false">Q33+Q73+Q113</f>
        <v>1256.69774598881</v>
      </c>
      <c r="R152" s="45" t="n">
        <f aca="false">R33+R73+R113</f>
        <v>1502.51550931467</v>
      </c>
      <c r="S152" s="45" t="n">
        <f aca="false">S33+S73+S113</f>
        <v>1788.6812784345</v>
      </c>
      <c r="T152" s="45" t="n">
        <f aca="false">T33+T73+T113</f>
        <v>2107.69380349193</v>
      </c>
      <c r="U152" s="45" t="n">
        <f aca="false">U33+U73+U113</f>
        <v>2454.05747627006</v>
      </c>
      <c r="V152" s="45" t="n">
        <f aca="false">V33+V73+V113</f>
        <v>2826.23959898881</v>
      </c>
      <c r="W152" s="45" t="n">
        <f aca="false">W33+W73+W113</f>
        <v>3225.53565284314</v>
      </c>
      <c r="X152" s="45" t="n">
        <f aca="false">X33+X73+X113</f>
        <v>3661.53689425511</v>
      </c>
      <c r="Y152" s="45" t="n">
        <f aca="false">Y33+Y73+Y113</f>
        <v>4138.87114615953</v>
      </c>
      <c r="Z152" s="45" t="n">
        <f aca="false">Z33+Z73+Z113</f>
        <v>4650.23335355799</v>
      </c>
      <c r="AA152" s="45" t="n">
        <f aca="false">AA33+AA73+AA113</f>
        <v>14401.1750350038</v>
      </c>
      <c r="AB152" s="45" t="n">
        <f aca="false">AB33+AB73+AB113</f>
        <v>31022.6367781484</v>
      </c>
      <c r="AC152" s="45" t="n">
        <f aca="false">AC33+AC73+AC113</f>
        <v>55853.6500359049</v>
      </c>
      <c r="AD152" s="45" t="n">
        <f aca="false">AD33+AD73+AD113</f>
        <v>88260.4751546423</v>
      </c>
      <c r="AE152" s="45" t="n">
        <f aca="false">AE33+AE73+AE113</f>
        <v>125101.874831457</v>
      </c>
    </row>
    <row r="153" customFormat="false" ht="15" hidden="false" customHeight="false" outlineLevel="0" collapsed="false">
      <c r="A153" s="6" t="s">
        <v>510</v>
      </c>
      <c r="B153" s="23" t="s">
        <v>207</v>
      </c>
      <c r="C153" s="45" t="n">
        <f aca="false">C34+C74+C114</f>
        <v>257.823294117647</v>
      </c>
      <c r="D153" s="45" t="n">
        <f aca="false">D34+D74+D114</f>
        <v>502.598569515753</v>
      </c>
      <c r="E153" s="45" t="n">
        <f aca="false">E34+E74+E114</f>
        <v>736.916073476127</v>
      </c>
      <c r="F153" s="45" t="n">
        <f aca="false">F34+F74+F114</f>
        <v>1029.50331399262</v>
      </c>
      <c r="G153" s="45" t="n">
        <f aca="false">G34+G74+G114</f>
        <v>1293.75433646294</v>
      </c>
      <c r="H153" s="45" t="n">
        <f aca="false">H34+H74+H114</f>
        <v>1517.0842221886</v>
      </c>
      <c r="I153" s="45" t="n">
        <f aca="false">I34+I74+I114</f>
        <v>1732.58255139556</v>
      </c>
      <c r="J153" s="45" t="n">
        <f aca="false">J34+J74+J114</f>
        <v>1947.87051466393</v>
      </c>
      <c r="K153" s="45" t="n">
        <f aca="false">K34+K74+K114</f>
        <v>2183.19096129248</v>
      </c>
      <c r="L153" s="45" t="n">
        <f aca="false">L34+L74+L114</f>
        <v>2499.14414657575</v>
      </c>
      <c r="M153" s="45" t="n">
        <f aca="false">M34+M74+M114</f>
        <v>2789.40394454698</v>
      </c>
      <c r="N153" s="45" t="n">
        <f aca="false">N34+N74+N114</f>
        <v>3043.99126642035</v>
      </c>
      <c r="O153" s="45" t="n">
        <f aca="false">O34+O74+O114</f>
        <v>3969.52757459872</v>
      </c>
      <c r="P153" s="45" t="n">
        <f aca="false">P34+P74+P114</f>
        <v>4869.13469506431</v>
      </c>
      <c r="Q153" s="45" t="n">
        <f aca="false">Q34+Q74+Q114</f>
        <v>5748.4679821061</v>
      </c>
      <c r="R153" s="45" t="n">
        <f aca="false">R34+R74+R114</f>
        <v>6867.13970981768</v>
      </c>
      <c r="S153" s="45" t="n">
        <f aca="false">S34+S74+S114</f>
        <v>7901.59484272796</v>
      </c>
      <c r="T153" s="45" t="n">
        <f aca="false">T34+T74+T114</f>
        <v>8792.99623707132</v>
      </c>
      <c r="U153" s="45" t="n">
        <f aca="false">U34+U74+U114</f>
        <v>9665.43847130399</v>
      </c>
      <c r="V153" s="45" t="n">
        <f aca="false">V34+V74+V114</f>
        <v>10548.1035701094</v>
      </c>
      <c r="W153" s="45" t="n">
        <f aca="false">W34+W74+W114</f>
        <v>11524.4561805198</v>
      </c>
      <c r="X153" s="45" t="n">
        <f aca="false">X34+X74+X114</f>
        <v>12852.8408543833</v>
      </c>
      <c r="Y153" s="45" t="n">
        <f aca="false">Y34+Y74+Y114</f>
        <v>14098.4677513735</v>
      </c>
      <c r="Z153" s="45" t="n">
        <f aca="false">Z34+Z74+Z114</f>
        <v>15209.5384507635</v>
      </c>
      <c r="AA153" s="45" t="n">
        <f aca="false">AA34+AA74+AA114</f>
        <v>34557.9843849247</v>
      </c>
      <c r="AB153" s="45" t="n">
        <f aca="false">AB34+AB74+AB114</f>
        <v>63781.9688820643</v>
      </c>
      <c r="AC153" s="45" t="n">
        <f aca="false">AC34+AC74+AC114</f>
        <v>102830.300422258</v>
      </c>
      <c r="AD153" s="45" t="n">
        <f aca="false">AD34+AD74+AD114</f>
        <v>146437.877817835</v>
      </c>
      <c r="AE153" s="45" t="n">
        <f aca="false">AE34+AE74+AE114</f>
        <v>187700.987329657</v>
      </c>
    </row>
    <row r="154" customFormat="false" ht="15" hidden="false" customHeight="false" outlineLevel="0" collapsed="false">
      <c r="A154" s="3" t="s">
        <v>511</v>
      </c>
      <c r="B154" s="23" t="s">
        <v>207</v>
      </c>
      <c r="C154" s="45" t="n">
        <f aca="false">C30+C70+C110</f>
        <v>257.823294117647</v>
      </c>
      <c r="D154" s="45" t="n">
        <f aca="false">D30+D70+D110</f>
        <v>244.775275398106</v>
      </c>
      <c r="E154" s="45" t="n">
        <f aca="false">E30+E70+E110</f>
        <v>234.317503960374</v>
      </c>
      <c r="F154" s="45" t="n">
        <f aca="false">F30+F70+F110</f>
        <v>292.58724051649</v>
      </c>
      <c r="G154" s="45" t="n">
        <f aca="false">G30+G70+G110</f>
        <v>264.251022470318</v>
      </c>
      <c r="H154" s="45" t="n">
        <f aca="false">H30+H70+H110</f>
        <v>223.329885725665</v>
      </c>
      <c r="I154" s="45" t="n">
        <f aca="false">I30+I70+I110</f>
        <v>215.498329206956</v>
      </c>
      <c r="J154" s="45" t="n">
        <f aca="false">J30+J70+J110</f>
        <v>215.287963268377</v>
      </c>
      <c r="K154" s="45" t="n">
        <f aca="false">K30+K70+K110</f>
        <v>235.320446628543</v>
      </c>
      <c r="L154" s="45" t="n">
        <f aca="false">L30+L70+L110</f>
        <v>315.95318528327</v>
      </c>
      <c r="M154" s="45" t="n">
        <f aca="false">M30+M70+M110</f>
        <v>290.259797971232</v>
      </c>
      <c r="N154" s="45" t="n">
        <f aca="false">N30+N70+N110</f>
        <v>254.587321873369</v>
      </c>
      <c r="O154" s="45" t="n">
        <f aca="false">O30+O70+O110</f>
        <v>925.536308178372</v>
      </c>
      <c r="P154" s="45" t="n">
        <f aca="false">P30+P70+P110</f>
        <v>899.607120465592</v>
      </c>
      <c r="Q154" s="45" t="n">
        <f aca="false">Q30+Q70+Q110</f>
        <v>879.333287041792</v>
      </c>
      <c r="R154" s="45" t="n">
        <f aca="false">R30+R70+R110</f>
        <v>1118.67172771158</v>
      </c>
      <c r="S154" s="45" t="n">
        <f aca="false">S30+S70+S110</f>
        <v>1034.45513291028</v>
      </c>
      <c r="T154" s="45" t="n">
        <f aca="false">T30+T70+T110</f>
        <v>891.401394343352</v>
      </c>
      <c r="U154" s="45" t="n">
        <f aca="false">U30+U70+U110</f>
        <v>872.44223423268</v>
      </c>
      <c r="V154" s="45" t="n">
        <f aca="false">V30+V70+V110</f>
        <v>882.665098805376</v>
      </c>
      <c r="W154" s="45" t="n">
        <f aca="false">W30+W70+W110</f>
        <v>976.352610410381</v>
      </c>
      <c r="X154" s="45" t="n">
        <f aca="false">X30+X70+X110</f>
        <v>1328.38467386359</v>
      </c>
      <c r="Y154" s="45" t="n">
        <f aca="false">Y30+Y70+Y110</f>
        <v>1245.62689699018</v>
      </c>
      <c r="Z154" s="45" t="n">
        <f aca="false">Z30+Z70+Z110</f>
        <v>1111.07069938992</v>
      </c>
      <c r="AA154" s="45" t="n">
        <f aca="false">AA30+AA70+AA110</f>
        <v>19348.4459341612</v>
      </c>
      <c r="AB154" s="45" t="n">
        <f aca="false">AB30+AB70+AB110</f>
        <v>29223.9844971396</v>
      </c>
      <c r="AC154" s="45" t="n">
        <f aca="false">AC30+AC70+AC110</f>
        <v>39048.3315401938</v>
      </c>
      <c r="AD154" s="45" t="n">
        <f aca="false">AD30+AD70+AD110</f>
        <v>43607.577395577</v>
      </c>
      <c r="AE154" s="45" t="n">
        <f aca="false">AE30+AE70+AE110</f>
        <v>41263.1095118219</v>
      </c>
    </row>
    <row r="155" customFormat="false" ht="15" hidden="false" customHeight="false" outlineLevel="0" collapsed="false">
      <c r="A155" s="3" t="s">
        <v>512</v>
      </c>
      <c r="B155" s="23" t="s">
        <v>207</v>
      </c>
      <c r="C155" s="45" t="n">
        <f aca="false">C45+C85+C125</f>
        <v>0</v>
      </c>
      <c r="D155" s="45" t="n">
        <f aca="false">D45+D85+D125</f>
        <v>0</v>
      </c>
      <c r="E155" s="45" t="n">
        <f aca="false">E45+E85+E125</f>
        <v>0</v>
      </c>
      <c r="F155" s="45" t="n">
        <f aca="false">F45+F85+F125</f>
        <v>0</v>
      </c>
      <c r="G155" s="45" t="n">
        <f aca="false">G45+G85+G125</f>
        <v>0</v>
      </c>
      <c r="H155" s="45" t="n">
        <f aca="false">H45+H85+H125</f>
        <v>0</v>
      </c>
      <c r="I155" s="45" t="n">
        <f aca="false">I45+I85+I125</f>
        <v>0</v>
      </c>
      <c r="J155" s="45" t="n">
        <f aca="false">J45+J85+J125</f>
        <v>0</v>
      </c>
      <c r="K155" s="45" t="n">
        <f aca="false">K45+K85+K125</f>
        <v>0</v>
      </c>
      <c r="L155" s="45" t="n">
        <f aca="false">L45+L85+L125</f>
        <v>0</v>
      </c>
      <c r="M155" s="45" t="n">
        <f aca="false">M45+M85+M125</f>
        <v>0</v>
      </c>
      <c r="N155" s="45" t="n">
        <f aca="false">N45+N85+N125</f>
        <v>0</v>
      </c>
      <c r="O155" s="45" t="n">
        <f aca="false">O45+O85+O125</f>
        <v>128.081679309831</v>
      </c>
      <c r="P155" s="45" t="n">
        <f aca="false">P45+P85+P125</f>
        <v>150.191337996671</v>
      </c>
      <c r="Q155" s="45" t="n">
        <f aca="false">Q45+Q85+Q125</f>
        <v>171.52567258816</v>
      </c>
      <c r="R155" s="45" t="n">
        <f aca="false">R45+R85+R125</f>
        <v>192.839180951729</v>
      </c>
      <c r="S155" s="45" t="n">
        <f aca="false">S45+S85+S125</f>
        <v>216.135905167955</v>
      </c>
      <c r="T155" s="45" t="n">
        <f aca="false">T45+T85+T125</f>
        <v>247.415270510999</v>
      </c>
      <c r="U155" s="45" t="n">
        <f aca="false">U45+U85+U125</f>
        <v>276.150990510151</v>
      </c>
      <c r="V155" s="45" t="n">
        <f aca="false">V45+V85+V125</f>
        <v>301.355135375614</v>
      </c>
      <c r="W155" s="45" t="n">
        <f aca="false">W45+W85+W125</f>
        <v>392.983229885273</v>
      </c>
      <c r="X155" s="45" t="n">
        <f aca="false">X45+X85+X125</f>
        <v>482.044334811367</v>
      </c>
      <c r="Y155" s="45" t="n">
        <f aca="false">Y45+Y85+Y125</f>
        <v>569.098330228504</v>
      </c>
      <c r="Z155" s="45" t="n">
        <f aca="false">Z45+Z85+Z125</f>
        <v>679.846831271951</v>
      </c>
      <c r="AA155" s="45" t="n">
        <f aca="false">AA45+AA85+AA125</f>
        <v>3421.24045410754</v>
      </c>
      <c r="AB155" s="45" t="n">
        <f aca="false">AB45+AB85+AB125</f>
        <v>6314.41491932437</v>
      </c>
      <c r="AC155" s="45" t="n">
        <f aca="false">AC45+AC85+AC125</f>
        <v>10180.1997418036</v>
      </c>
      <c r="AD155" s="45" t="n">
        <f aca="false">AD45+AD85+AD125</f>
        <v>14497.3499039657</v>
      </c>
      <c r="AE155" s="45" t="n">
        <f aca="false">AE45+AE85+AE125</f>
        <v>18582.397745636</v>
      </c>
    </row>
    <row r="156" customFormat="false" ht="15" hidden="false" customHeight="false" outlineLevel="0" collapsed="false">
      <c r="A156" s="6" t="s">
        <v>513</v>
      </c>
      <c r="B156" s="23" t="s">
        <v>207</v>
      </c>
      <c r="C156" s="45" t="n">
        <f aca="false">C40+C80+C120</f>
        <v>55.6929884563148</v>
      </c>
      <c r="D156" s="45" t="n">
        <f aca="false">D40+D80+D120</f>
        <v>160.990127176879</v>
      </c>
      <c r="E156" s="45" t="n">
        <f aca="false">E40+E80+E120</f>
        <v>310.68065374113</v>
      </c>
      <c r="F156" s="45" t="n">
        <f aca="false">F40+F80+F120</f>
        <v>514.67683520512</v>
      </c>
      <c r="G156" s="45" t="n">
        <f aca="false">G40+G80+G120</f>
        <v>763.562420862896</v>
      </c>
      <c r="H156" s="45" t="n">
        <f aca="false">H40+H80+H120</f>
        <v>1045.71476859401</v>
      </c>
      <c r="I156" s="45" t="n">
        <f aca="false">I40+I80+I120</f>
        <v>1357.31746167741</v>
      </c>
      <c r="J156" s="45" t="n">
        <f aca="false">J40+J80+J120</f>
        <v>1696.40500588085</v>
      </c>
      <c r="K156" s="45" t="n">
        <f aca="false">K40+K80+K120</f>
        <v>2065.49038711174</v>
      </c>
      <c r="L156" s="45" t="n">
        <f aca="false">L40+L80+L120</f>
        <v>2480.04488638953</v>
      </c>
      <c r="M156" s="45" t="n">
        <f aca="false">M40+M80+M120</f>
        <v>2931.58182680076</v>
      </c>
      <c r="N156" s="45" t="n">
        <f aca="false">N40+N80+N120</f>
        <v>3409.92095871356</v>
      </c>
      <c r="O156" s="45" t="n">
        <f aca="false">O40+O80+O120</f>
        <v>4004.9731353679</v>
      </c>
      <c r="P156" s="45" t="n">
        <f aca="false">P40+P80+P120</f>
        <v>4740.691556302</v>
      </c>
      <c r="Q156" s="45" t="n">
        <f aca="false">Q40+Q80+Q120</f>
        <v>5604.3452637277</v>
      </c>
      <c r="R156" s="45" t="n">
        <f aca="false">R40+R80+R120</f>
        <v>6635.27650454539</v>
      </c>
      <c r="S156" s="45" t="n">
        <f aca="false">S40+S80+S120</f>
        <v>7806.35934498633</v>
      </c>
      <c r="T156" s="45" t="n">
        <f aca="false">T40+T80+T120</f>
        <v>9080.31703590992</v>
      </c>
      <c r="U156" s="45" t="n">
        <f aca="false">U40+U80+U120</f>
        <v>10446.5651212376</v>
      </c>
      <c r="V156" s="45" t="n">
        <f aca="false">V40+V80+V120</f>
        <v>11900.8613004913</v>
      </c>
      <c r="W156" s="45" t="n">
        <f aca="false">W40+W80+W120</f>
        <v>13455.708196902</v>
      </c>
      <c r="X156" s="45" t="n">
        <f aca="false">X40+X80+X120</f>
        <v>15174.0668538513</v>
      </c>
      <c r="Y156" s="45" t="n">
        <f aca="false">Y40+Y80+Y120</f>
        <v>17028.8446900368</v>
      </c>
      <c r="Z156" s="45" t="n">
        <f aca="false">Z40+Z80+Z120</f>
        <v>18984.1673378964</v>
      </c>
      <c r="AA156" s="45" t="n">
        <f aca="false">AA40+AA80+AA120</f>
        <v>61836.6586803199</v>
      </c>
      <c r="AB156" s="45" t="n">
        <f aca="false">AB40+AB80+AB120</f>
        <v>121688.258428563</v>
      </c>
      <c r="AC156" s="45" t="n">
        <f aca="false">AC40+AC80+AC120</f>
        <v>195560.611506421</v>
      </c>
      <c r="AD156" s="45" t="n">
        <f aca="false">AD40+AD80+AD120</f>
        <v>272222.387900632</v>
      </c>
      <c r="AE156" s="45" t="n">
        <f aca="false">AE40+AE80+AE120</f>
        <v>337339.091234944</v>
      </c>
    </row>
    <row r="157" customFormat="false" ht="15" hidden="false" customHeight="false" outlineLevel="0" collapsed="false">
      <c r="A157" s="3" t="s">
        <v>514</v>
      </c>
      <c r="B157" s="23" t="s">
        <v>207</v>
      </c>
      <c r="C157" s="45" t="n">
        <f aca="false">C41+C81+C121</f>
        <v>55.6929884563148</v>
      </c>
      <c r="D157" s="45" t="n">
        <f aca="false">D41+D81+D121</f>
        <v>161.268592119161</v>
      </c>
      <c r="E157" s="45" t="n">
        <f aca="false">E41+E81+E121</f>
        <v>311.762616252297</v>
      </c>
      <c r="F157" s="45" t="n">
        <f aca="false">F41+F81+F121</f>
        <v>517.30649483905</v>
      </c>
      <c r="G157" s="45" t="n">
        <f aca="false">G41+G81+G121</f>
        <v>768.751426389235</v>
      </c>
      <c r="H157" s="45" t="n">
        <f aca="false">H41+H81+H121</f>
        <v>1054.69351480327</v>
      </c>
      <c r="I157" s="45" t="n">
        <f aca="false">I41+I81+I121</f>
        <v>1371.47559419057</v>
      </c>
      <c r="J157" s="45" t="n">
        <f aca="false">J41+J81+J121</f>
        <v>1717.27125387126</v>
      </c>
      <c r="K157" s="45" t="n">
        <f aca="false">K41+K81+K121</f>
        <v>2094.72183926914</v>
      </c>
      <c r="L157" s="45" t="n">
        <f aca="false">L41+L81+L121</f>
        <v>2519.43909582298</v>
      </c>
      <c r="M157" s="45" t="n">
        <f aca="false">M41+M81+M121</f>
        <v>2983.15254667847</v>
      </c>
      <c r="N157" s="45" t="n">
        <f aca="false">N41+N81+N121</f>
        <v>3475.85400431012</v>
      </c>
      <c r="O157" s="45" t="n">
        <f aca="false">O41+O81+O121</f>
        <v>4087.58170633109</v>
      </c>
      <c r="P157" s="45" t="n">
        <f aca="false">P41+P81+P121</f>
        <v>4842.8572962685</v>
      </c>
      <c r="Q157" s="45" t="n">
        <f aca="false">Q41+Q81+Q121</f>
        <v>5729.63494511724</v>
      </c>
      <c r="R157" s="45" t="n">
        <f aca="false">R41+R81+R121</f>
        <v>6787.87711556648</v>
      </c>
      <c r="S157" s="45" t="n">
        <f aca="false">S41+S81+S121</f>
        <v>7991.26723255354</v>
      </c>
      <c r="T157" s="45" t="n">
        <f aca="false">T41+T81+T121</f>
        <v>9303.19641484048</v>
      </c>
      <c r="U157" s="45" t="n">
        <f aca="false">U41+U81+U121</f>
        <v>10713.558803271</v>
      </c>
      <c r="V157" s="45" t="n">
        <f aca="false">V41+V81+V121</f>
        <v>12218.5347902357</v>
      </c>
      <c r="W157" s="45" t="n">
        <f aca="false">W41+W81+W121</f>
        <v>13831.027126803</v>
      </c>
      <c r="X157" s="45" t="n">
        <f aca="false">X41+X81+X121</f>
        <v>15614.4628534712</v>
      </c>
      <c r="Y157" s="45" t="n">
        <f aca="false">Y41+Y81+Y121</f>
        <v>17542.516753194</v>
      </c>
      <c r="Z157" s="45" t="n">
        <f aca="false">Z41+Z81+Z121</f>
        <v>19579.9393808762</v>
      </c>
      <c r="AA157" s="45" t="n">
        <f aca="false">AA41+AA81+AA121</f>
        <v>63526.7524838895</v>
      </c>
      <c r="AB157" s="45" t="n">
        <f aca="false">AB41+AB81+AB121</f>
        <v>126957.464924801</v>
      </c>
      <c r="AC157" s="45" t="n">
        <f aca="false">AC41+AC81+AC121</f>
        <v>207711.72391368</v>
      </c>
      <c r="AD157" s="45" t="n">
        <f aca="false">AD41+AD81+AD121</f>
        <v>295113.7821755</v>
      </c>
      <c r="AE157" s="45" t="n">
        <f aca="false">AE41+AE81+AE121</f>
        <v>374638.943694224</v>
      </c>
    </row>
    <row r="158" customFormat="false" ht="15" hidden="false" customHeight="false" outlineLevel="0" collapsed="false">
      <c r="A158" s="6" t="s">
        <v>515</v>
      </c>
      <c r="B158" s="23" t="s">
        <v>207</v>
      </c>
      <c r="C158" s="54" t="n">
        <f aca="false">C37+C77+C117</f>
        <v>55.6929884563148</v>
      </c>
      <c r="D158" s="54" t="n">
        <f aca="false">D37+D77+D117</f>
        <v>105.862241927265</v>
      </c>
      <c r="E158" s="54" t="n">
        <f aca="false">E37+E77+E117</f>
        <v>151.335545033654</v>
      </c>
      <c r="F158" s="54" t="n">
        <f aca="false">F37+F77+F117</f>
        <v>207.188078792705</v>
      </c>
      <c r="G158" s="54" t="n">
        <f aca="false">G37+G77+G117</f>
        <v>254.206541898854</v>
      </c>
      <c r="H158" s="54" t="n">
        <f aca="false">H37+H77+H117</f>
        <v>290.100870857604</v>
      </c>
      <c r="I158" s="54" t="n">
        <f aca="false">I37+I77+I117</f>
        <v>322.559921495914</v>
      </c>
      <c r="J158" s="54" t="n">
        <f aca="false">J37+J77+J117</f>
        <v>353.397100026231</v>
      </c>
      <c r="K158" s="54" t="n">
        <f aca="false">K37+K77+K117</f>
        <v>387.064824871027</v>
      </c>
      <c r="L158" s="54" t="n">
        <f aca="false">L37+L77+L117</f>
        <v>436.519252880622</v>
      </c>
      <c r="M158" s="54" t="n">
        <f aca="false">M37+M77+M117</f>
        <v>478.020978654045</v>
      </c>
      <c r="N158" s="54" t="n">
        <f aca="false">N37+N77+N117</f>
        <v>509.7997331417</v>
      </c>
      <c r="O158" s="54" t="n">
        <f aca="false">O37+O77+O117</f>
        <v>631.448393114828</v>
      </c>
      <c r="P158" s="54" t="n">
        <f aca="false">P37+P77+P117</f>
        <v>778.411570207279</v>
      </c>
      <c r="Q158" s="54" t="n">
        <f aca="false">Q37+Q77+Q117</f>
        <v>914.232938673212</v>
      </c>
      <c r="R158" s="54" t="n">
        <f aca="false">R37+R77+R117</f>
        <v>1090.72401041645</v>
      </c>
      <c r="S158" s="54" t="n">
        <f aca="false">S37+S77+S117</f>
        <v>1242.01606560119</v>
      </c>
      <c r="T158" s="54" t="n">
        <f aca="false">T37+T77+T117</f>
        <v>1357.71110495965</v>
      </c>
      <c r="U158" s="54" t="n">
        <f aca="false">U37+U77+U117</f>
        <v>1464.04550655384</v>
      </c>
      <c r="V158" s="54" t="n">
        <f aca="false">V37+V77+V117</f>
        <v>1567.23815790303</v>
      </c>
      <c r="W158" s="54" t="n">
        <f aca="false">W37+W77+W117</f>
        <v>1683.9291663838</v>
      </c>
      <c r="X158" s="54" t="n">
        <f aca="false">X37+X77+X117</f>
        <v>1864.49949714396</v>
      </c>
      <c r="Y158" s="54" t="n">
        <f aca="false">Y37+Y77+Y117</f>
        <v>2019.96793441166</v>
      </c>
      <c r="Z158" s="54" t="n">
        <f aca="false">Z37+Z77+Z117</f>
        <v>2141.31675055762</v>
      </c>
      <c r="AA158" s="54" t="n">
        <f aca="false">AA37+AA77+AA117</f>
        <v>45416.2661976285</v>
      </c>
      <c r="AB158" s="54" t="n">
        <f aca="false">AB37+AB77+AB117</f>
        <v>68355.5743681696</v>
      </c>
      <c r="AC158" s="54" t="n">
        <f aca="false">AC37+AC77+AC117</f>
        <v>90855.3831627003</v>
      </c>
      <c r="AD158" s="54" t="n">
        <f aca="false">AD37+AD77+AD117</f>
        <v>104374.366880159</v>
      </c>
      <c r="AE158" s="54" t="n">
        <f aca="false">AE37+AE77+AE117</f>
        <v>104321.248101379</v>
      </c>
    </row>
    <row r="159" customFormat="false" ht="15" hidden="false" customHeight="false" outlineLevel="0" collapsed="false">
      <c r="A159" s="3" t="s">
        <v>516</v>
      </c>
      <c r="B159" s="23" t="s">
        <v>207</v>
      </c>
      <c r="C159" s="55" t="n">
        <f aca="false">C42+C82+C122</f>
        <v>7878.33014703029</v>
      </c>
      <c r="D159" s="55" t="n">
        <f aca="false">D42+D82+D122</f>
        <v>22773.6633904413</v>
      </c>
      <c r="E159" s="55" t="n">
        <f aca="false">E42+E82+E122</f>
        <v>43948.8852782203</v>
      </c>
      <c r="F159" s="55" t="n">
        <f aca="false">F42+F82+F122</f>
        <v>72806.1851081163</v>
      </c>
      <c r="G159" s="55" t="n">
        <f aca="false">G42+G82+G122</f>
        <v>108013.540055265</v>
      </c>
      <c r="H159" s="55" t="n">
        <f aca="false">H42+H82+H122</f>
        <v>147926.811165308</v>
      </c>
      <c r="I159" s="55" t="n">
        <f aca="false">I42+I82+I122</f>
        <v>192006.128128887</v>
      </c>
      <c r="J159" s="55" t="n">
        <f aca="false">J42+J82+J122</f>
        <v>239973.452131905</v>
      </c>
      <c r="K159" s="55" t="n">
        <f aca="false">K42+K82+K122</f>
        <v>292184.270160827</v>
      </c>
      <c r="L159" s="55" t="n">
        <f aca="false">L42+L82+L122</f>
        <v>350827.149628663</v>
      </c>
      <c r="M159" s="55" t="n">
        <f aca="false">M42+M82+M122</f>
        <v>414701.565219235</v>
      </c>
      <c r="N159" s="55" t="n">
        <f aca="false">N42+N82+N122</f>
        <v>482367.41881962</v>
      </c>
      <c r="O159" s="55" t="n">
        <f aca="false">O42+O82+O122</f>
        <v>612433.523207203</v>
      </c>
      <c r="P159" s="55" t="n">
        <f aca="false">P42+P82+P122</f>
        <v>724938.303986394</v>
      </c>
      <c r="Q159" s="55" t="n">
        <f aca="false">Q42+Q82+Q122</f>
        <v>857006.726168481</v>
      </c>
      <c r="R159" s="55" t="n">
        <f aca="false">R42+R82+R122</f>
        <v>1014654.93769396</v>
      </c>
      <c r="S159" s="55" t="n">
        <f aca="false">S42+S82+S122</f>
        <v>1193734.88797005</v>
      </c>
      <c r="T159" s="55" t="n">
        <f aca="false">T42+T82+T122</f>
        <v>1388546.2813797</v>
      </c>
      <c r="U159" s="55" t="n">
        <f aca="false">U42+U82+U122</f>
        <v>1597470.56131634</v>
      </c>
      <c r="V159" s="55" t="n">
        <f aca="false">V42+V82+V122</f>
        <v>1819859.00257247</v>
      </c>
      <c r="W159" s="55" t="n">
        <f aca="false">W42+W82+W122</f>
        <v>2057623.48453799</v>
      </c>
      <c r="X159" s="55" t="n">
        <f aca="false">X42+X82+X122</f>
        <v>2320391.90041462</v>
      </c>
      <c r="Y159" s="55" t="n">
        <f aca="false">Y42+Y82+Y122</f>
        <v>2604021.29981067</v>
      </c>
      <c r="Z159" s="55" t="n">
        <f aca="false">Z42+Z82+Z122</f>
        <v>2903025.83685994</v>
      </c>
      <c r="AA159" s="55" t="n">
        <f aca="false">AA42+AA82+AA122</f>
        <v>10221886.5438267</v>
      </c>
      <c r="AB159" s="55" t="n">
        <f aca="false">AB42+AB82+AB122</f>
        <v>21744999.9620009</v>
      </c>
      <c r="AC159" s="55" t="n">
        <f aca="false">AC42+AC82+AC122</f>
        <v>37776160.6075286</v>
      </c>
      <c r="AD159" s="55" t="n">
        <f aca="false">AD42+AD82+AD122</f>
        <v>56844174.3407233</v>
      </c>
      <c r="AE159" s="55" t="n">
        <f aca="false">AE42+AE82+AE122</f>
        <v>76147296.3528226</v>
      </c>
    </row>
    <row r="160" customFormat="false" ht="15" hidden="false" customHeight="false" outlineLevel="0" collapsed="false">
      <c r="A160" s="6" t="s">
        <v>517</v>
      </c>
      <c r="B160" s="23" t="s">
        <v>207</v>
      </c>
      <c r="C160" s="45" t="n">
        <f aca="false">C44+C84+C124</f>
        <v>0</v>
      </c>
      <c r="D160" s="45" t="n">
        <f aca="false">D44+D84+D124</f>
        <v>0</v>
      </c>
      <c r="E160" s="45" t="n">
        <f aca="false">E44+E84+E124</f>
        <v>0</v>
      </c>
      <c r="F160" s="45" t="n">
        <f aca="false">F44+F84+F124</f>
        <v>0</v>
      </c>
      <c r="G160" s="45" t="n">
        <f aca="false">G44+G84+G124</f>
        <v>0</v>
      </c>
      <c r="H160" s="45" t="n">
        <f aca="false">H44+H84+H124</f>
        <v>0</v>
      </c>
      <c r="I160" s="45" t="n">
        <f aca="false">I44+I84+I124</f>
        <v>0</v>
      </c>
      <c r="J160" s="45" t="n">
        <f aca="false">J44+J84+J124</f>
        <v>0</v>
      </c>
      <c r="K160" s="45" t="n">
        <f aca="false">K44+K84+K124</f>
        <v>141.802811764706</v>
      </c>
      <c r="L160" s="45" t="n">
        <f aca="false">L44+L84+L124</f>
        <v>276.429213233664</v>
      </c>
      <c r="M160" s="45" t="n">
        <f aca="false">M44+M84+M124</f>
        <v>405.30384041187</v>
      </c>
      <c r="N160" s="45" t="n">
        <f aca="false">N44+N84+N124</f>
        <v>566.22682269594</v>
      </c>
      <c r="O160" s="45" t="n">
        <f aca="false">O44+O84+O124</f>
        <v>711.564885054615</v>
      </c>
      <c r="P160" s="45" t="n">
        <f aca="false">P44+P84+P124</f>
        <v>834.39632220373</v>
      </c>
      <c r="Q160" s="45" t="n">
        <f aca="false">Q44+Q84+Q124</f>
        <v>952.920403267556</v>
      </c>
      <c r="R160" s="45" t="n">
        <f aca="false">R44+R84+R124</f>
        <v>1071.32878306516</v>
      </c>
      <c r="S160" s="45" t="n">
        <f aca="false">S44+S84+S124</f>
        <v>1200.75502871086</v>
      </c>
      <c r="T160" s="45" t="n">
        <f aca="false">T44+T84+T124</f>
        <v>1374.52928061666</v>
      </c>
      <c r="U160" s="45" t="n">
        <f aca="false">U44+U84+U124</f>
        <v>1534.17216950084</v>
      </c>
      <c r="V160" s="45" t="n">
        <f aca="false">V44+V84+V124</f>
        <v>1674.19519653119</v>
      </c>
      <c r="W160" s="45" t="n">
        <f aca="false">W44+W84+W124</f>
        <v>2183.2401660293</v>
      </c>
      <c r="X160" s="45" t="n">
        <f aca="false">X44+X84+X124</f>
        <v>2678.02408228537</v>
      </c>
      <c r="Y160" s="45" t="n">
        <f aca="false">Y44+Y84+Y124</f>
        <v>3161.65739015836</v>
      </c>
      <c r="Z160" s="45" t="n">
        <f aca="false">Z44+Z84+Z124</f>
        <v>3776.92684039973</v>
      </c>
      <c r="AA160" s="45" t="n">
        <f aca="false">AA44+AA84+AA124</f>
        <v>19006.8914117086</v>
      </c>
      <c r="AB160" s="45" t="n">
        <f aca="false">AB44+AB84+AB124</f>
        <v>35080.0828851354</v>
      </c>
      <c r="AC160" s="45" t="n">
        <f aca="false">AC44+AC84+AC124</f>
        <v>56556.665232242</v>
      </c>
      <c r="AD160" s="45" t="n">
        <f aca="false">AD44+AD84+AD124</f>
        <v>80540.8327998093</v>
      </c>
      <c r="AE160" s="45" t="n">
        <f aca="false">AE44+AE84+AE124</f>
        <v>103235.543031311</v>
      </c>
    </row>
    <row r="161" customFormat="false" ht="15" hidden="false" customHeight="false" outlineLevel="0" collapsed="false">
      <c r="A161" s="6" t="s">
        <v>518</v>
      </c>
      <c r="B161" s="23" t="s">
        <v>207</v>
      </c>
      <c r="C161" s="55" t="n">
        <f aca="false">C35+C75+C115</f>
        <v>7822.35327019387</v>
      </c>
      <c r="D161" s="55" t="n">
        <f aca="false">D35+D75+D115</f>
        <v>14868.8306789385</v>
      </c>
      <c r="E161" s="55" t="n">
        <f aca="false">E35+E75+E115</f>
        <v>21255.7059184207</v>
      </c>
      <c r="F161" s="55" t="n">
        <f aca="false">F35+F75+F115</f>
        <v>29100.3360759695</v>
      </c>
      <c r="G161" s="55" t="n">
        <f aca="false">G35+G75+G115</f>
        <v>35704.1479649456</v>
      </c>
      <c r="H161" s="55" t="n">
        <f aca="false">H35+H75+H115</f>
        <v>40745.517613178</v>
      </c>
      <c r="I161" s="55" t="n">
        <f aca="false">I35+I75+I115</f>
        <v>45304.369178412</v>
      </c>
      <c r="J161" s="55" t="n">
        <f aca="false">J35+J75+J115</f>
        <v>49635.4000551262</v>
      </c>
      <c r="K161" s="55" t="n">
        <f aca="false">K35+K75+K115</f>
        <v>54363.9500580168</v>
      </c>
      <c r="L161" s="55" t="n">
        <f aca="false">L35+L75+L115</f>
        <v>61309.6834760192</v>
      </c>
      <c r="M161" s="55" t="n">
        <f aca="false">M35+M75+M115</f>
        <v>67138.4162592573</v>
      </c>
      <c r="N161" s="55" t="n">
        <f aca="false">N35+N75+N115</f>
        <v>71601.5383078104</v>
      </c>
      <c r="O161" s="55" t="n">
        <f aca="false">O35+O75+O115</f>
        <v>95861.6737210732</v>
      </c>
      <c r="P161" s="55" t="n">
        <f aca="false">P35+P75+P115</f>
        <v>118165.667605495</v>
      </c>
      <c r="Q161" s="55" t="n">
        <f aca="false">Q35+Q75+Q115</f>
        <v>138778.16267882</v>
      </c>
      <c r="R161" s="55" t="n">
        <f aca="false">R35+R75+R115</f>
        <v>165562.537190442</v>
      </c>
      <c r="S161" s="55" t="n">
        <f aca="false">S35+S75+S115</f>
        <v>188521.792094863</v>
      </c>
      <c r="T161" s="55" t="n">
        <f aca="false">T35+T75+T115</f>
        <v>206078.133064405</v>
      </c>
      <c r="U161" s="55" t="n">
        <f aca="false">U35+U75+U115</f>
        <v>222213.431300388</v>
      </c>
      <c r="V161" s="55" t="n">
        <f aca="false">V35+V75+V115</f>
        <v>237871.483187482</v>
      </c>
      <c r="W161" s="55" t="n">
        <f aca="false">W35+W75+W115</f>
        <v>255577.439247362</v>
      </c>
      <c r="X161" s="55" t="n">
        <f aca="false">X35+X75+X115</f>
        <v>282976.300625742</v>
      </c>
      <c r="Y161" s="55" t="n">
        <f aca="false">Y35+Y75+Y115</f>
        <v>306564.899172545</v>
      </c>
      <c r="Z161" s="55" t="n">
        <f aca="false">Z35+Z75+Z115</f>
        <v>324975.187642719</v>
      </c>
      <c r="AA161" s="55" t="n">
        <f aca="false">AA35+AA75+AA115</f>
        <v>7446758.46865739</v>
      </c>
      <c r="AB161" s="55" t="n">
        <f aca="false">AB35+AB75+AB115</f>
        <v>12110734.3483984</v>
      </c>
      <c r="AC161" s="55" t="n">
        <f aca="false">AC35+AC75+AC115</f>
        <v>17390620.2470883</v>
      </c>
      <c r="AD161" s="55" t="n">
        <f aca="false">AD35+AD75+AD115</f>
        <v>21579459.9520042</v>
      </c>
      <c r="AE161" s="55" t="n">
        <f aca="false">AE35+AE75+AE115</f>
        <v>23289190.4434722</v>
      </c>
    </row>
    <row r="162" customFormat="false" ht="15" hidden="false" customHeight="false" outlineLevel="0" collapsed="false">
      <c r="A162" s="6" t="s">
        <v>519</v>
      </c>
      <c r="B162" s="23" t="s">
        <v>207</v>
      </c>
      <c r="C162" s="55" t="n">
        <f aca="false">C36+C76+C116</f>
        <v>595.020518475341</v>
      </c>
      <c r="D162" s="55" t="n">
        <f aca="false">D36+D76+D116</f>
        <v>1131.06598861553</v>
      </c>
      <c r="E162" s="55" t="n">
        <f aca="false">E36+E76+E116</f>
        <v>1616.97312733458</v>
      </c>
      <c r="F162" s="55" t="n">
        <f aca="false">F36+F76+F116</f>
        <v>2213.8302507739</v>
      </c>
      <c r="G162" s="55" t="n">
        <f aca="false">G36+G76+G116</f>
        <v>2716.33443323029</v>
      </c>
      <c r="H162" s="55" t="n">
        <f aca="false">H36+H76+H116</f>
        <v>3099.99210196866</v>
      </c>
      <c r="I162" s="55" t="n">
        <f aca="false">I36+I76+I116</f>
        <v>3446.96386604492</v>
      </c>
      <c r="J162" s="55" t="n">
        <f aca="false">J36+J76+J116</f>
        <v>3776.62844619621</v>
      </c>
      <c r="K162" s="55" t="n">
        <f aca="false">K36+K76+K116</f>
        <v>4136.57939266668</v>
      </c>
      <c r="L162" s="55" t="n">
        <f aca="false">L36+L76+L116</f>
        <v>4665.3309610126</v>
      </c>
      <c r="M162" s="55" t="n">
        <f aca="false">M36+M76+M116</f>
        <v>5109.12095653979</v>
      </c>
      <c r="N162" s="55" t="n">
        <f aca="false">N36+N76+N116</f>
        <v>5449.00306479824</v>
      </c>
      <c r="O162" s="55" t="n">
        <f aca="false">O36+O76+O116</f>
        <v>7305.05196128383</v>
      </c>
      <c r="P162" s="55" t="n">
        <f aca="false">P36+P76+P116</f>
        <v>9012.06189257262</v>
      </c>
      <c r="Q162" s="55" t="n">
        <f aca="false">Q36+Q76+Q116</f>
        <v>10590.2098157521</v>
      </c>
      <c r="R162" s="55" t="n">
        <f aca="false">R36+R76+R116</f>
        <v>12641.1386835599</v>
      </c>
      <c r="S162" s="55" t="n">
        <f aca="false">S36+S76+S116</f>
        <v>14400.1444087539</v>
      </c>
      <c r="T162" s="55" t="n">
        <f aca="false">T36+T76+T116</f>
        <v>15746.1848823355</v>
      </c>
      <c r="U162" s="55" t="n">
        <f aca="false">U36+U76+U116</f>
        <v>16983.9169042199</v>
      </c>
      <c r="V162" s="55" t="n">
        <f aca="false">V36+V76+V116</f>
        <v>18185.5927007476</v>
      </c>
      <c r="W162" s="55" t="n">
        <f aca="false">W36+W76+W116</f>
        <v>19544.7406031243</v>
      </c>
      <c r="X162" s="55" t="n">
        <f aca="false">X36+X76+X116</f>
        <v>21647.6563818813</v>
      </c>
      <c r="Y162" s="55" t="n">
        <f aca="false">Y36+Y76+Y116</f>
        <v>23459.660314629</v>
      </c>
      <c r="Z162" s="55" t="n">
        <f aca="false">Z36+Z76+Z116</f>
        <v>24875.4734922145</v>
      </c>
      <c r="AA162" s="55" t="n">
        <f aca="false">AA36+AA76+AA116</f>
        <v>574433.408838009</v>
      </c>
      <c r="AB162" s="55" t="n">
        <f aca="false">AB36+AB76+AB116</f>
        <v>939764.403183866</v>
      </c>
      <c r="AC162" s="55" t="n">
        <f aca="false">AC36+AC76+AC116</f>
        <v>1360599.8196674</v>
      </c>
      <c r="AD162" s="55" t="n">
        <f aca="false">AD36+AD76+AD116</f>
        <v>1706728.86355599</v>
      </c>
      <c r="AE162" s="55" t="n">
        <f aca="false">AE36+AE76+AE116</f>
        <v>1870368.80463915</v>
      </c>
    </row>
    <row r="163" customFormat="false" ht="15" hidden="false" customHeight="false" outlineLevel="0" collapsed="false">
      <c r="A163" s="6" t="s">
        <v>520</v>
      </c>
      <c r="B163" s="23" t="s">
        <v>207</v>
      </c>
      <c r="C163" s="55" t="n">
        <f aca="false">C51+C91+C131</f>
        <v>0</v>
      </c>
      <c r="D163" s="55" t="n">
        <f aca="false">D51+D91+D131</f>
        <v>0</v>
      </c>
      <c r="E163" s="55" t="n">
        <f aca="false">E51+E91+E131</f>
        <v>0</v>
      </c>
      <c r="F163" s="55" t="n">
        <f aca="false">F51+F91+F131</f>
        <v>0</v>
      </c>
      <c r="G163" s="55" t="n">
        <f aca="false">G51+G91+G131</f>
        <v>0</v>
      </c>
      <c r="H163" s="55" t="n">
        <f aca="false">H51+H91+H131</f>
        <v>0</v>
      </c>
      <c r="I163" s="55" t="n">
        <f aca="false">I51+I91+I131</f>
        <v>0</v>
      </c>
      <c r="J163" s="55" t="n">
        <f aca="false">J51+J91+J131</f>
        <v>0</v>
      </c>
      <c r="K163" s="55" t="n">
        <f aca="false">K51+K91+K131</f>
        <v>0</v>
      </c>
      <c r="L163" s="55" t="n">
        <f aca="false">L51+L91+L131</f>
        <v>0</v>
      </c>
      <c r="M163" s="55" t="n">
        <f aca="false">M51+M91+M131</f>
        <v>0</v>
      </c>
      <c r="N163" s="55" t="n">
        <f aca="false">N51+N91+N131</f>
        <v>0</v>
      </c>
      <c r="O163" s="55" t="n">
        <f aca="false">O51+O91+O131</f>
        <v>965.487908277388</v>
      </c>
      <c r="P163" s="55" t="n">
        <f aca="false">P51+P91+P131</f>
        <v>1000.06189937406</v>
      </c>
      <c r="Q163" s="55" t="n">
        <f aca="false">Q51+Q91+Q131</f>
        <v>1124.033318247</v>
      </c>
      <c r="R163" s="55" t="n">
        <f aca="false">R51+R91+R131</f>
        <v>1254.89830484626</v>
      </c>
      <c r="S163" s="55" t="n">
        <f aca="false">S51+S91+S131</f>
        <v>1467.47965119081</v>
      </c>
      <c r="T163" s="55" t="n">
        <f aca="false">T51+T91+T131</f>
        <v>1666.54603100955</v>
      </c>
      <c r="U163" s="55" t="n">
        <f aca="false">U51+U91+U131</f>
        <v>1801.5088833256</v>
      </c>
      <c r="V163" s="55" t="n">
        <f aca="false">V51+V91+V131</f>
        <v>2096.80980359409</v>
      </c>
      <c r="W163" s="55" t="n">
        <f aca="false">W51+W91+W131</f>
        <v>3119.0729360441</v>
      </c>
      <c r="X163" s="55" t="n">
        <f aca="false">X51+X91+X131</f>
        <v>3929.58089231252</v>
      </c>
      <c r="Y163" s="55" t="n">
        <f aca="false">Y51+Y91+Y131</f>
        <v>4872.55336151353</v>
      </c>
      <c r="Z163" s="55" t="n">
        <f aca="false">Z51+Z91+Z131</f>
        <v>6515.0325915806</v>
      </c>
      <c r="AA163" s="55" t="n">
        <f aca="false">AA51+AA91+AA131</f>
        <v>531282.553115393</v>
      </c>
      <c r="AB163" s="55" t="n">
        <f aca="false">AB51+AB91+AB131</f>
        <v>1130196.373025</v>
      </c>
      <c r="AC163" s="55" t="n">
        <f aca="false">AC51+AC91+AC131</f>
        <v>1963415.9475763</v>
      </c>
      <c r="AD163" s="55" t="n">
        <f aca="false">AD51+AD91+AD131</f>
        <v>2954475.96135909</v>
      </c>
      <c r="AE163" s="55" t="n">
        <f aca="false">AE51+AE91+AE131</f>
        <v>3957755.72793796</v>
      </c>
    </row>
    <row r="164" customFormat="false" ht="15" hidden="false" customHeight="false" outlineLevel="0" collapsed="false">
      <c r="A164" s="6" t="s">
        <v>521</v>
      </c>
      <c r="B164" s="23" t="s">
        <v>114</v>
      </c>
      <c r="C164" s="57" t="n">
        <f aca="false">C157*C21</f>
        <v>7878.33014703029</v>
      </c>
      <c r="D164" s="57" t="n">
        <f aca="false">D157*D21</f>
        <v>22813.0550411765</v>
      </c>
      <c r="E164" s="57" t="n">
        <f aca="false">E157*E21</f>
        <v>44101.9396950499</v>
      </c>
      <c r="F164" s="57" t="n">
        <f aca="false">F157*F21</f>
        <v>73178.176759932</v>
      </c>
      <c r="G164" s="57" t="n">
        <f aca="false">G157*G21</f>
        <v>108747.576777021</v>
      </c>
      <c r="H164" s="57" t="n">
        <f aca="false">H157*H21</f>
        <v>149196.94460407</v>
      </c>
      <c r="I164" s="57" t="n">
        <f aca="false">I157*I21</f>
        <v>194008.937554198</v>
      </c>
      <c r="J164" s="57" t="n">
        <f aca="false">J157*J21</f>
        <v>242925.191572629</v>
      </c>
      <c r="K164" s="57" t="n">
        <f aca="false">K157*K21</f>
        <v>296319.351383012</v>
      </c>
      <c r="L164" s="57" t="n">
        <f aca="false">L157*L21</f>
        <v>356399.854495118</v>
      </c>
      <c r="M164" s="57" t="n">
        <f aca="false">M157*M21</f>
        <v>421996.759253137</v>
      </c>
      <c r="N164" s="57" t="n">
        <f aca="false">N157*N21</f>
        <v>491694.30744971</v>
      </c>
      <c r="O164" s="57" t="n">
        <f aca="false">O157*O21</f>
        <v>625065.882139981</v>
      </c>
      <c r="P164" s="57" t="n">
        <f aca="false">P157*P21</f>
        <v>740561.311173684</v>
      </c>
      <c r="Q164" s="57" t="n">
        <f aca="false">Q157*Q21</f>
        <v>876165.806242524</v>
      </c>
      <c r="R164" s="57" t="n">
        <f aca="false">R157*R21</f>
        <v>1037990.35760624</v>
      </c>
      <c r="S164" s="57" t="n">
        <f aca="false">S157*S21</f>
        <v>1222010.6803971</v>
      </c>
      <c r="T164" s="57" t="n">
        <f aca="false">T157*T21</f>
        <v>1422628.60819565</v>
      </c>
      <c r="U164" s="57" t="n">
        <f aca="false">U157*U21</f>
        <v>1638298.77060389</v>
      </c>
      <c r="V164" s="57" t="n">
        <f aca="false">V157*V21</f>
        <v>1868437.07987231</v>
      </c>
      <c r="W164" s="57" t="n">
        <f aca="false">W157*W21</f>
        <v>2115016.60224351</v>
      </c>
      <c r="X164" s="57" t="n">
        <f aca="false">X157*X21</f>
        <v>2387736.49038746</v>
      </c>
      <c r="Y164" s="57" t="n">
        <f aca="false">Y157*Y21</f>
        <v>2682571.13791928</v>
      </c>
      <c r="Z164" s="57" t="n">
        <f aca="false">Z157*Z21</f>
        <v>2994130.26102907</v>
      </c>
      <c r="AA164" s="57" t="n">
        <f aca="false">AA157*AA21</f>
        <v>10501266.8900033</v>
      </c>
      <c r="AB164" s="57" t="n">
        <f aca="false">AB157*AB21</f>
        <v>22686577.2065115</v>
      </c>
      <c r="AC164" s="57" t="n">
        <f aca="false">AC157*AC21</f>
        <v>40123373.4246744</v>
      </c>
      <c r="AD164" s="57" t="n">
        <f aca="false">AD157*AD21</f>
        <v>61624245.5798964</v>
      </c>
      <c r="AE164" s="57" t="n">
        <f aca="false">AE157*AE21</f>
        <v>84566963.663645</v>
      </c>
    </row>
    <row r="165" customFormat="false" ht="15" hidden="false" customHeight="false" outlineLevel="0" collapsed="false">
      <c r="A165" s="9" t="s">
        <v>522</v>
      </c>
    </row>
    <row r="166" customFormat="false" ht="15" hidden="false" customHeight="false" outlineLevel="0" collapsed="false">
      <c r="A166" s="6" t="s">
        <v>523</v>
      </c>
      <c r="B166" s="23" t="s">
        <v>114</v>
      </c>
      <c r="C166" s="55" t="n">
        <f aca="false">C157*Assumptions!$B$6</f>
        <v>7878.33014703029</v>
      </c>
      <c r="D166" s="55" t="n">
        <f aca="false">D157*Assumptions!$B$6</f>
        <v>22813.0550411765</v>
      </c>
      <c r="E166" s="55" t="n">
        <f aca="false">E157*Assumptions!$B$6</f>
        <v>44101.9396950499</v>
      </c>
      <c r="F166" s="55" t="n">
        <f aca="false">F157*Assumptions!$B$6</f>
        <v>73178.176759932</v>
      </c>
      <c r="G166" s="55" t="n">
        <f aca="false">G157*Assumptions!$B$6</f>
        <v>108747.576777021</v>
      </c>
      <c r="H166" s="55" t="n">
        <f aca="false">H157*Assumptions!$B$6</f>
        <v>149196.94460407</v>
      </c>
      <c r="I166" s="55" t="n">
        <f aca="false">I157*Assumptions!$B$6</f>
        <v>194008.937554198</v>
      </c>
      <c r="J166" s="55" t="n">
        <f aca="false">J157*Assumptions!$B$6</f>
        <v>242925.191572629</v>
      </c>
      <c r="K166" s="55" t="n">
        <f aca="false">K157*Assumptions!$B$6</f>
        <v>296319.351383012</v>
      </c>
      <c r="L166" s="55" t="n">
        <f aca="false">L157*Assumptions!$B$6</f>
        <v>356399.854495118</v>
      </c>
      <c r="M166" s="55" t="n">
        <f aca="false">M157*Assumptions!$B$6</f>
        <v>421996.759253137</v>
      </c>
      <c r="N166" s="55" t="n">
        <f aca="false">N157*Assumptions!$B$6</f>
        <v>491694.30744971</v>
      </c>
      <c r="O166" s="55" t="n">
        <f aca="false">O157*Assumptions!$B$6</f>
        <v>578229.308177596</v>
      </c>
      <c r="P166" s="55" t="n">
        <f aca="false">P157*Assumptions!$B$6</f>
        <v>685070.593130142</v>
      </c>
      <c r="Q166" s="55" t="n">
        <f aca="false">Q157*Assumptions!$B$6</f>
        <v>810514.159336285</v>
      </c>
      <c r="R166" s="55" t="n">
        <f aca="false">R157*Assumptions!$B$6</f>
        <v>960213.096768034</v>
      </c>
      <c r="S166" s="55" t="n">
        <f aca="false">S157*Assumptions!$B$6</f>
        <v>1130444.66271702</v>
      </c>
      <c r="T166" s="55" t="n">
        <f aca="false">T157*Assumptions!$B$6</f>
        <v>1316030.16484334</v>
      </c>
      <c r="U166" s="55" t="n">
        <f aca="false">U157*Assumptions!$B$6</f>
        <v>1515540.02831072</v>
      </c>
      <c r="V166" s="55" t="n">
        <f aca="false">V157*Assumptions!$B$6</f>
        <v>1728433.93142675</v>
      </c>
      <c r="W166" s="55" t="n">
        <f aca="false">W157*Assumptions!$B$6</f>
        <v>1956537.09735755</v>
      </c>
      <c r="X166" s="55" t="n">
        <f aca="false">X157*Assumptions!$B$6</f>
        <v>2208821.91525204</v>
      </c>
      <c r="Y166" s="55" t="n">
        <f aca="false">Y157*Assumptions!$B$6</f>
        <v>2481564.41990683</v>
      </c>
      <c r="Z166" s="55" t="n">
        <f aca="false">Z157*Assumptions!$B$6</f>
        <v>2769778.22481875</v>
      </c>
      <c r="AA166" s="55" t="n">
        <f aca="false">AA157*Assumptions!$B$6</f>
        <v>8986494.40637101</v>
      </c>
      <c r="AB166" s="55" t="n">
        <f aca="false">AB157*Assumptions!$B$6</f>
        <v>17959402.9882623</v>
      </c>
      <c r="AC166" s="55" t="n">
        <f aca="false">AC157*Assumptions!$B$6</f>
        <v>29382900.4648291</v>
      </c>
      <c r="AD166" s="55" t="n">
        <f aca="false">AD157*Assumptions!$B$6</f>
        <v>41746795.6265462</v>
      </c>
      <c r="AE166" s="55" t="n">
        <f aca="false">AE157*Assumptions!$B$6</f>
        <v>52996424.9749849</v>
      </c>
    </row>
    <row r="167" customFormat="false" ht="15" hidden="false" customHeight="false" outlineLevel="0" collapsed="false">
      <c r="A167" s="6" t="s">
        <v>524</v>
      </c>
      <c r="B167" s="23" t="s">
        <v>114</v>
      </c>
      <c r="C167" s="55" t="n">
        <f aca="false">C164-C166</f>
        <v>0</v>
      </c>
      <c r="D167" s="55" t="n">
        <f aca="false">D164-D166</f>
        <v>0</v>
      </c>
      <c r="E167" s="55" t="n">
        <f aca="false">E164-E166</f>
        <v>0</v>
      </c>
      <c r="F167" s="55" t="n">
        <f aca="false">F164-F166</f>
        <v>0</v>
      </c>
      <c r="G167" s="55" t="n">
        <f aca="false">G164-G166</f>
        <v>0</v>
      </c>
      <c r="H167" s="55" t="n">
        <f aca="false">H164-H166</f>
        <v>0</v>
      </c>
      <c r="I167" s="55" t="n">
        <f aca="false">I164-I166</f>
        <v>0</v>
      </c>
      <c r="J167" s="55" t="n">
        <f aca="false">J164-J166</f>
        <v>0</v>
      </c>
      <c r="K167" s="55" t="n">
        <f aca="false">K164-K166</f>
        <v>0</v>
      </c>
      <c r="L167" s="55" t="n">
        <f aca="false">L164-L166</f>
        <v>0</v>
      </c>
      <c r="M167" s="55" t="n">
        <f aca="false">M164-M166</f>
        <v>0</v>
      </c>
      <c r="N167" s="55" t="n">
        <f aca="false">N164-N166</f>
        <v>0</v>
      </c>
      <c r="O167" s="55" t="n">
        <f aca="false">O164-O166</f>
        <v>46836.5739623852</v>
      </c>
      <c r="P167" s="55" t="n">
        <f aca="false">P164-P166</f>
        <v>55490.7180435415</v>
      </c>
      <c r="Q167" s="55" t="n">
        <f aca="false">Q164-Q166</f>
        <v>65651.6469062391</v>
      </c>
      <c r="R167" s="55" t="n">
        <f aca="false">R164-R166</f>
        <v>77777.2608382107</v>
      </c>
      <c r="S167" s="55" t="n">
        <f aca="false">S164-S166</f>
        <v>91566.017680079</v>
      </c>
      <c r="T167" s="55" t="n">
        <f aca="false">T164-T166</f>
        <v>106598.44335231</v>
      </c>
      <c r="U167" s="55" t="n">
        <f aca="false">U164-U166</f>
        <v>122758.742293168</v>
      </c>
      <c r="V167" s="55" t="n">
        <f aca="false">V164-V166</f>
        <v>140003.148445566</v>
      </c>
      <c r="W167" s="55" t="n">
        <f aca="false">W164-W166</f>
        <v>158479.504885961</v>
      </c>
      <c r="X167" s="55" t="n">
        <f aca="false">X164-X166</f>
        <v>178914.575135415</v>
      </c>
      <c r="Y167" s="55" t="n">
        <f aca="false">Y164-Y166</f>
        <v>201006.718012453</v>
      </c>
      <c r="Z167" s="55" t="n">
        <f aca="false">Z164-Z166</f>
        <v>224352.036210319</v>
      </c>
      <c r="AA167" s="55" t="n">
        <f aca="false">AA164-AA166</f>
        <v>1514772.48363231</v>
      </c>
      <c r="AB167" s="55" t="n">
        <f aca="false">AB164-AB166</f>
        <v>4727174.21824918</v>
      </c>
      <c r="AC167" s="55" t="n">
        <f aca="false">AC164-AC166</f>
        <v>10740472.9598453</v>
      </c>
      <c r="AD167" s="55" t="n">
        <f aca="false">AD164-AD166</f>
        <v>19877449.9533502</v>
      </c>
      <c r="AE167" s="55" t="n">
        <f aca="false">AE164-AE166</f>
        <v>31570538.6886601</v>
      </c>
    </row>
    <row r="168" customFormat="false" ht="15" hidden="false" customHeight="false" outlineLevel="0" collapsed="false">
      <c r="A168" s="9" t="s">
        <v>525</v>
      </c>
    </row>
    <row r="169" customFormat="false" ht="15" hidden="false" customHeight="false" outlineLevel="0" collapsed="false">
      <c r="A169" s="6" t="s">
        <v>526</v>
      </c>
      <c r="B169" s="23" t="s">
        <v>527</v>
      </c>
      <c r="C169" s="59" t="n">
        <f aca="false">C151+C152-C153</f>
        <v>0</v>
      </c>
      <c r="D169" s="59" t="n">
        <f aca="false">D151+D152-D153</f>
        <v>0</v>
      </c>
      <c r="E169" s="59" t="n">
        <f aca="false">E151+E152-E153</f>
        <v>0</v>
      </c>
      <c r="F169" s="59" t="n">
        <f aca="false">F151+F152-F153</f>
        <v>0</v>
      </c>
      <c r="G169" s="59" t="n">
        <f aca="false">G151+G152-G153</f>
        <v>0</v>
      </c>
      <c r="H169" s="59" t="n">
        <f aca="false">H151+H152-H153</f>
        <v>0</v>
      </c>
      <c r="I169" s="59" t="n">
        <f aca="false">I151+I152-I153</f>
        <v>0</v>
      </c>
      <c r="J169" s="59" t="n">
        <f aca="false">J151+J152-J153</f>
        <v>0</v>
      </c>
      <c r="K169" s="59" t="n">
        <f aca="false">K151+K152-K153</f>
        <v>0</v>
      </c>
      <c r="L169" s="59" t="n">
        <f aca="false">L151+L152-L153</f>
        <v>0</v>
      </c>
      <c r="M169" s="59" t="n">
        <f aca="false">M151+M152-M153</f>
        <v>0</v>
      </c>
      <c r="N169" s="59" t="n">
        <f aca="false">N151+N152-N153</f>
        <v>0</v>
      </c>
      <c r="O169" s="59" t="n">
        <f aca="false">O151+O152-O153</f>
        <v>0</v>
      </c>
      <c r="P169" s="59" t="n">
        <f aca="false">P151+P152-P153</f>
        <v>0</v>
      </c>
      <c r="Q169" s="59" t="n">
        <f aca="false">Q151+Q152-Q153</f>
        <v>0</v>
      </c>
      <c r="R169" s="59" t="n">
        <f aca="false">R151+R152-R153</f>
        <v>0</v>
      </c>
      <c r="S169" s="59" t="n">
        <f aca="false">S151+S152-S153</f>
        <v>0</v>
      </c>
      <c r="T169" s="59" t="n">
        <f aca="false">T151+T152-T153</f>
        <v>0</v>
      </c>
      <c r="U169" s="59" t="n">
        <f aca="false">U151+U152-U153</f>
        <v>0</v>
      </c>
      <c r="V169" s="59" t="n">
        <f aca="false">V151+V152-V153</f>
        <v>0</v>
      </c>
      <c r="W169" s="59" t="n">
        <f aca="false">W151+W152-W153</f>
        <v>0</v>
      </c>
      <c r="X169" s="59" t="n">
        <f aca="false">X151+X152-X153</f>
        <v>0</v>
      </c>
      <c r="Y169" s="59" t="n">
        <f aca="false">Y151+Y152-Y153</f>
        <v>0</v>
      </c>
      <c r="Z169" s="59" t="n">
        <f aca="false">Z151+Z152-Z153</f>
        <v>0</v>
      </c>
      <c r="AA169" s="59" t="n">
        <f aca="false">AA151+AA152-AA153</f>
        <v>0</v>
      </c>
      <c r="AB169" s="59" t="n">
        <f aca="false">AB151+AB152-AB153</f>
        <v>0</v>
      </c>
      <c r="AC169" s="59" t="n">
        <f aca="false">AC151+AC152-AC153</f>
        <v>0</v>
      </c>
      <c r="AD169" s="59" t="n">
        <f aca="false">AD151+AD152-AD153</f>
        <v>0</v>
      </c>
      <c r="AE169" s="59" t="n">
        <f aca="false">AE151+AE152-AE153</f>
        <v>0</v>
      </c>
    </row>
    <row r="170" customFormat="false" ht="15" hidden="false" customHeight="false" outlineLevel="0" collapsed="false">
      <c r="A170" s="6" t="s">
        <v>528</v>
      </c>
      <c r="B170" s="23" t="s">
        <v>47</v>
      </c>
      <c r="C170" s="59" t="n">
        <f aca="false">C157-C156</f>
        <v>0</v>
      </c>
      <c r="D170" s="59" t="n">
        <f aca="false">D157-D156</f>
        <v>0.278464942281573</v>
      </c>
      <c r="E170" s="59" t="n">
        <f aca="false">E157-E156</f>
        <v>1.08196251116669</v>
      </c>
      <c r="F170" s="59" t="n">
        <f aca="false">F157-F156</f>
        <v>2.62965963393026</v>
      </c>
      <c r="G170" s="59" t="n">
        <f aca="false">G157-G156</f>
        <v>5.18900552633954</v>
      </c>
      <c r="H170" s="59" t="n">
        <f aca="false">H157-H156</f>
        <v>8.97874620925859</v>
      </c>
      <c r="I170" s="59" t="n">
        <f aca="false">I157-I156</f>
        <v>14.1581325131574</v>
      </c>
      <c r="J170" s="59" t="n">
        <f aca="false">J157-J156</f>
        <v>20.8662479904183</v>
      </c>
      <c r="K170" s="59" t="n">
        <f aca="false">K157-K156</f>
        <v>29.2314521573999</v>
      </c>
      <c r="L170" s="59" t="n">
        <f aca="false">L157-L156</f>
        <v>39.3942094334443</v>
      </c>
      <c r="M170" s="59" t="n">
        <f aca="false">M157-M156</f>
        <v>51.5707198777159</v>
      </c>
      <c r="N170" s="59" t="n">
        <f aca="false">N157-N156</f>
        <v>65.9330455965633</v>
      </c>
      <c r="O170" s="59" t="n">
        <f aca="false">O157-O156</f>
        <v>82.6085709631889</v>
      </c>
      <c r="P170" s="59" t="n">
        <f aca="false">P157-P156</f>
        <v>102.165739966502</v>
      </c>
      <c r="Q170" s="59" t="n">
        <f aca="false">Q157-Q156</f>
        <v>125.28968138954</v>
      </c>
      <c r="R170" s="59" t="n">
        <f aca="false">R157-R156</f>
        <v>152.600611021082</v>
      </c>
      <c r="S170" s="59" t="n">
        <f aca="false">S157-S156</f>
        <v>184.907887567211</v>
      </c>
      <c r="T170" s="59" t="n">
        <f aca="false">T157-T156</f>
        <v>222.879378930564</v>
      </c>
      <c r="U170" s="59" t="n">
        <f aca="false">U157-U156</f>
        <v>266.993682033448</v>
      </c>
      <c r="V170" s="59" t="n">
        <f aca="false">V157-V156</f>
        <v>317.673489744415</v>
      </c>
      <c r="W170" s="59" t="n">
        <f aca="false">W157-W156</f>
        <v>375.318929900985</v>
      </c>
      <c r="X170" s="59" t="n">
        <f aca="false">X157-X156</f>
        <v>440.395999619916</v>
      </c>
      <c r="Y170" s="59" t="n">
        <f aca="false">Y157-Y156</f>
        <v>513.67206315721</v>
      </c>
      <c r="Z170" s="59" t="n">
        <f aca="false">Z157-Z156</f>
        <v>595.772042979868</v>
      </c>
      <c r="AA170" s="59" t="n">
        <f aca="false">AA157-AA156</f>
        <v>1690.09380356965</v>
      </c>
      <c r="AB170" s="59" t="n">
        <f aca="false">AB157-AB156</f>
        <v>5269.20649623728</v>
      </c>
      <c r="AC170" s="59" t="n">
        <f aca="false">AC157-AC156</f>
        <v>12151.1124072588</v>
      </c>
      <c r="AD170" s="59" t="n">
        <f aca="false">AD157-AD156</f>
        <v>22891.3942748681</v>
      </c>
      <c r="AE170" s="59" t="n">
        <f aca="false">AE157-AE156</f>
        <v>37299.8524592803</v>
      </c>
    </row>
    <row r="171" customFormat="false" ht="15" hidden="false" customHeight="false" outlineLevel="0" collapsed="false">
      <c r="A171" s="6" t="s">
        <v>529</v>
      </c>
      <c r="B171" s="23" t="s">
        <v>114</v>
      </c>
      <c r="C171" s="55" t="n">
        <f aca="false">IF(C151=0,0,C159/C151)</f>
        <v>31.3278250354432</v>
      </c>
      <c r="D171" s="55" t="n">
        <f aca="false">IF(D151=0,0,D159/D151)</f>
        <v>47.6424680111073</v>
      </c>
      <c r="E171" s="55" t="n">
        <f aca="false">IF(E151=0,0,E159/E151)</f>
        <v>64.3154103938476</v>
      </c>
      <c r="F171" s="55" t="n">
        <f aca="false">IF(F151=0,0,F159/F151)</f>
        <v>77.8248596196364</v>
      </c>
      <c r="G171" s="55" t="n">
        <f aca="false">IF(G151=0,0,G159/G151)</f>
        <v>94.1050089121244</v>
      </c>
      <c r="H171" s="55" t="n">
        <f aca="false">IF(H151=0,0,H159/H151)</f>
        <v>112.934030059673</v>
      </c>
      <c r="I171" s="55" t="n">
        <f aca="false">IF(I151=0,0,I159/I151)</f>
        <v>131.836980616793</v>
      </c>
      <c r="J171" s="55" t="n">
        <f aca="false">IF(J151=0,0,J159/J151)</f>
        <v>150.396749112734</v>
      </c>
      <c r="K171" s="55" t="n">
        <f aca="false">IF(K151=0,0,K159/K151)</f>
        <v>167.192798357701</v>
      </c>
      <c r="L171" s="55" t="n">
        <f aca="false">IF(L151=0,0,L159/L151)</f>
        <v>178.009157536709</v>
      </c>
      <c r="M171" s="55" t="n">
        <f aca="false">IF(M151=0,0,M159/M151)</f>
        <v>192.153774429332</v>
      </c>
      <c r="N171" s="55" t="n">
        <f aca="false">IF(N151=0,0,N159/N151)</f>
        <v>209.577894438693</v>
      </c>
      <c r="O171" s="55" t="n">
        <f aca="false">IF(O151=0,0,O159/O151)</f>
        <v>198.03680606311</v>
      </c>
      <c r="P171" s="55" t="n">
        <f aca="false">IF(P151=0,0,P159/P151)</f>
        <v>189.789097401618</v>
      </c>
      <c r="Q171" s="55" t="n">
        <f aca="false">IF(Q151=0,0,Q159/Q151)</f>
        <v>190.794871758463</v>
      </c>
      <c r="R171" s="55" t="n">
        <f aca="false">IF(R151=0,0,R159/R151)</f>
        <v>189.138120354977</v>
      </c>
      <c r="S171" s="55" t="n">
        <f aca="false">IF(S151=0,0,S159/S151)</f>
        <v>195.280838738315</v>
      </c>
      <c r="T171" s="55" t="n">
        <f aca="false">IF(T151=0,0,T159/T151)</f>
        <v>207.701341139814</v>
      </c>
      <c r="U171" s="55" t="n">
        <f aca="false">IF(U151=0,0,U159/U151)</f>
        <v>221.520754820252</v>
      </c>
      <c r="V171" s="55" t="n">
        <f aca="false">IF(V151=0,0,V159/V151)</f>
        <v>235.676128118633</v>
      </c>
      <c r="W171" s="55" t="n">
        <f aca="false">IF(W151=0,0,W159/W151)</f>
        <v>247.938690059253</v>
      </c>
      <c r="X171" s="55" t="n">
        <f aca="false">IF(X151=0,0,X159/X151)</f>
        <v>252.455136994756</v>
      </c>
      <c r="Y171" s="55" t="n">
        <f aca="false">IF(Y151=0,0,Y159/Y151)</f>
        <v>261.458511125584</v>
      </c>
      <c r="Z171" s="55" t="n">
        <f aca="false">IF(Z151=0,0,Z159/Z151)</f>
        <v>274.925841249557</v>
      </c>
      <c r="AA171" s="55" t="n">
        <f aca="false">IF(AA151=0,0,AA159/AA151)</f>
        <v>507.11828277856</v>
      </c>
      <c r="AB171" s="55" t="n">
        <f aca="false">IF(AB151=0,0,AB159/AB151)</f>
        <v>663.780320460246</v>
      </c>
      <c r="AC171" s="55" t="n">
        <f aca="false">IF(AC151=0,0,AC159/AC151)</f>
        <v>804.147598793093</v>
      </c>
      <c r="AD171" s="55" t="n">
        <f aca="false">IF(AD151=0,0,AD159/AD151)</f>
        <v>977.083399027146</v>
      </c>
      <c r="AE171" s="55" t="n">
        <f aca="false">IF(AE151=0,0,AE159/AE151)</f>
        <v>1216.42773058504</v>
      </c>
    </row>
    <row r="172" customFormat="false" ht="15" hidden="false" customHeight="false" outlineLevel="0" collapsed="false">
      <c r="A172" s="6" t="s">
        <v>530</v>
      </c>
      <c r="B172" s="23" t="s">
        <v>114</v>
      </c>
      <c r="C172" s="55" t="n">
        <f aca="false">C45*C47+C85*C87+C125*C127</f>
        <v>0</v>
      </c>
      <c r="D172" s="55" t="n">
        <f aca="false">D45*D47+D85*D87+D125*D127</f>
        <v>0</v>
      </c>
      <c r="E172" s="55" t="n">
        <f aca="false">E45*E47+E85*E87+E125*E127</f>
        <v>0</v>
      </c>
      <c r="F172" s="55" t="n">
        <f aca="false">F45*F47+F85*F87+F125*F127</f>
        <v>0</v>
      </c>
      <c r="G172" s="55" t="n">
        <f aca="false">G45*G47+G85*G87+G125*G127</f>
        <v>0</v>
      </c>
      <c r="H172" s="55" t="n">
        <f aca="false">H45*H47+H85*H87+H125*H127</f>
        <v>0</v>
      </c>
      <c r="I172" s="55" t="n">
        <f aca="false">I45*I47+I85*I87+I125*I127</f>
        <v>0</v>
      </c>
      <c r="J172" s="55" t="n">
        <f aca="false">J45*J47+J85*J87+J125*J127</f>
        <v>0</v>
      </c>
      <c r="K172" s="55" t="n">
        <f aca="false">K45*K47+K85*K87+K125*K127</f>
        <v>0</v>
      </c>
      <c r="L172" s="55" t="n">
        <f aca="false">L45*L47+L85*L87+L125*L127</f>
        <v>0</v>
      </c>
      <c r="M172" s="55" t="n">
        <f aca="false">M45*M47+M85*M87+M125*M127</f>
        <v>0</v>
      </c>
      <c r="N172" s="55" t="n">
        <f aca="false">N45*N47+N85*N87+N125*N127</f>
        <v>0</v>
      </c>
      <c r="O172" s="55" t="n">
        <f aca="false">O45*O47+O85*O87+O125*O127</f>
        <v>12935.6793312176</v>
      </c>
      <c r="P172" s="55" t="n">
        <f aca="false">P45*P47+P85*P87+P125*P127</f>
        <v>14663.034884717</v>
      </c>
      <c r="Q172" s="55" t="n">
        <f aca="false">Q45*Q47+Q85*Q87+Q125*Q127</f>
        <v>16896.4859671467</v>
      </c>
      <c r="R172" s="55" t="n">
        <f aca="false">R45*R47+R85*R87+R125*R127</f>
        <v>18875.0932009415</v>
      </c>
      <c r="S172" s="55" t="n">
        <f aca="false">S45*S47+S85*S87+S125*S127</f>
        <v>21844.2941730388</v>
      </c>
      <c r="T172" s="55" t="n">
        <f aca="false">T45*T47+T85*T87+T125*T127</f>
        <v>26570.5662674001</v>
      </c>
      <c r="U172" s="55" t="n">
        <f aca="false">U45*U47+U85*U87+U125*U127</f>
        <v>31595.8576226907</v>
      </c>
      <c r="V172" s="55" t="n">
        <f aca="false">V45*V47+V85*V87+V125*V127</f>
        <v>36645.3842379759</v>
      </c>
      <c r="W172" s="55" t="n">
        <f aca="false">W45*W47+W85*W87+W125*W127</f>
        <v>49808.0217115028</v>
      </c>
      <c r="X172" s="55" t="n">
        <f aca="false">X45*X47+X85*X87+X125*X127</f>
        <v>61896.4005863699</v>
      </c>
      <c r="Y172" s="55" t="n">
        <f aca="false">Y45*Y47+Y85*Y87+Y125*Y127</f>
        <v>75425.6810195245</v>
      </c>
      <c r="Z172" s="55" t="n">
        <f aca="false">Z45*Z47+Z85*Z87+Z125*Z127</f>
        <v>94463.0078507276</v>
      </c>
      <c r="AA172" s="55" t="n">
        <f aca="false">AA45*AA47+AA85*AA87+AA125*AA127</f>
        <v>868199.624902877</v>
      </c>
      <c r="AB172" s="55" t="n">
        <f aca="false">AB45*AB47+AB85*AB87+AB125*AB127</f>
        <v>2096491.20591804</v>
      </c>
      <c r="AC172" s="55" t="n">
        <f aca="false">AC45*AC47+AC85*AC87+AC125*AC127</f>
        <v>4094601.94562441</v>
      </c>
      <c r="AD172" s="55" t="n">
        <f aca="false">AD45*AD47+AD85*AD87+AD125*AD127</f>
        <v>7091663.27941726</v>
      </c>
      <c r="AE172" s="55" t="n">
        <f aca="false">AE45*AE47+AE85*AE87+AE125*AE127</f>
        <v>11364215.4710321</v>
      </c>
    </row>
    <row r="173" customFormat="false" ht="15" hidden="false" customHeight="false" outlineLevel="0" collapsed="false">
      <c r="A173" s="6" t="s">
        <v>531</v>
      </c>
      <c r="B173" s="23" t="s">
        <v>455</v>
      </c>
      <c r="C173" s="60" t="n">
        <f aca="false">IF(C172=0,0,((C51+C91+C131)/C7)/C172)</f>
        <v>0</v>
      </c>
      <c r="D173" s="60" t="n">
        <f aca="false">IF(D172=0,0,((D51+D91+D131)/D7)/D172)</f>
        <v>0</v>
      </c>
      <c r="E173" s="60" t="n">
        <f aca="false">IF(E172=0,0,((E51+E91+E131)/E7)/E172)</f>
        <v>0</v>
      </c>
      <c r="F173" s="60" t="n">
        <f aca="false">IF(F172=0,0,((F51+F91+F131)/F7)/F172)</f>
        <v>0</v>
      </c>
      <c r="G173" s="60" t="n">
        <f aca="false">IF(G172=0,0,((G51+G91+G131)/G7)/G172)</f>
        <v>0</v>
      </c>
      <c r="H173" s="60" t="n">
        <f aca="false">IF(H172=0,0,((H51+H91+H131)/H7)/H172)</f>
        <v>0</v>
      </c>
      <c r="I173" s="60" t="n">
        <f aca="false">IF(I172=0,0,((I51+I91+I131)/I7)/I172)</f>
        <v>0</v>
      </c>
      <c r="J173" s="60" t="n">
        <f aca="false">IF(J172=0,0,((J51+J91+J131)/J7)/J172)</f>
        <v>0</v>
      </c>
      <c r="K173" s="60" t="n">
        <f aca="false">IF(K172=0,0,((K51+K91+K131)/K7)/K172)</f>
        <v>0</v>
      </c>
      <c r="L173" s="60" t="n">
        <f aca="false">IF(L172=0,0,((L51+L91+L131)/L7)/L172)</f>
        <v>0</v>
      </c>
      <c r="M173" s="60" t="n">
        <f aca="false">IF(M172=0,0,((M51+M91+M131)/M7)/M172)</f>
        <v>0</v>
      </c>
      <c r="N173" s="60" t="n">
        <f aca="false">IF(N172=0,0,((N51+N91+N131)/N7)/N172)</f>
        <v>0</v>
      </c>
      <c r="O173" s="60" t="n">
        <f aca="false">IF(O172=0,0,((O51+O91+O131)/O7)/O172)</f>
        <v>0.0746375882979241</v>
      </c>
      <c r="P173" s="60" t="n">
        <f aca="false">IF(P172=0,0,((P51+P91+P131)/P7)/P172)</f>
        <v>0.0682029271045654</v>
      </c>
      <c r="Q173" s="60" t="n">
        <f aca="false">IF(Q172=0,0,((Q51+Q91+Q131)/Q7)/Q172)</f>
        <v>0.0665246797726199</v>
      </c>
      <c r="R173" s="60" t="n">
        <f aca="false">IF(R172=0,0,((R51+R91+R131)/R7)/R172)</f>
        <v>0.0664843501161447</v>
      </c>
      <c r="S173" s="60" t="n">
        <f aca="false">IF(S172=0,0,((S51+S91+S131)/S7)/S172)</f>
        <v>0.0671790829937658</v>
      </c>
      <c r="T173" s="60" t="n">
        <f aca="false">IF(T172=0,0,((T51+T91+T131)/T7)/T172)</f>
        <v>0.0627215097426908</v>
      </c>
      <c r="U173" s="60" t="n">
        <f aca="false">IF(U172=0,0,((U51+U91+U131)/U7)/U172)</f>
        <v>0.0570172490596312</v>
      </c>
      <c r="V173" s="60" t="n">
        <f aca="false">IF(V172=0,0,((V51+V91+V131)/V7)/V172)</f>
        <v>0.0572189334945259</v>
      </c>
      <c r="W173" s="60" t="n">
        <f aca="false">IF(W172=0,0,((W51+W91+W131)/W7)/W172)</f>
        <v>0.0626218996231239</v>
      </c>
      <c r="X173" s="60" t="n">
        <f aca="false">IF(X172=0,0,((X51+X91+X131)/X7)/X172)</f>
        <v>0.0634864201324471</v>
      </c>
      <c r="Y173" s="60" t="n">
        <f aca="false">IF(Y172=0,0,((Y51+Y91+Y131)/Y7)/Y172)</f>
        <v>0.0646007208108897</v>
      </c>
      <c r="Z173" s="60" t="n">
        <f aca="false">IF(Z172=0,0,((Z51+Z91+Z131)/Z7)/Z172)</f>
        <v>0.0689691418875397</v>
      </c>
      <c r="AA173" s="60" t="n">
        <f aca="false">IF(AA172=0,0,((AA51+AA91+AA131)/AA7)/AA172)</f>
        <v>0.050994661622783</v>
      </c>
      <c r="AB173" s="60" t="n">
        <f aca="false">IF(AB172=0,0,((AB51+AB91+AB131)/AB7)/AB172)</f>
        <v>0.0449241240886458</v>
      </c>
      <c r="AC173" s="60" t="n">
        <f aca="false">IF(AC172=0,0,((AC51+AC91+AC131)/AC7)/AC172)</f>
        <v>0.0399594387450054</v>
      </c>
      <c r="AD173" s="60" t="n">
        <f aca="false">IF(AD172=0,0,((AD51+AD91+AD131)/AD7)/AD172)</f>
        <v>0.034717712955696</v>
      </c>
      <c r="AE173" s="60" t="n">
        <f aca="false">IF(AE172=0,0,((AE51+AE91+AE131)/AE7)/AE172)</f>
        <v>0.0290220629984421</v>
      </c>
    </row>
    <row r="175" customFormat="false" ht="15" hidden="false" customHeight="false" outlineLevel="0" collapsed="false">
      <c r="A175" s="6" t="s">
        <v>117</v>
      </c>
      <c r="B175" s="23" t="s">
        <v>114</v>
      </c>
      <c r="C175" s="55" t="n">
        <f aca="false">C54+C94+C134</f>
        <v>391.117663509693</v>
      </c>
      <c r="D175" s="55" t="n">
        <f aca="false">D54+D94+D134</f>
        <v>743.441533946926</v>
      </c>
      <c r="E175" s="55" t="n">
        <f aca="false">E54+E94+E134</f>
        <v>1062.78529592104</v>
      </c>
      <c r="F175" s="55" t="n">
        <f aca="false">F54+F94+F134</f>
        <v>1455.01680379848</v>
      </c>
      <c r="G175" s="55" t="n">
        <f aca="false">G54+G94+G134</f>
        <v>1785.20739824728</v>
      </c>
      <c r="H175" s="55" t="n">
        <f aca="false">H54+H94+H134</f>
        <v>2037.2758806589</v>
      </c>
      <c r="I175" s="55" t="n">
        <f aca="false">I54+I94+I134</f>
        <v>2265.2184589206</v>
      </c>
      <c r="J175" s="55" t="n">
        <f aca="false">J54+J94+J134</f>
        <v>2481.77000275631</v>
      </c>
      <c r="K175" s="55" t="n">
        <f aca="false">K54+K94+K134</f>
        <v>2718.19750290084</v>
      </c>
      <c r="L175" s="55" t="n">
        <f aca="false">L54+L94+L134</f>
        <v>3065.48417380096</v>
      </c>
      <c r="M175" s="55" t="n">
        <f aca="false">M54+M94+M134</f>
        <v>3356.92081296287</v>
      </c>
      <c r="N175" s="55" t="n">
        <f aca="false">N54+N94+N134</f>
        <v>3580.07691539052</v>
      </c>
      <c r="O175" s="55" t="n">
        <f aca="false">O54+O94+O134</f>
        <v>4793.08368605366</v>
      </c>
      <c r="P175" s="55" t="n">
        <f aca="false">P54+P94+P134</f>
        <v>5908.28338027476</v>
      </c>
      <c r="Q175" s="55" t="n">
        <f aca="false">Q54+Q94+Q134</f>
        <v>6938.90813394099</v>
      </c>
      <c r="R175" s="55" t="n">
        <f aca="false">R54+R94+R134</f>
        <v>8278.12685952212</v>
      </c>
      <c r="S175" s="55" t="n">
        <f aca="false">S54+S94+S134</f>
        <v>9426.08960474313</v>
      </c>
      <c r="T175" s="55" t="n">
        <f aca="false">T54+T94+T134</f>
        <v>10303.9066532203</v>
      </c>
      <c r="U175" s="55" t="n">
        <f aca="false">U54+U94+U134</f>
        <v>11110.6715650194</v>
      </c>
      <c r="V175" s="55" t="n">
        <f aca="false">V54+V94+V134</f>
        <v>11893.5741593741</v>
      </c>
      <c r="W175" s="55" t="n">
        <f aca="false">W54+W94+W134</f>
        <v>12778.8719623681</v>
      </c>
      <c r="X175" s="55" t="n">
        <f aca="false">X54+X94+X134</f>
        <v>14148.8150312871</v>
      </c>
      <c r="Y175" s="55" t="n">
        <f aca="false">Y54+Y94+Y134</f>
        <v>15328.2449586272</v>
      </c>
      <c r="Z175" s="55" t="n">
        <f aca="false">Z54+Z94+Z134</f>
        <v>16248.7593821359</v>
      </c>
      <c r="AA175" s="55" t="n">
        <f aca="false">AA54+AA94+AA134</f>
        <v>372337.92343287</v>
      </c>
      <c r="AB175" s="55" t="n">
        <f aca="false">AB54+AB94+AB134</f>
        <v>605536.71741992</v>
      </c>
      <c r="AC175" s="55" t="n">
        <f aca="false">AC54+AC94+AC134</f>
        <v>869531.012354416</v>
      </c>
      <c r="AD175" s="55" t="n">
        <f aca="false">AD54+AD94+AD134</f>
        <v>1078972.99760021</v>
      </c>
      <c r="AE175" s="55" t="n">
        <f aca="false">AE54+AE94+AE134</f>
        <v>1164459.52217361</v>
      </c>
    </row>
    <row r="176" customFormat="false" ht="15" hidden="false" customHeight="false" outlineLevel="0" collapsed="false">
      <c r="A176" s="6" t="s">
        <v>120</v>
      </c>
      <c r="B176" s="23" t="s">
        <v>114</v>
      </c>
      <c r="C176" s="55" t="n">
        <f aca="false">C55+C95+C135</f>
        <v>29.751025923767</v>
      </c>
      <c r="D176" s="55" t="n">
        <f aca="false">D55+D95+D135</f>
        <v>56.5532994307766</v>
      </c>
      <c r="E176" s="55" t="n">
        <f aca="false">E55+E95+E135</f>
        <v>80.8486563667288</v>
      </c>
      <c r="F176" s="55" t="n">
        <f aca="false">F55+F95+F135</f>
        <v>110.691512538695</v>
      </c>
      <c r="G176" s="55" t="n">
        <f aca="false">G55+G95+G135</f>
        <v>135.816721661515</v>
      </c>
      <c r="H176" s="55" t="n">
        <f aca="false">H55+H95+H135</f>
        <v>154.999605098433</v>
      </c>
      <c r="I176" s="55" t="n">
        <f aca="false">I55+I95+I135</f>
        <v>172.348193302246</v>
      </c>
      <c r="J176" s="55" t="n">
        <f aca="false">J55+J95+J135</f>
        <v>188.83142230981</v>
      </c>
      <c r="K176" s="55" t="n">
        <f aca="false">K55+K95+K135</f>
        <v>206.828969633334</v>
      </c>
      <c r="L176" s="55" t="n">
        <f aca="false">L55+L95+L135</f>
        <v>233.26654805063</v>
      </c>
      <c r="M176" s="55" t="n">
        <f aca="false">M55+M95+M135</f>
        <v>255.45604782699</v>
      </c>
      <c r="N176" s="55" t="n">
        <f aca="false">N55+N95+N135</f>
        <v>272.450153239912</v>
      </c>
      <c r="O176" s="55" t="n">
        <f aca="false">O55+O95+O135</f>
        <v>365.252598064191</v>
      </c>
      <c r="P176" s="55" t="n">
        <f aca="false">P55+P95+P135</f>
        <v>450.603094628631</v>
      </c>
      <c r="Q176" s="55" t="n">
        <f aca="false">Q55+Q95+Q135</f>
        <v>529.510490787603</v>
      </c>
      <c r="R176" s="55" t="n">
        <f aca="false">R55+R95+R135</f>
        <v>632.056934177997</v>
      </c>
      <c r="S176" s="55" t="n">
        <f aca="false">S55+S95+S135</f>
        <v>720.007220437696</v>
      </c>
      <c r="T176" s="55" t="n">
        <f aca="false">T55+T95+T135</f>
        <v>787.309244116775</v>
      </c>
      <c r="U176" s="55" t="n">
        <f aca="false">U55+U95+U135</f>
        <v>849.195845210995</v>
      </c>
      <c r="V176" s="55" t="n">
        <f aca="false">V55+V95+V135</f>
        <v>909.279635037379</v>
      </c>
      <c r="W176" s="55" t="n">
        <f aca="false">W55+W95+W135</f>
        <v>977.237030156217</v>
      </c>
      <c r="X176" s="55" t="n">
        <f aca="false">X55+X95+X135</f>
        <v>1082.38281909407</v>
      </c>
      <c r="Y176" s="55" t="n">
        <f aca="false">Y55+Y95+Y135</f>
        <v>1172.98301573145</v>
      </c>
      <c r="Z176" s="55" t="n">
        <f aca="false">Z55+Z95+Z135</f>
        <v>1243.77367461072</v>
      </c>
      <c r="AA176" s="55" t="n">
        <f aca="false">AA55+AA95+AA135</f>
        <v>28721.6704419004</v>
      </c>
      <c r="AB176" s="55" t="n">
        <f aca="false">AB55+AB95+AB135</f>
        <v>46988.2201591933</v>
      </c>
      <c r="AC176" s="55" t="n">
        <f aca="false">AC55+AC95+AC135</f>
        <v>68029.9909833698</v>
      </c>
      <c r="AD176" s="55" t="n">
        <f aca="false">AD55+AD95+AD135</f>
        <v>85336.4431777994</v>
      </c>
      <c r="AE176" s="55" t="n">
        <f aca="false">AE55+AE95+AE135</f>
        <v>93518.4402319574</v>
      </c>
    </row>
    <row r="177" customFormat="false" ht="15" hidden="false" customHeight="false" outlineLevel="0" collapsed="false">
      <c r="A177" s="6" t="s">
        <v>126</v>
      </c>
      <c r="B177" s="23" t="s">
        <v>114</v>
      </c>
      <c r="C177" s="55" t="n">
        <f aca="false">C56+C96+C136</f>
        <v>0</v>
      </c>
      <c r="D177" s="55" t="n">
        <f aca="false">D56+D96+D136</f>
        <v>0</v>
      </c>
      <c r="E177" s="55" t="n">
        <f aca="false">E56+E96+E136</f>
        <v>0</v>
      </c>
      <c r="F177" s="55" t="n">
        <f aca="false">F56+F96+F136</f>
        <v>0</v>
      </c>
      <c r="G177" s="55" t="n">
        <f aca="false">G56+G96+G136</f>
        <v>0</v>
      </c>
      <c r="H177" s="55" t="n">
        <f aca="false">H56+H96+H136</f>
        <v>0</v>
      </c>
      <c r="I177" s="55" t="n">
        <f aca="false">I56+I96+I136</f>
        <v>0</v>
      </c>
      <c r="J177" s="55" t="n">
        <f aca="false">J56+J96+J136</f>
        <v>0</v>
      </c>
      <c r="K177" s="55" t="n">
        <f aca="false">K56+K96+K136</f>
        <v>0</v>
      </c>
      <c r="L177" s="55" t="n">
        <f aca="false">L56+L96+L136</f>
        <v>0</v>
      </c>
      <c r="M177" s="55" t="n">
        <f aca="false">M56+M96+M136</f>
        <v>0</v>
      </c>
      <c r="N177" s="55" t="n">
        <f aca="false">N56+N96+N136</f>
        <v>0</v>
      </c>
      <c r="O177" s="55" t="n">
        <f aca="false">O56+O96+O136</f>
        <v>6.95151293959719</v>
      </c>
      <c r="P177" s="55" t="n">
        <f aca="false">P56+P96+P136</f>
        <v>7.2004456754932</v>
      </c>
      <c r="Q177" s="55" t="n">
        <f aca="false">Q56+Q96+Q136</f>
        <v>8.09303989137838</v>
      </c>
      <c r="R177" s="55" t="n">
        <f aca="false">R56+R96+R136</f>
        <v>9.03526779489304</v>
      </c>
      <c r="S177" s="55" t="n">
        <f aca="false">S56+S96+S136</f>
        <v>10.5658534885738</v>
      </c>
      <c r="T177" s="55" t="n">
        <f aca="false">T56+T96+T136</f>
        <v>11.9991314232688</v>
      </c>
      <c r="U177" s="55" t="n">
        <f aca="false">U56+U96+U136</f>
        <v>12.9708639599443</v>
      </c>
      <c r="V177" s="55" t="n">
        <f aca="false">V56+V96+V136</f>
        <v>15.0970305858774</v>
      </c>
      <c r="W177" s="55" t="n">
        <f aca="false">W56+W96+W136</f>
        <v>22.4573251395176</v>
      </c>
      <c r="X177" s="55" t="n">
        <f aca="false">X56+X96+X136</f>
        <v>28.2929824246501</v>
      </c>
      <c r="Y177" s="55" t="n">
        <f aca="false">Y56+Y96+Y136</f>
        <v>35.0823842028974</v>
      </c>
      <c r="Z177" s="55" t="n">
        <f aca="false">Z56+Z96+Z136</f>
        <v>46.9082346593803</v>
      </c>
      <c r="AA177" s="55" t="n">
        <f aca="false">AA56+AA96+AA136</f>
        <v>3825.23438243083</v>
      </c>
      <c r="AB177" s="55" t="n">
        <f aca="false">AB56+AB96+AB136</f>
        <v>8137.41388577998</v>
      </c>
      <c r="AC177" s="55" t="n">
        <f aca="false">AC56+AC96+AC136</f>
        <v>14136.5948225494</v>
      </c>
      <c r="AD177" s="55" t="n">
        <f aca="false">AD56+AD96+AD136</f>
        <v>21272.2269217855</v>
      </c>
      <c r="AE177" s="55" t="n">
        <f aca="false">AE56+AE96+AE136</f>
        <v>28495.8412411533</v>
      </c>
    </row>
    <row r="178" customFormat="false" ht="15" hidden="false" customHeight="false" outlineLevel="0" collapsed="false">
      <c r="A178" s="6" t="s">
        <v>124</v>
      </c>
      <c r="B178" s="23" t="s">
        <v>114</v>
      </c>
      <c r="C178" s="55" t="n">
        <f aca="false">C58+C98+C138</f>
        <v>0</v>
      </c>
      <c r="D178" s="55" t="n">
        <f aca="false">D58+D98+D138</f>
        <v>0</v>
      </c>
      <c r="E178" s="55" t="n">
        <f aca="false">E58+E98+E138</f>
        <v>0</v>
      </c>
      <c r="F178" s="55" t="n">
        <f aca="false">F58+F98+F138</f>
        <v>0</v>
      </c>
      <c r="G178" s="55" t="n">
        <f aca="false">G58+G98+G138</f>
        <v>0</v>
      </c>
      <c r="H178" s="55" t="n">
        <f aca="false">H58+H98+H138</f>
        <v>0</v>
      </c>
      <c r="I178" s="55" t="n">
        <f aca="false">I58+I98+I138</f>
        <v>153.172898297729</v>
      </c>
      <c r="J178" s="55" t="n">
        <f aca="false">J58+J98+J138</f>
        <v>295.30012014544</v>
      </c>
      <c r="K178" s="55" t="n">
        <f aca="false">K58+K98+K138</f>
        <v>441.555719947529</v>
      </c>
      <c r="L178" s="55" t="n">
        <f aca="false">L58+L98+L138</f>
        <v>634.719749721356</v>
      </c>
      <c r="M178" s="55" t="n">
        <f aca="false">M58+M98+M138</f>
        <v>795.880342660589</v>
      </c>
      <c r="N178" s="55" t="n">
        <f aca="false">N58+N98+N138</f>
        <v>920.221121657484</v>
      </c>
      <c r="O178" s="55" t="n">
        <f aca="false">O58+O98+O138</f>
        <v>1512.61698013744</v>
      </c>
      <c r="P178" s="55" t="n">
        <f aca="false">P58+P98+P138</f>
        <v>2044.44192769832</v>
      </c>
      <c r="Q178" s="55" t="n">
        <f aca="false">Q58+Q98+Q138</f>
        <v>2524.02449302663</v>
      </c>
      <c r="R178" s="55" t="n">
        <f aca="false">R58+R98+R138</f>
        <v>3139.60941723254</v>
      </c>
      <c r="S178" s="55" t="n">
        <f aca="false">S58+S98+S138</f>
        <v>3651.54405386688</v>
      </c>
      <c r="T178" s="55" t="n">
        <f aca="false">T58+T98+T138</f>
        <v>4025.38116280715</v>
      </c>
      <c r="U178" s="55" t="n">
        <f aca="false">U58+U98+U138</f>
        <v>4359.14900765061</v>
      </c>
      <c r="V178" s="55" t="n">
        <f aca="false">V58+V98+V138</f>
        <v>4676.44010151303</v>
      </c>
      <c r="W178" s="55" t="n">
        <f aca="false">W58+W98+W138</f>
        <v>5037.75192684135</v>
      </c>
      <c r="X178" s="55" t="n">
        <f aca="false">X58+X98+X138</f>
        <v>5623.58034658375</v>
      </c>
      <c r="Y178" s="55" t="n">
        <f aca="false">Y58+Y98+Y138</f>
        <v>6108.91215140708</v>
      </c>
      <c r="Z178" s="55" t="n">
        <f aca="false">Z58+Z98+Z138</f>
        <v>6464.07877670826</v>
      </c>
      <c r="AA178" s="55" t="n">
        <f aca="false">AA58+AA98+AA138</f>
        <v>141974.054911269</v>
      </c>
      <c r="AB178" s="55" t="n">
        <f aca="false">AB58+AB98+AB138</f>
        <v>224673.876051319</v>
      </c>
      <c r="AC178" s="55" t="n">
        <f aca="false">AC58+AC98+AC138</f>
        <v>314629.292317026</v>
      </c>
      <c r="AD178" s="55" t="n">
        <f aca="false">AD58+AD98+AD138</f>
        <v>377650.725254233</v>
      </c>
      <c r="AE178" s="55" t="n">
        <f aca="false">AE58+AE98+AE138</f>
        <v>390321.074747111</v>
      </c>
    </row>
    <row r="179" customFormat="false" ht="15" hidden="false" customHeight="false" outlineLevel="0" collapsed="false">
      <c r="A179" s="6" t="s">
        <v>128</v>
      </c>
      <c r="B179" s="23" t="s">
        <v>114</v>
      </c>
      <c r="C179" s="55" t="n">
        <f aca="false">C59+C99+C139</f>
        <v>0</v>
      </c>
      <c r="D179" s="55" t="n">
        <f aca="false">D59+D99+D139</f>
        <v>0</v>
      </c>
      <c r="E179" s="55" t="n">
        <f aca="false">E59+E99+E139</f>
        <v>0</v>
      </c>
      <c r="F179" s="55" t="n">
        <f aca="false">F59+F99+F139</f>
        <v>0</v>
      </c>
      <c r="G179" s="55" t="n">
        <f aca="false">G59+G99+G139</f>
        <v>0</v>
      </c>
      <c r="H179" s="55" t="n">
        <f aca="false">H59+H99+H139</f>
        <v>0</v>
      </c>
      <c r="I179" s="55" t="n">
        <f aca="false">I59+I99+I139</f>
        <v>0</v>
      </c>
      <c r="J179" s="55" t="n">
        <f aca="false">J59+J99+J139</f>
        <v>0</v>
      </c>
      <c r="K179" s="55" t="n">
        <f aca="false">K59+K99+K139</f>
        <v>0</v>
      </c>
      <c r="L179" s="55" t="n">
        <f aca="false">L59+L99+L139</f>
        <v>0</v>
      </c>
      <c r="M179" s="55" t="n">
        <f aca="false">M59+M99+M139</f>
        <v>0</v>
      </c>
      <c r="N179" s="55" t="n">
        <f aca="false">N59+N99+N139</f>
        <v>0</v>
      </c>
      <c r="O179" s="55" t="n">
        <f aca="false">O59+O99+O139</f>
        <v>397.784727490492</v>
      </c>
      <c r="P179" s="55" t="n">
        <f aca="false">P59+P99+P139</f>
        <v>466.556887668193</v>
      </c>
      <c r="Q179" s="55" t="n">
        <f aca="false">Q59+Q99+Q139</f>
        <v>531.914235317313</v>
      </c>
      <c r="R179" s="55" t="n">
        <f aca="false">R59+R99+R139</f>
        <v>598.272973456393</v>
      </c>
      <c r="S179" s="55" t="n">
        <f aca="false">S59+S99+S139</f>
        <v>669.246768656881</v>
      </c>
      <c r="T179" s="55" t="n">
        <f aca="false">T59+T99+T139</f>
        <v>767.735185843886</v>
      </c>
      <c r="U179" s="55" t="n">
        <f aca="false">U59+U99+U139</f>
        <v>852.815990898203</v>
      </c>
      <c r="V179" s="55" t="n">
        <f aca="false">V59+V99+V139</f>
        <v>925.086375776063</v>
      </c>
      <c r="W179" s="55" t="n">
        <f aca="false">W59+W99+W139</f>
        <v>1194.17118094969</v>
      </c>
      <c r="X179" s="55" t="n">
        <f aca="false">X59+X99+X139</f>
        <v>1466.94867717464</v>
      </c>
      <c r="Y179" s="55" t="n">
        <f aca="false">Y59+Y99+Y139</f>
        <v>1725.88300617919</v>
      </c>
      <c r="Z179" s="55" t="n">
        <f aca="false">Z59+Z99+Z139</f>
        <v>2047.23847537257</v>
      </c>
      <c r="AA179" s="55" t="n">
        <f aca="false">AA59+AA99+AA139</f>
        <v>119219.106857093</v>
      </c>
      <c r="AB179" s="55" t="n">
        <f aca="false">AB59+AB99+AB139</f>
        <v>214155.414462023</v>
      </c>
      <c r="AC179" s="55" t="n">
        <f aca="false">AC59+AC99+AC139</f>
        <v>337160.003881603</v>
      </c>
      <c r="AD179" s="55" t="n">
        <f aca="false">AD59+AD99+AD139</f>
        <v>467676.818363106</v>
      </c>
      <c r="AE179" s="55" t="n">
        <f aca="false">AE59+AE99+AE139</f>
        <v>582031.098402611</v>
      </c>
    </row>
    <row r="180" customFormat="false" ht="15" hidden="false" customHeight="false" outlineLevel="0" collapsed="false">
      <c r="A180" s="6" t="s">
        <v>130</v>
      </c>
      <c r="B180" s="23" t="s">
        <v>114</v>
      </c>
      <c r="C180" s="55" t="n">
        <f aca="false">C61+C101+C141</f>
        <v>0</v>
      </c>
      <c r="D180" s="55" t="n">
        <f aca="false">D61+D101+D141</f>
        <v>0</v>
      </c>
      <c r="E180" s="55" t="n">
        <f aca="false">E61+E101+E141</f>
        <v>0</v>
      </c>
      <c r="F180" s="55" t="n">
        <f aca="false">F61+F101+F141</f>
        <v>0</v>
      </c>
      <c r="G180" s="55" t="n">
        <f aca="false">G61+G101+G141</f>
        <v>0</v>
      </c>
      <c r="H180" s="55" t="n">
        <f aca="false">H61+H101+H141</f>
        <v>0</v>
      </c>
      <c r="I180" s="55" t="n">
        <f aca="false">I61+I101+I141</f>
        <v>0</v>
      </c>
      <c r="J180" s="55" t="n">
        <f aca="false">J61+J101+J141</f>
        <v>0</v>
      </c>
      <c r="K180" s="55" t="n">
        <f aca="false">K61+K101+K141</f>
        <v>0</v>
      </c>
      <c r="L180" s="55" t="n">
        <f aca="false">L61+L101+L141</f>
        <v>0</v>
      </c>
      <c r="M180" s="55" t="n">
        <f aca="false">M61+M101+M141</f>
        <v>0</v>
      </c>
      <c r="N180" s="55" t="n">
        <f aca="false">N61+N101+N141</f>
        <v>0</v>
      </c>
      <c r="O180" s="55" t="n">
        <f aca="false">O61+O101+O141</f>
        <v>5.18089176029794</v>
      </c>
      <c r="P180" s="55" t="n">
        <f aca="false">P61+P101+P141</f>
        <v>5.8984203835592</v>
      </c>
      <c r="Q180" s="55" t="n">
        <f aca="false">Q61+Q101+Q141</f>
        <v>6.76977363409486</v>
      </c>
      <c r="R180" s="55" t="n">
        <f aca="false">R61+R101+R141</f>
        <v>7.55864183022224</v>
      </c>
      <c r="S180" s="55" t="n">
        <f aca="false">S61+S101+S141</f>
        <v>8.67536127405267</v>
      </c>
      <c r="T180" s="55" t="n">
        <f aca="false">T61+T101+T141</f>
        <v>10.3987420839285</v>
      </c>
      <c r="U180" s="55" t="n">
        <f aca="false">U61+U101+U141</f>
        <v>12.1710922073762</v>
      </c>
      <c r="V180" s="55" t="n">
        <f aca="false">V61+V101+V141</f>
        <v>13.8934731378765</v>
      </c>
      <c r="W180" s="55" t="n">
        <f aca="false">W61+W101+W141</f>
        <v>18.6461060100501</v>
      </c>
      <c r="X180" s="55" t="n">
        <f aca="false">X61+X101+X141</f>
        <v>23.0538059688197</v>
      </c>
      <c r="Y180" s="55" t="n">
        <f aca="false">Y61+Y101+Y141</f>
        <v>27.8224580172722</v>
      </c>
      <c r="Z180" s="55" t="n">
        <f aca="false">Z61+Z101+Z141</f>
        <v>34.3605635798948</v>
      </c>
      <c r="AA180" s="55" t="n">
        <f aca="false">AA61+AA101+AA141</f>
        <v>3294.53948988058</v>
      </c>
      <c r="AB180" s="55" t="n">
        <f aca="false">AB61+AB101+AB141</f>
        <v>7191.90290147475</v>
      </c>
      <c r="AC180" s="55" t="n">
        <f aca="false">AC61+AC101+AC141</f>
        <v>12826.6121679154</v>
      </c>
      <c r="AD180" s="55" t="n">
        <f aca="false">AD61+AD101+AD141</f>
        <v>19984.7523171672</v>
      </c>
      <c r="AE180" s="55" t="n">
        <f aca="false">AE61+AE101+AE141</f>
        <v>28141.4770108984</v>
      </c>
    </row>
    <row r="181" customFormat="false" ht="15" hidden="false" customHeight="false" outlineLevel="0" collapsed="false">
      <c r="A181" s="6" t="s">
        <v>532</v>
      </c>
      <c r="B181" s="23" t="s">
        <v>498</v>
      </c>
      <c r="C181" s="45" t="n">
        <f aca="false">C62+C102+C142</f>
        <v>1.30814551913446</v>
      </c>
      <c r="D181" s="45" t="n">
        <f aca="false">D62+D102+D142</f>
        <v>2.58675306167188</v>
      </c>
      <c r="E181" s="45" t="n">
        <f aca="false">E62+E102+E142</f>
        <v>3.84532758451489</v>
      </c>
      <c r="F181" s="45" t="n">
        <f aca="false">F62+F102+F142</f>
        <v>5.42948684849851</v>
      </c>
      <c r="G181" s="45" t="n">
        <f aca="false">G62+G102+G142</f>
        <v>6.90664072243681</v>
      </c>
      <c r="H181" s="45" t="n">
        <f aca="false">H62+H102+H142</f>
        <v>8.20711921134805</v>
      </c>
      <c r="I181" s="45" t="n">
        <f aca="false">I62+I102+I142</f>
        <v>9.4914888654283</v>
      </c>
      <c r="J181" s="45" t="n">
        <f aca="false">J62+J102+J142</f>
        <v>10.7961561534234</v>
      </c>
      <c r="K181" s="45" t="n">
        <f aca="false">K62+K102+K142</f>
        <v>12.222761141226</v>
      </c>
      <c r="L181" s="45" t="n">
        <f aca="false">L62+L102+L142</f>
        <v>14.0806402241137</v>
      </c>
      <c r="M181" s="45" t="n">
        <f aca="false">M62+M102+M142</f>
        <v>15.8407051030053</v>
      </c>
      <c r="N181" s="45" t="n">
        <f aca="false">N62+N102+N142</f>
        <v>17.4470880900082</v>
      </c>
      <c r="O181" s="45" t="n">
        <f aca="false">O62+O102+O142</f>
        <v>22.4786493909802</v>
      </c>
      <c r="P181" s="45" t="n">
        <f aca="false">P62+P102+P142</f>
        <v>27.4939635137418</v>
      </c>
      <c r="Q181" s="45" t="n">
        <f aca="false">Q62+Q102+Q142</f>
        <v>32.5124331484969</v>
      </c>
      <c r="R181" s="45" t="n">
        <f aca="false">R62+R102+R142</f>
        <v>38.8432450770324</v>
      </c>
      <c r="S181" s="45" t="n">
        <f aca="false">S62+S102+S142</f>
        <v>44.8740180489433</v>
      </c>
      <c r="T181" s="45" t="n">
        <f aca="false">T62+T102+T142</f>
        <v>50.2880625958323</v>
      </c>
      <c r="U181" s="45" t="n">
        <f aca="false">U62+U102+U142</f>
        <v>55.6893647853302</v>
      </c>
      <c r="V181" s="45" t="n">
        <f aca="false">V62+V102+V142</f>
        <v>61.2192366475133</v>
      </c>
      <c r="W181" s="45" t="n">
        <f aca="false">W62+W102+W142</f>
        <v>67.2988878611282</v>
      </c>
      <c r="X181" s="45" t="n">
        <f aca="false">X62+X102+X142</f>
        <v>75.2488149546821</v>
      </c>
      <c r="Y181" s="45" t="n">
        <f aca="false">Y62+Y102+Y142</f>
        <v>82.9089521953463</v>
      </c>
      <c r="Z181" s="45" t="n">
        <f aca="false">Z62+Z102+Z142</f>
        <v>89.9983923144912</v>
      </c>
      <c r="AA181" s="45" t="n">
        <f aca="false">AA62+AA102+AA142</f>
        <v>2591.92136435562</v>
      </c>
      <c r="AB181" s="45" t="n">
        <f aca="false">AB62+AB102+AB142</f>
        <v>4943.7330569372</v>
      </c>
      <c r="AC181" s="45" t="n">
        <f aca="false">AC62+AC102+AC142</f>
        <v>8180.54942662806</v>
      </c>
      <c r="AD181" s="45" t="n">
        <f aca="false">AD62+AD102+AD142</f>
        <v>11963.6497746372</v>
      </c>
      <c r="AE181" s="45" t="n">
        <f aca="false">AE62+AE102+AE142</f>
        <v>15765.7267337119</v>
      </c>
    </row>
    <row r="182" customFormat="false" ht="15" hidden="false" customHeight="false" outlineLevel="0" collapsed="false">
      <c r="A182" s="6" t="s">
        <v>533</v>
      </c>
      <c r="B182" s="23" t="s">
        <v>498</v>
      </c>
      <c r="C182" s="45" t="n">
        <f aca="false">C53+C93+C133</f>
        <v>0</v>
      </c>
      <c r="D182" s="45" t="n">
        <f aca="false">D53+D93+D133</f>
        <v>0</v>
      </c>
      <c r="E182" s="45" t="n">
        <f aca="false">E53+E93+E133</f>
        <v>0</v>
      </c>
      <c r="F182" s="45" t="n">
        <f aca="false">F53+F93+F133</f>
        <v>0</v>
      </c>
      <c r="G182" s="45" t="n">
        <f aca="false">G53+G93+G133</f>
        <v>0</v>
      </c>
      <c r="H182" s="45" t="n">
        <f aca="false">H53+H93+H133</f>
        <v>0</v>
      </c>
      <c r="I182" s="45" t="n">
        <f aca="false">I53+I93+I133</f>
        <v>0</v>
      </c>
      <c r="J182" s="45" t="n">
        <f aca="false">J53+J93+J133</f>
        <v>0</v>
      </c>
      <c r="K182" s="45" t="n">
        <f aca="false">K53+K93+K133</f>
        <v>0</v>
      </c>
      <c r="L182" s="45" t="n">
        <f aca="false">L53+L93+L133</f>
        <v>0</v>
      </c>
      <c r="M182" s="45" t="n">
        <f aca="false">M53+M93+M133</f>
        <v>0</v>
      </c>
      <c r="N182" s="45" t="n">
        <f aca="false">N53+N93+N133</f>
        <v>0</v>
      </c>
      <c r="O182" s="45" t="n">
        <f aca="false">O53+O93+O133</f>
        <v>73.6926577093141</v>
      </c>
      <c r="P182" s="45" t="n">
        <f aca="false">P53+P93+P133</f>
        <v>86.8585893690684</v>
      </c>
      <c r="Q182" s="45" t="n">
        <f aca="false">Q53+Q93+Q133</f>
        <v>98.7293313749003</v>
      </c>
      <c r="R182" s="45" t="n">
        <f aca="false">R53+R93+R133</f>
        <v>110.929020613298</v>
      </c>
      <c r="S182" s="45" t="n">
        <f aca="false">S53+S93+S133</f>
        <v>123.115983464053</v>
      </c>
      <c r="T182" s="45" t="n">
        <f aca="false">T53+T93+T133</f>
        <v>138.506421271192</v>
      </c>
      <c r="U182" s="45" t="n">
        <f aca="false">U53+U93+U133</f>
        <v>151.711168687688</v>
      </c>
      <c r="V182" s="45" t="n">
        <f aca="false">V53+V93+V133</f>
        <v>162.45001557289</v>
      </c>
      <c r="W182" s="45" t="n">
        <f aca="false">W53+W93+W133</f>
        <v>208.88859552715</v>
      </c>
      <c r="X182" s="45" t="n">
        <f aca="false">X53+X93+X133</f>
        <v>254.794016498613</v>
      </c>
      <c r="Y182" s="45" t="n">
        <f aca="false">Y53+Y93+Y133</f>
        <v>297.404090122139</v>
      </c>
      <c r="Z182" s="45" t="n">
        <f aca="false">Z53+Z93+Z133</f>
        <v>349.408815912641</v>
      </c>
      <c r="AA182" s="45" t="n">
        <f aca="false">AA53+AA93+AA133</f>
        <v>17768.1468147179</v>
      </c>
      <c r="AB182" s="45" t="n">
        <f aca="false">AB53+AB93+AB133</f>
        <v>28877.2202122734</v>
      </c>
      <c r="AC182" s="45" t="n">
        <f aca="false">AC53+AC93+AC133</f>
        <v>41409.7294089689</v>
      </c>
      <c r="AD182" s="45" t="n">
        <f aca="false">AD53+AD93+AD133</f>
        <v>51283.1477379938</v>
      </c>
      <c r="AE182" s="45" t="n">
        <f aca="false">AE53+AE93+AE133</f>
        <v>55180.867270713</v>
      </c>
    </row>
    <row r="183" customFormat="false" ht="15" hidden="false" customHeight="false" outlineLevel="0" collapsed="false">
      <c r="A183" s="3" t="s">
        <v>534</v>
      </c>
      <c r="B183" s="23" t="s">
        <v>114</v>
      </c>
      <c r="C183" s="57" t="n">
        <f aca="false">C63+C103+C143+C147</f>
        <v>420.868689433461</v>
      </c>
      <c r="D183" s="57" t="n">
        <f aca="false">D63+D103+D143+D147</f>
        <v>799.994833377703</v>
      </c>
      <c r="E183" s="57" t="n">
        <f aca="false">E63+E103+E143+E147</f>
        <v>1143.63395228777</v>
      </c>
      <c r="F183" s="57" t="n">
        <f aca="false">F63+F103+F143+F147</f>
        <v>1565.70831633717</v>
      </c>
      <c r="G183" s="57" t="n">
        <f aca="false">G63+G103+G143+G147</f>
        <v>1921.0241199088</v>
      </c>
      <c r="H183" s="57" t="n">
        <f aca="false">H63+H103+H143+H147</f>
        <v>2192.27548575734</v>
      </c>
      <c r="I183" s="57" t="n">
        <f aca="false">I63+I103+I143+I147</f>
        <v>2590.73955052058</v>
      </c>
      <c r="J183" s="57" t="n">
        <f aca="false">J63+J103+J143+J147</f>
        <v>2965.90154521156</v>
      </c>
      <c r="K183" s="57" t="n">
        <f aca="false">K63+K103+K143+K147</f>
        <v>3366.5821924817</v>
      </c>
      <c r="L183" s="57" t="n">
        <f aca="false">L63+L103+L143+L147</f>
        <v>3933.47047157295</v>
      </c>
      <c r="M183" s="57" t="n">
        <f aca="false">M63+M103+M143+M147</f>
        <v>4408.25720345044</v>
      </c>
      <c r="N183" s="57" t="n">
        <f aca="false">N63+N103+N143+N147</f>
        <v>4772.74819028792</v>
      </c>
      <c r="O183" s="57" t="n">
        <f aca="false">O63+O103+O143+O147</f>
        <v>18893.3703964457</v>
      </c>
      <c r="P183" s="57" t="n">
        <f aca="false">P63+P103+P143+P147</f>
        <v>20695.484156329</v>
      </c>
      <c r="Q183" s="57" t="n">
        <f aca="false">Q63+Q103+Q143+Q147</f>
        <v>22351.720166598</v>
      </c>
      <c r="R183" s="57" t="n">
        <f aca="false">R63+R103+R143+R147</f>
        <v>24477.1600940142</v>
      </c>
      <c r="S183" s="57" t="n">
        <f aca="false">S63+S103+S143+S147</f>
        <v>26298.6288624672</v>
      </c>
      <c r="T183" s="57" t="n">
        <f aca="false">T63+T103+T143+T147</f>
        <v>27719.2301194953</v>
      </c>
      <c r="U183" s="57" t="n">
        <f aca="false">U63+U103+U143+U147</f>
        <v>29009.4743649465</v>
      </c>
      <c r="V183" s="57" t="n">
        <f aca="false">V63+V103+V143+V147</f>
        <v>30245.8707754243</v>
      </c>
      <c r="W183" s="57" t="n">
        <f aca="false">W63+W103+W143+W147</f>
        <v>31841.6355314649</v>
      </c>
      <c r="X183" s="57" t="n">
        <f aca="false">X63+X103+X143+X147</f>
        <v>34185.573662533</v>
      </c>
      <c r="Y183" s="57" t="n">
        <f aca="false">Y63+Y103+Y143+Y147</f>
        <v>36211.4279741651</v>
      </c>
      <c r="Z183" s="57" t="n">
        <f aca="false">Z63+Z103+Z143+Z147</f>
        <v>37897.6191070668</v>
      </c>
      <c r="AA183" s="57" t="n">
        <f aca="false">AA63+AA103+AA143+AA147</f>
        <v>1094622.52951544</v>
      </c>
      <c r="AB183" s="57" t="n">
        <f aca="false">AB63+AB103+AB143+AB147</f>
        <v>1815433.54487971</v>
      </c>
      <c r="AC183" s="57" t="n">
        <f aca="false">AC63+AC103+AC143+AC147</f>
        <v>2608563.50652688</v>
      </c>
      <c r="AD183" s="57" t="n">
        <f aca="false">AD63+AD103+AD143+AD147</f>
        <v>3326643.9636343</v>
      </c>
      <c r="AE183" s="57" t="n">
        <f aca="false">AE63+AE103+AE143+AE147</f>
        <v>3846217.45380734</v>
      </c>
    </row>
    <row r="184" customFormat="false" ht="15" hidden="false" customHeight="false" outlineLevel="0" collapsed="false">
      <c r="A184" s="6" t="s">
        <v>535</v>
      </c>
      <c r="B184" s="23" t="s">
        <v>114</v>
      </c>
      <c r="C184" s="55" t="n">
        <f aca="false">IF(C151=0,0,C183/C151/C7*12)</f>
        <v>20.0827846806157</v>
      </c>
      <c r="D184" s="55" t="n">
        <f aca="false">IF(D151=0,0,D183/D151/D7*12)</f>
        <v>20.0830552053803</v>
      </c>
      <c r="E184" s="55" t="n">
        <f aca="false">IF(E151=0,0,E183/E151/E7*12)</f>
        <v>20.0833181136022</v>
      </c>
      <c r="F184" s="55" t="n">
        <f aca="false">IF(F151=0,0,F183/F151/F7*12)</f>
        <v>20.0836282922871</v>
      </c>
      <c r="G184" s="55" t="n">
        <f aca="false">IF(G151=0,0,G183/G151/G7*12)</f>
        <v>20.083925607689</v>
      </c>
      <c r="H184" s="55" t="n">
        <f aca="false">IF(H151=0,0,H183/H151/H7*12)</f>
        <v>20.0841892276794</v>
      </c>
      <c r="I184" s="55" t="n">
        <f aca="false">IF(I151=0,0,I183/I151/I7*12)</f>
        <v>21.3465236698612</v>
      </c>
      <c r="J184" s="55" t="n">
        <f aca="false">IF(J151=0,0,J183/J151/J7*12)</f>
        <v>22.3055648843892</v>
      </c>
      <c r="K184" s="55" t="n">
        <f aca="false">IF(K151=0,0,K183/K151/K7*12)</f>
        <v>23.1169856208509</v>
      </c>
      <c r="L184" s="55" t="n">
        <f aca="false">IF(L151=0,0,L183/L151/L7*12)</f>
        <v>23.9500425978325</v>
      </c>
      <c r="M184" s="55" t="n">
        <f aca="false">IF(M151=0,0,M183/M151/M7*12)</f>
        <v>24.5110218433968</v>
      </c>
      <c r="N184" s="55" t="n">
        <f aca="false">IF(N151=0,0,N183/N151/N7*12)</f>
        <v>24.8838327975216</v>
      </c>
      <c r="O184" s="55" t="n">
        <f aca="false">IF(O151=0,0,O183/O151/O7*12)</f>
        <v>73.3124348154967</v>
      </c>
      <c r="P184" s="55" t="n">
        <f aca="false">IF(P151=0,0,P183/P151/P7*12)</f>
        <v>65.0170184699117</v>
      </c>
      <c r="Q184" s="55" t="n">
        <f aca="false">IF(Q151=0,0,Q183/Q151/Q7*12)</f>
        <v>59.7137938718404</v>
      </c>
      <c r="R184" s="55" t="n">
        <f aca="false">IF(R151=0,0,R183/R151/R7*12)</f>
        <v>54.7523759633767</v>
      </c>
      <c r="S184" s="55" t="n">
        <f aca="false">IF(S151=0,0,S183/S151/S7*12)</f>
        <v>51.6257171037036</v>
      </c>
      <c r="T184" s="55" t="n">
        <f aca="false">IF(T151=0,0,T183/T151/T7*12)</f>
        <v>49.7555293479593</v>
      </c>
      <c r="U184" s="55" t="n">
        <f aca="false">IF(U151=0,0,U183/U151/U7*12)</f>
        <v>48.2728193974336</v>
      </c>
      <c r="V184" s="55" t="n">
        <f aca="false">IF(V151=0,0,V183/V151/V7*12)</f>
        <v>47.0029581798528</v>
      </c>
      <c r="W184" s="55" t="n">
        <f aca="false">IF(W151=0,0,W183/W151/W7*12)</f>
        <v>46.0420876550498</v>
      </c>
      <c r="X184" s="55" t="n">
        <f aca="false">IF(X151=0,0,X183/X151/X7*12)</f>
        <v>44.6320658885785</v>
      </c>
      <c r="Y184" s="55" t="n">
        <f aca="false">IF(Y151=0,0,Y183/Y151/Y7*12)</f>
        <v>43.6299935544071</v>
      </c>
      <c r="Z184" s="55" t="n">
        <f aca="false">IF(Z151=0,0,Z183/Z151/Z7*12)</f>
        <v>43.0683103763294</v>
      </c>
      <c r="AA184" s="55" t="n">
        <f aca="false">IF(AA151=0,0,AA183/AA151/AA7*12)</f>
        <v>54.3053471664522</v>
      </c>
      <c r="AB184" s="55" t="n">
        <f aca="false">IF(AB151=0,0,AB183/AB151/AB7*12)</f>
        <v>55.4172941963826</v>
      </c>
      <c r="AC184" s="55" t="n">
        <f aca="false">IF(AC151=0,0,AC183/AC151/AC7*12)</f>
        <v>55.5289379952188</v>
      </c>
      <c r="AD184" s="55" t="n">
        <f aca="false">IF(AD151=0,0,AD183/AD151/AD7*12)</f>
        <v>57.1810326922514</v>
      </c>
      <c r="AE184" s="55" t="n">
        <f aca="false">IF(AE151=0,0,AE183/AE151/AE7*12)</f>
        <v>61.4420444685691</v>
      </c>
    </row>
    <row r="185" customFormat="false" ht="15" hidden="false" customHeight="false" outlineLevel="0" collapsed="false">
      <c r="A185" s="6" t="s">
        <v>536</v>
      </c>
      <c r="B185" s="23" t="s">
        <v>527</v>
      </c>
      <c r="C185" s="59" t="n">
        <f aca="false">C183-(C175+C176+C177+C178+C179+C180+C147)</f>
        <v>0</v>
      </c>
      <c r="D185" s="59" t="n">
        <f aca="false">D183-(D175+D176+D177+D178+D179+D180+D147)</f>
        <v>0</v>
      </c>
      <c r="E185" s="59" t="n">
        <f aca="false">E183-(E175+E176+E177+E178+E179+E180+E147)</f>
        <v>0</v>
      </c>
      <c r="F185" s="59" t="n">
        <f aca="false">F183-(F175+F176+F177+F178+F179+F180+F147)</f>
        <v>0</v>
      </c>
      <c r="G185" s="59" t="n">
        <f aca="false">G183-(G175+G176+G177+G178+G179+G180+G147)</f>
        <v>0</v>
      </c>
      <c r="H185" s="59" t="n">
        <f aca="false">H183-(H175+H176+H177+H178+H179+H180+H147)</f>
        <v>0</v>
      </c>
      <c r="I185" s="59" t="n">
        <f aca="false">I183-(I175+I176+I177+I178+I179+I180+I147)</f>
        <v>0</v>
      </c>
      <c r="J185" s="59" t="n">
        <f aca="false">J183-(J175+J176+J177+J178+J179+J180+J147)</f>
        <v>0</v>
      </c>
      <c r="K185" s="59" t="n">
        <f aca="false">K183-(K175+K176+K177+K178+K179+K180+K147)</f>
        <v>0</v>
      </c>
      <c r="L185" s="59" t="n">
        <f aca="false">L183-(L175+L176+L177+L178+L179+L180+L147)</f>
        <v>0</v>
      </c>
      <c r="M185" s="59" t="n">
        <f aca="false">M183-(M175+M176+M177+M178+M179+M180+M147)</f>
        <v>0</v>
      </c>
      <c r="N185" s="59" t="n">
        <f aca="false">N183-(N175+N176+N177+N178+N179+N180+N147)</f>
        <v>0</v>
      </c>
      <c r="O185" s="59" t="n">
        <f aca="false">O183-(O175+O176+O177+O178+O179+O180+O147)</f>
        <v>0</v>
      </c>
      <c r="P185" s="59" t="n">
        <f aca="false">P183-(P175+P176+P177+P178+P179+P180+P147)</f>
        <v>0</v>
      </c>
      <c r="Q185" s="59" t="n">
        <f aca="false">Q183-(Q175+Q176+Q177+Q178+Q179+Q180+Q147)</f>
        <v>0</v>
      </c>
      <c r="R185" s="59" t="n">
        <f aca="false">R183-(R175+R176+R177+R178+R179+R180+R147)</f>
        <v>0</v>
      </c>
      <c r="S185" s="59" t="n">
        <f aca="false">S183-(S175+S176+S177+S178+S179+S180+S147)</f>
        <v>0</v>
      </c>
      <c r="T185" s="59" t="n">
        <f aca="false">T183-(T175+T176+T177+T178+T179+T180+T147)</f>
        <v>0</v>
      </c>
      <c r="U185" s="59" t="n">
        <f aca="false">U183-(U175+U176+U177+U178+U179+U180+U147)</f>
        <v>0</v>
      </c>
      <c r="V185" s="59" t="n">
        <f aca="false">V183-(V175+V176+V177+V178+V179+V180+V147)</f>
        <v>0</v>
      </c>
      <c r="W185" s="59" t="n">
        <f aca="false">W183-(W175+W176+W177+W178+W179+W180+W147)</f>
        <v>0</v>
      </c>
      <c r="X185" s="59" t="n">
        <f aca="false">X183-(X175+X176+X177+X178+X179+X180+X147)</f>
        <v>0</v>
      </c>
      <c r="Y185" s="59" t="n">
        <f aca="false">Y183-(Y175+Y176+Y177+Y178+Y179+Y180+Y147)</f>
        <v>0</v>
      </c>
      <c r="Z185" s="59" t="n">
        <f aca="false">Z183-(Z175+Z176+Z177+Z178+Z179+Z180+Z147)</f>
        <v>0</v>
      </c>
      <c r="AA185" s="59" t="n">
        <f aca="false">AA183-(AA175+AA176+AA177+AA178+AA179+AA180+AA147)</f>
        <v>0</v>
      </c>
      <c r="AB185" s="59" t="n">
        <f aca="false">AB183-(AB175+AB176+AB177+AB178+AB179+AB180+AB147)</f>
        <v>0</v>
      </c>
      <c r="AC185" s="59" t="n">
        <f aca="false">AC183-(AC175+AC176+AC177+AC178+AC179+AC180+AC147)</f>
        <v>0</v>
      </c>
      <c r="AD185" s="59" t="n">
        <f aca="false">AD183-(AD175+AD176+AD177+AD178+AD179+AD180+AD147)</f>
        <v>0</v>
      </c>
      <c r="AE185" s="59" t="n">
        <f aca="false">AE183-(AE175+AE176+AE177+AE178+AE179+AE180+AE147)</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537</v>
      </c>
    </row>
    <row r="4" customFormat="false" ht="15" hidden="false" customHeight="false" outlineLevel="0" collapsed="false">
      <c r="D4" s="61" t="s">
        <v>538</v>
      </c>
      <c r="E4" s="61" t="s">
        <v>539</v>
      </c>
      <c r="F4" s="61" t="s">
        <v>424</v>
      </c>
      <c r="G4" s="61" t="s">
        <v>425</v>
      </c>
      <c r="H4" s="61" t="s">
        <v>426</v>
      </c>
      <c r="I4" s="61" t="s">
        <v>427</v>
      </c>
      <c r="J4" s="61" t="s">
        <v>428</v>
      </c>
    </row>
    <row r="6" customFormat="false" ht="18" hidden="false" customHeight="true" outlineLevel="0" collapsed="false">
      <c r="A6" s="12" t="s">
        <v>540</v>
      </c>
      <c r="B6" s="13"/>
      <c r="C6" s="13"/>
      <c r="D6" s="13"/>
      <c r="E6" s="13"/>
      <c r="F6" s="13"/>
      <c r="G6" s="13"/>
      <c r="H6" s="13"/>
      <c r="I6" s="13"/>
      <c r="J6" s="13"/>
      <c r="K6" s="13"/>
    </row>
    <row r="7" customFormat="false" ht="15" hidden="false" customHeight="false" outlineLevel="0" collapsed="false">
      <c r="A7" s="6" t="s">
        <v>541</v>
      </c>
      <c r="D7" s="36" t="n">
        <f aca="false">SUM(Model!C63:N63)</f>
        <v>10086.5315648681</v>
      </c>
      <c r="E7" s="36" t="n">
        <f aca="false">SUM(Model!O63:Z63)</f>
        <v>63021.1607832686</v>
      </c>
      <c r="F7" s="36" t="n">
        <f aca="false">Model!AA63</f>
        <v>221090.137125202</v>
      </c>
      <c r="G7" s="36" t="n">
        <f aca="false">Model!AB63</f>
        <v>379170.916506084</v>
      </c>
      <c r="H7" s="36" t="n">
        <f aca="false">Model!AC63</f>
        <v>582723.085401212</v>
      </c>
      <c r="I7" s="36" t="n">
        <f aca="false">Model!AD63</f>
        <v>787688.109949477</v>
      </c>
      <c r="J7" s="36" t="n">
        <f aca="false">Model!AE63</f>
        <v>953059.328586305</v>
      </c>
    </row>
    <row r="8" customFormat="false" ht="15" hidden="false" customHeight="false" outlineLevel="0" collapsed="false">
      <c r="A8" s="6" t="s">
        <v>542</v>
      </c>
      <c r="D8" s="36" t="n">
        <f aca="false">SUM(Model!C103:N103)</f>
        <v>0</v>
      </c>
      <c r="E8" s="36" t="n">
        <f aca="false">SUM(Model!O103:Z103)</f>
        <v>10578.6924404288</v>
      </c>
      <c r="F8" s="36" t="n">
        <f aca="false">Model!AA103</f>
        <v>49328.9649687683</v>
      </c>
      <c r="G8" s="36" t="n">
        <f aca="false">Model!AB103</f>
        <v>87289.9617515992</v>
      </c>
      <c r="H8" s="36" t="n">
        <f aca="false">Model!AC103</f>
        <v>135555.910098355</v>
      </c>
      <c r="I8" s="36" t="n">
        <f aca="false">Model!AD103</f>
        <v>184026.325042377</v>
      </c>
      <c r="J8" s="36" t="n">
        <f aca="false">Model!AE103</f>
        <v>221723.229173986</v>
      </c>
    </row>
    <row r="9" customFormat="false" ht="15" hidden="false" customHeight="false" outlineLevel="0" collapsed="false">
      <c r="A9" s="6" t="s">
        <v>543</v>
      </c>
      <c r="D9" s="36" t="n">
        <f aca="false">SUM(Model!C143:N143)</f>
        <v>19994.6729857593</v>
      </c>
      <c r="E9" s="36" t="n">
        <f aca="false">SUM(Model!O143:Z143)</f>
        <v>124477.341987253</v>
      </c>
      <c r="F9" s="36" t="n">
        <f aca="false">Model!AA143</f>
        <v>398953.427421473</v>
      </c>
      <c r="G9" s="36" t="n">
        <f aca="false">Model!AB143</f>
        <v>640222.666622026</v>
      </c>
      <c r="H9" s="36" t="n">
        <f aca="false">Model!AC143</f>
        <v>898034.511027313</v>
      </c>
      <c r="I9" s="36" t="n">
        <f aca="false">Model!AD143</f>
        <v>1079179.52864244</v>
      </c>
      <c r="J9" s="36" t="n">
        <f aca="false">Model!AE143</f>
        <v>1112184.89604705</v>
      </c>
    </row>
    <row r="10" customFormat="false" ht="15" hidden="false" customHeight="false" outlineLevel="0" collapsed="false">
      <c r="A10" s="6" t="s">
        <v>544</v>
      </c>
      <c r="D10" s="36" t="n">
        <f aca="false">SUM(Model!C147:N147)</f>
        <v>0</v>
      </c>
      <c r="E10" s="36" t="n">
        <f aca="false">SUM(Model!O147:Z147)</f>
        <v>141750</v>
      </c>
      <c r="F10" s="36" t="n">
        <f aca="false">Model!AA147</f>
        <v>425250</v>
      </c>
      <c r="G10" s="36" t="n">
        <f aca="false">Model!AB147</f>
        <v>708750</v>
      </c>
      <c r="H10" s="36" t="n">
        <f aca="false">Model!AC147</f>
        <v>992250</v>
      </c>
      <c r="I10" s="36" t="n">
        <f aca="false">Model!AD147</f>
        <v>1275750</v>
      </c>
      <c r="J10" s="36" t="n">
        <f aca="false">Model!AE147</f>
        <v>1559250</v>
      </c>
    </row>
    <row r="11" customFormat="false" ht="15" hidden="false" customHeight="false" outlineLevel="0" collapsed="false">
      <c r="A11" s="3" t="s">
        <v>545</v>
      </c>
      <c r="D11" s="62" t="n">
        <f aca="false">SUM(Model!C183:N183)</f>
        <v>30081.2045506274</v>
      </c>
      <c r="E11" s="62" t="n">
        <f aca="false">SUM(Model!O183:Z183)</f>
        <v>339827.19521095</v>
      </c>
      <c r="F11" s="62" t="n">
        <f aca="false">Model!AA183</f>
        <v>1094622.52951544</v>
      </c>
      <c r="G11" s="62" t="n">
        <f aca="false">Model!AB183</f>
        <v>1815433.54487971</v>
      </c>
      <c r="H11" s="62" t="n">
        <f aca="false">Model!AC183</f>
        <v>2608563.50652688</v>
      </c>
      <c r="I11" s="62" t="n">
        <f aca="false">Model!AD183</f>
        <v>3326643.9636343</v>
      </c>
      <c r="J11" s="62" t="n">
        <f aca="false">Model!AE183</f>
        <v>3846217.45380734</v>
      </c>
    </row>
    <row r="13" customFormat="false" ht="18" hidden="false" customHeight="true" outlineLevel="0" collapsed="false">
      <c r="A13" s="12" t="s">
        <v>546</v>
      </c>
      <c r="B13" s="13"/>
      <c r="C13" s="13"/>
      <c r="D13" s="13"/>
      <c r="E13" s="13"/>
      <c r="F13" s="13"/>
      <c r="G13" s="13"/>
      <c r="H13" s="13"/>
      <c r="I13" s="13"/>
      <c r="J13" s="13"/>
      <c r="K13" s="13"/>
    </row>
    <row r="14" customFormat="false" ht="15" hidden="false" customHeight="false" outlineLevel="0" collapsed="false">
      <c r="A14" s="6" t="s">
        <v>547</v>
      </c>
      <c r="D14" s="36" t="n">
        <f aca="false">SUM(Model!C175:N175)</f>
        <v>24942.5124428144</v>
      </c>
      <c r="E14" s="36" t="n">
        <f aca="false">SUM(Model!O175:Z175)</f>
        <v>127157.335376567</v>
      </c>
      <c r="F14" s="36" t="n">
        <f aca="false">Model!AA175</f>
        <v>372337.92343287</v>
      </c>
      <c r="G14" s="36" t="n">
        <f aca="false">Model!AB175</f>
        <v>605536.71741992</v>
      </c>
      <c r="H14" s="36" t="n">
        <f aca="false">Model!AC175</f>
        <v>869531.012354416</v>
      </c>
      <c r="I14" s="36" t="n">
        <f aca="false">Model!AD175</f>
        <v>1078972.99760021</v>
      </c>
      <c r="J14" s="36" t="n">
        <f aca="false">Model!AE175</f>
        <v>1164459.52217361</v>
      </c>
    </row>
    <row r="15" customFormat="false" ht="15" hidden="false" customHeight="false" outlineLevel="0" collapsed="false">
      <c r="A15" s="6" t="s">
        <v>548</v>
      </c>
      <c r="D15" s="36" t="n">
        <f aca="false">SUM(Model!C176:N176)</f>
        <v>1897.84215538284</v>
      </c>
      <c r="E15" s="36" t="n">
        <f aca="false">SUM(Model!O176:Z176)</f>
        <v>9719.59160205372</v>
      </c>
      <c r="F15" s="36" t="n">
        <f aca="false">Model!AA176</f>
        <v>28721.6704419004</v>
      </c>
      <c r="G15" s="36" t="n">
        <f aca="false">Model!AB176</f>
        <v>46988.2201591933</v>
      </c>
      <c r="H15" s="36" t="n">
        <f aca="false">Model!AC176</f>
        <v>68029.9909833698</v>
      </c>
      <c r="I15" s="36" t="n">
        <f aca="false">Model!AD176</f>
        <v>85336.4431777994</v>
      </c>
      <c r="J15" s="36" t="n">
        <f aca="false">Model!AE176</f>
        <v>93518.4402319574</v>
      </c>
    </row>
    <row r="16" customFormat="false" ht="15" hidden="false" customHeight="false" outlineLevel="0" collapsed="false">
      <c r="A16" s="6" t="s">
        <v>549</v>
      </c>
      <c r="D16" s="36" t="n">
        <f aca="false">SUM(Model!C177:N177)</f>
        <v>0</v>
      </c>
      <c r="E16" s="36" t="n">
        <f aca="false">SUM(Model!O177:Z177)</f>
        <v>214.654072185472</v>
      </c>
      <c r="F16" s="36" t="n">
        <f aca="false">Model!AA177</f>
        <v>3825.23438243083</v>
      </c>
      <c r="G16" s="36" t="n">
        <f aca="false">Model!AB177</f>
        <v>8137.41388577998</v>
      </c>
      <c r="H16" s="36" t="n">
        <f aca="false">Model!AC177</f>
        <v>14136.5948225494</v>
      </c>
      <c r="I16" s="36" t="n">
        <f aca="false">Model!AD177</f>
        <v>21272.2269217855</v>
      </c>
      <c r="J16" s="36" t="n">
        <f aca="false">Model!AE177</f>
        <v>28495.8412411533</v>
      </c>
    </row>
    <row r="17" customFormat="false" ht="15" hidden="false" customHeight="false" outlineLevel="0" collapsed="false">
      <c r="A17" s="6" t="s">
        <v>550</v>
      </c>
      <c r="D17" s="36" t="n">
        <f aca="false">SUM(Model!C178:N178)</f>
        <v>3240.84995243013</v>
      </c>
      <c r="E17" s="36" t="n">
        <f aca="false">SUM(Model!O178:Z178)</f>
        <v>49167.530345473</v>
      </c>
      <c r="F17" s="36" t="n">
        <f aca="false">Model!AA178</f>
        <v>141974.054911269</v>
      </c>
      <c r="G17" s="36" t="n">
        <f aca="false">Model!AB178</f>
        <v>224673.876051319</v>
      </c>
      <c r="H17" s="36" t="n">
        <f aca="false">Model!AC178</f>
        <v>314629.292317026</v>
      </c>
      <c r="I17" s="36" t="n">
        <f aca="false">Model!AD178</f>
        <v>377650.725254233</v>
      </c>
      <c r="J17" s="36" t="n">
        <f aca="false">Model!AE178</f>
        <v>390321.074747111</v>
      </c>
    </row>
    <row r="18" customFormat="false" ht="15" hidden="false" customHeight="false" outlineLevel="0" collapsed="false">
      <c r="A18" s="6" t="s">
        <v>551</v>
      </c>
      <c r="D18" s="36" t="n">
        <f aca="false">SUM(Model!C179:N179)</f>
        <v>0</v>
      </c>
      <c r="E18" s="36" t="n">
        <f aca="false">SUM(Model!O179:Z179)</f>
        <v>11643.6544847835</v>
      </c>
      <c r="F18" s="36" t="n">
        <f aca="false">Model!AA179</f>
        <v>119219.106857093</v>
      </c>
      <c r="G18" s="36" t="n">
        <f aca="false">Model!AB179</f>
        <v>214155.414462023</v>
      </c>
      <c r="H18" s="36" t="n">
        <f aca="false">Model!AC179</f>
        <v>337160.003881603</v>
      </c>
      <c r="I18" s="36" t="n">
        <f aca="false">Model!AD179</f>
        <v>467676.818363106</v>
      </c>
      <c r="J18" s="36" t="n">
        <f aca="false">Model!AE179</f>
        <v>582031.098402611</v>
      </c>
    </row>
    <row r="19" customFormat="false" ht="15" hidden="false" customHeight="false" outlineLevel="0" collapsed="false">
      <c r="A19" s="6" t="s">
        <v>552</v>
      </c>
      <c r="D19" s="36" t="n">
        <f aca="false">SUM(Model!C180:N180)</f>
        <v>0</v>
      </c>
      <c r="E19" s="36" t="n">
        <f aca="false">SUM(Model!O180:Z180)</f>
        <v>174.429329887445</v>
      </c>
      <c r="F19" s="36" t="n">
        <f aca="false">Model!AA180</f>
        <v>3294.53948988058</v>
      </c>
      <c r="G19" s="36" t="n">
        <f aca="false">Model!AB180</f>
        <v>7191.90290147475</v>
      </c>
      <c r="H19" s="36" t="n">
        <f aca="false">Model!AC180</f>
        <v>12826.6121679154</v>
      </c>
      <c r="I19" s="36" t="n">
        <f aca="false">Model!AD180</f>
        <v>19984.7523171672</v>
      </c>
      <c r="J19" s="36" t="n">
        <f aca="false">Model!AE180</f>
        <v>28141.4770108984</v>
      </c>
    </row>
    <row r="20" customFormat="false" ht="15" hidden="false" customHeight="false" outlineLevel="0" collapsed="false">
      <c r="A20" s="6" t="s">
        <v>553</v>
      </c>
      <c r="D20" s="36" t="n">
        <f aca="false">SUM(Model!C147:N147)</f>
        <v>0</v>
      </c>
      <c r="E20" s="36" t="n">
        <f aca="false">SUM(Model!O147:Z147)</f>
        <v>141750</v>
      </c>
      <c r="F20" s="36" t="n">
        <f aca="false">Model!AA147</f>
        <v>425250</v>
      </c>
      <c r="G20" s="36" t="n">
        <f aca="false">Model!AB147</f>
        <v>708750</v>
      </c>
      <c r="H20" s="36" t="n">
        <f aca="false">Model!AC147</f>
        <v>992250</v>
      </c>
      <c r="I20" s="36" t="n">
        <f aca="false">Model!AD147</f>
        <v>1275750</v>
      </c>
      <c r="J20" s="36" t="n">
        <f aca="false">Model!AE147</f>
        <v>1559250</v>
      </c>
    </row>
    <row r="21" customFormat="false" ht="15" hidden="false" customHeight="false" outlineLevel="0" collapsed="false">
      <c r="A21" s="3" t="s">
        <v>554</v>
      </c>
      <c r="D21" s="62" t="n">
        <f aca="false">SUM(Model!C183:N183)</f>
        <v>30081.2045506274</v>
      </c>
      <c r="E21" s="62" t="n">
        <f aca="false">SUM(Model!O183:Z183)</f>
        <v>339827.19521095</v>
      </c>
      <c r="F21" s="62" t="n">
        <f aca="false">Model!AA183</f>
        <v>1094622.52951544</v>
      </c>
      <c r="G21" s="62" t="n">
        <f aca="false">Model!AB183</f>
        <v>1815433.54487971</v>
      </c>
      <c r="H21" s="62" t="n">
        <f aca="false">Model!AC183</f>
        <v>2608563.50652688</v>
      </c>
      <c r="I21" s="62" t="n">
        <f aca="false">Model!AD183</f>
        <v>3326643.9636343</v>
      </c>
      <c r="J21" s="62" t="n">
        <f aca="false">Model!AE183</f>
        <v>3846217.45380734</v>
      </c>
    </row>
    <row r="23" customFormat="false" ht="18" hidden="false" customHeight="true" outlineLevel="0" collapsed="false">
      <c r="A23" s="12" t="s">
        <v>555</v>
      </c>
      <c r="B23" s="13"/>
      <c r="C23" s="13"/>
      <c r="D23" s="13"/>
      <c r="E23" s="13"/>
      <c r="F23" s="13"/>
      <c r="G23" s="13"/>
      <c r="H23" s="13"/>
      <c r="I23" s="13"/>
      <c r="J23" s="13"/>
      <c r="K23" s="13"/>
    </row>
    <row r="24" customFormat="false" ht="15" hidden="false" customHeight="false" outlineLevel="0" collapsed="false">
      <c r="A24" s="0" t="s">
        <v>556</v>
      </c>
      <c r="D24" s="63" t="n">
        <f aca="false">IF(D$11=0,0,D14/D$11)</f>
        <v>0.82917266164776</v>
      </c>
      <c r="E24" s="63" t="n">
        <f aca="false">IF(E$11=0,0,E14/E$11)</f>
        <v>0.374182340814816</v>
      </c>
      <c r="F24" s="63" t="n">
        <f aca="false">IF(F$11=0,0,F14/F$11)</f>
        <v>0.340151891079469</v>
      </c>
      <c r="G24" s="63" t="n">
        <f aca="false">IF(G$11=0,0,G14/G$11)</f>
        <v>0.333549371238506</v>
      </c>
      <c r="H24" s="63" t="n">
        <f aca="false">IF(H$11=0,0,H14/H$11)</f>
        <v>0.333337106870799</v>
      </c>
      <c r="I24" s="63" t="n">
        <f aca="false">IF(I$11=0,0,I14/I$11)</f>
        <v>0.324342793937422</v>
      </c>
      <c r="J24" s="63" t="n">
        <f aca="false">IF(J$11=0,0,J14/J$11)</f>
        <v>0.302754468814789</v>
      </c>
    </row>
    <row r="25" customFormat="false" ht="15" hidden="false" customHeight="false" outlineLevel="0" collapsed="false">
      <c r="A25" s="0" t="s">
        <v>557</v>
      </c>
      <c r="D25" s="63" t="n">
        <f aca="false">IF(D$11=0,0,D15/D$11)</f>
        <v>0.0630906303033419</v>
      </c>
      <c r="E25" s="63" t="n">
        <f aca="false">IF(E$11=0,0,E15/E$11)</f>
        <v>0.0286015708543286</v>
      </c>
      <c r="F25" s="63" t="n">
        <f aca="false">IF(F$11=0,0,F15/F$11)</f>
        <v>0.0262388811370571</v>
      </c>
      <c r="G25" s="63" t="n">
        <f aca="false">IF(G$11=0,0,G15/G$11)</f>
        <v>0.0258826440062871</v>
      </c>
      <c r="H25" s="63" t="n">
        <f aca="false">IF(H$11=0,0,H15/H$11)</f>
        <v>0.0260794842882499</v>
      </c>
      <c r="I25" s="63" t="n">
        <f aca="false">IF(I$11=0,0,I15/I$11)</f>
        <v>0.0256524124945944</v>
      </c>
      <c r="J25" s="63" t="n">
        <f aca="false">IF(J$11=0,0,J15/J$11)</f>
        <v>0.0243143923491336</v>
      </c>
    </row>
    <row r="26" customFormat="false" ht="15" hidden="false" customHeight="false" outlineLevel="0" collapsed="false">
      <c r="A26" s="0" t="s">
        <v>558</v>
      </c>
      <c r="D26" s="63" t="n">
        <f aca="false">IF(D$11=0,0,D16/D$11)</f>
        <v>0</v>
      </c>
      <c r="E26" s="63" t="n">
        <f aca="false">IF(E$11=0,0,E16/E$11)</f>
        <v>0.00063165654547519</v>
      </c>
      <c r="F26" s="63" t="n">
        <f aca="false">IF(F$11=0,0,F16/F$11)</f>
        <v>0.0034945693874254</v>
      </c>
      <c r="G26" s="63" t="n">
        <f aca="false">IF(G$11=0,0,G16/G$11)</f>
        <v>0.00448235293918135</v>
      </c>
      <c r="H26" s="63" t="n">
        <f aca="false">IF(H$11=0,0,H16/H$11)</f>
        <v>0.00541930253458588</v>
      </c>
      <c r="I26" s="63" t="n">
        <f aca="false">IF(I$11=0,0,I16/I$11)</f>
        <v>0.0063945006301624</v>
      </c>
      <c r="J26" s="63" t="n">
        <f aca="false">IF(J$11=0,0,J16/J$11)</f>
        <v>0.00740879619610313</v>
      </c>
    </row>
    <row r="27" customFormat="false" ht="15" hidden="false" customHeight="false" outlineLevel="0" collapsed="false">
      <c r="A27" s="0" t="s">
        <v>559</v>
      </c>
      <c r="D27" s="63" t="n">
        <f aca="false">IF(D$11=0,0,D17/D$11)</f>
        <v>0.107736708048898</v>
      </c>
      <c r="E27" s="63" t="n">
        <f aca="false">IF(E$11=0,0,E17/E$11)</f>
        <v>0.144683918881042</v>
      </c>
      <c r="F27" s="63" t="n">
        <f aca="false">IF(F$11=0,0,F17/F$11)</f>
        <v>0.12970138205918</v>
      </c>
      <c r="G27" s="63" t="n">
        <f aca="false">IF(G$11=0,0,G17/G$11)</f>
        <v>0.123757697815485</v>
      </c>
      <c r="H27" s="63" t="n">
        <f aca="false">IF(H$11=0,0,H17/H$11)</f>
        <v>0.1206140051909</v>
      </c>
      <c r="I27" s="63" t="n">
        <f aca="false">IF(I$11=0,0,I17/I$11)</f>
        <v>0.113523036845114</v>
      </c>
      <c r="J27" s="63" t="n">
        <f aca="false">IF(J$11=0,0,J17/J$11)</f>
        <v>0.101481801129246</v>
      </c>
    </row>
    <row r="28" customFormat="false" ht="15" hidden="false" customHeight="false" outlineLevel="0" collapsed="false">
      <c r="A28" s="0" t="s">
        <v>560</v>
      </c>
      <c r="D28" s="63" t="n">
        <f aca="false">IF(D$11=0,0,D18/D$11)</f>
        <v>0</v>
      </c>
      <c r="E28" s="63" t="n">
        <f aca="false">IF(E$11=0,0,E18/E$11)</f>
        <v>0.0342634569830577</v>
      </c>
      <c r="F28" s="63" t="n">
        <f aca="false">IF(F$11=0,0,F18/F$11)</f>
        <v>0.108913441522044</v>
      </c>
      <c r="G28" s="63" t="n">
        <f aca="false">IF(G$11=0,0,G18/G$11)</f>
        <v>0.117963786152367</v>
      </c>
      <c r="H28" s="63" t="n">
        <f aca="false">IF(H$11=0,0,H18/H$11)</f>
        <v>0.129251215482389</v>
      </c>
      <c r="I28" s="63" t="n">
        <f aca="false">IF(I$11=0,0,I18/I$11)</f>
        <v>0.140585173368591</v>
      </c>
      <c r="J28" s="63" t="n">
        <f aca="false">IF(J$11=0,0,J18/J$11)</f>
        <v>0.151325582963715</v>
      </c>
    </row>
    <row r="29" customFormat="false" ht="15" hidden="false" customHeight="false" outlineLevel="0" collapsed="false">
      <c r="A29" s="0" t="s">
        <v>561</v>
      </c>
      <c r="D29" s="63" t="n">
        <f aca="false">IF(D$11=0,0,D19/D$11)</f>
        <v>0</v>
      </c>
      <c r="E29" s="63" t="n">
        <f aca="false">IF(E$11=0,0,E19/E$11)</f>
        <v>0.000513288319315253</v>
      </c>
      <c r="F29" s="63" t="n">
        <f aca="false">IF(F$11=0,0,F19/F$11)</f>
        <v>0.00300974938944384</v>
      </c>
      <c r="G29" s="63" t="n">
        <f aca="false">IF(G$11=0,0,G19/G$11)</f>
        <v>0.00396153465477101</v>
      </c>
      <c r="H29" s="63" t="n">
        <f aca="false">IF(H$11=0,0,H19/H$11)</f>
        <v>0.00491711707835443</v>
      </c>
      <c r="I29" s="63" t="n">
        <f aca="false">IF(I$11=0,0,I19/I$11)</f>
        <v>0.00600748157471417</v>
      </c>
      <c r="J29" s="63" t="n">
        <f aca="false">IF(J$11=0,0,J19/J$11)</f>
        <v>0.00731666301993438</v>
      </c>
    </row>
    <row r="30" customFormat="false" ht="15" hidden="false" customHeight="false" outlineLevel="0" collapsed="false">
      <c r="A30" s="0" t="s">
        <v>562</v>
      </c>
      <c r="D30" s="63" t="n">
        <f aca="false">IF(D$11=0,0,D20/D$11)</f>
        <v>0</v>
      </c>
      <c r="E30" s="63" t="n">
        <f aca="false">IF(E$11=0,0,E20/E$11)</f>
        <v>0.417123767601965</v>
      </c>
      <c r="F30" s="63" t="n">
        <f aca="false">IF(F$11=0,0,F20/F$11)</f>
        <v>0.38849008542538</v>
      </c>
      <c r="G30" s="63" t="n">
        <f aca="false">IF(G$11=0,0,G20/G$11)</f>
        <v>0.390402613193402</v>
      </c>
      <c r="H30" s="63" t="n">
        <f aca="false">IF(H$11=0,0,H20/H$11)</f>
        <v>0.380381768554721</v>
      </c>
      <c r="I30" s="63" t="n">
        <f aca="false">IF(I$11=0,0,I20/I$11)</f>
        <v>0.383494601149402</v>
      </c>
      <c r="J30" s="63" t="n">
        <f aca="false">IF(J$11=0,0,J20/J$11)</f>
        <v>0.405398295527079</v>
      </c>
    </row>
    <row r="31" customFormat="false" ht="15" hidden="false" customHeight="false" outlineLevel="0" collapsed="false">
      <c r="A31" s="3" t="s">
        <v>563</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564</v>
      </c>
      <c r="B33" s="13"/>
      <c r="C33" s="13"/>
      <c r="D33" s="13"/>
      <c r="E33" s="13"/>
      <c r="F33" s="13"/>
      <c r="G33" s="13"/>
      <c r="H33" s="13"/>
      <c r="I33" s="13"/>
      <c r="J33" s="13"/>
      <c r="K33" s="13"/>
    </row>
    <row r="34" customFormat="false" ht="15" hidden="false" customHeight="false" outlineLevel="0" collapsed="false">
      <c r="A34" s="6" t="s">
        <v>565</v>
      </c>
      <c r="D34" s="37" t="n">
        <f aca="false">SUM(Model!C154:N154)</f>
        <v>3043.99126642035</v>
      </c>
      <c r="E34" s="37" t="n">
        <f aca="false">SUM(Model!O154:Z154)</f>
        <v>12165.5471843431</v>
      </c>
      <c r="F34" s="37" t="n">
        <f aca="false">Model!AA154</f>
        <v>19348.4459341612</v>
      </c>
      <c r="G34" s="37" t="n">
        <f aca="false">Model!AB154</f>
        <v>29223.9844971396</v>
      </c>
      <c r="H34" s="37" t="n">
        <f aca="false">Model!AC154</f>
        <v>39048.3315401938</v>
      </c>
      <c r="I34" s="37" t="n">
        <f aca="false">Model!AD154</f>
        <v>43607.577395577</v>
      </c>
      <c r="J34" s="37" t="n">
        <f aca="false">Model!AE154</f>
        <v>41263.1095118219</v>
      </c>
    </row>
    <row r="35" customFormat="false" ht="15" hidden="false" customHeight="false" outlineLevel="0" collapsed="false">
      <c r="A35" s="3" t="s">
        <v>566</v>
      </c>
      <c r="D35" s="64" t="n">
        <f aca="false">Model!N151</f>
        <v>2301.61401378486</v>
      </c>
      <c r="E35" s="64" t="n">
        <f aca="false">Model!Z151</f>
        <v>10559.3050972055</v>
      </c>
      <c r="F35" s="64" t="n">
        <f aca="false">Model!AA151</f>
        <v>20156.8093499209</v>
      </c>
      <c r="G35" s="64" t="n">
        <f aca="false">Model!AB151</f>
        <v>32759.3321039159</v>
      </c>
      <c r="H35" s="64" t="n">
        <f aca="false">Model!AC151</f>
        <v>46976.6503863533</v>
      </c>
      <c r="I35" s="64" t="n">
        <f aca="false">Model!AD151</f>
        <v>58177.4026631928</v>
      </c>
      <c r="J35" s="64" t="n">
        <f aca="false">Model!AE151</f>
        <v>62599.1124981996</v>
      </c>
    </row>
    <row r="36" customFormat="false" ht="15" hidden="false" customHeight="false" outlineLevel="0" collapsed="false">
      <c r="A36" s="6" t="s">
        <v>567</v>
      </c>
      <c r="D36" s="37" t="n">
        <f aca="false">Model!N152</f>
        <v>742.377252635484</v>
      </c>
      <c r="E36" s="37" t="n">
        <f aca="false">Model!Z152</f>
        <v>4650.23335355799</v>
      </c>
      <c r="F36" s="37" t="n">
        <f aca="false">Model!AA152</f>
        <v>14401.1750350038</v>
      </c>
      <c r="G36" s="37" t="n">
        <f aca="false">Model!AB152</f>
        <v>31022.6367781484</v>
      </c>
      <c r="H36" s="37" t="n">
        <f aca="false">Model!AC152</f>
        <v>55853.6500359049</v>
      </c>
      <c r="I36" s="37" t="n">
        <f aca="false">Model!AD152</f>
        <v>88260.4751546423</v>
      </c>
      <c r="J36" s="37" t="n">
        <f aca="false">Model!AE152</f>
        <v>125101.874831457</v>
      </c>
    </row>
    <row r="37" customFormat="false" ht="15" hidden="false" customHeight="false" outlineLevel="0" collapsed="false">
      <c r="A37" s="6" t="s">
        <v>510</v>
      </c>
      <c r="D37" s="37" t="n">
        <f aca="false">Model!N153</f>
        <v>3043.99126642035</v>
      </c>
      <c r="E37" s="37" t="n">
        <f aca="false">Model!Z153</f>
        <v>15209.5384507635</v>
      </c>
      <c r="F37" s="37" t="n">
        <f aca="false">Model!AA153</f>
        <v>34557.9843849247</v>
      </c>
      <c r="G37" s="37" t="n">
        <f aca="false">Model!AB153</f>
        <v>63781.9688820643</v>
      </c>
      <c r="H37" s="37" t="n">
        <f aca="false">Model!AC153</f>
        <v>102830.300422258</v>
      </c>
      <c r="I37" s="37" t="n">
        <f aca="false">Model!AD153</f>
        <v>146437.877817835</v>
      </c>
      <c r="J37" s="37" t="n">
        <f aca="false">Model!AE153</f>
        <v>187700.987329657</v>
      </c>
    </row>
    <row r="38" customFormat="false" ht="15" hidden="false" customHeight="false" outlineLevel="0" collapsed="false">
      <c r="A38" s="6" t="s">
        <v>568</v>
      </c>
      <c r="D38" s="37" t="n">
        <f aca="false">Model!N155</f>
        <v>0</v>
      </c>
      <c r="E38" s="37" t="n">
        <f aca="false">Model!Z155</f>
        <v>679.846831271951</v>
      </c>
      <c r="F38" s="37" t="n">
        <f aca="false">Model!AA155</f>
        <v>3421.24045410754</v>
      </c>
      <c r="G38" s="37" t="n">
        <f aca="false">Model!AB155</f>
        <v>6314.41491932437</v>
      </c>
      <c r="H38" s="37" t="n">
        <f aca="false">Model!AC155</f>
        <v>10180.1997418036</v>
      </c>
      <c r="I38" s="37" t="n">
        <f aca="false">Model!AD155</f>
        <v>14497.3499039657</v>
      </c>
      <c r="J38" s="37" t="n">
        <f aca="false">Model!AE155</f>
        <v>18582.397745636</v>
      </c>
    </row>
    <row r="39" customFormat="false" ht="15" hidden="false" customHeight="false" outlineLevel="0" collapsed="false">
      <c r="A39" s="6" t="s">
        <v>569</v>
      </c>
      <c r="D39" s="37" t="n">
        <f aca="false">Model!N157</f>
        <v>3475.85400431012</v>
      </c>
      <c r="E39" s="37" t="n">
        <f aca="false">Model!Z157</f>
        <v>19579.9393808762</v>
      </c>
      <c r="F39" s="37" t="n">
        <f aca="false">Model!AA157</f>
        <v>63526.7524838895</v>
      </c>
      <c r="G39" s="37" t="n">
        <f aca="false">Model!AB157</f>
        <v>126957.464924801</v>
      </c>
      <c r="H39" s="37" t="n">
        <f aca="false">Model!AC157</f>
        <v>207711.72391368</v>
      </c>
      <c r="I39" s="37" t="n">
        <f aca="false">Model!AD157</f>
        <v>295113.7821755</v>
      </c>
      <c r="J39" s="37" t="n">
        <f aca="false">Model!AE157</f>
        <v>374638.943694224</v>
      </c>
    </row>
    <row r="40" customFormat="false" ht="15" hidden="false" customHeight="false" outlineLevel="0" collapsed="false">
      <c r="A40" s="3" t="s">
        <v>570</v>
      </c>
      <c r="D40" s="62" t="n">
        <f aca="false">Model!N164</f>
        <v>491694.30744971</v>
      </c>
      <c r="E40" s="62" t="n">
        <f aca="false">Model!Z164</f>
        <v>2994130.26102907</v>
      </c>
      <c r="F40" s="62" t="n">
        <f aca="false">Model!AA164</f>
        <v>10501266.8900033</v>
      </c>
      <c r="G40" s="62" t="n">
        <f aca="false">Model!AB164</f>
        <v>22686577.2065115</v>
      </c>
      <c r="H40" s="62" t="n">
        <f aca="false">Model!AC164</f>
        <v>40123373.4246744</v>
      </c>
      <c r="I40" s="62" t="n">
        <f aca="false">Model!AD164</f>
        <v>61624245.5798964</v>
      </c>
      <c r="J40" s="62" t="n">
        <f aca="false">Model!AE164</f>
        <v>84566963.663645</v>
      </c>
    </row>
    <row r="41" customFormat="false" ht="15" hidden="false" customHeight="false" outlineLevel="0" collapsed="false">
      <c r="A41" s="6" t="s">
        <v>571</v>
      </c>
      <c r="D41" s="37" t="n">
        <f aca="false">Model!N156</f>
        <v>3409.92095871356</v>
      </c>
      <c r="E41" s="37" t="n">
        <f aca="false">Model!Z156</f>
        <v>18984.1673378964</v>
      </c>
      <c r="F41" s="37" t="n">
        <f aca="false">Model!AA156</f>
        <v>61836.6586803199</v>
      </c>
      <c r="G41" s="37" t="n">
        <f aca="false">Model!AB156</f>
        <v>121688.258428563</v>
      </c>
      <c r="H41" s="37" t="n">
        <f aca="false">Model!AC156</f>
        <v>195560.611506421</v>
      </c>
      <c r="I41" s="37" t="n">
        <f aca="false">Model!AD156</f>
        <v>272222.387900632</v>
      </c>
      <c r="J41" s="37" t="n">
        <f aca="false">Model!AE156</f>
        <v>337339.091234944</v>
      </c>
    </row>
    <row r="42" customFormat="false" ht="15" hidden="false" customHeight="false" outlineLevel="0" collapsed="false">
      <c r="A42" s="3" t="s">
        <v>572</v>
      </c>
      <c r="D42" s="62" t="n">
        <f aca="false">Model!N159</f>
        <v>482367.41881962</v>
      </c>
      <c r="E42" s="62" t="n">
        <f aca="false">Model!Z159</f>
        <v>2903025.83685994</v>
      </c>
      <c r="F42" s="62" t="n">
        <f aca="false">Model!AA159</f>
        <v>10221886.5438267</v>
      </c>
      <c r="G42" s="62" t="n">
        <f aca="false">Model!AB159</f>
        <v>21744999.9620009</v>
      </c>
      <c r="H42" s="62" t="n">
        <f aca="false">Model!AC159</f>
        <v>37776160.6075286</v>
      </c>
      <c r="I42" s="62" t="n">
        <f aca="false">Model!AD159</f>
        <v>56844174.3407233</v>
      </c>
      <c r="J42" s="62" t="n">
        <f aca="false">Model!AE159</f>
        <v>76147296.3528226</v>
      </c>
    </row>
    <row r="43" customFormat="false" ht="15" hidden="false" customHeight="false" outlineLevel="0" collapsed="false">
      <c r="A43" s="6" t="s">
        <v>535</v>
      </c>
      <c r="D43" s="36" t="n">
        <f aca="false">Model!N184</f>
        <v>24.8838327975216</v>
      </c>
      <c r="E43" s="36" t="n">
        <f aca="false">Model!Z184</f>
        <v>43.0683103763294</v>
      </c>
      <c r="F43" s="36" t="n">
        <f aca="false">Model!AA184</f>
        <v>54.3053471664522</v>
      </c>
      <c r="G43" s="36" t="n">
        <f aca="false">Model!AB184</f>
        <v>55.4172941963826</v>
      </c>
      <c r="H43" s="36" t="n">
        <f aca="false">Model!AC184</f>
        <v>55.5289379952188</v>
      </c>
      <c r="I43" s="36" t="n">
        <f aca="false">Model!AD184</f>
        <v>57.1810326922514</v>
      </c>
      <c r="J43" s="36" t="n">
        <f aca="false">Model!AE184</f>
        <v>61.4420444685691</v>
      </c>
    </row>
    <row r="45" customFormat="false" ht="15" hidden="false" customHeight="false" outlineLevel="0" collapsed="false">
      <c r="A45" s="9" t="s">
        <v>573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2026-08-21T14:10:21Z</dcterms:created>
  <dc:creator>openpyxl</dc:creator>
  <dc:description/>
  <dc:language>en-US</dc:language>
  <cp:lastModifiedBy/>
  <dcterms:modified xsi:type="dcterms:W3CDTF">2026-08-21T14:10:21Z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