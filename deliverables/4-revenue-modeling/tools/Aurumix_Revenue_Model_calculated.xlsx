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Assumptions!$B$54</definedName>
    <definedName function="false" hidden="false" name="act_india" vbProcedure="false">Assumptions!$B$55</definedName>
    <definedName function="false" hidden="false" name="act_referral" vbProcedure="false">Assumptions!$B$53</definedName>
    <definedName function="false" hidden="false" name="act_s0" vbProcedure="false">Assumptions!$B$47</definedName>
    <definedName function="false" hidden="false" name="act_s1a" vbProcedure="false">Assumptions!$B$45</definedName>
    <definedName function="false" hidden="false" name="act_s1b" vbProcedure="false">Assumptions!$B$46</definedName>
    <definedName function="false" hidden="false" name="act_s2" vbProcedure="false">Assumptions!$B$49</definedName>
    <definedName function="false" hidden="false" name="act_s3" vbProcedure="false">Assumptions!$B$48</definedName>
    <definedName function="false" hidden="false" name="act_s4" vbProcedure="false">Assumptions!$B$50</definedName>
    <definedName function="false" hidden="false" name="act_s5" vbProcedure="false">Assumptions!$B$51</definedName>
    <definedName function="false" hidden="false" name="act_s6" vbProcedure="false">Assumptions!$B$52</definedName>
    <definedName function="false" hidden="false" name="aed_usd" vbProcedure="false">Assumptions!$B$7</definedName>
    <definedName function="false" hidden="false" name="agentshare_gulf" vbProcedure="false">Assumptions!$B$108</definedName>
    <definedName function="false" hidden="false" name="agentshare_india" vbProcedure="false">Assumptions!$B$109</definedName>
    <definedName function="false" hidden="false" name="agentshare_uae" vbProcedure="false">Assumptions!$B$107</definedName>
    <definedName function="false" hidden="false" name="agents_y1" vbProcedure="false">Assumptions!$B$86</definedName>
    <definedName function="false" hidden="false" name="agents_y2" vbProcedure="false">Assumptions!$B$87</definedName>
    <definedName function="false" hidden="false" name="agents_y3" vbProcedure="false">Assumptions!$B$88</definedName>
    <definedName function="false" hidden="false" name="agents_y4" vbProcedure="false">Assumptions!$B$89</definedName>
    <definedName function="false" hidden="false" name="agents_y5" vbProcedure="false">Assumptions!$B$90</definedName>
    <definedName function="false" hidden="false" name="agents_y6" vbProcedure="false">Assumptions!$B$91</definedName>
    <definedName function="false" hidden="false" name="agents_y7" vbProcedure="false">Assumptions!$B$92</definedName>
    <definedName function="false" hidden="false" name="agent_productivity" vbProcedure="false">'Scenario Parameters'!$B$12</definedName>
    <definedName function="false" hidden="false" name="atmm_a1500" vbProcedure="false">'Scenario Parameters'!$B$47</definedName>
    <definedName function="false" hidden="false" name="atmm_a3000" vbProcedure="false">'Scenario Parameters'!$B$48</definedName>
    <definedName function="false" hidden="false" name="atmm_a3000p" vbProcedure="false">'Scenario Parameters'!$B$49</definedName>
    <definedName function="false" hidden="false" name="atmm_a500" vbProcedure="false">'Scenario Parameters'!$B$46</definedName>
    <definedName function="false" hidden="false" name="atm_a1500" vbProcedure="false">'Scenario Parameters'!$B$43</definedName>
    <definedName function="false" hidden="false" name="atm_a3000" vbProcedure="false">'Scenario Parameters'!$B$44</definedName>
    <definedName function="false" hidden="false" name="atm_a3000p" vbProcedure="false">'Scenario Parameters'!$B$45</definedName>
    <definedName function="false" hidden="false" name="atm_a500" vbProcedure="false">'Scenario Parameters'!$B$42</definedName>
    <definedName function="false" hidden="false" name="atm_allowance" vbProcedure="false">Assumptions!$B$19</definedName>
    <definedName function="false" hidden="false" name="atm_fee" vbProcedure="false">Assumptions!$B$20</definedName>
    <definedName function="false" hidden="false" name="aum_per_partner" vbProcedure="false">'Scenario Parameters'!$B$65</definedName>
    <definedName function="false" hidden="false" name="avg_txn_gold" vbProcedure="false">Assumptions!$B$17</definedName>
    <definedName function="false" hidden="false" name="b2b_fee" vbProcedure="false">Assumptions!$B$27</definedName>
    <definedName function="false" hidden="false" name="bar_grams" vbProcedure="false">Assumptions!$B$10</definedName>
    <definedName function="false" hidden="false" name="cac_base" vbProcedure="false">'Scenario Parameters'!$B$13</definedName>
    <definedName function="false" hidden="false" name="card_activation" vbProcedure="false">'Scenario Parameters'!$B$38</definedName>
    <definedName function="false" hidden="false" name="card_spend_mult" vbProcedure="false">'Scenario Parameters'!$B$37</definedName>
    <definedName function="false" hidden="false" name="ceil_gulf" vbProcedure="false">Assumptions!$B$83</definedName>
    <definedName function="false" hidden="false" name="ceil_india" vbProcedure="false">Assumptions!$B$84</definedName>
    <definedName function="false" hidden="false" name="ceil_total" vbProcedure="false">Assumptions!$B$85</definedName>
    <definedName function="false" hidden="false" name="ceil_uae" vbProcedure="false">Assumptions!$B$82</definedName>
    <definedName function="false" hidden="false" name="credit_takeup" vbProcedure="false">'Scenario Parameters'!$B$53</definedName>
    <definedName function="false" hidden="false" name="decline_uplift" vbProcedure="false">Assumptions!$B$16</definedName>
    <definedName function="false" hidden="false" name="drawn_share" vbProcedure="false">'Scenario Parameters'!$B$54</definedName>
    <definedName function="false" hidden="false" name="draw_events" vbProcedure="false">'Scenario Parameters'!$B$56</definedName>
    <definedName function="false" hidden="false" name="entry_fee" vbProcedure="false">Assumptions!$B$8</definedName>
    <definedName function="false" hidden="false" name="ever_qualify" vbProcedure="false">'Scenario Parameters'!$B$21</definedName>
    <definedName function="false" hidden="false" name="fab_premium" vbProcedure="false">Assumptions!$B$9</definedName>
    <definedName function="false" hidden="false" name="facility_turnover" vbProcedure="false">'Scenario Parameters'!$B$55</definedName>
    <definedName function="false" hidden="false" name="family_attach" vbProcedure="false">'Scenario Parameters'!$B$57</definedName>
    <definedName function="false" hidden="false" name="family_price" vbProcedure="false">Assumptions!$B$26</definedName>
    <definedName function="false" hidden="false" name="foreign_spend_share" vbProcedure="false">'Scenario Parameters'!$B$39</definedName>
    <definedName function="false" hidden="false" name="fx_margin" vbProcedure="false">Assumptions!$B$18</definedName>
    <definedName function="false" hidden="false" name="gate_run" vbProcedure="false">Assumptions!$B$40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Parameters'!$B$40</definedName>
    <definedName function="false" hidden="false" name="issuance_fee" vbProcedure="false">Assumptions!$B$21</definedName>
    <definedName function="false" hidden="false" name="lapsed_redemption_mult" vbProcedure="false">'Scenario Parameters'!$B$28</definedName>
    <definedName function="false" hidden="false" name="ltv_gold" vbProcedure="false">Assumptions!$B$32</definedName>
    <definedName function="false" hidden="false" name="mix_gulf" vbProcedure="false">'Scenario Parameters'!$B$73</definedName>
    <definedName function="false" hidden="false" name="mix_india" vbProcedure="false">'Scenario Parameters'!$B$74</definedName>
    <definedName function="false" hidden="false" name="mix_uae" vbProcedure="false">'Scenario Parameters'!$B$72</definedName>
    <definedName function="false" hidden="false" name="mktg_y1" vbProcedure="false">Assumptions!$B$93</definedName>
    <definedName function="false" hidden="false" name="mktg_y2" vbProcedure="false">Assumptions!$B$94</definedName>
    <definedName function="false" hidden="false" name="mktg_y3" vbProcedure="false">Assumptions!$B$95</definedName>
    <definedName function="false" hidden="false" name="mktg_y4" vbProcedure="false">Assumptions!$B$96</definedName>
    <definedName function="false" hidden="false" name="mktg_y5" vbProcedure="false">Assumptions!$B$97</definedName>
    <definedName function="false" hidden="false" name="mktg_y6" vbProcedure="false">Assumptions!$B$98</definedName>
    <definedName function="false" hidden="false" name="mktg_y7" vbProcedure="false">Assumptions!$B$99</definedName>
    <definedName function="false" hidden="false" name="monthly_churn" vbProcedure="false">'Scenario Parameters'!$B$11</definedName>
    <definedName function="false" hidden="false" name="months_to_qualify" vbProcedure="false">'Scenario Parameters'!$B$22</definedName>
    <definedName function="false" hidden="false" name="organic_share" vbProcedure="false">'Scenario Parameters'!$B$16</definedName>
    <definedName function="false" hidden="false" name="origination_gross" vbProcedure="false">Assumptions!$B$28</definedName>
    <definedName function="false" hidden="false" name="origination_share" vbProcedure="false">Assumptions!$B$29</definedName>
    <definedName function="false" hidden="false" name="partners_y1" vbProcedure="false">'Scenario Parameters'!$B$58</definedName>
    <definedName function="false" hidden="false" name="partners_y2" vbProcedure="false">'Scenario Parameters'!$B$59</definedName>
    <definedName function="false" hidden="false" name="partners_y3" vbProcedure="false">'Scenario Parameters'!$B$60</definedName>
    <definedName function="false" hidden="false" name="partners_y4" vbProcedure="false">'Scenario Parameters'!$B$61</definedName>
    <definedName function="false" hidden="false" name="partners_y5" vbProcedure="false">'Scenario Parameters'!$B$62</definedName>
    <definedName function="false" hidden="false" name="partners_y6" vbProcedure="false">'Scenario Parameters'!$B$63</definedName>
    <definedName function="false" hidden="false" name="partners_y7" vbProcedure="false">'Scenario Parameters'!$B$64</definedName>
    <definedName function="false" hidden="false" name="persistency_m13" vbProcedure="false">'Scenario Parameters'!$B$10</definedName>
    <definedName function="false" hidden="false" name="pm_share" vbProcedure="false">'Scenario Parameters'!$B$36</definedName>
    <definedName function="false" hidden="false" name="ramp_y1" vbProcedure="false">Assumptions!$B$100</definedName>
    <definedName function="false" hidden="false" name="ramp_y2" vbProcedure="false">Assumptions!$B$101</definedName>
    <definedName function="false" hidden="false" name="ramp_y3" vbProcedure="false">Assumptions!$B$102</definedName>
    <definedName function="false" hidden="false" name="ramp_y4" vbProcedure="false">Assumptions!$B$103</definedName>
    <definedName function="false" hidden="false" name="ramp_y5" vbProcedure="false">Assumptions!$B$104</definedName>
    <definedName function="false" hidden="false" name="ramp_y6" vbProcedure="false">Assumptions!$B$105</definedName>
    <definedName function="false" hidden="false" name="ramp_y7" vbProcedure="false">Assumptions!$B$106</definedName>
    <definedName function="false" hidden="false" name="redemption_cost" vbProcedure="false">Assumptions!$B$41</definedName>
    <definedName function="false" hidden="false" name="redemption_rate" vbProcedure="false">'Scenario Parameters'!$B$27</definedName>
    <definedName function="false" hidden="false" name="referral_conversion" vbProcedure="false">'Scenario Parameters'!$B$15</definedName>
    <definedName function="false" hidden="false" name="referral_rate" vbProcedure="false">'Scenario Parameters'!$B$14</definedName>
    <definedName function="false" hidden="false" name="replacement_events" vbProcedure="false">'Scenario Parameters'!$B$41</definedName>
    <definedName function="false" hidden="false" name="replacement_fee" vbProcedure="false">Assumptions!$B$22</definedName>
    <definedName function="false" hidden="false" name="scenario_index" vbProcedure="false">'Scenario Parameters'!$C$6</definedName>
    <definedName function="false" hidden="false" name="seasonality_amplitude" vbProcedure="false">'Scenario Parameters'!$B$17</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Parameters'!$B$26</definedName>
    <definedName function="false" hidden="false" name="servicing_gross" vbProcedure="false">Assumptions!$B$30</definedName>
    <definedName function="false" hidden="false" name="servicing_share" vbProcedure="false">Assumptions!$B$31</definedName>
    <definedName function="false" hidden="false" name="sip_floor" vbProcedure="false">Assumptions!$B$39</definedName>
    <definedName function="false" hidden="false" name="spotmult_gulf" vbProcedure="false">Assumptions!$B$34</definedName>
    <definedName function="false" hidden="false" name="spotmult_india" vbProcedure="false">Assumptions!$B$35</definedName>
    <definedName function="false" hidden="false" name="spotmult_uae" vbProcedure="false">Assumptions!$B$33</definedName>
    <definedName function="false" hidden="false" name="spot_attach" vbProcedure="false">'Scenario Parameters'!$B$29</definedName>
    <definedName function="false" hidden="false" name="spot_frequency" vbProcedure="false">'Scenario Parameters'!$B$31</definedName>
    <definedName function="false" hidden="false" name="spot_ticket" vbProcedure="false">'Scenario Parameters'!$B$30</definedName>
    <definedName function="false" hidden="false" name="spot_to_sip" vbProcedure="false">'Scenario Parameters'!$B$32</definedName>
    <definedName function="false" hidden="false" name="sw_lapsed_keeps_card" vbProcedure="false">'Scenario Parameters'!$B$79</definedName>
    <definedName function="false" hidden="false" name="sw_prepaid_vs_credit" vbProcedure="false">'Scenario Parameters'!$B$78</definedName>
    <definedName function="false" hidden="false" name="ticket_gulf" vbProcedure="false">'Scenario Parameters'!$B$70</definedName>
    <definedName function="false" hidden="false" name="ticket_india" vbProcedure="false">'Scenario Parameters'!$B$71</definedName>
    <definedName function="false" hidden="false" name="ticket_uae" vbProcedure="false">'Scenario Parameters'!$B$69</definedName>
    <definedName function="false" hidden="false" name="txn_fee" vbProcedure="false">Assumptions!$B$15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<sst xmlns="http://schemas.openxmlformats.org/spreadsheetml/2006/main" count="1063" uniqueCount="516">
  <si>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</si>
  <si>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</si>
  <si>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</si>
  <si>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</si>
  <si>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</si>
  <si>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</si>
  <si>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</si>
  <si>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</si>
  <si>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</si>
  <si>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</si>
  <si>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</si>
  <si>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</si>
  <si>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</si>
  <si>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</si>
  <si>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</si>
  <si>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</si>
  <si>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</si>
  <si>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</si>
  <si>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</si>
  <si>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</si>
  <si>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</si>
  <si>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</si>
  <si>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</si>
  <si>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</si>
  <si>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</si>
  <si>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</si>
  <si>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</si>
  <si>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</si>
  <si>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</si>
  <si>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</si>
  <si>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</si>
  <si>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</si>
  <si>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</si>
  <si>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</si>
  <si>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(flat)</t>
  </si>
  <si>
    <t xml:space="preserve">USD/g</t>
  </si>
  <si>
    <t xml:space="preserve">USD 4,400/oz verified 2026-08-17. HELD FLAT BY DESIGN so every revenue change is attributable to the business, not the metal.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</si>
  <si>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</si>
  <si>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</si>
  <si>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</si>
  <si>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</si>
  <si>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</si>
  <si>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</si>
  <si>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</si>
  <si>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</si>
  <si>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</si>
  <si>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</si>
  <si>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</si>
  <si>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</si>
  <si>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</si>
  <si>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</si>
  <si>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</si>
  <si>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</si>
  <si>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</si>
  <si>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</si>
  <si>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</si>
  <si>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</si>
  <si>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</si>
  <si>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</si>
  <si>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Average transaction size</t>
  </si>
  <si>
    <t xml:space="preserve">AED</t>
  </si>
  <si>
    <t xml:space="preserve">RE-CUT 2026-08-20 from AED 185. Groceries, telecom top-ups, transport and bills for a blue/grey collar base - not restaurants and retail. AED 185 implied ~10 transactions a month on the re-cut spend level, which is not the behaviour of a primary card; AED 100 implies ~18/month. DOES NOT AFFECT REVENUE - it drives the authorisation count, which is a COST input for the later cost build. ⚠ CARRY THIS FINDING TO THE COST BUILD: the processor fee is flat per authorisation while Aurumix's interchange share is a percentage, so below roughly AED 77 per transaction (at a 72% PM share and USD 0.10 per authorisation) the fee exceeds the interchange earned. That threshold falls to ~AED 34 at the 36% PM floor, and to ~AED 23 at a negotiated USD 0.03 fee.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</si>
  <si>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</si>
  <si>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</si>
  <si>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</si>
  <si>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</si>
  <si>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</si>
  <si>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</si>
  <si>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</si>
  <si>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</si>
  <si>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</si>
  <si>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</si>
  <si>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</si>
  <si>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</si>
  <si>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</si>
  <si>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</si>
  <si>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</si>
  <si>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</si>
  <si>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</si>
  <si>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</si>
  <si>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Price is ours; the cost floor is verified. ASSUMPTION.</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</si>
  <si>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</si>
  <si>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</si>
  <si>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</si>
  <si>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</si>
  <si>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</si>
  <si>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</si>
  <si>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</si>
  <si>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</si>
  <si>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</si>
  <si>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</si>
  <si>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</si>
  <si>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</si>
  <si>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</si>
  <si>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</si>
  <si>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</si>
  <si>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</si>
  <si>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multiplier - UAE</t>
  </si>
  <si>
    <t xml:space="preserve">x average</t>
  </si>
  <si>
    <t xml:space="preserve">Derived from the regional SIP ticket relative to the book-weighted average of ~USD 31.5. Weighted across the region mix these average 1.00, so they redistribute the spot ticket without changing its level. DERIVED.</t>
  </si>
  <si>
    <t xml:space="preserve">Spot ticket multiplier - Oman and Bahrain</t>
  </si>
  <si>
    <t xml:space="preserve">Spot ticket multiplier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</si>
  <si>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</si>
  <si>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</si>
  <si>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</si>
  <si>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</si>
  <si>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</si>
  <si>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</si>
  <si>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</si>
  <si>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</si>
  <si>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</si>
  <si>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</si>
  <si>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</si>
  <si>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margin, SIP</t>
  </si>
  <si>
    <t xml:space="preserve">period # (from)</t>
  </si>
  <si>
    <t xml:space="preserve">M1. The core product - live at launch.</t>
  </si>
  <si>
    <t xml:space="preserve">Stream 1b - Entry fee margin,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</si>
  <si>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</si>
  <si>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</si>
  <si>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</si>
  <si>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</si>
  <si>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</si>
  <si>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</si>
  <si>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</si>
  <si>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</si>
  <si>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</si>
  <si>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</si>
  <si>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</si>
  <si>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</si>
  <si>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</si>
  <si>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</si>
  <si>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</si>
  <si>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</si>
  <si>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</si>
  <si>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</si>
  <si>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</si>
  <si>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</si>
  <si>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</si>
  <si>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</si>
  <si>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</si>
  <si>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</si>
  <si>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</si>
  <si>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</si>
  <si>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</si>
  <si>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</si>
  <si>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</si>
  <si>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</si>
  <si>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</si>
  <si>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</si>
  <si>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</si>
  <si>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</si>
  <si>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</si>
  <si>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</si>
  <si>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</si>
  <si>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</si>
  <si>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</si>
  <si>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</si>
  <si>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</si>
  <si>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</si>
  <si>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</si>
  <si>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</si>
  <si>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</si>
  <si>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</si>
  <si>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</si>
  <si>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</si>
  <si>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</si>
  <si>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</si>
  <si>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</si>
  <si>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</si>
  <si>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</si>
  <si>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</si>
  <si>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</si>
  <si>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</si>
  <si>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</si>
  <si>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</si>
  <si>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</si>
  <si>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</si>
  <si>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</si>
  <si>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</si>
  <si>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</si>
  <si>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</si>
  <si>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</si>
  <si>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</si>
  <si>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</si>
  <si>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</si>
  <si>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</si>
  <si>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</si>
  <si>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</si>
  <si>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</si>
  <si>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</si>
  <si>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</si>
  <si>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</si>
  <si>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</si>
  <si>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</si>
  <si>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Active agents - Y1</t>
  </si>
  <si>
    <t xml:space="preserve">agents</t>
  </si>
  <si>
    <t xml:space="preserve">A STOCK, not a flow: at 45% attrition, holding 200 active needs ~90 recruits a year.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</si>
  <si>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</si>
  <si>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</si>
  <si>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</si>
  <si>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</si>
  <si>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</si>
  <si>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</si>
  <si>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</si>
  <si>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A DECISION VARIABLE and an input to acquisition, not an output of a cost table.</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</si>
  <si>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</si>
  <si>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</si>
  <si>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</si>
  <si>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</si>
  <si>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</si>
  <si>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</si>
  <si>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</si>
  <si>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</si>
  <si>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</si>
  <si>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</si>
  <si>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</si>
  <si>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</si>
  <si>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</si>
  <si>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</si>
  <si>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</si>
  <si>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agent-driven acquisition - UAE</t>
  </si>
  <si>
    <t xml:space="preserve">% of agent output</t>
  </si>
  <si>
    <t xml:space="preserve">CLIENT INPUT 2026-08-20: THE AGENT NETWORK OPERATES IN INDIA ONLY. Outside India acquisition is marketing spend, referrals and organic only. ⚠ THIS CONTRADICTS THE ARCHITECTURE BRIEF, which allocates agents across every region through its channel-to-region mix and argues that the agent network is Indian and 'must recruit non-Indian agents before it reaches the other South Asian market at all' - wording that assumes agents are already selling to the UAE diaspora. The client instruction is taken as authoritative and the brief's mix is superseded. Must sum to 100%.</t>
  </si>
  <si>
    <t xml:space="preserve">Share of agent-driven acquisition - Oman and Bahrain</t>
  </si>
  <si>
    <t xml:space="preserve">Share of agent-driven acquisition - India</t>
  </si>
  <si>
    <t xml:space="preserve">SCENARIO-LINKED INPUTS (live values - move with the scenario switch)</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</si>
  <si>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</si>
  <si>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</si>
  <si>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</si>
  <si>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</si>
  <si>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</si>
  <si>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</si>
  <si>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</si>
  <si>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</si>
  <si>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Insurance agency comparator. TRIANGULATED.</t>
  </si>
  <si>
    <t xml:space="preserve">Marketing CAC</t>
  </si>
  <si>
    <t xml:space="preserve">No UAE gold-product benchmark. CAC is LINEAR: the brake on unbounded growth is the SATURATION ceiling, which is sourced, not a convexity curve, which is not. ASSUMPTION.</t>
  </si>
  <si>
    <t xml:space="preserve">Referral rate</t>
  </si>
  <si>
    <t xml:space="preserve">referrals/customer/yr</t>
  </si>
  <si>
    <t xml:space="preserve">Cap removed deliberately, so the distribution is right-skewed. MODEL THE MEAN, NOT THE MEDIAN. ASSUMPTION.</t>
  </si>
  <si>
    <t xml:space="preserve">Referral conversion</t>
  </si>
  <si>
    <t xml:space="preserve">The M7 survival of the referred cohort, uplifted ~1.1x. DERIVED.</t>
  </si>
  <si>
    <t xml:space="preserve">Organic share of direct</t>
  </si>
  <si>
    <t xml:space="preserve">% of direct</t>
  </si>
  <si>
    <t xml:space="preserve">Kept separate so the CAC never applies to it.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</si>
  <si>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</si>
  <si>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</si>
  <si>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</si>
  <si>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</si>
  <si>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</si>
  <si>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</si>
  <si>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</si>
  <si>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</si>
  <si>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</si>
  <si>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Self-custody leakage</t>
  </si>
  <si>
    <t xml:space="preserve">% of AUM/yr</t>
  </si>
  <si>
    <t xml:space="preserve">Gold withdrawn to a customer's own wallet. Free to Aurumix but it leaves AUM. ASSUMPTION.</t>
  </si>
  <si>
    <t xml:space="preserve">Redemption rate</t>
  </si>
  <si>
    <t xml:space="preserve">A DIFFERENT EVENT from self-custody and a separate line. PAXG turnover of 5.9% is the only comparator. VARA forbids charging any fee on it. ASSUMPTION.</t>
  </si>
  <si>
    <t xml:space="preserve">Holder redemption multiplier</t>
  </si>
  <si>
    <t xml:space="preserve">x the paying rate</t>
  </si>
  <si>
    <t xml:space="preserve">Customers who stopped paying redeem FASTER - they have no accruing benefit left to protect. Because holders become the majority of the book by Y4, this is the DOMINANT AUM DECAY TERM from roughly Y4. ASSUMPTION.</t>
  </si>
  <si>
    <t xml:space="preserve">Spot attach rate</t>
  </si>
  <si>
    <t xml:space="preserve">% of customers/yr</t>
  </si>
  <si>
    <t xml:space="preserve">Load-bearing because it is MISSING, not because it is large. ASSUMPTION.</t>
  </si>
  <si>
    <t xml:space="preserve">Average spot ticket</t>
  </si>
  <si>
    <t xml:space="preserve">USD/event</t>
  </si>
  <si>
    <t xml:space="preserve">RE-ANCHORED 2026-08-20 from USD 620. Botim - a UAE gold-buying app with a 96% blue/grey collar base, and the ONLY OBSERVED SPOT FUNNEL IN THE LAUNCH MARKET - reports an average ticket of ~AED 780 (~USD 212). USD 620 sat at 2.9x the only observed figure for this demographic, which is the same population-mismatch error corrected on card spend the same day. USD 300 stays ABOVE the observed figure, on the argument that a considered purchase into an allocated-gold savings product is larger than a casual in-app buy, but no longer multiples above it. Conservative sits at USD 200, just below Botim. Scaled by region below. ASSUMPTION anchored on one observation.</t>
  </si>
  <si>
    <t xml:space="preserve">Spot frequency</t>
  </si>
  <si>
    <t xml:space="preserve">events/attacher/yr</t>
  </si>
  <si>
    <t xml:space="preserve">External check: Botim's 128,000 trades against ~45,000 buyers implies ~1.9/yr. INFERRED from two disclosures of different vintage - supportive, not confirmatory. ASSUMPTION.</t>
  </si>
  <si>
    <t xml:space="preserve">Spot-to-SIP conversion</t>
  </si>
  <si>
    <t xml:space="preserve">% of spot buyers/yr</t>
  </si>
  <si>
    <t xml:space="preserve">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</si>
  <si>
    <t xml:space="preserve">Programme manager share of interchange</t>
  </si>
  <si>
    <t xml:space="preserve">SIZES THE LARGEST STREAM. No UAE/MENA figure is published. FLOOR IS 36% - take that into the sponsor conversation as the walk-away. TRIANGULATED.</t>
  </si>
  <si>
    <t xml:space="preserve">Card spend as a multiple of the monthly SIP ticket</t>
  </si>
  <si>
    <t xml:space="preserve">x monthly ticket</t>
  </si>
  <si>
    <t xml:space="preserve">RE-EXPRESSED 2026-08-20 as a MULTIPLE rather than an absolute AED figure, for two reasons. First it REGIONALISES for free: a region that saves more per month also spends more, because both are driven by the same income. Second, and more important, it makes an incoherent answer unrepresentable - an absolute figure can drift to a level the customer could not possibly transact, and AED 1,800 flat against a book saving USD 31.50/month was already a 15.5x multiple. THE BINDING CONSTRAINT IS THE CREDIT LIMIT: under the credit variant the card is secured on the customer's gold at 50% LTV, so monthly spend cannot exceed the limit that gold supports. At 15.5x it did - USD 493/month against a USD 457 limit - which is not a high estimate but an impossible one. Base 8x is anchored on the income build-up: a USD 38 saver has ~USD 300/month savings capacity, AED 3,700-5,500 income with employer housing, 60-80% remitted, leaving ~AED 700-1,500 discretionary of which the card takes most. ASSUMPTION, income-anchored.</t>
  </si>
  <si>
    <t xml:space="preserve">Card activation rate</t>
  </si>
  <si>
    <t xml:space="preserve">% of eligible</t>
  </si>
  <si>
    <t xml:space="preserve">RE-CUT 2026-08-20 from 65%. PULSE 68.2% and Monzo 68% are NEOBANKS WHERE THE CARD IS THE PRODUCT - people signed up FOR the card. Here the card is a secondary benefit on a savings product: the customer came for gold. The comparable is wrong in kind, not just in level. Partly offset by the base already being gate-filtered, hence 50% rather than lower. NO PRIMARY SOURCE EXISTS.</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</si>
  <si>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</si>
  <si>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</si>
  <si>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</si>
  <si>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</si>
  <si>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</si>
  <si>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</si>
  <si>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</si>
  <si>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</si>
  <si>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</si>
  <si>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</si>
  <si>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</si>
  <si>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</si>
  <si>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</si>
  <si>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</si>
  <si>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</si>
  <si>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</si>
  <si>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</si>
  <si>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</si>
  <si>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Credit take-up among eligible</t>
  </si>
  <si>
    <t xml:space="preserve">Indian gold-loan penetration is &lt;10% at a point in time; pre-selection uplift applied. DERIVED.</t>
  </si>
  <si>
    <t xml:space="preserve">Drawn as % of permitted limit</t>
  </si>
  <si>
    <t xml:space="preserve">Revolving facilities draw 40-55% of permitted.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</si>
  <si>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</si>
  <si>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</si>
  <si>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</si>
  <si>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</si>
  <si>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</si>
  <si>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</si>
  <si>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</si>
  <si>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NOTHING IS STATED ANYWHERE IN THE CORPUS. Pure assumption. Scales stream 3 linearly.</t>
  </si>
  <si>
    <t xml:space="preserve">B2B partners - Y1</t>
  </si>
  <si>
    <t xml:space="preserve">partners</t>
  </si>
  <si>
    <t xml:space="preserve">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</si>
  <si>
    <t xml:space="preserve">B2B partners - Y2</t>
  </si>
  <si>
    <t xml:space="preserve">B2B partners - Y3</t>
  </si>
  <si>
    <t xml:space="preserve">B2B partners - Y4</t>
  </si>
  <si>
    <t xml:space="preserve">B2B partners - Y5</t>
  </si>
  <si>
    <t xml:space="preserve">B2B partners - Y6</t>
  </si>
  <si>
    <t xml:space="preserve">B2B partners - Y7</t>
  </si>
  <si>
    <t xml:space="preserve">AUM per partner (mature)</t>
  </si>
  <si>
    <t xml:space="preserve">Requires a signed partner. Partner AUM earns NO tier and consumes NO benefits - structurally the highest-margin book.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</si>
  <si>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</si>
  <si>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</si>
  <si>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</si>
  <si>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</si>
  <si>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Share of new customers - UAE</t>
  </si>
  <si>
    <t xml:space="preserve">% of new</t>
  </si>
  <si>
    <t xml:space="preserve">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</si>
  <si>
    <t xml:space="preserve">Share of new customers - Oman and Bahrain</t>
  </si>
  <si>
    <t xml:space="preserve">Share of new customers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</si>
  <si>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</si>
  <si>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</si>
  <si>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</si>
  <si>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</si>
  <si>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</si>
  <si>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</si>
  <si>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</si>
  <si>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</si>
  <si>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</si>
  <si>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</si>
  <si>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</si>
  <si>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</si>
  <si>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 CUSTOMERS AND CHURN</t>
  </si>
  <si>
    <t xml:space="preserve">Active Value</t>
  </si>
  <si>
    <t xml:space="preserve">Aggressive</t>
  </si>
  <si>
    <t xml:space="preserve">Conservative</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</si>
  <si>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</si>
  <si>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</si>
  <si>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</si>
  <si>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</si>
  <si>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</si>
  <si>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</si>
  <si>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</si>
  <si>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</si>
  <si>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</si>
  <si>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</si>
  <si>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</si>
  <si>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</si>
  <si>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</si>
  <si>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</si>
  <si>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</si>
  <si>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</si>
  <si>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</si>
  <si>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</si>
  <si>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</si>
  <si>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</si>
  <si>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</si>
  <si>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</si>
  <si>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</si>
  <si>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</si>
  <si>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</si>
  <si>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</si>
  <si>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</si>
  <si>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</si>
  <si>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</si>
  <si>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</si>
  <si>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</si>
  <si>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</si>
  <si>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</si>
  <si>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</si>
  <si>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</si>
  <si>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</si>
  <si>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</si>
  <si>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</si>
  <si>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</si>
  <si>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</si>
  <si>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</si>
  <si>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</si>
  <si>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</si>
  <si>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</si>
  <si>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</si>
  <si>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</si>
  <si>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</si>
  <si>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</si>
  <si>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</si>
  <si>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</si>
  <si>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</si>
  <si>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</si>
  <si>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</si>
  <si>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</si>
  <si>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</si>
  <si>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</si>
  <si>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</si>
  <si>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</si>
  <si>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</si>
  <si>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</si>
  <si>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</si>
  <si>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</si>
  <si>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</si>
  <si>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</si>
  <si>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</si>
  <si>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</si>
  <si>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</si>
  <si>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</si>
  <si>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</si>
  <si>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Direct-driven new customers</t>
  </si>
  <si>
    <t xml:space="preserve">Referral-driven new customers</t>
  </si>
  <si>
    <t xml:space="preserve">Non-agent demand (direct + referral, split by market size)</t>
  </si>
  <si>
    <t xml:space="preserve">Open-region share total (renormalisation base)</t>
  </si>
  <si>
    <t xml:space="preserve">x</t>
  </si>
  <si>
    <t xml:space="preserve">REGION: UAE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</si>
  <si>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</si>
  <si>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</si>
  <si>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</si>
  <si>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</si>
  <si>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</si>
  <si>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</si>
  <si>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</si>
  <si>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</si>
  <si>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</si>
  <si>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</si>
  <si>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AUM decay rate (holder-weighted)</t>
  </si>
  <si>
    <t xml:space="preserve">%/period</t>
  </si>
  <si>
    <t xml:space="preserve">  Grams held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</si>
  <si>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</si>
  <si>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</si>
  <si>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</si>
  <si>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</si>
  <si>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</si>
  <si>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</si>
  <si>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Card spend per card per month</t>
  </si>
  <si>
    <t xml:space="preserve">  Card spend</t>
  </si>
  <si>
    <t xml:space="preserve">  Stream 1a - Entry fee margin, SIP</t>
  </si>
  <si>
    <t xml:space="preserve">  Stream 1b - Entry fee margin, SPOT</t>
  </si>
  <si>
    <t xml:space="preserve">  Stream 2 - Card interchange</t>
  </si>
  <si>
    <t xml:space="preserve">  Stream 3 - Family plan and Digital Will</t>
  </si>
  <si>
    <t xml:space="preserve">  Stream 4 - Cardholder fees (FX, ATM, events)</t>
  </si>
  <si>
    <t xml:space="preserve">  Average drawn credit balance</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</si>
  <si>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</si>
  <si>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</si>
  <si>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</si>
  <si>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</si>
  <si>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</si>
  <si>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</si>
  <si>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</si>
  <si>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</si>
  <si>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</si>
  <si>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</si>
  <si>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</si>
  <si>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</si>
  <si>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</si>
  <si>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</si>
  <si>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</si>
  <si>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</si>
  <si>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</si>
  <si>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</si>
  <si>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AUM</t>
  </si>
  <si>
    <t xml:space="preserve">Cleared the six-payment gate</t>
  </si>
  <si>
    <t xml:space="preserve">SIP contributions</t>
  </si>
  <si>
    <t xml:space="preserve">Spot purchase volume</t>
  </si>
  <si>
    <t xml:space="preserve">Card spend</t>
  </si>
  <si>
    <t xml:space="preserve">CHECK: paying + holders = cumulative ever acquired</t>
  </si>
  <si>
    <t xml:space="preserve">delta</t>
  </si>
  <si>
    <t xml:space="preserve">  AUM per paying customer (memo)</t>
  </si>
  <si>
    <t xml:space="preserve">  Total credit capacity across cardholders (memo)</t>
  </si>
  <si>
    <t xml:space="preserve">  CHECK: card spend vs credit capacity (must be &lt;= 1.00)</t>
  </si>
  <si>
    <t xml:space="preserve">Redemption events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</si>
  <si>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</si>
  <si>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</si>
  <si>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</si>
  <si>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</si>
  <si>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</si>
  <si>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</si>
  <si>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</si>
  <si>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</si>
  <si>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</si>
  <si>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</si>
  <si>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</si>
  <si>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</si>
  <si>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</si>
  <si>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margin - SIP</t>
  </si>
  <si>
    <t xml:space="preserve">Stream 1b: Entry fee margin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</si>
  <si>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</si>
  <si>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</si>
  <si>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</si>
  <si>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</si>
  <si>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</si>
  <si>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</si>
  <si>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</si>
  <si>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</si>
  <si>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</si>
  <si>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</si>
  <si>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</si>
  <si>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</si>
  <si>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</si>
  <si>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</si>
  <si>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</si>
  <si>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</si>
  <si>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</si>
  <si>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</si>
  <si>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</si>
  <si>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</si>
  <si>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held</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</si>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</sst>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0"/>
    <numFmt numFmtId="173" formatCode="0.00\x"/>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46254</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7" t="n">
        <v>100</v>
      </c>
      <c r="C17" s="0" t="s">
        <v>60</v>
      </c>
      <c r="D17" s="0" t="s">
        <v>61</v>
      </c>
    </row>
    <row r="18" customFormat="false" ht="15" hidden="false" customHeight="false" outlineLevel="0" collapsed="false">
      <c r="A18" s="0" t="s">
        <v>62</v>
      </c>
      <c r="B18" s="16" t="n">
        <v>0.02</v>
      </c>
      <c r="C18" s="0" t="s">
        <v>63</v>
      </c>
      <c r="D18" s="0" t="s">
        <v>64</v>
      </c>
    </row>
    <row r="19" customFormat="false" ht="15" hidden="false" customHeight="false" outlineLevel="0" collapsed="false">
      <c r="A19" s="0" t="s">
        <v>65</v>
      </c>
      <c r="B19" s="17" t="n">
        <v>1000</v>
      </c>
      <c r="C19" s="0" t="s">
        <v>66</v>
      </c>
      <c r="D19" s="0" t="s">
        <v>67</v>
      </c>
    </row>
    <row r="20" customFormat="false" ht="15" hidden="false" customHeight="false" outlineLevel="0" collapsed="false">
      <c r="A20" s="0" t="s">
        <v>68</v>
      </c>
      <c r="B20" s="16" t="n">
        <v>0.02</v>
      </c>
      <c r="C20" s="0" t="s">
        <v>69</v>
      </c>
      <c r="D20" s="0" t="s">
        <v>70</v>
      </c>
    </row>
    <row r="21" customFormat="false" ht="15" hidden="false" customHeight="false" outlineLevel="0" collapsed="false">
      <c r="A21" s="0" t="s">
        <v>71</v>
      </c>
      <c r="B21" s="17" t="n">
        <v>75</v>
      </c>
      <c r="C21" s="0" t="s">
        <v>72</v>
      </c>
      <c r="D21" s="0" t="s">
        <v>73</v>
      </c>
    </row>
    <row r="22" customFormat="false" ht="15" hidden="false" customHeight="false" outlineLevel="0" collapsed="false">
      <c r="A22" s="0" t="s">
        <v>74</v>
      </c>
      <c r="B22" s="17" t="n">
        <v>100</v>
      </c>
      <c r="C22" s="0" t="s">
        <v>75</v>
      </c>
      <c r="D22" s="0" t="s">
        <v>76</v>
      </c>
    </row>
    <row r="24" customFormat="false" ht="18" hidden="false" customHeight="true" outlineLevel="0" collapsed="false">
      <c r="A24" s="12" t="s">
        <v>77</v>
      </c>
      <c r="B24" s="13"/>
      <c r="C24" s="13"/>
      <c r="D24" s="13"/>
    </row>
    <row r="25" customFormat="false" ht="15" hidden="false" customHeight="false" outlineLevel="0" collapsed="false">
      <c r="A25" s="14" t="s">
        <v>30</v>
      </c>
      <c r="B25" s="14" t="s">
        <v>31</v>
      </c>
      <c r="C25" s="14" t="s">
        <v>32</v>
      </c>
      <c r="D25" s="14" t="s">
        <v>33</v>
      </c>
    </row>
    <row r="26" customFormat="false" ht="15" hidden="false" customHeight="false" outlineLevel="0" collapsed="false">
      <c r="A26" s="0" t="s">
        <v>78</v>
      </c>
      <c r="B26" s="20" t="n">
        <v>120</v>
      </c>
      <c r="C26" s="0" t="s">
        <v>79</v>
      </c>
      <c r="D26" s="0" t="s">
        <v>80</v>
      </c>
    </row>
    <row r="27" customFormat="false" ht="15" hidden="false" customHeight="false" outlineLevel="0" collapsed="false">
      <c r="A27" s="0" t="s">
        <v>81</v>
      </c>
      <c r="B27" s="16" t="n">
        <v>0.00625</v>
      </c>
      <c r="C27" s="0" t="s">
        <v>82</v>
      </c>
      <c r="D27" s="0" t="s">
        <v>83</v>
      </c>
    </row>
    <row r="28" customFormat="false" ht="15" hidden="false" customHeight="false" outlineLevel="0" collapsed="false">
      <c r="A28" s="0" t="s">
        <v>84</v>
      </c>
      <c r="B28" s="16" t="n">
        <v>0.01</v>
      </c>
      <c r="C28" s="0" t="s">
        <v>85</v>
      </c>
      <c r="D28" s="0" t="s">
        <v>86</v>
      </c>
    </row>
    <row r="29" customFormat="false" ht="15" hidden="false" customHeight="false" outlineLevel="0" collapsed="false">
      <c r="A29" s="0" t="s">
        <v>87</v>
      </c>
      <c r="B29" s="19" t="n">
        <v>0.5</v>
      </c>
      <c r="C29" s="0" t="s">
        <v>88</v>
      </c>
      <c r="D29" s="0" t="s">
        <v>89</v>
      </c>
    </row>
    <row r="30" customFormat="false" ht="15" hidden="false" customHeight="false" outlineLevel="0" collapsed="false">
      <c r="A30" s="0" t="s">
        <v>90</v>
      </c>
      <c r="B30" s="16" t="n">
        <v>0.005</v>
      </c>
      <c r="C30" s="0" t="s">
        <v>91</v>
      </c>
      <c r="D30" s="0" t="s">
        <v>89</v>
      </c>
    </row>
    <row r="31" customFormat="false" ht="15" hidden="false" customHeight="false" outlineLevel="0" collapsed="false">
      <c r="A31" s="0" t="s">
        <v>92</v>
      </c>
      <c r="B31" s="19" t="n">
        <v>0.7</v>
      </c>
      <c r="C31" s="0" t="s">
        <v>88</v>
      </c>
      <c r="D31" s="0" t="s">
        <v>93</v>
      </c>
    </row>
    <row r="32" customFormat="false" ht="15" hidden="false" customHeight="false" outlineLevel="0" collapsed="false">
      <c r="A32" s="0" t="s">
        <v>94</v>
      </c>
      <c r="B32" s="19" t="n">
        <v>0.5</v>
      </c>
      <c r="C32" s="0" t="s">
        <v>95</v>
      </c>
      <c r="D32" s="0" t="s">
        <v>96</v>
      </c>
    </row>
    <row r="33" customFormat="false" ht="15" hidden="false" customHeight="false" outlineLevel="0" collapsed="false">
      <c r="A33" s="0" t="s">
        <v>97</v>
      </c>
      <c r="B33" s="15" t="n">
        <v>1.07</v>
      </c>
      <c r="C33" s="0" t="s">
        <v>98</v>
      </c>
      <c r="D33" s="0" t="s">
        <v>99</v>
      </c>
    </row>
    <row r="34" customFormat="false" ht="15" hidden="false" customHeight="false" outlineLevel="0" collapsed="false">
      <c r="A34" s="0" t="s">
        <v>100</v>
      </c>
      <c r="B34" s="15" t="n">
        <v>0.83</v>
      </c>
      <c r="C34" s="0" t="s">
        <v>98</v>
      </c>
      <c r="D34" s="0" t="s">
        <v>99</v>
      </c>
    </row>
    <row r="35" customFormat="false" ht="15" hidden="false" customHeight="false" outlineLevel="0" collapsed="false">
      <c r="A35" s="0" t="s">
        <v>101</v>
      </c>
      <c r="B35" s="15" t="n">
        <v>0.95</v>
      </c>
      <c r="C35" s="0" t="s">
        <v>98</v>
      </c>
      <c r="D35" s="0" t="s">
        <v>99</v>
      </c>
    </row>
    <row r="37" customFormat="false" ht="18" hidden="false" customHeight="true" outlineLevel="0" collapsed="false">
      <c r="A37" s="12" t="s">
        <v>102</v>
      </c>
      <c r="B37" s="13"/>
      <c r="C37" s="13"/>
      <c r="D37" s="13"/>
    </row>
    <row r="38" customFormat="false" ht="15" hidden="false" customHeight="false" outlineLevel="0" collapsed="false">
      <c r="A38" s="14" t="s">
        <v>30</v>
      </c>
      <c r="B38" s="14" t="s">
        <v>31</v>
      </c>
      <c r="C38" s="14" t="s">
        <v>32</v>
      </c>
      <c r="D38" s="14" t="s">
        <v>33</v>
      </c>
    </row>
    <row r="39" customFormat="false" ht="15" hidden="false" customHeight="false" outlineLevel="0" collapsed="false">
      <c r="A39" s="0" t="s">
        <v>103</v>
      </c>
      <c r="B39" s="18" t="n">
        <v>20</v>
      </c>
      <c r="C39" s="0" t="s">
        <v>104</v>
      </c>
      <c r="D39" s="0" t="s">
        <v>105</v>
      </c>
    </row>
    <row r="40" customFormat="false" ht="15" hidden="false" customHeight="false" outlineLevel="0" collapsed="false">
      <c r="A40" s="0" t="s">
        <v>106</v>
      </c>
      <c r="B40" s="17" t="n">
        <v>6</v>
      </c>
      <c r="C40" s="0" t="s">
        <v>107</v>
      </c>
      <c r="D40" s="0" t="s">
        <v>108</v>
      </c>
    </row>
    <row r="41" customFormat="false" ht="15" hidden="false" customHeight="false" outlineLevel="0" collapsed="false">
      <c r="A41" s="0" t="s">
        <v>109</v>
      </c>
      <c r="B41" s="18" t="n">
        <v>3.2</v>
      </c>
      <c r="C41" s="0" t="s">
        <v>110</v>
      </c>
      <c r="D41" s="0" t="s">
        <v>111</v>
      </c>
    </row>
    <row r="43" customFormat="false" ht="18" hidden="false" customHeight="true" outlineLevel="0" collapsed="false">
      <c r="A43" s="12" t="s">
        <v>112</v>
      </c>
      <c r="B43" s="13"/>
      <c r="C43" s="13"/>
      <c r="D43" s="13"/>
    </row>
    <row r="44" customFormat="false" ht="15" hidden="false" customHeight="false" outlineLevel="0" collapsed="false">
      <c r="A44" s="14" t="s">
        <v>30</v>
      </c>
      <c r="B44" s="14" t="s">
        <v>31</v>
      </c>
      <c r="C44" s="14" t="s">
        <v>32</v>
      </c>
      <c r="D44" s="14" t="s">
        <v>33</v>
      </c>
    </row>
    <row r="45" customFormat="false" ht="15" hidden="false" customHeight="false" outlineLevel="0" collapsed="false">
      <c r="A45" s="0" t="s">
        <v>113</v>
      </c>
      <c r="B45" s="17" t="n">
        <v>1</v>
      </c>
      <c r="C45" s="0" t="s">
        <v>114</v>
      </c>
      <c r="D45" s="0" t="s">
        <v>115</v>
      </c>
    </row>
    <row r="46" customFormat="false" ht="15" hidden="false" customHeight="false" outlineLevel="0" collapsed="false">
      <c r="A46" s="0" t="s">
        <v>116</v>
      </c>
      <c r="B46" s="17" t="n">
        <v>1</v>
      </c>
      <c r="C46" s="0" t="s">
        <v>114</v>
      </c>
      <c r="D46" s="0" t="s">
        <v>117</v>
      </c>
    </row>
    <row r="47" customFormat="false" ht="15" hidden="false" customHeight="false" outlineLevel="0" collapsed="false">
      <c r="A47" s="0" t="s">
        <v>118</v>
      </c>
      <c r="B47" s="17" t="n">
        <v>1</v>
      </c>
      <c r="C47" s="0" t="s">
        <v>114</v>
      </c>
      <c r="D47" s="0" t="s">
        <v>119</v>
      </c>
    </row>
    <row r="48" customFormat="false" ht="15" hidden="false" customHeight="false" outlineLevel="0" collapsed="false">
      <c r="A48" s="0" t="s">
        <v>120</v>
      </c>
      <c r="B48" s="17" t="n">
        <v>7</v>
      </c>
      <c r="C48" s="0" t="s">
        <v>114</v>
      </c>
      <c r="D48" s="0" t="s">
        <v>121</v>
      </c>
    </row>
    <row r="49" customFormat="false" ht="15" hidden="false" customHeight="false" outlineLevel="0" collapsed="false">
      <c r="A49" s="0" t="s">
        <v>122</v>
      </c>
      <c r="B49" s="17" t="n">
        <v>13</v>
      </c>
      <c r="C49" s="0" t="s">
        <v>114</v>
      </c>
      <c r="D49" s="0" t="s">
        <v>123</v>
      </c>
    </row>
    <row r="50" customFormat="false" ht="15" hidden="false" customHeight="false" outlineLevel="0" collapsed="false">
      <c r="A50" s="0" t="s">
        <v>124</v>
      </c>
      <c r="B50" s="17" t="n">
        <v>13</v>
      </c>
      <c r="C50" s="0" t="s">
        <v>114</v>
      </c>
      <c r="D50" s="0" t="s">
        <v>125</v>
      </c>
    </row>
    <row r="51" customFormat="false" ht="15" hidden="false" customHeight="false" outlineLevel="0" collapsed="false">
      <c r="A51" s="0" t="s">
        <v>126</v>
      </c>
      <c r="B51" s="17" t="n">
        <v>13</v>
      </c>
      <c r="C51" s="0" t="s">
        <v>114</v>
      </c>
      <c r="D51" s="0" t="s">
        <v>127</v>
      </c>
    </row>
    <row r="52" customFormat="false" ht="15" hidden="false" customHeight="false" outlineLevel="0" collapsed="false">
      <c r="A52" s="0" t="s">
        <v>128</v>
      </c>
      <c r="B52" s="17" t="n">
        <v>13</v>
      </c>
      <c r="C52" s="0" t="s">
        <v>114</v>
      </c>
      <c r="D52" s="0" t="s">
        <v>129</v>
      </c>
    </row>
    <row r="53" customFormat="false" ht="15" hidden="false" customHeight="false" outlineLevel="0" collapsed="false">
      <c r="A53" s="0" t="s">
        <v>130</v>
      </c>
      <c r="B53" s="17" t="n">
        <v>13</v>
      </c>
      <c r="C53" s="0" t="s">
        <v>114</v>
      </c>
      <c r="D53" s="0" t="s">
        <v>131</v>
      </c>
    </row>
    <row r="54" customFormat="false" ht="15" hidden="false" customHeight="false" outlineLevel="0" collapsed="false">
      <c r="A54" s="0" t="s">
        <v>132</v>
      </c>
      <c r="B54" s="17" t="n">
        <v>13</v>
      </c>
      <c r="C54" s="0" t="s">
        <v>114</v>
      </c>
      <c r="D54" s="0" t="s">
        <v>133</v>
      </c>
    </row>
    <row r="55" customFormat="false" ht="15" hidden="false" customHeight="false" outlineLevel="0" collapsed="false">
      <c r="A55" s="0" t="s">
        <v>134</v>
      </c>
      <c r="B55" s="17" t="n">
        <v>1</v>
      </c>
      <c r="C55" s="0" t="s">
        <v>114</v>
      </c>
      <c r="D55" s="0" t="s">
        <v>135</v>
      </c>
    </row>
    <row r="57" customFormat="false" ht="18" hidden="false" customHeight="true" outlineLevel="0" collapsed="false">
      <c r="A57" s="12" t="s">
        <v>136</v>
      </c>
      <c r="B57" s="13"/>
      <c r="C57" s="13"/>
      <c r="D57" s="13"/>
    </row>
    <row r="58" customFormat="false" ht="15" hidden="false" customHeight="false" outlineLevel="0" collapsed="false">
      <c r="A58" s="0" t="s">
        <v>137</v>
      </c>
      <c r="F58" s="21" t="s">
        <v>138</v>
      </c>
      <c r="G58" s="21" t="s">
        <v>139</v>
      </c>
      <c r="H58" s="21" t="s">
        <v>140</v>
      </c>
      <c r="I58" s="21" t="s">
        <v>141</v>
      </c>
      <c r="J58" s="21" t="s">
        <v>142</v>
      </c>
      <c r="K58" s="21" t="s">
        <v>143</v>
      </c>
      <c r="L58" s="21" t="s">
        <v>144</v>
      </c>
      <c r="M58" s="21" t="s">
        <v>145</v>
      </c>
      <c r="N58" s="21" t="s">
        <v>146</v>
      </c>
      <c r="O58" s="21" t="s">
        <v>147</v>
      </c>
      <c r="P58" s="21" t="s">
        <v>148</v>
      </c>
      <c r="Q58" s="21" t="s">
        <v>149</v>
      </c>
    </row>
    <row r="59" customFormat="false" ht="15" hidden="false" customHeight="false" outlineLevel="0" collapsed="false">
      <c r="A59" s="0" t="s">
        <v>150</v>
      </c>
      <c r="D59" s="0" t="s">
        <v>151</v>
      </c>
      <c r="F59" s="22" t="n">
        <v>1.01</v>
      </c>
      <c r="G59" s="22" t="n">
        <v>0.96</v>
      </c>
      <c r="H59" s="22" t="n">
        <v>0.92</v>
      </c>
      <c r="I59" s="22" t="n">
        <v>1.15</v>
      </c>
      <c r="J59" s="22" t="n">
        <v>1.04</v>
      </c>
      <c r="K59" s="22" t="n">
        <v>0.88</v>
      </c>
      <c r="L59" s="22" t="n">
        <v>0.85</v>
      </c>
      <c r="M59" s="22" t="n">
        <v>0.85</v>
      </c>
      <c r="N59" s="22" t="n">
        <v>0.93</v>
      </c>
      <c r="O59" s="22" t="n">
        <v>1.25</v>
      </c>
      <c r="P59" s="22" t="n">
        <v>1.15</v>
      </c>
      <c r="Q59" s="22" t="n">
        <v>1.01</v>
      </c>
    </row>
    <row r="60" customFormat="false" ht="15" hidden="false" customHeight="false" outlineLevel="0" collapsed="false">
      <c r="A60" s="0" t="s">
        <v>152</v>
      </c>
      <c r="D60" s="0" t="s">
        <v>153</v>
      </c>
      <c r="F60" s="22" t="n">
        <v>1.1</v>
      </c>
      <c r="G60" s="22" t="n">
        <v>1</v>
      </c>
      <c r="H60" s="22" t="n">
        <v>0.98</v>
      </c>
      <c r="I60" s="22" t="n">
        <v>0.98</v>
      </c>
      <c r="J60" s="22" t="n">
        <v>1</v>
      </c>
      <c r="K60" s="22" t="n">
        <v>0.95</v>
      </c>
      <c r="L60" s="22" t="n">
        <v>0.88</v>
      </c>
      <c r="M60" s="22" t="n">
        <v>0.9</v>
      </c>
      <c r="N60" s="22" t="n">
        <v>1</v>
      </c>
      <c r="O60" s="22" t="n">
        <v>1.02</v>
      </c>
      <c r="P60" s="22" t="n">
        <v>1.05</v>
      </c>
      <c r="Q60" s="22" t="n">
        <v>1.14</v>
      </c>
    </row>
    <row r="61" customFormat="false" ht="15" hidden="false" customHeight="false" outlineLevel="0" collapsed="false">
      <c r="A61" s="0" t="s">
        <v>154</v>
      </c>
      <c r="D61" s="0" t="s">
        <v>155</v>
      </c>
      <c r="F61" s="22" t="n">
        <v>30</v>
      </c>
      <c r="G61" s="22" t="n">
        <v>30</v>
      </c>
      <c r="H61" s="22" t="n">
        <v>30</v>
      </c>
      <c r="I61" s="22" t="n">
        <v>32</v>
      </c>
      <c r="J61" s="22" t="n">
        <v>34</v>
      </c>
      <c r="K61" s="22" t="n">
        <v>55</v>
      </c>
      <c r="L61" s="22" t="n">
        <v>60</v>
      </c>
      <c r="M61" s="22" t="n">
        <v>56</v>
      </c>
      <c r="N61" s="22" t="n">
        <v>36</v>
      </c>
      <c r="O61" s="22" t="n">
        <v>42</v>
      </c>
      <c r="P61" s="22" t="n">
        <v>40</v>
      </c>
      <c r="Q61" s="22" t="n">
        <v>32</v>
      </c>
    </row>
    <row r="63" customFormat="false" ht="18" hidden="false" customHeight="true" outlineLevel="0" collapsed="false">
      <c r="A63" s="12" t="s">
        <v>156</v>
      </c>
      <c r="B63" s="13"/>
      <c r="C63" s="13"/>
      <c r="D63" s="13"/>
    </row>
    <row r="64" customFormat="false" ht="15" hidden="false" customHeight="false" outlineLevel="0" collapsed="false">
      <c r="A64" s="14" t="s">
        <v>30</v>
      </c>
      <c r="B64" s="14" t="s">
        <v>31</v>
      </c>
      <c r="C64" s="14" t="s">
        <v>32</v>
      </c>
      <c r="D64" s="14" t="s">
        <v>33</v>
      </c>
    </row>
    <row r="65" customFormat="false" ht="15" hidden="false" customHeight="false" outlineLevel="0" collapsed="false">
      <c r="A65" s="3" t="s">
        <v>157</v>
      </c>
      <c r="B65" s="23" t="s">
        <v>158</v>
      </c>
      <c r="D65" s="0" t="s">
        <v>159</v>
      </c>
    </row>
    <row r="66" customFormat="false" ht="15" hidden="false" customHeight="false" outlineLevel="0" collapsed="false">
      <c r="A66" s="3" t="s">
        <v>160</v>
      </c>
      <c r="B66" s="23" t="s">
        <v>161</v>
      </c>
      <c r="D66" s="0" t="s">
        <v>162</v>
      </c>
    </row>
    <row r="67" customFormat="false" ht="15" hidden="false" customHeight="false" outlineLevel="0" collapsed="false">
      <c r="A67" s="3" t="s">
        <v>163</v>
      </c>
      <c r="B67" s="23" t="s">
        <v>158</v>
      </c>
      <c r="D67" s="0" t="s">
        <v>164</v>
      </c>
    </row>
    <row r="69" customFormat="false" ht="18" hidden="false" customHeight="true" outlineLevel="0" collapsed="false">
      <c r="A69" s="12" t="s">
        <v>165</v>
      </c>
      <c r="B69" s="13"/>
      <c r="C69" s="13"/>
      <c r="D69" s="13"/>
    </row>
    <row r="70" customFormat="false" ht="23.85" hidden="false" customHeight="false" outlineLevel="0" collapsed="false">
      <c r="A70" s="24" t="s">
        <v>166</v>
      </c>
      <c r="F70" s="25" t="s">
        <v>167</v>
      </c>
      <c r="G70" s="25" t="s">
        <v>168</v>
      </c>
      <c r="H70" s="25" t="s">
        <v>160</v>
      </c>
      <c r="I70" s="25" t="s">
        <v>163</v>
      </c>
    </row>
    <row r="71" customFormat="false" ht="15" hidden="false" customHeight="false" outlineLevel="0" collapsed="false">
      <c r="A71" s="0" t="s">
        <v>169</v>
      </c>
      <c r="D71" s="0" t="s">
        <v>170</v>
      </c>
      <c r="F71" s="26" t="n">
        <v>4360000</v>
      </c>
      <c r="G71" s="26" t="n">
        <v>3460000</v>
      </c>
      <c r="H71" s="26" t="n">
        <v>2630000</v>
      </c>
      <c r="I71" s="26" t="n">
        <v>12500000</v>
      </c>
    </row>
    <row r="72" customFormat="false" ht="15" hidden="false" customHeight="false" outlineLevel="0" collapsed="false">
      <c r="A72" s="0" t="s">
        <v>171</v>
      </c>
      <c r="D72" s="0" t="s">
        <v>172</v>
      </c>
      <c r="F72" s="27" t="n">
        <v>0.8</v>
      </c>
      <c r="G72" s="27" t="n">
        <v>0.8</v>
      </c>
      <c r="H72" s="27" t="n">
        <v>1</v>
      </c>
      <c r="I72" s="27" t="n">
        <v>1</v>
      </c>
    </row>
    <row r="73" customFormat="false" ht="15" hidden="false" customHeight="false" outlineLevel="0" collapsed="false">
      <c r="A73" s="0" t="s">
        <v>173</v>
      </c>
      <c r="D73" s="0" t="s">
        <v>174</v>
      </c>
      <c r="F73" s="27" t="n">
        <v>0.57</v>
      </c>
      <c r="G73" s="27" t="n">
        <v>0.57</v>
      </c>
      <c r="H73" s="27" t="n">
        <v>0.57</v>
      </c>
      <c r="I73" s="27" t="n">
        <v>1</v>
      </c>
    </row>
    <row r="74" customFormat="false" ht="15" hidden="false" customHeight="false" outlineLevel="0" collapsed="false">
      <c r="A74" s="0" t="s">
        <v>175</v>
      </c>
      <c r="D74" s="0" t="s">
        <v>176</v>
      </c>
      <c r="F74" s="27" t="n">
        <v>0.4</v>
      </c>
      <c r="G74" s="27" t="n">
        <v>0.4</v>
      </c>
      <c r="H74" s="27" t="n">
        <v>0.4</v>
      </c>
      <c r="I74" s="27" t="n">
        <v>1</v>
      </c>
    </row>
    <row r="75" customFormat="false" ht="15" hidden="false" customHeight="false" outlineLevel="0" collapsed="false">
      <c r="A75" s="0" t="s">
        <v>177</v>
      </c>
      <c r="D75" s="0" t="s">
        <v>178</v>
      </c>
      <c r="F75" s="28" t="n">
        <f aca="false">F71*F72*F73*F74</f>
        <v>795264</v>
      </c>
      <c r="G75" s="28" t="n">
        <f aca="false">G71*G72*G73*G74</f>
        <v>631104</v>
      </c>
      <c r="H75" s="28" t="n">
        <f aca="false">H71*H72*H73*H74</f>
        <v>599640</v>
      </c>
      <c r="I75" s="28" t="n">
        <f aca="false">I71*I72*I73*I74</f>
        <v>12500000</v>
      </c>
    </row>
    <row r="76" customFormat="false" ht="15" hidden="false" customHeight="false" outlineLevel="0" collapsed="false">
      <c r="A76" s="0" t="s">
        <v>179</v>
      </c>
      <c r="D76" s="0" t="s">
        <v>180</v>
      </c>
      <c r="F76" s="29" t="n">
        <v>0.095</v>
      </c>
      <c r="G76" s="29" t="n">
        <v>0.06</v>
      </c>
      <c r="H76" s="29" t="n">
        <v>0.04</v>
      </c>
      <c r="I76" s="29" t="n">
        <v>0.0035</v>
      </c>
    </row>
    <row r="77" customFormat="false" ht="15" hidden="false" customHeight="false" outlineLevel="0" collapsed="false">
      <c r="A77" s="0" t="s">
        <v>181</v>
      </c>
      <c r="D77" s="0" t="s">
        <v>182</v>
      </c>
      <c r="F77" s="28" t="n">
        <f aca="false">F75*F76</f>
        <v>75550.08</v>
      </c>
      <c r="G77" s="28" t="n">
        <f aca="false">G75*G76</f>
        <v>37866.24</v>
      </c>
      <c r="H77" s="28" t="n">
        <f aca="false">H75*H76</f>
        <v>23985.6</v>
      </c>
      <c r="I77" s="28" t="n">
        <f aca="false">I75*I76</f>
        <v>43750</v>
      </c>
    </row>
    <row r="78" customFormat="false" ht="15" hidden="false" customHeight="false" outlineLevel="0" collapsed="false">
      <c r="A78" s="0" t="s">
        <v>183</v>
      </c>
      <c r="F78" s="30" t="s">
        <v>157</v>
      </c>
      <c r="G78" s="30" t="s">
        <v>157</v>
      </c>
      <c r="H78" s="30" t="s">
        <v>160</v>
      </c>
      <c r="I78" s="30" t="s">
        <v>163</v>
      </c>
    </row>
    <row r="80" customFormat="false" ht="18" hidden="false" customHeight="true" outlineLevel="0" collapsed="false">
      <c r="A80" s="12" t="s">
        <v>184</v>
      </c>
      <c r="B80" s="13"/>
      <c r="C80" s="13"/>
      <c r="D80" s="13"/>
    </row>
    <row r="81" customFormat="false" ht="15" hidden="false" customHeight="false" outlineLevel="0" collapsed="false">
      <c r="A81" s="14" t="s">
        <v>30</v>
      </c>
      <c r="B81" s="14" t="s">
        <v>31</v>
      </c>
      <c r="C81" s="14" t="s">
        <v>32</v>
      </c>
      <c r="D81" s="14" t="s">
        <v>33</v>
      </c>
    </row>
    <row r="82" customFormat="false" ht="15" hidden="false" customHeight="false" outlineLevel="0" collapsed="false">
      <c r="A82" s="0" t="s">
        <v>185</v>
      </c>
      <c r="B82" s="31" t="n">
        <f aca="false">F77+G77</f>
        <v>113416.32</v>
      </c>
      <c r="C82" s="0" t="s">
        <v>186</v>
      </c>
      <c r="D82" s="0" t="s">
        <v>187</v>
      </c>
    </row>
    <row r="83" customFormat="false" ht="15" hidden="false" customHeight="false" outlineLevel="0" collapsed="false">
      <c r="A83" s="0" t="s">
        <v>188</v>
      </c>
      <c r="B83" s="31" t="n">
        <f aca="false">H77</f>
        <v>23985.6</v>
      </c>
      <c r="C83" s="0" t="s">
        <v>186</v>
      </c>
      <c r="D83" s="0" t="s">
        <v>189</v>
      </c>
    </row>
    <row r="84" customFormat="false" ht="15" hidden="false" customHeight="false" outlineLevel="0" collapsed="false">
      <c r="A84" s="0" t="s">
        <v>190</v>
      </c>
      <c r="B84" s="31" t="n">
        <f aca="false">I77</f>
        <v>43750</v>
      </c>
      <c r="C84" s="0" t="s">
        <v>186</v>
      </c>
      <c r="D84" s="0" t="s">
        <v>191</v>
      </c>
    </row>
    <row r="85" customFormat="false" ht="15" hidden="false" customHeight="false" outlineLevel="0" collapsed="false">
      <c r="A85" s="3" t="s">
        <v>192</v>
      </c>
      <c r="B85" s="31" t="n">
        <f aca="false">$B$82+$B$83+$B$84</f>
        <v>181151.92</v>
      </c>
      <c r="C85" s="0" t="s">
        <v>186</v>
      </c>
      <c r="D85" s="0" t="s">
        <v>193</v>
      </c>
    </row>
    <row r="86" customFormat="false" ht="15" hidden="false" customHeight="false" outlineLevel="0" collapsed="false">
      <c r="A86" s="0" t="s">
        <v>194</v>
      </c>
      <c r="B86" s="17" t="n">
        <v>5</v>
      </c>
      <c r="C86" s="0" t="s">
        <v>195</v>
      </c>
      <c r="D86" s="0" t="s">
        <v>196</v>
      </c>
    </row>
    <row r="87" customFormat="false" ht="15" hidden="false" customHeight="false" outlineLevel="0" collapsed="false">
      <c r="A87" s="0" t="s">
        <v>197</v>
      </c>
      <c r="B87" s="17" t="n">
        <v>15</v>
      </c>
      <c r="C87" s="0" t="s">
        <v>195</v>
      </c>
      <c r="D87" s="0" t="s">
        <v>196</v>
      </c>
    </row>
    <row r="88" customFormat="false" ht="15" hidden="false" customHeight="false" outlineLevel="0" collapsed="false">
      <c r="A88" s="0" t="s">
        <v>198</v>
      </c>
      <c r="B88" s="17" t="n">
        <v>40</v>
      </c>
      <c r="C88" s="0" t="s">
        <v>195</v>
      </c>
      <c r="D88" s="0" t="s">
        <v>196</v>
      </c>
    </row>
    <row r="89" customFormat="false" ht="15" hidden="false" customHeight="false" outlineLevel="0" collapsed="false">
      <c r="A89" s="0" t="s">
        <v>199</v>
      </c>
      <c r="B89" s="17" t="n">
        <v>60</v>
      </c>
      <c r="C89" s="0" t="s">
        <v>195</v>
      </c>
      <c r="D89" s="0" t="s">
        <v>196</v>
      </c>
    </row>
    <row r="90" customFormat="false" ht="15" hidden="false" customHeight="false" outlineLevel="0" collapsed="false">
      <c r="A90" s="0" t="s">
        <v>200</v>
      </c>
      <c r="B90" s="17" t="n">
        <v>90</v>
      </c>
      <c r="C90" s="0" t="s">
        <v>195</v>
      </c>
      <c r="D90" s="0" t="s">
        <v>196</v>
      </c>
    </row>
    <row r="91" customFormat="false" ht="15" hidden="false" customHeight="false" outlineLevel="0" collapsed="false">
      <c r="A91" s="0" t="s">
        <v>201</v>
      </c>
      <c r="B91" s="17" t="n">
        <v>106</v>
      </c>
      <c r="C91" s="0" t="s">
        <v>195</v>
      </c>
      <c r="D91" s="0" t="s">
        <v>196</v>
      </c>
    </row>
    <row r="92" customFormat="false" ht="15" hidden="false" customHeight="false" outlineLevel="0" collapsed="false">
      <c r="A92" s="0" t="s">
        <v>202</v>
      </c>
      <c r="B92" s="17" t="n">
        <v>124</v>
      </c>
      <c r="C92" s="0" t="s">
        <v>195</v>
      </c>
      <c r="D92" s="0" t="s">
        <v>196</v>
      </c>
    </row>
    <row r="93" customFormat="false" ht="15" hidden="false" customHeight="false" outlineLevel="0" collapsed="false">
      <c r="A93" s="0" t="s">
        <v>203</v>
      </c>
      <c r="B93" s="20" t="n">
        <v>60000</v>
      </c>
      <c r="C93" s="0" t="s">
        <v>79</v>
      </c>
      <c r="D93" s="0" t="s">
        <v>204</v>
      </c>
    </row>
    <row r="94" customFormat="false" ht="15" hidden="false" customHeight="false" outlineLevel="0" collapsed="false">
      <c r="A94" s="0" t="s">
        <v>205</v>
      </c>
      <c r="B94" s="20" t="n">
        <v>180000</v>
      </c>
      <c r="C94" s="0" t="s">
        <v>79</v>
      </c>
      <c r="D94" s="0" t="s">
        <v>204</v>
      </c>
    </row>
    <row r="95" customFormat="false" ht="15" hidden="false" customHeight="false" outlineLevel="0" collapsed="false">
      <c r="A95" s="0" t="s">
        <v>206</v>
      </c>
      <c r="B95" s="20" t="n">
        <v>250000</v>
      </c>
      <c r="C95" s="0" t="s">
        <v>79</v>
      </c>
      <c r="D95" s="0" t="s">
        <v>204</v>
      </c>
    </row>
    <row r="96" customFormat="false" ht="15" hidden="false" customHeight="false" outlineLevel="0" collapsed="false">
      <c r="A96" s="0" t="s">
        <v>207</v>
      </c>
      <c r="B96" s="20" t="n">
        <v>400000</v>
      </c>
      <c r="C96" s="0" t="s">
        <v>79</v>
      </c>
      <c r="D96" s="0" t="s">
        <v>204</v>
      </c>
    </row>
    <row r="97" customFormat="false" ht="15" hidden="false" customHeight="false" outlineLevel="0" collapsed="false">
      <c r="A97" s="0" t="s">
        <v>208</v>
      </c>
      <c r="B97" s="20" t="n">
        <v>600000</v>
      </c>
      <c r="C97" s="0" t="s">
        <v>79</v>
      </c>
      <c r="D97" s="0" t="s">
        <v>204</v>
      </c>
    </row>
    <row r="98" customFormat="false" ht="15" hidden="false" customHeight="false" outlineLevel="0" collapsed="false">
      <c r="A98" s="0" t="s">
        <v>209</v>
      </c>
      <c r="B98" s="20" t="n">
        <v>850000</v>
      </c>
      <c r="C98" s="0" t="s">
        <v>79</v>
      </c>
      <c r="D98" s="0" t="s">
        <v>204</v>
      </c>
    </row>
    <row r="99" customFormat="false" ht="15" hidden="false" customHeight="false" outlineLevel="0" collapsed="false">
      <c r="A99" s="0" t="s">
        <v>210</v>
      </c>
      <c r="B99" s="20" t="n">
        <v>1100000</v>
      </c>
      <c r="C99" s="0" t="s">
        <v>79</v>
      </c>
      <c r="D99" s="0" t="s">
        <v>204</v>
      </c>
    </row>
    <row r="100" customFormat="false" ht="15" hidden="false" customHeight="false" outlineLevel="0" collapsed="false">
      <c r="A100" s="0" t="s">
        <v>211</v>
      </c>
      <c r="B100" s="15" t="n">
        <v>0.6</v>
      </c>
      <c r="C100" s="0" t="s">
        <v>212</v>
      </c>
      <c r="D100" s="0" t="s">
        <v>213</v>
      </c>
    </row>
    <row r="101" customFormat="false" ht="15" hidden="false" customHeight="false" outlineLevel="0" collapsed="false">
      <c r="A101" s="0" t="s">
        <v>214</v>
      </c>
      <c r="B101" s="15" t="n">
        <v>0.85</v>
      </c>
      <c r="C101" s="0" t="s">
        <v>212</v>
      </c>
      <c r="D101" s="0" t="s">
        <v>213</v>
      </c>
    </row>
    <row r="102" customFormat="false" ht="15" hidden="false" customHeight="false" outlineLevel="0" collapsed="false">
      <c r="A102" s="0" t="s">
        <v>215</v>
      </c>
      <c r="B102" s="15" t="n">
        <v>1</v>
      </c>
      <c r="C102" s="0" t="s">
        <v>212</v>
      </c>
      <c r="D102" s="0" t="s">
        <v>213</v>
      </c>
    </row>
    <row r="103" customFormat="false" ht="15" hidden="false" customHeight="false" outlineLevel="0" collapsed="false">
      <c r="A103" s="0" t="s">
        <v>216</v>
      </c>
      <c r="B103" s="15" t="n">
        <v>1</v>
      </c>
      <c r="C103" s="0" t="s">
        <v>212</v>
      </c>
      <c r="D103" s="0" t="s">
        <v>213</v>
      </c>
    </row>
    <row r="104" customFormat="false" ht="15" hidden="false" customHeight="false" outlineLevel="0" collapsed="false">
      <c r="A104" s="0" t="s">
        <v>217</v>
      </c>
      <c r="B104" s="15" t="n">
        <v>1</v>
      </c>
      <c r="C104" s="0" t="s">
        <v>212</v>
      </c>
      <c r="D104" s="0" t="s">
        <v>213</v>
      </c>
    </row>
    <row r="105" customFormat="false" ht="15" hidden="false" customHeight="false" outlineLevel="0" collapsed="false">
      <c r="A105" s="0" t="s">
        <v>218</v>
      </c>
      <c r="B105" s="15" t="n">
        <v>1</v>
      </c>
      <c r="C105" s="0" t="s">
        <v>212</v>
      </c>
      <c r="D105" s="0" t="s">
        <v>213</v>
      </c>
    </row>
    <row r="106" customFormat="false" ht="15" hidden="false" customHeight="false" outlineLevel="0" collapsed="false">
      <c r="A106" s="0" t="s">
        <v>219</v>
      </c>
      <c r="B106" s="15" t="n">
        <v>1</v>
      </c>
      <c r="C106" s="0" t="s">
        <v>212</v>
      </c>
      <c r="D106" s="0" t="s">
        <v>213</v>
      </c>
    </row>
    <row r="107" customFormat="false" ht="15" hidden="false" customHeight="false" outlineLevel="0" collapsed="false">
      <c r="A107" s="0" t="s">
        <v>220</v>
      </c>
      <c r="B107" s="19" t="n">
        <v>0</v>
      </c>
      <c r="C107" s="0" t="s">
        <v>221</v>
      </c>
      <c r="D107" s="0" t="s">
        <v>222</v>
      </c>
    </row>
    <row r="108" customFormat="false" ht="15" hidden="false" customHeight="false" outlineLevel="0" collapsed="false">
      <c r="A108" s="0" t="s">
        <v>223</v>
      </c>
      <c r="B108" s="19" t="n">
        <v>0</v>
      </c>
      <c r="C108" s="0" t="s">
        <v>221</v>
      </c>
      <c r="D108" s="0" t="s">
        <v>222</v>
      </c>
    </row>
    <row r="109" customFormat="false" ht="15" hidden="false" customHeight="false" outlineLevel="0" collapsed="false">
      <c r="A109" s="0" t="s">
        <v>224</v>
      </c>
      <c r="B109" s="19" t="n">
        <v>1</v>
      </c>
      <c r="C109" s="0" t="s">
        <v>221</v>
      </c>
      <c r="D109" s="0" t="s">
        <v>222</v>
      </c>
    </row>
    <row r="111" customFormat="false" ht="18" hidden="false" customHeight="true" outlineLevel="0" collapsed="false">
      <c r="A111" s="12" t="s">
        <v>225</v>
      </c>
      <c r="B111" s="13"/>
      <c r="C111" s="13"/>
      <c r="D111" s="13"/>
    </row>
    <row r="112" customFormat="false" ht="15" hidden="false" customHeight="false" outlineLevel="0" collapsed="false">
      <c r="A112" s="14" t="s">
        <v>30</v>
      </c>
      <c r="B112" s="14" t="s">
        <v>31</v>
      </c>
      <c r="C112" s="14" t="s">
        <v>32</v>
      </c>
      <c r="D112" s="14" t="s">
        <v>33</v>
      </c>
    </row>
    <row r="113" customFormat="false" ht="15" hidden="false" customHeight="false" outlineLevel="0" collapsed="false">
      <c r="A113" s="0" t="s">
        <v>226</v>
      </c>
      <c r="B113" s="32" t="n">
        <f aca="false">'Scenario Parameters'!$B$10</f>
        <v>0.55</v>
      </c>
      <c r="C113" s="0" t="s">
        <v>227</v>
      </c>
      <c r="D113" s="0" t="s">
        <v>228</v>
      </c>
    </row>
    <row r="114" customFormat="false" ht="15" hidden="false" customHeight="false" outlineLevel="0" collapsed="false">
      <c r="A114" s="0" t="s">
        <v>229</v>
      </c>
      <c r="B114" s="33" t="n">
        <f aca="false">'Scenario Parameters'!$B$11</f>
        <v>0.0485991010017477</v>
      </c>
      <c r="C114" s="0" t="s">
        <v>230</v>
      </c>
      <c r="D114" s="0" t="s">
        <v>231</v>
      </c>
    </row>
    <row r="115" customFormat="false" ht="15" hidden="false" customHeight="false" outlineLevel="0" collapsed="false">
      <c r="A115" s="0" t="s">
        <v>232</v>
      </c>
      <c r="B115" s="34" t="n">
        <f aca="false">'Scenario Parameters'!$B$12</f>
        <v>4</v>
      </c>
      <c r="C115" s="0" t="s">
        <v>233</v>
      </c>
      <c r="D115" s="0" t="s">
        <v>234</v>
      </c>
    </row>
    <row r="116" customFormat="false" ht="15" hidden="false" customHeight="false" outlineLevel="0" collapsed="false">
      <c r="A116" s="0" t="s">
        <v>235</v>
      </c>
      <c r="B116" s="35" t="n">
        <f aca="false">'Scenario Parameters'!$B$13</f>
        <v>120</v>
      </c>
      <c r="C116" s="0" t="s">
        <v>110</v>
      </c>
      <c r="D116" s="0" t="s">
        <v>236</v>
      </c>
    </row>
    <row r="117" customFormat="false" ht="15" hidden="false" customHeight="false" outlineLevel="0" collapsed="false">
      <c r="A117" s="0" t="s">
        <v>237</v>
      </c>
      <c r="B117" s="34" t="n">
        <f aca="false">'Scenario Parameters'!$B$14</f>
        <v>0.45</v>
      </c>
      <c r="C117" s="0" t="s">
        <v>238</v>
      </c>
      <c r="D117" s="0" t="s">
        <v>239</v>
      </c>
    </row>
    <row r="118" customFormat="false" ht="15" hidden="false" customHeight="false" outlineLevel="0" collapsed="false">
      <c r="A118" s="0" t="s">
        <v>240</v>
      </c>
      <c r="B118" s="32" t="n">
        <f aca="false">'Scenario Parameters'!$B$15</f>
        <v>0.62</v>
      </c>
      <c r="C118" s="0" t="s">
        <v>227</v>
      </c>
      <c r="D118" s="0" t="s">
        <v>241</v>
      </c>
    </row>
    <row r="119" customFormat="false" ht="15" hidden="false" customHeight="false" outlineLevel="0" collapsed="false">
      <c r="A119" s="0" t="s">
        <v>242</v>
      </c>
      <c r="B119" s="32" t="n">
        <f aca="false">'Scenario Parameters'!$B$16</f>
        <v>0.12</v>
      </c>
      <c r="C119" s="0" t="s">
        <v>243</v>
      </c>
      <c r="D119" s="0" t="s">
        <v>244</v>
      </c>
    </row>
    <row r="120" customFormat="false" ht="15" hidden="false" customHeight="false" outlineLevel="0" collapsed="false">
      <c r="A120" s="0" t="s">
        <v>245</v>
      </c>
      <c r="B120" s="34" t="n">
        <f aca="false">'Scenario Parameters'!$B$17</f>
        <v>1</v>
      </c>
      <c r="C120" s="0" t="s">
        <v>246</v>
      </c>
      <c r="D120" s="0" t="s">
        <v>247</v>
      </c>
    </row>
    <row r="121" customFormat="false" ht="15" hidden="false" customHeight="false" outlineLevel="0" collapsed="false">
      <c r="A121" s="0" t="s">
        <v>248</v>
      </c>
      <c r="B121" s="32" t="n">
        <f aca="false">'Scenario Parameters'!$B$21</f>
        <v>0.55</v>
      </c>
      <c r="C121" s="0" t="s">
        <v>249</v>
      </c>
      <c r="D121" s="0" t="s">
        <v>250</v>
      </c>
    </row>
    <row r="122" customFormat="false" ht="15" hidden="false" customHeight="false" outlineLevel="0" collapsed="false">
      <c r="A122" s="0" t="s">
        <v>251</v>
      </c>
      <c r="B122" s="36" t="n">
        <f aca="false">'Scenario Parameters'!$B$22</f>
        <v>8</v>
      </c>
      <c r="C122" s="0" t="s">
        <v>252</v>
      </c>
      <c r="D122" s="0" t="s">
        <v>253</v>
      </c>
    </row>
    <row r="123" customFormat="false" ht="15" hidden="false" customHeight="false" outlineLevel="0" collapsed="false">
      <c r="A123" s="0" t="s">
        <v>254</v>
      </c>
      <c r="B123" s="32" t="n">
        <f aca="false">'Scenario Parameters'!$B$26</f>
        <v>0.12</v>
      </c>
      <c r="C123" s="0" t="s">
        <v>255</v>
      </c>
      <c r="D123" s="0" t="s">
        <v>256</v>
      </c>
    </row>
    <row r="124" customFormat="false" ht="15" hidden="false" customHeight="false" outlineLevel="0" collapsed="false">
      <c r="A124" s="0" t="s">
        <v>257</v>
      </c>
      <c r="B124" s="32" t="n">
        <f aca="false">'Scenario Parameters'!$B$27</f>
        <v>0.08</v>
      </c>
      <c r="C124" s="0" t="s">
        <v>255</v>
      </c>
      <c r="D124" s="0" t="s">
        <v>258</v>
      </c>
    </row>
    <row r="125" customFormat="false" ht="15" hidden="false" customHeight="false" outlineLevel="0" collapsed="false">
      <c r="A125" s="0" t="s">
        <v>259</v>
      </c>
      <c r="B125" s="34" t="n">
        <f aca="false">'Scenario Parameters'!$B$28</f>
        <v>2.2</v>
      </c>
      <c r="C125" s="0" t="s">
        <v>260</v>
      </c>
      <c r="D125" s="0" t="s">
        <v>261</v>
      </c>
    </row>
    <row r="126" customFormat="false" ht="15" hidden="false" customHeight="false" outlineLevel="0" collapsed="false">
      <c r="A126" s="0" t="s">
        <v>262</v>
      </c>
      <c r="B126" s="32" t="n">
        <f aca="false">'Scenario Parameters'!$B$29</f>
        <v>0.14</v>
      </c>
      <c r="C126" s="0" t="s">
        <v>263</v>
      </c>
      <c r="D126" s="0" t="s">
        <v>264</v>
      </c>
    </row>
    <row r="127" customFormat="false" ht="15" hidden="false" customHeight="false" outlineLevel="0" collapsed="false">
      <c r="A127" s="0" t="s">
        <v>265</v>
      </c>
      <c r="B127" s="35" t="n">
        <f aca="false">'Scenario Parameters'!$B$30</f>
        <v>300</v>
      </c>
      <c r="C127" s="0" t="s">
        <v>266</v>
      </c>
      <c r="D127" s="0" t="s">
        <v>267</v>
      </c>
    </row>
    <row r="128" customFormat="false" ht="15" hidden="false" customHeight="false" outlineLevel="0" collapsed="false">
      <c r="A128" s="0" t="s">
        <v>268</v>
      </c>
      <c r="B128" s="34" t="n">
        <f aca="false">'Scenario Parameters'!$B$31</f>
        <v>1.7</v>
      </c>
      <c r="C128" s="0" t="s">
        <v>269</v>
      </c>
      <c r="D128" s="0" t="s">
        <v>270</v>
      </c>
    </row>
    <row r="129" customFormat="false" ht="15" hidden="false" customHeight="false" outlineLevel="0" collapsed="false">
      <c r="A129" s="0" t="s">
        <v>271</v>
      </c>
      <c r="B129" s="32" t="n">
        <f aca="false">'Scenario Parameters'!$B$32</f>
        <v>0.08</v>
      </c>
      <c r="C129" s="0" t="s">
        <v>272</v>
      </c>
      <c r="D129" s="0" t="s">
        <v>273</v>
      </c>
    </row>
    <row r="130" customFormat="false" ht="15" hidden="false" customHeight="false" outlineLevel="0" collapsed="false">
      <c r="A130" s="0" t="s">
        <v>274</v>
      </c>
      <c r="B130" s="32" t="n">
        <f aca="false">'Scenario Parameters'!$B$36</f>
        <v>0.72</v>
      </c>
      <c r="C130" s="0" t="s">
        <v>227</v>
      </c>
      <c r="D130" s="0" t="s">
        <v>275</v>
      </c>
    </row>
    <row r="131" customFormat="false" ht="15" hidden="false" customHeight="false" outlineLevel="0" collapsed="false">
      <c r="A131" s="0" t="s">
        <v>276</v>
      </c>
      <c r="B131" s="34" t="n">
        <f aca="false">'Scenario Parameters'!$B$37</f>
        <v>8</v>
      </c>
      <c r="C131" s="0" t="s">
        <v>277</v>
      </c>
      <c r="D131" s="0" t="s">
        <v>278</v>
      </c>
    </row>
    <row r="132" customFormat="false" ht="15" hidden="false" customHeight="false" outlineLevel="0" collapsed="false">
      <c r="A132" s="0" t="s">
        <v>279</v>
      </c>
      <c r="B132" s="32" t="n">
        <f aca="false">'Scenario Parameters'!$B$38</f>
        <v>0.5</v>
      </c>
      <c r="C132" s="0" t="s">
        <v>280</v>
      </c>
      <c r="D132" s="0" t="s">
        <v>281</v>
      </c>
    </row>
    <row r="133" customFormat="false" ht="15" hidden="false" customHeight="false" outlineLevel="0" collapsed="false">
      <c r="A133" s="0" t="s">
        <v>282</v>
      </c>
      <c r="B133" s="32" t="n">
        <f aca="false">'Scenario Parameters'!$B$39</f>
        <v>0.34</v>
      </c>
      <c r="C133" s="0" t="s">
        <v>283</v>
      </c>
      <c r="D133" s="0" t="s">
        <v>284</v>
      </c>
    </row>
    <row r="134" customFormat="false" ht="15" hidden="false" customHeight="false" outlineLevel="0" collapsed="false">
      <c r="A134" s="0" t="s">
        <v>285</v>
      </c>
      <c r="B134" s="34" t="n">
        <f aca="false">'Scenario Parameters'!$B$40</f>
        <v>1.06</v>
      </c>
      <c r="C134" s="0" t="s">
        <v>286</v>
      </c>
      <c r="D134" s="0" t="s">
        <v>287</v>
      </c>
    </row>
    <row r="135" customFormat="false" ht="15" hidden="false" customHeight="false" outlineLevel="0" collapsed="false">
      <c r="A135" s="0" t="s">
        <v>288</v>
      </c>
      <c r="B135" s="34" t="n">
        <f aca="false">'Scenario Parameters'!$B$41</f>
        <v>0.11</v>
      </c>
      <c r="C135" s="0" t="s">
        <v>286</v>
      </c>
      <c r="D135" s="0" t="s">
        <v>289</v>
      </c>
    </row>
    <row r="136" customFormat="false" ht="15" hidden="false" customHeight="false" outlineLevel="0" collapsed="false">
      <c r="A136" s="0" t="s">
        <v>290</v>
      </c>
      <c r="B136" s="32" t="n">
        <f aca="false">'Scenario Parameters'!$B$42</f>
        <v>0.6</v>
      </c>
      <c r="C136" s="0" t="s">
        <v>227</v>
      </c>
      <c r="D136" s="0" t="s">
        <v>291</v>
      </c>
    </row>
    <row r="137" customFormat="false" ht="15" hidden="false" customHeight="false" outlineLevel="0" collapsed="false">
      <c r="A137" s="0" t="s">
        <v>292</v>
      </c>
      <c r="B137" s="32" t="n">
        <f aca="false">'Scenario Parameters'!$B$43</f>
        <v>0.25</v>
      </c>
      <c r="C137" s="0" t="s">
        <v>227</v>
      </c>
      <c r="D137" s="0" t="s">
        <v>291</v>
      </c>
    </row>
    <row r="138" customFormat="false" ht="15" hidden="false" customHeight="false" outlineLevel="0" collapsed="false">
      <c r="A138" s="0" t="s">
        <v>293</v>
      </c>
      <c r="B138" s="32" t="n">
        <f aca="false">'Scenario Parameters'!$B$44</f>
        <v>0.12</v>
      </c>
      <c r="C138" s="0" t="s">
        <v>227</v>
      </c>
      <c r="D138" s="0" t="s">
        <v>291</v>
      </c>
    </row>
    <row r="139" customFormat="false" ht="15" hidden="false" customHeight="false" outlineLevel="0" collapsed="false">
      <c r="A139" s="0" t="s">
        <v>294</v>
      </c>
      <c r="B139" s="32" t="n">
        <f aca="false">'Scenario Parameters'!$B$45</f>
        <v>0.03</v>
      </c>
      <c r="C139" s="0" t="s">
        <v>227</v>
      </c>
      <c r="D139" s="0" t="s">
        <v>291</v>
      </c>
    </row>
    <row r="140" customFormat="false" ht="15" hidden="false" customHeight="false" outlineLevel="0" collapsed="false">
      <c r="A140" s="0" t="s">
        <v>295</v>
      </c>
      <c r="B140" s="36" t="n">
        <f aca="false">'Scenario Parameters'!$B$46</f>
        <v>250</v>
      </c>
      <c r="C140" s="0" t="s">
        <v>66</v>
      </c>
      <c r="D140" s="0" t="s">
        <v>296</v>
      </c>
    </row>
    <row r="141" customFormat="false" ht="15" hidden="false" customHeight="false" outlineLevel="0" collapsed="false">
      <c r="A141" s="0" t="s">
        <v>297</v>
      </c>
      <c r="B141" s="36" t="n">
        <f aca="false">'Scenario Parameters'!$B$47</f>
        <v>1000</v>
      </c>
      <c r="C141" s="0" t="s">
        <v>66</v>
      </c>
      <c r="D141" s="0" t="s">
        <v>296</v>
      </c>
    </row>
    <row r="142" customFormat="false" ht="15" hidden="false" customHeight="false" outlineLevel="0" collapsed="false">
      <c r="A142" s="0" t="s">
        <v>298</v>
      </c>
      <c r="B142" s="36" t="n">
        <f aca="false">'Scenario Parameters'!$B$48</f>
        <v>2250</v>
      </c>
      <c r="C142" s="0" t="s">
        <v>66</v>
      </c>
      <c r="D142" s="0" t="s">
        <v>296</v>
      </c>
    </row>
    <row r="143" customFormat="false" ht="15" hidden="false" customHeight="false" outlineLevel="0" collapsed="false">
      <c r="A143" s="0" t="s">
        <v>299</v>
      </c>
      <c r="B143" s="36" t="n">
        <f aca="false">'Scenario Parameters'!$B$49</f>
        <v>4000</v>
      </c>
      <c r="C143" s="0" t="s">
        <v>66</v>
      </c>
      <c r="D143" s="0" t="s">
        <v>296</v>
      </c>
    </row>
    <row r="144" customFormat="false" ht="15" hidden="false" customHeight="false" outlineLevel="0" collapsed="false">
      <c r="A144" s="0" t="s">
        <v>300</v>
      </c>
      <c r="B144" s="32" t="n">
        <f aca="false">'Scenario Parameters'!$B$53</f>
        <v>0.18</v>
      </c>
      <c r="C144" s="0" t="s">
        <v>227</v>
      </c>
      <c r="D144" s="0" t="s">
        <v>301</v>
      </c>
    </row>
    <row r="145" customFormat="false" ht="15" hidden="false" customHeight="false" outlineLevel="0" collapsed="false">
      <c r="A145" s="0" t="s">
        <v>302</v>
      </c>
      <c r="B145" s="32" t="n">
        <f aca="false">'Scenario Parameters'!$B$54</f>
        <v>0.5</v>
      </c>
      <c r="C145" s="0" t="s">
        <v>227</v>
      </c>
      <c r="D145" s="0" t="s">
        <v>303</v>
      </c>
    </row>
    <row r="146" customFormat="false" ht="15" hidden="false" customHeight="false" outlineLevel="0" collapsed="false">
      <c r="A146" s="0" t="s">
        <v>304</v>
      </c>
      <c r="B146" s="34" t="n">
        <f aca="false">'Scenario Parameters'!$B$55</f>
        <v>0.42</v>
      </c>
      <c r="C146" s="0" t="s">
        <v>305</v>
      </c>
      <c r="D146" s="0" t="s">
        <v>306</v>
      </c>
    </row>
    <row r="147" customFormat="false" ht="15" hidden="false" customHeight="false" outlineLevel="0" collapsed="false">
      <c r="A147" s="0" t="s">
        <v>307</v>
      </c>
      <c r="B147" s="34" t="n">
        <f aca="false">'Scenario Parameters'!$B$56</f>
        <v>2.1</v>
      </c>
      <c r="C147" s="0" t="s">
        <v>308</v>
      </c>
      <c r="D147" s="0" t="s">
        <v>309</v>
      </c>
    </row>
    <row r="148" customFormat="false" ht="15" hidden="false" customHeight="false" outlineLevel="0" collapsed="false">
      <c r="A148" s="0" t="s">
        <v>310</v>
      </c>
      <c r="B148" s="32" t="n">
        <f aca="false">'Scenario Parameters'!$B$57</f>
        <v>0.2</v>
      </c>
      <c r="C148" s="0" t="s">
        <v>249</v>
      </c>
      <c r="D148" s="0" t="s">
        <v>311</v>
      </c>
    </row>
    <row r="149" customFormat="false" ht="15" hidden="false" customHeight="false" outlineLevel="0" collapsed="false">
      <c r="A149" s="0" t="s">
        <v>312</v>
      </c>
      <c r="B149" s="36" t="n">
        <f aca="false">'Scenario Parameters'!$B$58</f>
        <v>0</v>
      </c>
      <c r="C149" s="0" t="s">
        <v>313</v>
      </c>
      <c r="D149" s="0" t="s">
        <v>314</v>
      </c>
    </row>
    <row r="150" customFormat="false" ht="15" hidden="false" customHeight="false" outlineLevel="0" collapsed="false">
      <c r="A150" s="0" t="s">
        <v>315</v>
      </c>
      <c r="B150" s="36" t="n">
        <f aca="false">'Scenario Parameters'!$B$59</f>
        <v>1</v>
      </c>
      <c r="C150" s="0" t="s">
        <v>313</v>
      </c>
      <c r="D150" s="0" t="s">
        <v>314</v>
      </c>
    </row>
    <row r="151" customFormat="false" ht="15" hidden="false" customHeight="false" outlineLevel="0" collapsed="false">
      <c r="A151" s="0" t="s">
        <v>316</v>
      </c>
      <c r="B151" s="36" t="n">
        <f aca="false">'Scenario Parameters'!$B$60</f>
        <v>2</v>
      </c>
      <c r="C151" s="0" t="s">
        <v>313</v>
      </c>
      <c r="D151" s="0" t="s">
        <v>314</v>
      </c>
    </row>
    <row r="152" customFormat="false" ht="15" hidden="false" customHeight="false" outlineLevel="0" collapsed="false">
      <c r="A152" s="0" t="s">
        <v>317</v>
      </c>
      <c r="B152" s="36" t="n">
        <f aca="false">'Scenario Parameters'!$B$61</f>
        <v>3</v>
      </c>
      <c r="C152" s="0" t="s">
        <v>313</v>
      </c>
      <c r="D152" s="0" t="s">
        <v>314</v>
      </c>
    </row>
    <row r="153" customFormat="false" ht="15" hidden="false" customHeight="false" outlineLevel="0" collapsed="false">
      <c r="A153" s="0" t="s">
        <v>318</v>
      </c>
      <c r="B153" s="36" t="n">
        <f aca="false">'Scenario Parameters'!$B$62</f>
        <v>4</v>
      </c>
      <c r="C153" s="0" t="s">
        <v>313</v>
      </c>
      <c r="D153" s="0" t="s">
        <v>314</v>
      </c>
    </row>
    <row r="154" customFormat="false" ht="15" hidden="false" customHeight="false" outlineLevel="0" collapsed="false">
      <c r="A154" s="0" t="s">
        <v>319</v>
      </c>
      <c r="B154" s="36" t="n">
        <f aca="false">'Scenario Parameters'!$B$63</f>
        <v>5</v>
      </c>
      <c r="C154" s="0" t="s">
        <v>313</v>
      </c>
      <c r="D154" s="0" t="s">
        <v>314</v>
      </c>
    </row>
    <row r="155" customFormat="false" ht="15" hidden="false" customHeight="false" outlineLevel="0" collapsed="false">
      <c r="A155" s="0" t="s">
        <v>320</v>
      </c>
      <c r="B155" s="36" t="n">
        <f aca="false">'Scenario Parameters'!$B$64</f>
        <v>6</v>
      </c>
      <c r="C155" s="0" t="s">
        <v>313</v>
      </c>
      <c r="D155" s="0" t="s">
        <v>314</v>
      </c>
    </row>
    <row r="156" customFormat="false" ht="15" hidden="false" customHeight="false" outlineLevel="0" collapsed="false">
      <c r="A156" s="0" t="s">
        <v>321</v>
      </c>
      <c r="B156" s="35" t="n">
        <f aca="false">'Scenario Parameters'!$B$65</f>
        <v>32000000</v>
      </c>
      <c r="C156" s="0" t="s">
        <v>110</v>
      </c>
      <c r="D156" s="0" t="s">
        <v>322</v>
      </c>
    </row>
    <row r="157" customFormat="false" ht="15" hidden="false" customHeight="false" outlineLevel="0" collapsed="false">
      <c r="A157" s="0" t="s">
        <v>323</v>
      </c>
      <c r="B157" s="35" t="n">
        <f aca="false">'Scenario Parameters'!$B$69</f>
        <v>33.6</v>
      </c>
      <c r="C157" s="0" t="s">
        <v>104</v>
      </c>
      <c r="D157" s="0" t="s">
        <v>324</v>
      </c>
    </row>
    <row r="158" customFormat="false" ht="15" hidden="false" customHeight="false" outlineLevel="0" collapsed="false">
      <c r="A158" s="0" t="s">
        <v>325</v>
      </c>
      <c r="B158" s="35" t="n">
        <f aca="false">'Scenario Parameters'!$B$70</f>
        <v>26</v>
      </c>
      <c r="C158" s="0" t="s">
        <v>104</v>
      </c>
      <c r="D158" s="0" t="s">
        <v>324</v>
      </c>
    </row>
    <row r="159" customFormat="false" ht="15" hidden="false" customHeight="false" outlineLevel="0" collapsed="false">
      <c r="A159" s="0" t="s">
        <v>326</v>
      </c>
      <c r="B159" s="35" t="n">
        <f aca="false">'Scenario Parameters'!$B$71</f>
        <v>30</v>
      </c>
      <c r="C159" s="0" t="s">
        <v>104</v>
      </c>
      <c r="D159" s="0" t="s">
        <v>324</v>
      </c>
    </row>
    <row r="160" customFormat="false" ht="15" hidden="false" customHeight="false" outlineLevel="0" collapsed="false">
      <c r="A160" s="0" t="s">
        <v>327</v>
      </c>
      <c r="B160" s="32" t="n">
        <f aca="false">'Scenario Parameters'!$B$72</f>
        <v>0.626084007279636</v>
      </c>
      <c r="C160" s="0" t="s">
        <v>328</v>
      </c>
      <c r="D160" s="0" t="s">
        <v>329</v>
      </c>
    </row>
    <row r="161" customFormat="false" ht="15" hidden="false" customHeight="false" outlineLevel="0" collapsed="false">
      <c r="A161" s="0" t="s">
        <v>330</v>
      </c>
      <c r="B161" s="32" t="n">
        <f aca="false">'Scenario Parameters'!$B$73</f>
        <v>0.132405993819994</v>
      </c>
      <c r="C161" s="0" t="s">
        <v>328</v>
      </c>
      <c r="D161" s="0" t="s">
        <v>329</v>
      </c>
    </row>
    <row r="162" customFormat="false" ht="15" hidden="false" customHeight="false" outlineLevel="0" collapsed="false">
      <c r="A162" s="0" t="s">
        <v>331</v>
      </c>
      <c r="B162" s="32" t="n">
        <f aca="false">'Scenario Parameters'!$B$74</f>
        <v>0.24150999890037</v>
      </c>
      <c r="C162" s="0" t="s">
        <v>328</v>
      </c>
      <c r="D162" s="0" t="s">
        <v>329</v>
      </c>
    </row>
    <row r="163" customFormat="false" ht="15" hidden="false" customHeight="false" outlineLevel="0" collapsed="false">
      <c r="A163" s="0" t="s">
        <v>332</v>
      </c>
      <c r="B163" s="36" t="n">
        <f aca="false">'Scenario Parameters'!$B$78</f>
        <v>0</v>
      </c>
      <c r="C163" s="0" t="s">
        <v>333</v>
      </c>
      <c r="D163" s="0" t="s">
        <v>334</v>
      </c>
    </row>
    <row r="164" customFormat="false" ht="15" hidden="false" customHeight="false" outlineLevel="0" collapsed="false">
      <c r="A164" s="0" t="s">
        <v>335</v>
      </c>
      <c r="B164" s="36" t="n">
        <f aca="false">'Scenario Parameters'!$B$79</f>
        <v>1</v>
      </c>
      <c r="C164" s="0" t="s">
        <v>333</v>
      </c>
      <c r="D164" s="0" t="s">
        <v>336</v>
      </c>
    </row>
    <row r="165" customFormat="false" ht="15" hidden="false" customHeight="false" outlineLevel="0" collapsed="false">
      <c r="A165" s="9" t="s">
        <v>337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338</v>
      </c>
    </row>
    <row r="4" customFormat="false" ht="18" hidden="false" customHeight="true" outlineLevel="0" collapsed="false">
      <c r="A4" s="12" t="s">
        <v>339</v>
      </c>
      <c r="B4" s="13"/>
      <c r="C4" s="13"/>
      <c r="D4" s="13"/>
      <c r="E4" s="13"/>
    </row>
    <row r="6" customFormat="false" ht="15" hidden="false" customHeight="false" outlineLevel="0" collapsed="false">
      <c r="A6" s="3" t="s">
        <v>340</v>
      </c>
      <c r="B6" s="37" t="s">
        <v>341</v>
      </c>
      <c r="C6" s="0" t="n">
        <f aca="false">IF($B$6="Base",1,IF($B$6="Aggressive",2,3))</f>
        <v>1</v>
      </c>
      <c r="D6" s="23" t="s">
        <v>342</v>
      </c>
      <c r="G6" s="9" t="s">
        <v>343</v>
      </c>
    </row>
    <row r="8" customFormat="false" ht="18" hidden="false" customHeight="true" outlineLevel="0" collapsed="false">
      <c r="A8" s="12" t="s">
        <v>344</v>
      </c>
      <c r="B8" s="13"/>
      <c r="C8" s="13"/>
      <c r="D8" s="13"/>
      <c r="E8" s="13"/>
    </row>
    <row r="9" customFormat="false" ht="15" hidden="false" customHeight="false" outlineLevel="0" collapsed="false">
      <c r="A9" s="14" t="s">
        <v>30</v>
      </c>
      <c r="B9" s="14" t="s">
        <v>345</v>
      </c>
      <c r="C9" s="14" t="s">
        <v>341</v>
      </c>
      <c r="D9" s="14" t="s">
        <v>346</v>
      </c>
      <c r="E9" s="14" t="s">
        <v>347</v>
      </c>
      <c r="F9" s="14" t="s">
        <v>32</v>
      </c>
    </row>
    <row r="10" customFormat="false" ht="15" hidden="false" customHeight="false" outlineLevel="0" collapsed="false">
      <c r="A10" s="0" t="s">
        <v>226</v>
      </c>
      <c r="B10" s="38" t="n">
        <f aca="false">CHOOSE($C$6,C10,D10,E10)</f>
        <v>0.55</v>
      </c>
      <c r="C10" s="19" t="n">
        <v>0.55</v>
      </c>
      <c r="D10" s="19" t="n">
        <v>0.65</v>
      </c>
      <c r="E10" s="19" t="n">
        <v>0.45</v>
      </c>
      <c r="F10" s="23" t="s">
        <v>227</v>
      </c>
      <c r="G10" s="9" t="s">
        <v>228</v>
      </c>
    </row>
    <row r="11" customFormat="false" ht="15" hidden="false" customHeight="false" outlineLevel="0" collapsed="false">
      <c r="A11" s="0" t="s">
        <v>229</v>
      </c>
      <c r="B11" s="39" t="n">
        <f aca="false">1-'Scenario Parameters'!$B$10^(1/12)</f>
        <v>0.0485991010017477</v>
      </c>
      <c r="F11" s="23" t="s">
        <v>230</v>
      </c>
      <c r="G11" s="9" t="s">
        <v>231</v>
      </c>
    </row>
    <row r="12" customFormat="false" ht="15" hidden="false" customHeight="false" outlineLevel="0" collapsed="false">
      <c r="A12" s="0" t="s">
        <v>232</v>
      </c>
      <c r="B12" s="40" t="n">
        <f aca="false">CHOOSE($C$6,C12,D12,E12)</f>
        <v>4</v>
      </c>
      <c r="C12" s="15" t="n">
        <v>4</v>
      </c>
      <c r="D12" s="15" t="n">
        <v>6</v>
      </c>
      <c r="E12" s="15" t="n">
        <v>2</v>
      </c>
      <c r="F12" s="23" t="s">
        <v>233</v>
      </c>
      <c r="G12" s="9" t="s">
        <v>234</v>
      </c>
    </row>
    <row r="13" customFormat="false" ht="15" hidden="false" customHeight="false" outlineLevel="0" collapsed="false">
      <c r="A13" s="0" t="s">
        <v>235</v>
      </c>
      <c r="B13" s="41" t="n">
        <f aca="false">CHOOSE($C$6,C13,D13,E13)</f>
        <v>120</v>
      </c>
      <c r="C13" s="20" t="n">
        <v>120</v>
      </c>
      <c r="D13" s="20" t="n">
        <v>80</v>
      </c>
      <c r="E13" s="20" t="n">
        <v>200</v>
      </c>
      <c r="F13" s="23" t="s">
        <v>110</v>
      </c>
      <c r="G13" s="9" t="s">
        <v>236</v>
      </c>
    </row>
    <row r="14" customFormat="false" ht="15" hidden="false" customHeight="false" outlineLevel="0" collapsed="false">
      <c r="A14" s="0" t="s">
        <v>237</v>
      </c>
      <c r="B14" s="40" t="n">
        <f aca="false">CHOOSE($C$6,C14,D14,E14)</f>
        <v>0.45</v>
      </c>
      <c r="C14" s="15" t="n">
        <v>0.45</v>
      </c>
      <c r="D14" s="15" t="n">
        <v>0.9</v>
      </c>
      <c r="E14" s="15" t="n">
        <v>0.18</v>
      </c>
      <c r="F14" s="23" t="s">
        <v>238</v>
      </c>
      <c r="G14" s="9" t="s">
        <v>239</v>
      </c>
    </row>
    <row r="15" customFormat="false" ht="15" hidden="false" customHeight="false" outlineLevel="0" collapsed="false">
      <c r="A15" s="0" t="s">
        <v>240</v>
      </c>
      <c r="B15" s="38" t="n">
        <f aca="false">CHOOSE($C$6,C15,D15,E15)</f>
        <v>0.62</v>
      </c>
      <c r="C15" s="19" t="n">
        <v>0.62</v>
      </c>
      <c r="D15" s="19" t="n">
        <v>0.72</v>
      </c>
      <c r="E15" s="19" t="n">
        <v>0.48</v>
      </c>
      <c r="F15" s="23" t="s">
        <v>227</v>
      </c>
      <c r="G15" s="9" t="s">
        <v>241</v>
      </c>
    </row>
    <row r="16" customFormat="false" ht="15" hidden="false" customHeight="false" outlineLevel="0" collapsed="false">
      <c r="A16" s="0" t="s">
        <v>242</v>
      </c>
      <c r="B16" s="38" t="n">
        <f aca="false">CHOOSE($C$6,C16,D16,E16)</f>
        <v>0.12</v>
      </c>
      <c r="C16" s="19" t="n">
        <v>0.12</v>
      </c>
      <c r="D16" s="19" t="n">
        <v>0.2</v>
      </c>
      <c r="E16" s="19" t="n">
        <v>0.05</v>
      </c>
      <c r="F16" s="23" t="s">
        <v>243</v>
      </c>
      <c r="G16" s="9" t="s">
        <v>244</v>
      </c>
    </row>
    <row r="17" customFormat="false" ht="15" hidden="false" customHeight="false" outlineLevel="0" collapsed="false">
      <c r="A17" s="0" t="s">
        <v>245</v>
      </c>
      <c r="B17" s="40" t="n">
        <f aca="false">CHOOSE($C$6,C17,D17,E17)</f>
        <v>1</v>
      </c>
      <c r="C17" s="15" t="n">
        <v>1</v>
      </c>
      <c r="D17" s="15" t="n">
        <v>1.4</v>
      </c>
      <c r="E17" s="15" t="n">
        <v>0.6</v>
      </c>
      <c r="F17" s="23" t="s">
        <v>246</v>
      </c>
      <c r="G17" s="9" t="s">
        <v>247</v>
      </c>
    </row>
    <row r="19" customFormat="false" ht="18" hidden="false" customHeight="true" outlineLevel="0" collapsed="false">
      <c r="A19" s="12" t="s">
        <v>348</v>
      </c>
      <c r="B19" s="13"/>
      <c r="C19" s="13"/>
      <c r="D19" s="13"/>
      <c r="E19" s="13"/>
    </row>
    <row r="20" customFormat="false" ht="15" hidden="false" customHeight="false" outlineLevel="0" collapsed="false">
      <c r="A20" s="14" t="s">
        <v>30</v>
      </c>
      <c r="B20" s="14" t="s">
        <v>345</v>
      </c>
      <c r="C20" s="14" t="s">
        <v>341</v>
      </c>
      <c r="D20" s="14" t="s">
        <v>346</v>
      </c>
      <c r="E20" s="14" t="s">
        <v>347</v>
      </c>
      <c r="F20" s="14" t="s">
        <v>32</v>
      </c>
    </row>
    <row r="21" customFormat="false" ht="15" hidden="false" customHeight="false" outlineLevel="0" collapsed="false">
      <c r="A21" s="0" t="s">
        <v>248</v>
      </c>
      <c r="B21" s="38" t="n">
        <f aca="false">CHOOSE($C$6,C21,D21,E21)</f>
        <v>0.55</v>
      </c>
      <c r="C21" s="19" t="n">
        <v>0.55</v>
      </c>
      <c r="D21" s="19" t="n">
        <v>0.65</v>
      </c>
      <c r="E21" s="19" t="n">
        <v>0.45</v>
      </c>
      <c r="F21" s="23" t="s">
        <v>249</v>
      </c>
      <c r="G21" s="9" t="s">
        <v>250</v>
      </c>
    </row>
    <row r="22" customFormat="false" ht="15" hidden="false" customHeight="false" outlineLevel="0" collapsed="false">
      <c r="A22" s="0" t="s">
        <v>251</v>
      </c>
      <c r="B22" s="31" t="n">
        <f aca="false">CHOOSE($C$6,C22,D22,E22)</f>
        <v>8</v>
      </c>
      <c r="C22" s="17" t="n">
        <v>8</v>
      </c>
      <c r="D22" s="17" t="n">
        <v>6</v>
      </c>
      <c r="E22" s="17" t="n">
        <v>11</v>
      </c>
      <c r="F22" s="23" t="s">
        <v>252</v>
      </c>
      <c r="G22" s="9" t="s">
        <v>253</v>
      </c>
    </row>
    <row r="24" customFormat="false" ht="18" hidden="false" customHeight="true" outlineLevel="0" collapsed="false">
      <c r="A24" s="12" t="s">
        <v>349</v>
      </c>
      <c r="B24" s="13"/>
      <c r="C24" s="13"/>
      <c r="D24" s="13"/>
      <c r="E24" s="13"/>
    </row>
    <row r="25" customFormat="false" ht="15" hidden="false" customHeight="false" outlineLevel="0" collapsed="false">
      <c r="A25" s="14" t="s">
        <v>30</v>
      </c>
      <c r="B25" s="14" t="s">
        <v>345</v>
      </c>
      <c r="C25" s="14" t="s">
        <v>341</v>
      </c>
      <c r="D25" s="14" t="s">
        <v>346</v>
      </c>
      <c r="E25" s="14" t="s">
        <v>347</v>
      </c>
      <c r="F25" s="14" t="s">
        <v>32</v>
      </c>
    </row>
    <row r="26" customFormat="false" ht="15" hidden="false" customHeight="false" outlineLevel="0" collapsed="false">
      <c r="A26" s="0" t="s">
        <v>254</v>
      </c>
      <c r="B26" s="38" t="n">
        <f aca="false">CHOOSE($C$6,C26,D26,E26)</f>
        <v>0.12</v>
      </c>
      <c r="C26" s="19" t="n">
        <v>0.12</v>
      </c>
      <c r="D26" s="19" t="n">
        <v>0.06</v>
      </c>
      <c r="E26" s="19" t="n">
        <v>0.3</v>
      </c>
      <c r="F26" s="23" t="s">
        <v>255</v>
      </c>
      <c r="G26" s="9" t="s">
        <v>256</v>
      </c>
    </row>
    <row r="27" customFormat="false" ht="15" hidden="false" customHeight="false" outlineLevel="0" collapsed="false">
      <c r="A27" s="0" t="s">
        <v>257</v>
      </c>
      <c r="B27" s="38" t="n">
        <f aca="false">CHOOSE($C$6,C27,D27,E27)</f>
        <v>0.08</v>
      </c>
      <c r="C27" s="19" t="n">
        <v>0.08</v>
      </c>
      <c r="D27" s="19" t="n">
        <v>0.04</v>
      </c>
      <c r="E27" s="19" t="n">
        <v>0.16</v>
      </c>
      <c r="F27" s="23" t="s">
        <v>255</v>
      </c>
      <c r="G27" s="9" t="s">
        <v>258</v>
      </c>
    </row>
    <row r="28" customFormat="false" ht="15" hidden="false" customHeight="false" outlineLevel="0" collapsed="false">
      <c r="A28" s="0" t="s">
        <v>259</v>
      </c>
      <c r="B28" s="40" t="n">
        <f aca="false">CHOOSE($C$6,C28,D28,E28)</f>
        <v>2.2</v>
      </c>
      <c r="C28" s="15" t="n">
        <v>2.2</v>
      </c>
      <c r="D28" s="15" t="n">
        <v>1.6</v>
      </c>
      <c r="E28" s="15" t="n">
        <v>3.5</v>
      </c>
      <c r="F28" s="23" t="s">
        <v>260</v>
      </c>
      <c r="G28" s="9" t="s">
        <v>261</v>
      </c>
    </row>
    <row r="29" customFormat="false" ht="15" hidden="false" customHeight="false" outlineLevel="0" collapsed="false">
      <c r="A29" s="0" t="s">
        <v>262</v>
      </c>
      <c r="B29" s="38" t="n">
        <f aca="false">CHOOSE($C$6,C29,D29,E29)</f>
        <v>0.14</v>
      </c>
      <c r="C29" s="19" t="n">
        <v>0.14</v>
      </c>
      <c r="D29" s="19" t="n">
        <v>0.24</v>
      </c>
      <c r="E29" s="19" t="n">
        <v>0.07</v>
      </c>
      <c r="F29" s="23" t="s">
        <v>263</v>
      </c>
      <c r="G29" s="9" t="s">
        <v>264</v>
      </c>
    </row>
    <row r="30" customFormat="false" ht="15" hidden="false" customHeight="false" outlineLevel="0" collapsed="false">
      <c r="A30" s="0" t="s">
        <v>265</v>
      </c>
      <c r="B30" s="41" t="n">
        <f aca="false">CHOOSE($C$6,C30,D30,E30)</f>
        <v>300</v>
      </c>
      <c r="C30" s="20" t="n">
        <v>300</v>
      </c>
      <c r="D30" s="20" t="n">
        <v>530</v>
      </c>
      <c r="E30" s="20" t="n">
        <v>200</v>
      </c>
      <c r="F30" s="23" t="s">
        <v>266</v>
      </c>
      <c r="G30" s="9" t="s">
        <v>267</v>
      </c>
    </row>
    <row r="31" customFormat="false" ht="15" hidden="false" customHeight="false" outlineLevel="0" collapsed="false">
      <c r="A31" s="0" t="s">
        <v>268</v>
      </c>
      <c r="B31" s="40" t="n">
        <f aca="false">CHOOSE($C$6,C31,D31,E31)</f>
        <v>1.7</v>
      </c>
      <c r="C31" s="15" t="n">
        <v>1.7</v>
      </c>
      <c r="D31" s="15" t="n">
        <v>2.4</v>
      </c>
      <c r="E31" s="15" t="n">
        <v>1.2</v>
      </c>
      <c r="F31" s="23" t="s">
        <v>269</v>
      </c>
      <c r="G31" s="9" t="s">
        <v>270</v>
      </c>
    </row>
    <row r="32" customFormat="false" ht="15" hidden="false" customHeight="false" outlineLevel="0" collapsed="false">
      <c r="A32" s="0" t="s">
        <v>271</v>
      </c>
      <c r="B32" s="38" t="n">
        <f aca="false">CHOOSE($C$6,C32,D32,E32)</f>
        <v>0.08</v>
      </c>
      <c r="C32" s="19" t="n">
        <v>0.08</v>
      </c>
      <c r="D32" s="19" t="n">
        <v>0.15</v>
      </c>
      <c r="E32" s="19" t="n">
        <v>0.03</v>
      </c>
      <c r="F32" s="23" t="s">
        <v>272</v>
      </c>
      <c r="G32" s="9" t="s">
        <v>273</v>
      </c>
    </row>
    <row r="34" customFormat="false" ht="18" hidden="false" customHeight="true" outlineLevel="0" collapsed="false">
      <c r="A34" s="12" t="s">
        <v>350</v>
      </c>
      <c r="B34" s="13"/>
      <c r="C34" s="13"/>
      <c r="D34" s="13"/>
      <c r="E34" s="13"/>
    </row>
    <row r="35" customFormat="false" ht="15" hidden="false" customHeight="false" outlineLevel="0" collapsed="false">
      <c r="A35" s="14" t="s">
        <v>30</v>
      </c>
      <c r="B35" s="14" t="s">
        <v>345</v>
      </c>
      <c r="C35" s="14" t="s">
        <v>341</v>
      </c>
      <c r="D35" s="14" t="s">
        <v>346</v>
      </c>
      <c r="E35" s="14" t="s">
        <v>347</v>
      </c>
      <c r="F35" s="14" t="s">
        <v>32</v>
      </c>
    </row>
    <row r="36" customFormat="false" ht="15" hidden="false" customHeight="false" outlineLevel="0" collapsed="false">
      <c r="A36" s="0" t="s">
        <v>274</v>
      </c>
      <c r="B36" s="38" t="n">
        <f aca="false">CHOOSE($C$6,C36,D36,E36)</f>
        <v>0.72</v>
      </c>
      <c r="C36" s="19" t="n">
        <v>0.72</v>
      </c>
      <c r="D36" s="19" t="n">
        <v>0.85</v>
      </c>
      <c r="E36" s="19" t="n">
        <v>0.55</v>
      </c>
      <c r="F36" s="23" t="s">
        <v>227</v>
      </c>
      <c r="G36" s="9" t="s">
        <v>275</v>
      </c>
    </row>
    <row r="37" customFormat="false" ht="15" hidden="false" customHeight="false" outlineLevel="0" collapsed="false">
      <c r="A37" s="0" t="s">
        <v>276</v>
      </c>
      <c r="B37" s="40" t="n">
        <f aca="false">CHOOSE($C$6,C37,D37,E37)</f>
        <v>8</v>
      </c>
      <c r="C37" s="15" t="n">
        <v>8</v>
      </c>
      <c r="D37" s="15" t="n">
        <v>12</v>
      </c>
      <c r="E37" s="15" t="n">
        <v>5</v>
      </c>
      <c r="F37" s="23" t="s">
        <v>277</v>
      </c>
      <c r="G37" s="9" t="s">
        <v>278</v>
      </c>
    </row>
    <row r="38" customFormat="false" ht="15" hidden="false" customHeight="false" outlineLevel="0" collapsed="false">
      <c r="A38" s="0" t="s">
        <v>279</v>
      </c>
      <c r="B38" s="38" t="n">
        <f aca="false">CHOOSE($C$6,C38,D38,E38)</f>
        <v>0.5</v>
      </c>
      <c r="C38" s="19" t="n">
        <v>0.5</v>
      </c>
      <c r="D38" s="19" t="n">
        <v>0.7</v>
      </c>
      <c r="E38" s="19" t="n">
        <v>0.3</v>
      </c>
      <c r="F38" s="23" t="s">
        <v>280</v>
      </c>
      <c r="G38" s="9" t="s">
        <v>281</v>
      </c>
    </row>
    <row r="39" customFormat="false" ht="15" hidden="false" customHeight="false" outlineLevel="0" collapsed="false">
      <c r="A39" s="0" t="s">
        <v>282</v>
      </c>
      <c r="B39" s="38" t="n">
        <f aca="false">CHOOSE($C$6,C39,D39,E39)</f>
        <v>0.34</v>
      </c>
      <c r="C39" s="19" t="n">
        <v>0.34</v>
      </c>
      <c r="D39" s="19" t="n">
        <v>0.45</v>
      </c>
      <c r="E39" s="19" t="n">
        <v>0.24</v>
      </c>
      <c r="F39" s="23" t="s">
        <v>283</v>
      </c>
      <c r="G39" s="9" t="s">
        <v>284</v>
      </c>
    </row>
    <row r="40" customFormat="false" ht="15" hidden="false" customHeight="false" outlineLevel="0" collapsed="false">
      <c r="A40" s="0" t="s">
        <v>285</v>
      </c>
      <c r="B40" s="40" t="n">
        <f aca="false">CHOOSE($C$6,C40,D40,E40)</f>
        <v>1.06</v>
      </c>
      <c r="C40" s="15" t="n">
        <v>1.06</v>
      </c>
      <c r="D40" s="15" t="n">
        <v>1.04</v>
      </c>
      <c r="E40" s="15" t="n">
        <v>1.1</v>
      </c>
      <c r="F40" s="23" t="s">
        <v>286</v>
      </c>
      <c r="G40" s="9" t="s">
        <v>287</v>
      </c>
    </row>
    <row r="41" customFormat="false" ht="15" hidden="false" customHeight="false" outlineLevel="0" collapsed="false">
      <c r="A41" s="0" t="s">
        <v>288</v>
      </c>
      <c r="B41" s="40" t="n">
        <f aca="false">CHOOSE($C$6,C41,D41,E41)</f>
        <v>0.11</v>
      </c>
      <c r="C41" s="15" t="n">
        <v>0.11</v>
      </c>
      <c r="D41" s="15" t="n">
        <v>0.07</v>
      </c>
      <c r="E41" s="15" t="n">
        <v>0.18</v>
      </c>
      <c r="F41" s="23" t="s">
        <v>286</v>
      </c>
      <c r="G41" s="9" t="s">
        <v>289</v>
      </c>
    </row>
    <row r="42" customFormat="false" ht="15" hidden="false" customHeight="false" outlineLevel="0" collapsed="false">
      <c r="A42" s="0" t="s">
        <v>290</v>
      </c>
      <c r="B42" s="38" t="n">
        <f aca="false">CHOOSE($C$6,C42,D42,E42)</f>
        <v>0.6</v>
      </c>
      <c r="C42" s="19" t="n">
        <v>0.6</v>
      </c>
      <c r="D42" s="19" t="n">
        <v>0.42</v>
      </c>
      <c r="E42" s="19" t="n">
        <v>0.74</v>
      </c>
      <c r="F42" s="23" t="s">
        <v>227</v>
      </c>
      <c r="G42" s="9" t="s">
        <v>291</v>
      </c>
    </row>
    <row r="43" customFormat="false" ht="15" hidden="false" customHeight="false" outlineLevel="0" collapsed="false">
      <c r="A43" s="0" t="s">
        <v>292</v>
      </c>
      <c r="B43" s="38" t="n">
        <f aca="false">CHOOSE($C$6,C43,D43,E43)</f>
        <v>0.25</v>
      </c>
      <c r="C43" s="19" t="n">
        <v>0.25</v>
      </c>
      <c r="D43" s="19" t="n">
        <v>0.3</v>
      </c>
      <c r="E43" s="19" t="n">
        <v>0.18</v>
      </c>
      <c r="F43" s="23" t="s">
        <v>227</v>
      </c>
      <c r="G43" s="9" t="s">
        <v>291</v>
      </c>
    </row>
    <row r="44" customFormat="false" ht="15" hidden="false" customHeight="false" outlineLevel="0" collapsed="false">
      <c r="A44" s="0" t="s">
        <v>293</v>
      </c>
      <c r="B44" s="38" t="n">
        <f aca="false">CHOOSE($C$6,C44,D44,E44)</f>
        <v>0.12</v>
      </c>
      <c r="C44" s="19" t="n">
        <v>0.12</v>
      </c>
      <c r="D44" s="19" t="n">
        <v>0.2</v>
      </c>
      <c r="E44" s="19" t="n">
        <v>0.06</v>
      </c>
      <c r="F44" s="23" t="s">
        <v>227</v>
      </c>
      <c r="G44" s="9" t="s">
        <v>291</v>
      </c>
    </row>
    <row r="45" customFormat="false" ht="15" hidden="false" customHeight="false" outlineLevel="0" collapsed="false">
      <c r="A45" s="0" t="s">
        <v>294</v>
      </c>
      <c r="B45" s="38" t="n">
        <f aca="false">CHOOSE($C$6,C45,D45,E45)</f>
        <v>0.03</v>
      </c>
      <c r="C45" s="19" t="n">
        <v>0.03</v>
      </c>
      <c r="D45" s="19" t="n">
        <v>0.08</v>
      </c>
      <c r="E45" s="19" t="n">
        <v>0.02</v>
      </c>
      <c r="F45" s="23" t="s">
        <v>227</v>
      </c>
      <c r="G45" s="9" t="s">
        <v>291</v>
      </c>
    </row>
    <row r="46" customFormat="false" ht="15" hidden="false" customHeight="false" outlineLevel="0" collapsed="false">
      <c r="A46" s="0" t="s">
        <v>295</v>
      </c>
      <c r="B46" s="31" t="n">
        <f aca="false">CHOOSE($C$6,C46,D46,E46)</f>
        <v>250</v>
      </c>
      <c r="C46" s="17" t="n">
        <v>250</v>
      </c>
      <c r="D46" s="17" t="n">
        <v>300</v>
      </c>
      <c r="E46" s="17" t="n">
        <v>200</v>
      </c>
      <c r="F46" s="23" t="s">
        <v>66</v>
      </c>
      <c r="G46" s="9" t="s">
        <v>296</v>
      </c>
    </row>
    <row r="47" customFormat="false" ht="15" hidden="false" customHeight="false" outlineLevel="0" collapsed="false">
      <c r="A47" s="0" t="s">
        <v>297</v>
      </c>
      <c r="B47" s="31" t="n">
        <f aca="false">CHOOSE($C$6,C47,D47,E47)</f>
        <v>1000</v>
      </c>
      <c r="C47" s="17" t="n">
        <v>1000</v>
      </c>
      <c r="D47" s="17" t="n">
        <v>1100</v>
      </c>
      <c r="E47" s="17" t="n">
        <v>900</v>
      </c>
      <c r="F47" s="23" t="s">
        <v>66</v>
      </c>
      <c r="G47" s="9" t="s">
        <v>296</v>
      </c>
    </row>
    <row r="48" customFormat="false" ht="15" hidden="false" customHeight="false" outlineLevel="0" collapsed="false">
      <c r="A48" s="0" t="s">
        <v>298</v>
      </c>
      <c r="B48" s="31" t="n">
        <f aca="false">CHOOSE($C$6,C48,D48,E48)</f>
        <v>2250</v>
      </c>
      <c r="C48" s="17" t="n">
        <v>2250</v>
      </c>
      <c r="D48" s="17" t="n">
        <v>2400</v>
      </c>
      <c r="E48" s="17" t="n">
        <v>2100</v>
      </c>
      <c r="F48" s="23" t="s">
        <v>66</v>
      </c>
      <c r="G48" s="9" t="s">
        <v>296</v>
      </c>
    </row>
    <row r="49" customFormat="false" ht="15" hidden="false" customHeight="false" outlineLevel="0" collapsed="false">
      <c r="A49" s="0" t="s">
        <v>299</v>
      </c>
      <c r="B49" s="31" t="n">
        <f aca="false">CHOOSE($C$6,C49,D49,E49)</f>
        <v>4000</v>
      </c>
      <c r="C49" s="17" t="n">
        <v>4000</v>
      </c>
      <c r="D49" s="17" t="n">
        <v>4500</v>
      </c>
      <c r="E49" s="17" t="n">
        <v>3600</v>
      </c>
      <c r="F49" s="23" t="s">
        <v>66</v>
      </c>
      <c r="G49" s="9" t="s">
        <v>296</v>
      </c>
    </row>
    <row r="51" customFormat="false" ht="18" hidden="false" customHeight="true" outlineLevel="0" collapsed="false">
      <c r="A51" s="12" t="s">
        <v>351</v>
      </c>
      <c r="B51" s="13"/>
      <c r="C51" s="13"/>
      <c r="D51" s="13"/>
      <c r="E51" s="13"/>
    </row>
    <row r="52" customFormat="false" ht="15" hidden="false" customHeight="false" outlineLevel="0" collapsed="false">
      <c r="A52" s="14" t="s">
        <v>30</v>
      </c>
      <c r="B52" s="14" t="s">
        <v>345</v>
      </c>
      <c r="C52" s="14" t="s">
        <v>341</v>
      </c>
      <c r="D52" s="14" t="s">
        <v>346</v>
      </c>
      <c r="E52" s="14" t="s">
        <v>347</v>
      </c>
      <c r="F52" s="14" t="s">
        <v>32</v>
      </c>
    </row>
    <row r="53" customFormat="false" ht="15" hidden="false" customHeight="false" outlineLevel="0" collapsed="false">
      <c r="A53" s="0" t="s">
        <v>300</v>
      </c>
      <c r="B53" s="38" t="n">
        <f aca="false">CHOOSE($C$6,C53,D53,E53)</f>
        <v>0.18</v>
      </c>
      <c r="C53" s="19" t="n">
        <v>0.18</v>
      </c>
      <c r="D53" s="19" t="n">
        <v>0.3</v>
      </c>
      <c r="E53" s="19" t="n">
        <v>0.08</v>
      </c>
      <c r="F53" s="23" t="s">
        <v>227</v>
      </c>
      <c r="G53" s="9" t="s">
        <v>301</v>
      </c>
    </row>
    <row r="54" customFormat="false" ht="15" hidden="false" customHeight="false" outlineLevel="0" collapsed="false">
      <c r="A54" s="0" t="s">
        <v>302</v>
      </c>
      <c r="B54" s="38" t="n">
        <f aca="false">CHOOSE($C$6,C54,D54,E54)</f>
        <v>0.5</v>
      </c>
      <c r="C54" s="19" t="n">
        <v>0.5</v>
      </c>
      <c r="D54" s="19" t="n">
        <v>0.7</v>
      </c>
      <c r="E54" s="19" t="n">
        <v>0.3</v>
      </c>
      <c r="F54" s="23" t="s">
        <v>227</v>
      </c>
      <c r="G54" s="9" t="s">
        <v>303</v>
      </c>
    </row>
    <row r="55" customFormat="false" ht="15" hidden="false" customHeight="false" outlineLevel="0" collapsed="false">
      <c r="A55" s="0" t="s">
        <v>304</v>
      </c>
      <c r="B55" s="40" t="n">
        <f aca="false">CHOOSE($C$6,C55,D55,E55)</f>
        <v>0.42</v>
      </c>
      <c r="C55" s="15" t="n">
        <v>0.42</v>
      </c>
      <c r="D55" s="15" t="n">
        <v>0.55</v>
      </c>
      <c r="E55" s="15" t="n">
        <v>0.3</v>
      </c>
      <c r="F55" s="23" t="s">
        <v>305</v>
      </c>
      <c r="G55" s="9" t="s">
        <v>306</v>
      </c>
    </row>
    <row r="56" customFormat="false" ht="15" hidden="false" customHeight="false" outlineLevel="0" collapsed="false">
      <c r="A56" s="0" t="s">
        <v>307</v>
      </c>
      <c r="B56" s="40" t="n">
        <f aca="false">CHOOSE($C$6,C56,D56,E56)</f>
        <v>2.1</v>
      </c>
      <c r="C56" s="15" t="n">
        <v>2.1</v>
      </c>
      <c r="D56" s="15" t="n">
        <v>3.2</v>
      </c>
      <c r="E56" s="15" t="n">
        <v>1.3</v>
      </c>
      <c r="F56" s="23" t="s">
        <v>308</v>
      </c>
      <c r="G56" s="9" t="s">
        <v>309</v>
      </c>
    </row>
    <row r="57" customFormat="false" ht="15" hidden="false" customHeight="false" outlineLevel="0" collapsed="false">
      <c r="A57" s="0" t="s">
        <v>310</v>
      </c>
      <c r="B57" s="38" t="n">
        <f aca="false">CHOOSE($C$6,C57,D57,E57)</f>
        <v>0.2</v>
      </c>
      <c r="C57" s="19" t="n">
        <v>0.2</v>
      </c>
      <c r="D57" s="19" t="n">
        <v>0.35</v>
      </c>
      <c r="E57" s="19" t="n">
        <v>0.1</v>
      </c>
      <c r="F57" s="23" t="s">
        <v>249</v>
      </c>
      <c r="G57" s="9" t="s">
        <v>311</v>
      </c>
    </row>
    <row r="58" customFormat="false" ht="15" hidden="false" customHeight="false" outlineLevel="0" collapsed="false">
      <c r="A58" s="0" t="s">
        <v>312</v>
      </c>
      <c r="B58" s="31" t="n">
        <f aca="false">CHOOSE($C$6,C58,D58,E58)</f>
        <v>0</v>
      </c>
      <c r="C58" s="17" t="n">
        <v>0</v>
      </c>
      <c r="D58" s="17" t="n">
        <v>0</v>
      </c>
      <c r="E58" s="17" t="n">
        <v>0</v>
      </c>
      <c r="F58" s="23" t="s">
        <v>313</v>
      </c>
      <c r="G58" s="9" t="s">
        <v>314</v>
      </c>
    </row>
    <row r="59" customFormat="false" ht="15" hidden="false" customHeight="false" outlineLevel="0" collapsed="false">
      <c r="A59" s="0" t="s">
        <v>315</v>
      </c>
      <c r="B59" s="31" t="n">
        <f aca="false">CHOOSE($C$6,C59,D59,E59)</f>
        <v>1</v>
      </c>
      <c r="C59" s="17" t="n">
        <v>1</v>
      </c>
      <c r="D59" s="17" t="n">
        <v>1</v>
      </c>
      <c r="E59" s="17" t="n">
        <v>1</v>
      </c>
      <c r="F59" s="23" t="s">
        <v>313</v>
      </c>
      <c r="G59" s="9" t="s">
        <v>314</v>
      </c>
    </row>
    <row r="60" customFormat="false" ht="15" hidden="false" customHeight="false" outlineLevel="0" collapsed="false">
      <c r="A60" s="0" t="s">
        <v>316</v>
      </c>
      <c r="B60" s="31" t="n">
        <f aca="false">CHOOSE($C$6,C60,D60,E60)</f>
        <v>2</v>
      </c>
      <c r="C60" s="17" t="n">
        <v>2</v>
      </c>
      <c r="D60" s="17" t="n">
        <v>3</v>
      </c>
      <c r="E60" s="17" t="n">
        <v>1</v>
      </c>
      <c r="F60" s="23" t="s">
        <v>313</v>
      </c>
      <c r="G60" s="9" t="s">
        <v>314</v>
      </c>
    </row>
    <row r="61" customFormat="false" ht="15" hidden="false" customHeight="false" outlineLevel="0" collapsed="false">
      <c r="A61" s="0" t="s">
        <v>317</v>
      </c>
      <c r="B61" s="31" t="n">
        <f aca="false">CHOOSE($C$6,C61,D61,E61)</f>
        <v>3</v>
      </c>
      <c r="C61" s="17" t="n">
        <v>3</v>
      </c>
      <c r="D61" s="17" t="n">
        <v>5</v>
      </c>
      <c r="E61" s="17" t="n">
        <v>1</v>
      </c>
      <c r="F61" s="23" t="s">
        <v>313</v>
      </c>
      <c r="G61" s="9" t="s">
        <v>314</v>
      </c>
    </row>
    <row r="62" customFormat="false" ht="15" hidden="false" customHeight="false" outlineLevel="0" collapsed="false">
      <c r="A62" s="0" t="s">
        <v>318</v>
      </c>
      <c r="B62" s="31" t="n">
        <f aca="false">CHOOSE($C$6,C62,D62,E62)</f>
        <v>4</v>
      </c>
      <c r="C62" s="17" t="n">
        <v>4</v>
      </c>
      <c r="D62" s="17" t="n">
        <v>7</v>
      </c>
      <c r="E62" s="17" t="n">
        <v>2</v>
      </c>
      <c r="F62" s="23" t="s">
        <v>313</v>
      </c>
      <c r="G62" s="9" t="s">
        <v>314</v>
      </c>
    </row>
    <row r="63" customFormat="false" ht="15" hidden="false" customHeight="false" outlineLevel="0" collapsed="false">
      <c r="A63" s="0" t="s">
        <v>319</v>
      </c>
      <c r="B63" s="31" t="n">
        <f aca="false">CHOOSE($C$6,C63,D63,E63)</f>
        <v>5</v>
      </c>
      <c r="C63" s="17" t="n">
        <v>5</v>
      </c>
      <c r="D63" s="17" t="n">
        <v>9</v>
      </c>
      <c r="E63" s="17" t="n">
        <v>2</v>
      </c>
      <c r="F63" s="23" t="s">
        <v>313</v>
      </c>
      <c r="G63" s="9" t="s">
        <v>314</v>
      </c>
    </row>
    <row r="64" customFormat="false" ht="15" hidden="false" customHeight="false" outlineLevel="0" collapsed="false">
      <c r="A64" s="0" t="s">
        <v>320</v>
      </c>
      <c r="B64" s="31" t="n">
        <f aca="false">CHOOSE($C$6,C64,D64,E64)</f>
        <v>6</v>
      </c>
      <c r="C64" s="17" t="n">
        <v>6</v>
      </c>
      <c r="D64" s="17" t="n">
        <v>11</v>
      </c>
      <c r="E64" s="17" t="n">
        <v>2</v>
      </c>
      <c r="F64" s="23" t="s">
        <v>313</v>
      </c>
      <c r="G64" s="9" t="s">
        <v>314</v>
      </c>
    </row>
    <row r="65" customFormat="false" ht="15" hidden="false" customHeight="false" outlineLevel="0" collapsed="false">
      <c r="A65" s="0" t="s">
        <v>321</v>
      </c>
      <c r="B65" s="41" t="n">
        <f aca="false">CHOOSE($C$6,C65,D65,E65)</f>
        <v>32000000</v>
      </c>
      <c r="C65" s="20" t="n">
        <v>32000000</v>
      </c>
      <c r="D65" s="20" t="n">
        <v>45000000</v>
      </c>
      <c r="E65" s="20" t="n">
        <v>22000000</v>
      </c>
      <c r="F65" s="23" t="s">
        <v>110</v>
      </c>
      <c r="G65" s="9" t="s">
        <v>322</v>
      </c>
    </row>
    <row r="67" customFormat="false" ht="18" hidden="false" customHeight="true" outlineLevel="0" collapsed="false">
      <c r="A67" s="12" t="s">
        <v>352</v>
      </c>
      <c r="B67" s="13"/>
      <c r="C67" s="13"/>
      <c r="D67" s="13"/>
      <c r="E67" s="13"/>
    </row>
    <row r="68" customFormat="false" ht="15" hidden="false" customHeight="false" outlineLevel="0" collapsed="false">
      <c r="A68" s="14" t="s">
        <v>30</v>
      </c>
      <c r="B68" s="14" t="s">
        <v>345</v>
      </c>
      <c r="C68" s="14" t="s">
        <v>341</v>
      </c>
      <c r="D68" s="14" t="s">
        <v>346</v>
      </c>
      <c r="E68" s="14" t="s">
        <v>347</v>
      </c>
      <c r="F68" s="14" t="s">
        <v>32</v>
      </c>
    </row>
    <row r="69" customFormat="false" ht="15" hidden="false" customHeight="false" outlineLevel="0" collapsed="false">
      <c r="A69" s="0" t="s">
        <v>323</v>
      </c>
      <c r="B69" s="41" t="n">
        <f aca="false">CHOOSE($C$6,C69,D69,E69)</f>
        <v>33.6</v>
      </c>
      <c r="C69" s="20" t="n">
        <v>33.6</v>
      </c>
      <c r="D69" s="20" t="n">
        <v>41</v>
      </c>
      <c r="E69" s="20" t="n">
        <v>26.5</v>
      </c>
      <c r="F69" s="23" t="s">
        <v>104</v>
      </c>
      <c r="G69" s="9" t="s">
        <v>324</v>
      </c>
    </row>
    <row r="70" customFormat="false" ht="15" hidden="false" customHeight="false" outlineLevel="0" collapsed="false">
      <c r="A70" s="0" t="s">
        <v>325</v>
      </c>
      <c r="B70" s="41" t="n">
        <f aca="false">CHOOSE($C$6,C70,D70,E70)</f>
        <v>26</v>
      </c>
      <c r="C70" s="20" t="n">
        <v>26</v>
      </c>
      <c r="D70" s="20" t="n">
        <v>32</v>
      </c>
      <c r="E70" s="20" t="n">
        <v>21</v>
      </c>
      <c r="F70" s="23" t="s">
        <v>104</v>
      </c>
      <c r="G70" s="9" t="s">
        <v>324</v>
      </c>
    </row>
    <row r="71" customFormat="false" ht="15" hidden="false" customHeight="false" outlineLevel="0" collapsed="false">
      <c r="A71" s="0" t="s">
        <v>326</v>
      </c>
      <c r="B71" s="41" t="n">
        <f aca="false">CHOOSE($C$6,C71,D71,E71)</f>
        <v>30</v>
      </c>
      <c r="C71" s="20" t="n">
        <v>30</v>
      </c>
      <c r="D71" s="20" t="n">
        <v>36</v>
      </c>
      <c r="E71" s="20" t="n">
        <v>24</v>
      </c>
      <c r="F71" s="23" t="s">
        <v>104</v>
      </c>
      <c r="G71" s="9" t="s">
        <v>324</v>
      </c>
    </row>
    <row r="72" customFormat="false" ht="15" hidden="false" customHeight="false" outlineLevel="0" collapsed="false">
      <c r="A72" s="0" t="s">
        <v>327</v>
      </c>
      <c r="B72" s="38" t="n">
        <f aca="false">Assumptions!$B$82/(Assumptions!$B$82+Assumptions!$B$83+Assumptions!$B$84)</f>
        <v>0.626084007279636</v>
      </c>
      <c r="F72" s="23" t="s">
        <v>328</v>
      </c>
      <c r="G72" s="9" t="s">
        <v>329</v>
      </c>
    </row>
    <row r="73" customFormat="false" ht="15" hidden="false" customHeight="false" outlineLevel="0" collapsed="false">
      <c r="A73" s="0" t="s">
        <v>330</v>
      </c>
      <c r="B73" s="38" t="n">
        <f aca="false">Assumptions!$B$83/(Assumptions!$B$82+Assumptions!$B$83+Assumptions!$B$84)</f>
        <v>0.132405993819994</v>
      </c>
      <c r="F73" s="23" t="s">
        <v>328</v>
      </c>
      <c r="G73" s="9" t="s">
        <v>329</v>
      </c>
    </row>
    <row r="74" customFormat="false" ht="15" hidden="false" customHeight="false" outlineLevel="0" collapsed="false">
      <c r="A74" s="0" t="s">
        <v>331</v>
      </c>
      <c r="B74" s="38" t="n">
        <f aca="false">Assumptions!$B$84/(Assumptions!$B$82+Assumptions!$B$83+Assumptions!$B$84)</f>
        <v>0.24150999890037</v>
      </c>
      <c r="F74" s="23" t="s">
        <v>328</v>
      </c>
      <c r="G74" s="9" t="s">
        <v>329</v>
      </c>
    </row>
    <row r="76" customFormat="false" ht="18" hidden="false" customHeight="true" outlineLevel="0" collapsed="false">
      <c r="A76" s="12" t="s">
        <v>353</v>
      </c>
      <c r="B76" s="13"/>
      <c r="C76" s="13"/>
      <c r="D76" s="13"/>
      <c r="E76" s="13"/>
    </row>
    <row r="77" customFormat="false" ht="15" hidden="false" customHeight="false" outlineLevel="0" collapsed="false">
      <c r="A77" s="14" t="s">
        <v>354</v>
      </c>
      <c r="B77" s="14" t="s">
        <v>355</v>
      </c>
      <c r="C77" s="14" t="s">
        <v>356</v>
      </c>
      <c r="D77" s="14" t="s">
        <v>357</v>
      </c>
    </row>
    <row r="78" customFormat="false" ht="15" hidden="false" customHeight="false" outlineLevel="0" collapsed="false">
      <c r="A78" s="0" t="s">
        <v>332</v>
      </c>
      <c r="B78" s="31" t="n">
        <f aca="false">IF($C$78="Prepaid",1,0)</f>
        <v>0</v>
      </c>
      <c r="C78" s="37" t="s">
        <v>358</v>
      </c>
      <c r="D78" s="23" t="s">
        <v>359</v>
      </c>
      <c r="G78" s="9" t="s">
        <v>334</v>
      </c>
    </row>
    <row r="79" customFormat="false" ht="15" hidden="false" customHeight="false" outlineLevel="0" collapsed="false">
      <c r="A79" s="0" t="s">
        <v>335</v>
      </c>
      <c r="B79" s="31" t="n">
        <f aca="false">IF($C$79="ON",1,0)</f>
        <v>1</v>
      </c>
      <c r="C79" s="37" t="s">
        <v>360</v>
      </c>
      <c r="D79" s="23" t="s">
        <v>360</v>
      </c>
      <c r="G79" s="9" t="s">
        <v>336</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78" type="list">
      <formula1>"Credit,Prepaid"</formula1>
      <formula2>0</formula2>
    </dataValidation>
    <dataValidation allowBlank="false" errorStyle="stop" operator="between" showDropDown="false" showErrorMessage="false" showInputMessage="false" sqref="C79"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361</v>
      </c>
      <c r="B2" s="23" t="s">
        <v>362</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363</v>
      </c>
      <c r="B3" s="23" t="s">
        <v>364</v>
      </c>
      <c r="C3" s="42" t="s">
        <v>365</v>
      </c>
      <c r="D3" s="42" t="s">
        <v>366</v>
      </c>
      <c r="E3" s="42" t="s">
        <v>367</v>
      </c>
      <c r="F3" s="42" t="s">
        <v>368</v>
      </c>
      <c r="G3" s="42" t="s">
        <v>369</v>
      </c>
      <c r="H3" s="42" t="s">
        <v>370</v>
      </c>
      <c r="I3" s="42" t="s">
        <v>371</v>
      </c>
      <c r="J3" s="42" t="s">
        <v>372</v>
      </c>
      <c r="K3" s="42" t="s">
        <v>373</v>
      </c>
      <c r="L3" s="42" t="s">
        <v>374</v>
      </c>
      <c r="M3" s="42" t="s">
        <v>375</v>
      </c>
      <c r="N3" s="42" t="s">
        <v>376</v>
      </c>
      <c r="O3" s="42" t="s">
        <v>377</v>
      </c>
      <c r="P3" s="42" t="s">
        <v>378</v>
      </c>
      <c r="Q3" s="42" t="s">
        <v>379</v>
      </c>
      <c r="R3" s="42" t="s">
        <v>380</v>
      </c>
      <c r="S3" s="42" t="s">
        <v>381</v>
      </c>
      <c r="T3" s="42" t="s">
        <v>382</v>
      </c>
      <c r="U3" s="42" t="s">
        <v>383</v>
      </c>
      <c r="V3" s="42" t="s">
        <v>384</v>
      </c>
      <c r="W3" s="42" t="s">
        <v>385</v>
      </c>
      <c r="X3" s="42" t="s">
        <v>386</v>
      </c>
      <c r="Y3" s="42" t="s">
        <v>387</v>
      </c>
      <c r="Z3" s="42" t="s">
        <v>388</v>
      </c>
      <c r="AA3" s="42" t="s">
        <v>389</v>
      </c>
      <c r="AB3" s="42" t="s">
        <v>390</v>
      </c>
      <c r="AC3" s="42" t="s">
        <v>391</v>
      </c>
      <c r="AD3" s="42" t="s">
        <v>392</v>
      </c>
      <c r="AE3" s="42" t="s">
        <v>393</v>
      </c>
    </row>
    <row r="4" customFormat="false" ht="15" hidden="false" customHeight="false" outlineLevel="0" collapsed="false">
      <c r="A4" s="6" t="s">
        <v>394</v>
      </c>
      <c r="B4" s="23" t="s">
        <v>364</v>
      </c>
      <c r="C4" s="43" t="s">
        <v>395</v>
      </c>
      <c r="D4" s="43" t="s">
        <v>395</v>
      </c>
      <c r="E4" s="43" t="s">
        <v>395</v>
      </c>
      <c r="F4" s="43" t="s">
        <v>395</v>
      </c>
      <c r="G4" s="43" t="s">
        <v>395</v>
      </c>
      <c r="H4" s="43" t="s">
        <v>395</v>
      </c>
      <c r="I4" s="43" t="s">
        <v>395</v>
      </c>
      <c r="J4" s="43" t="s">
        <v>395</v>
      </c>
      <c r="K4" s="43" t="s">
        <v>395</v>
      </c>
      <c r="L4" s="43" t="s">
        <v>395</v>
      </c>
      <c r="M4" s="43" t="s">
        <v>395</v>
      </c>
      <c r="N4" s="43" t="s">
        <v>395</v>
      </c>
      <c r="O4" s="43" t="s">
        <v>395</v>
      </c>
      <c r="P4" s="43" t="s">
        <v>395</v>
      </c>
      <c r="Q4" s="43" t="s">
        <v>395</v>
      </c>
      <c r="R4" s="43" t="s">
        <v>395</v>
      </c>
      <c r="S4" s="43" t="s">
        <v>395</v>
      </c>
      <c r="T4" s="43" t="s">
        <v>395</v>
      </c>
      <c r="U4" s="43" t="s">
        <v>395</v>
      </c>
      <c r="V4" s="43" t="s">
        <v>395</v>
      </c>
      <c r="W4" s="43" t="s">
        <v>395</v>
      </c>
      <c r="X4" s="43" t="s">
        <v>395</v>
      </c>
      <c r="Y4" s="43" t="s">
        <v>395</v>
      </c>
      <c r="Z4" s="43" t="s">
        <v>395</v>
      </c>
      <c r="AA4" s="43" t="s">
        <v>396</v>
      </c>
      <c r="AB4" s="43" t="s">
        <v>396</v>
      </c>
      <c r="AC4" s="43" t="s">
        <v>396</v>
      </c>
      <c r="AD4" s="43" t="s">
        <v>396</v>
      </c>
      <c r="AE4" s="43" t="s">
        <v>396</v>
      </c>
    </row>
    <row r="5" customFormat="false" ht="15" hidden="false" customHeight="false" outlineLevel="0" collapsed="false">
      <c r="A5" s="6" t="s">
        <v>397</v>
      </c>
      <c r="B5" s="23" t="s">
        <v>398</v>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ustomFormat="false" ht="15" hidden="false" customHeight="false" outlineLevel="0" collapsed="false">
      <c r="A6" s="6" t="s">
        <v>399</v>
      </c>
      <c r="B6" s="23" t="s">
        <v>400</v>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ustomFormat="false" ht="15" hidden="false" customHeight="false" outlineLevel="0" collapsed="false">
      <c r="A7" s="6" t="s">
        <v>401</v>
      </c>
      <c r="B7" s="23" t="s">
        <v>252</v>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ustomFormat="false" ht="15" hidden="false" customHeight="false" outlineLevel="0" collapsed="false">
      <c r="A8" s="6" t="s">
        <v>402</v>
      </c>
      <c r="B8" s="23" t="s">
        <v>403</v>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ustomFormat="false" ht="15" hidden="false" customHeight="false" outlineLevel="0" collapsed="false">
      <c r="A10" s="45" t="s">
        <v>404</v>
      </c>
      <c r="B10" s="46"/>
      <c r="C10" s="46"/>
      <c r="D10" s="46"/>
      <c r="E10" s="46"/>
      <c r="F10" s="46"/>
      <c r="G10" s="46"/>
      <c r="H10" s="46"/>
      <c r="I10" s="46"/>
      <c r="J10" s="46"/>
      <c r="K10" s="46"/>
      <c r="L10" s="46"/>
      <c r="M10" s="46"/>
      <c r="N10" s="46"/>
      <c r="O10" s="46"/>
      <c r="P10" s="46"/>
      <c r="Q10" s="46"/>
      <c r="R10" s="46"/>
      <c r="S10" s="46"/>
      <c r="T10" s="46"/>
      <c r="U10" s="46"/>
      <c r="V10" s="46"/>
      <c r="W10" s="46"/>
      <c r="X10" s="46"/>
      <c r="Y10" s="46"/>
      <c r="Z10" s="46"/>
      <c r="AA10" s="46"/>
      <c r="AB10" s="46"/>
      <c r="AC10" s="46"/>
      <c r="AD10" s="46"/>
      <c r="AE10" s="46"/>
    </row>
    <row r="11" customFormat="false" ht="15" hidden="false" customHeight="false" outlineLevel="0" collapsed="false">
      <c r="A11" s="0" t="s">
        <v>405</v>
      </c>
      <c r="B11" s="23" t="s">
        <v>406</v>
      </c>
      <c r="C11" s="47" t="n">
        <f aca="false">(1+(Assumptions!$F$59-1)*Assumptions!$B$120)*12/SUMPRODUCT(1+(Assumptions!$F$59:$Q$59-1)*Assumptions!$B$120)</f>
        <v>1.01</v>
      </c>
      <c r="D11" s="47" t="n">
        <f aca="false">(1+(Assumptions!$G$59-1)*Assumptions!$B$120)*12/SUMPRODUCT(1+(Assumptions!$F$59:$Q$59-1)*Assumptions!$B$120)</f>
        <v>0.96</v>
      </c>
      <c r="E11" s="47" t="n">
        <f aca="false">(1+(Assumptions!$H$59-1)*Assumptions!$B$120)*12/SUMPRODUCT(1+(Assumptions!$F$59:$Q$59-1)*Assumptions!$B$120)</f>
        <v>0.92</v>
      </c>
      <c r="F11" s="47" t="n">
        <f aca="false">(1+(Assumptions!$I$59-1)*Assumptions!$B$120)*12/SUMPRODUCT(1+(Assumptions!$F$59:$Q$59-1)*Assumptions!$B$120)</f>
        <v>1.15</v>
      </c>
      <c r="G11" s="47" t="n">
        <f aca="false">(1+(Assumptions!$J$59-1)*Assumptions!$B$120)*12/SUMPRODUCT(1+(Assumptions!$F$59:$Q$59-1)*Assumptions!$B$120)</f>
        <v>1.04</v>
      </c>
      <c r="H11" s="47" t="n">
        <f aca="false">(1+(Assumptions!$K$59-1)*Assumptions!$B$120)*12/SUMPRODUCT(1+(Assumptions!$F$59:$Q$59-1)*Assumptions!$B$120)</f>
        <v>0.88</v>
      </c>
      <c r="I11" s="47" t="n">
        <f aca="false">(1+(Assumptions!$L$59-1)*Assumptions!$B$120)*12/SUMPRODUCT(1+(Assumptions!$F$59:$Q$59-1)*Assumptions!$B$120)</f>
        <v>0.85</v>
      </c>
      <c r="J11" s="47" t="n">
        <f aca="false">(1+(Assumptions!$M$59-1)*Assumptions!$B$120)*12/SUMPRODUCT(1+(Assumptions!$F$59:$Q$59-1)*Assumptions!$B$120)</f>
        <v>0.85</v>
      </c>
      <c r="K11" s="47" t="n">
        <f aca="false">(1+(Assumptions!$N$59-1)*Assumptions!$B$120)*12/SUMPRODUCT(1+(Assumptions!$F$59:$Q$59-1)*Assumptions!$B$120)</f>
        <v>0.93</v>
      </c>
      <c r="L11" s="47" t="n">
        <f aca="false">(1+(Assumptions!$O$59-1)*Assumptions!$B$120)*12/SUMPRODUCT(1+(Assumptions!$F$59:$Q$59-1)*Assumptions!$B$120)</f>
        <v>1.25</v>
      </c>
      <c r="M11" s="47" t="n">
        <f aca="false">(1+(Assumptions!$P$59-1)*Assumptions!$B$120)*12/SUMPRODUCT(1+(Assumptions!$F$59:$Q$59-1)*Assumptions!$B$120)</f>
        <v>1.15</v>
      </c>
      <c r="N11" s="47" t="n">
        <f aca="false">(1+(Assumptions!$Q$59-1)*Assumptions!$B$120)*12/SUMPRODUCT(1+(Assumptions!$F$59:$Q$59-1)*Assumptions!$B$120)</f>
        <v>1.01</v>
      </c>
    </row>
    <row r="12" customFormat="false" ht="15" hidden="false" customHeight="false" outlineLevel="0" collapsed="false">
      <c r="A12" s="0" t="s">
        <v>407</v>
      </c>
      <c r="B12" s="23" t="s">
        <v>406</v>
      </c>
      <c r="C12" s="47" t="n">
        <f aca="false">(1+(Assumptions!$F$60-1)*Assumptions!$B$120)*12/SUMPRODUCT(1+(Assumptions!$F$60:$Q$60-1)*Assumptions!$B$120)</f>
        <v>1.1</v>
      </c>
      <c r="D12" s="47" t="n">
        <f aca="false">(1+(Assumptions!$G$60-1)*Assumptions!$B$120)*12/SUMPRODUCT(1+(Assumptions!$F$60:$Q$60-1)*Assumptions!$B$120)</f>
        <v>1</v>
      </c>
      <c r="E12" s="47" t="n">
        <f aca="false">(1+(Assumptions!$H$60-1)*Assumptions!$B$120)*12/SUMPRODUCT(1+(Assumptions!$F$60:$Q$60-1)*Assumptions!$B$120)</f>
        <v>0.98</v>
      </c>
      <c r="F12" s="47" t="n">
        <f aca="false">(1+(Assumptions!$I$60-1)*Assumptions!$B$120)*12/SUMPRODUCT(1+(Assumptions!$F$60:$Q$60-1)*Assumptions!$B$120)</f>
        <v>0.98</v>
      </c>
      <c r="G12" s="47" t="n">
        <f aca="false">(1+(Assumptions!$J$60-1)*Assumptions!$B$120)*12/SUMPRODUCT(1+(Assumptions!$F$60:$Q$60-1)*Assumptions!$B$120)</f>
        <v>1</v>
      </c>
      <c r="H12" s="47" t="n">
        <f aca="false">(1+(Assumptions!$K$60-1)*Assumptions!$B$120)*12/SUMPRODUCT(1+(Assumptions!$F$60:$Q$60-1)*Assumptions!$B$120)</f>
        <v>0.95</v>
      </c>
      <c r="I12" s="47" t="n">
        <f aca="false">(1+(Assumptions!$L$60-1)*Assumptions!$B$120)*12/SUMPRODUCT(1+(Assumptions!$F$60:$Q$60-1)*Assumptions!$B$120)</f>
        <v>0.88</v>
      </c>
      <c r="J12" s="47" t="n">
        <f aca="false">(1+(Assumptions!$M$60-1)*Assumptions!$B$120)*12/SUMPRODUCT(1+(Assumptions!$F$60:$Q$60-1)*Assumptions!$B$120)</f>
        <v>0.9</v>
      </c>
      <c r="K12" s="47" t="n">
        <f aca="false">(1+(Assumptions!$N$60-1)*Assumptions!$B$120)*12/SUMPRODUCT(1+(Assumptions!$F$60:$Q$60-1)*Assumptions!$B$120)</f>
        <v>1</v>
      </c>
      <c r="L12" s="47" t="n">
        <f aca="false">(1+(Assumptions!$O$60-1)*Assumptions!$B$120)*12/SUMPRODUCT(1+(Assumptions!$F$60:$Q$60-1)*Assumptions!$B$120)</f>
        <v>1.02</v>
      </c>
      <c r="M12" s="47" t="n">
        <f aca="false">(1+(Assumptions!$P$60-1)*Assumptions!$B$120)*12/SUMPRODUCT(1+(Assumptions!$F$60:$Q$60-1)*Assumptions!$B$120)</f>
        <v>1.05</v>
      </c>
      <c r="N12" s="47" t="n">
        <f aca="false">(1+(Assumptions!$Q$60-1)*Assumptions!$B$120)*12/SUMPRODUCT(1+(Assumptions!$F$60:$Q$60-1)*Assumptions!$B$120)</f>
        <v>1.14</v>
      </c>
    </row>
    <row r="13" customFormat="false" ht="15" hidden="false" customHeight="false" outlineLevel="0" collapsed="false">
      <c r="A13" s="0" t="s">
        <v>408</v>
      </c>
      <c r="B13" s="23" t="s">
        <v>406</v>
      </c>
      <c r="C13" s="48" t="n">
        <f aca="false">Assumptions!$F$61/AVERAGE(Assumptions!$F$61:$Q$61)*Assumptions!$B$133</f>
        <v>0.256603773584906</v>
      </c>
      <c r="D13" s="48" t="n">
        <f aca="false">Assumptions!$G$61/AVERAGE(Assumptions!$F$61:$Q$61)*Assumptions!$B$133</f>
        <v>0.256603773584906</v>
      </c>
      <c r="E13" s="48" t="n">
        <f aca="false">Assumptions!$H$61/AVERAGE(Assumptions!$F$61:$Q$61)*Assumptions!$B$133</f>
        <v>0.256603773584906</v>
      </c>
      <c r="F13" s="48" t="n">
        <f aca="false">Assumptions!$I$61/AVERAGE(Assumptions!$F$61:$Q$61)*Assumptions!$B$133</f>
        <v>0.273710691823899</v>
      </c>
      <c r="G13" s="48" t="n">
        <f aca="false">Assumptions!$J$61/AVERAGE(Assumptions!$F$61:$Q$61)*Assumptions!$B$133</f>
        <v>0.290817610062893</v>
      </c>
      <c r="H13" s="48" t="n">
        <f aca="false">Assumptions!$K$61/AVERAGE(Assumptions!$F$61:$Q$61)*Assumptions!$B$133</f>
        <v>0.470440251572327</v>
      </c>
      <c r="I13" s="48" t="n">
        <f aca="false">Assumptions!$L$61/AVERAGE(Assumptions!$F$61:$Q$61)*Assumptions!$B$133</f>
        <v>0.513207547169811</v>
      </c>
      <c r="J13" s="48" t="n">
        <f aca="false">Assumptions!$M$61/AVERAGE(Assumptions!$F$61:$Q$61)*Assumptions!$B$133</f>
        <v>0.478993710691824</v>
      </c>
      <c r="K13" s="48" t="n">
        <f aca="false">Assumptions!$N$61/AVERAGE(Assumptions!$F$61:$Q$61)*Assumptions!$B$133</f>
        <v>0.307924528301887</v>
      </c>
      <c r="L13" s="48" t="n">
        <f aca="false">Assumptions!$O$61/AVERAGE(Assumptions!$F$61:$Q$61)*Assumptions!$B$133</f>
        <v>0.359245283018868</v>
      </c>
      <c r="M13" s="48" t="n">
        <f aca="false">Assumptions!$P$61/AVERAGE(Assumptions!$F$61:$Q$61)*Assumptions!$B$133</f>
        <v>0.342138364779874</v>
      </c>
      <c r="N13" s="48" t="n">
        <f aca="false">Assumptions!$Q$61/AVERAGE(Assumptions!$F$61:$Q$61)*Assumptions!$B$133</f>
        <v>0.273710691823899</v>
      </c>
    </row>
    <row r="14" customFormat="false" ht="15" hidden="false" customHeight="false" outlineLevel="0" collapsed="false">
      <c r="A14" s="3" t="s">
        <v>409</v>
      </c>
      <c r="B14" s="23" t="s">
        <v>410</v>
      </c>
      <c r="C14" s="49" t="n">
        <f aca="false">SUM($C$11:$N$11)</f>
        <v>12</v>
      </c>
      <c r="D14" s="49" t="n">
        <f aca="false">SUM($C$12:$N$12)</f>
        <v>12</v>
      </c>
    </row>
    <row r="15" customFormat="false" ht="15" hidden="false" customHeight="false" outlineLevel="0" collapsed="false">
      <c r="A15" s="6" t="s">
        <v>411</v>
      </c>
      <c r="B15" s="23" t="s">
        <v>412</v>
      </c>
      <c r="C15" s="50" t="n">
        <f aca="false">IF(C7=1,INDEX($C$11:$N$11,1,C6),1)</f>
        <v>1.01</v>
      </c>
      <c r="D15" s="50" t="n">
        <f aca="false">IF(D7=1,INDEX($C$11:$N$11,1,D6),1)</f>
        <v>0.96</v>
      </c>
      <c r="E15" s="50" t="n">
        <f aca="false">IF(E7=1,INDEX($C$11:$N$11,1,E6),1)</f>
        <v>0.92</v>
      </c>
      <c r="F15" s="50" t="n">
        <f aca="false">IF(F7=1,INDEX($C$11:$N$11,1,F6),1)</f>
        <v>1.15</v>
      </c>
      <c r="G15" s="50" t="n">
        <f aca="false">IF(G7=1,INDEX($C$11:$N$11,1,G6),1)</f>
        <v>1.04</v>
      </c>
      <c r="H15" s="50" t="n">
        <f aca="false">IF(H7=1,INDEX($C$11:$N$11,1,H6),1)</f>
        <v>0.88</v>
      </c>
      <c r="I15" s="50" t="n">
        <f aca="false">IF(I7=1,INDEX($C$11:$N$11,1,I6),1)</f>
        <v>0.85</v>
      </c>
      <c r="J15" s="50" t="n">
        <f aca="false">IF(J7=1,INDEX($C$11:$N$11,1,J6),1)</f>
        <v>0.85</v>
      </c>
      <c r="K15" s="50" t="n">
        <f aca="false">IF(K7=1,INDEX($C$11:$N$11,1,K6),1)</f>
        <v>0.93</v>
      </c>
      <c r="L15" s="50" t="n">
        <f aca="false">IF(L7=1,INDEX($C$11:$N$11,1,L6),1)</f>
        <v>1.25</v>
      </c>
      <c r="M15" s="50" t="n">
        <f aca="false">IF(M7=1,INDEX($C$11:$N$11,1,M6),1)</f>
        <v>1.15</v>
      </c>
      <c r="N15" s="50" t="n">
        <f aca="false">IF(N7=1,INDEX($C$11:$N$11,1,N6),1)</f>
        <v>1.01</v>
      </c>
      <c r="O15" s="50" t="n">
        <f aca="false">IF(O7=1,INDEX($C$11:$N$11,1,O6),1)</f>
        <v>1.01</v>
      </c>
      <c r="P15" s="50" t="n">
        <f aca="false">IF(P7=1,INDEX($C$11:$N$11,1,P6),1)</f>
        <v>0.96</v>
      </c>
      <c r="Q15" s="50" t="n">
        <f aca="false">IF(Q7=1,INDEX($C$11:$N$11,1,Q6),1)</f>
        <v>0.92</v>
      </c>
      <c r="R15" s="50" t="n">
        <f aca="false">IF(R7=1,INDEX($C$11:$N$11,1,R6),1)</f>
        <v>1.15</v>
      </c>
      <c r="S15" s="50" t="n">
        <f aca="false">IF(S7=1,INDEX($C$11:$N$11,1,S6),1)</f>
        <v>1.04</v>
      </c>
      <c r="T15" s="50" t="n">
        <f aca="false">IF(T7=1,INDEX($C$11:$N$11,1,T6),1)</f>
        <v>0.88</v>
      </c>
      <c r="U15" s="50" t="n">
        <f aca="false">IF(U7=1,INDEX($C$11:$N$11,1,U6),1)</f>
        <v>0.85</v>
      </c>
      <c r="V15" s="50" t="n">
        <f aca="false">IF(V7=1,INDEX($C$11:$N$11,1,V6),1)</f>
        <v>0.85</v>
      </c>
      <c r="W15" s="50" t="n">
        <f aca="false">IF(W7=1,INDEX($C$11:$N$11,1,W6),1)</f>
        <v>0.93</v>
      </c>
      <c r="X15" s="50" t="n">
        <f aca="false">IF(X7=1,INDEX($C$11:$N$11,1,X6),1)</f>
        <v>1.25</v>
      </c>
      <c r="Y15" s="50" t="n">
        <f aca="false">IF(Y7=1,INDEX($C$11:$N$11,1,Y6),1)</f>
        <v>1.15</v>
      </c>
      <c r="Z15" s="50" t="n">
        <f aca="false">IF(Z7=1,INDEX($C$11:$N$11,1,Z6),1)</f>
        <v>1.01</v>
      </c>
      <c r="AA15" s="50" t="n">
        <f aca="false">IF(AA7=1,INDEX($C$11:$N$11,1,AA6),1)</f>
        <v>1</v>
      </c>
      <c r="AB15" s="50" t="n">
        <f aca="false">IF(AB7=1,INDEX($C$11:$N$11,1,AB6),1)</f>
        <v>1</v>
      </c>
      <c r="AC15" s="50" t="n">
        <f aca="false">IF(AC7=1,INDEX($C$11:$N$11,1,AC6),1)</f>
        <v>1</v>
      </c>
      <c r="AD15" s="50" t="n">
        <f aca="false">IF(AD7=1,INDEX($C$11:$N$11,1,AD6),1)</f>
        <v>1</v>
      </c>
      <c r="AE15" s="50" t="n">
        <f aca="false">IF(AE7=1,INDEX($C$11:$N$11,1,AE6),1)</f>
        <v>1</v>
      </c>
    </row>
    <row r="16" customFormat="false" ht="15" hidden="false" customHeight="false" outlineLevel="0" collapsed="false">
      <c r="A16" s="6" t="s">
        <v>413</v>
      </c>
      <c r="B16" s="23" t="s">
        <v>412</v>
      </c>
      <c r="C16" s="50" t="n">
        <f aca="false">IF(C7=1,INDEX($C$12:$N$12,1,C6),1)</f>
        <v>1.1</v>
      </c>
      <c r="D16" s="50" t="n">
        <f aca="false">IF(D7=1,INDEX($C$12:$N$12,1,D6),1)</f>
        <v>1</v>
      </c>
      <c r="E16" s="50" t="n">
        <f aca="false">IF(E7=1,INDEX($C$12:$N$12,1,E6),1)</f>
        <v>0.98</v>
      </c>
      <c r="F16" s="50" t="n">
        <f aca="false">IF(F7=1,INDEX($C$12:$N$12,1,F6),1)</f>
        <v>0.98</v>
      </c>
      <c r="G16" s="50" t="n">
        <f aca="false">IF(G7=1,INDEX($C$12:$N$12,1,G6),1)</f>
        <v>1</v>
      </c>
      <c r="H16" s="50" t="n">
        <f aca="false">IF(H7=1,INDEX($C$12:$N$12,1,H6),1)</f>
        <v>0.95</v>
      </c>
      <c r="I16" s="50" t="n">
        <f aca="false">IF(I7=1,INDEX($C$12:$N$12,1,I6),1)</f>
        <v>0.88</v>
      </c>
      <c r="J16" s="50" t="n">
        <f aca="false">IF(J7=1,INDEX($C$12:$N$12,1,J6),1)</f>
        <v>0.9</v>
      </c>
      <c r="K16" s="50" t="n">
        <f aca="false">IF(K7=1,INDEX($C$12:$N$12,1,K6),1)</f>
        <v>1</v>
      </c>
      <c r="L16" s="50" t="n">
        <f aca="false">IF(L7=1,INDEX($C$12:$N$12,1,L6),1)</f>
        <v>1.02</v>
      </c>
      <c r="M16" s="50" t="n">
        <f aca="false">IF(M7=1,INDEX($C$12:$N$12,1,M6),1)</f>
        <v>1.05</v>
      </c>
      <c r="N16" s="50" t="n">
        <f aca="false">IF(N7=1,INDEX($C$12:$N$12,1,N6),1)</f>
        <v>1.14</v>
      </c>
      <c r="O16" s="50" t="n">
        <f aca="false">IF(O7=1,INDEX($C$12:$N$12,1,O6),1)</f>
        <v>1.1</v>
      </c>
      <c r="P16" s="50" t="n">
        <f aca="false">IF(P7=1,INDEX($C$12:$N$12,1,P6),1)</f>
        <v>1</v>
      </c>
      <c r="Q16" s="50" t="n">
        <f aca="false">IF(Q7=1,INDEX($C$12:$N$12,1,Q6),1)</f>
        <v>0.98</v>
      </c>
      <c r="R16" s="50" t="n">
        <f aca="false">IF(R7=1,INDEX($C$12:$N$12,1,R6),1)</f>
        <v>0.98</v>
      </c>
      <c r="S16" s="50" t="n">
        <f aca="false">IF(S7=1,INDEX($C$12:$N$12,1,S6),1)</f>
        <v>1</v>
      </c>
      <c r="T16" s="50" t="n">
        <f aca="false">IF(T7=1,INDEX($C$12:$N$12,1,T6),1)</f>
        <v>0.95</v>
      </c>
      <c r="U16" s="50" t="n">
        <f aca="false">IF(U7=1,INDEX($C$12:$N$12,1,U6),1)</f>
        <v>0.88</v>
      </c>
      <c r="V16" s="50" t="n">
        <f aca="false">IF(V7=1,INDEX($C$12:$N$12,1,V6),1)</f>
        <v>0.9</v>
      </c>
      <c r="W16" s="50" t="n">
        <f aca="false">IF(W7=1,INDEX($C$12:$N$12,1,W6),1)</f>
        <v>1</v>
      </c>
      <c r="X16" s="50" t="n">
        <f aca="false">IF(X7=1,INDEX($C$12:$N$12,1,X6),1)</f>
        <v>1.02</v>
      </c>
      <c r="Y16" s="50" t="n">
        <f aca="false">IF(Y7=1,INDEX($C$12:$N$12,1,Y6),1)</f>
        <v>1.05</v>
      </c>
      <c r="Z16" s="50" t="n">
        <f aca="false">IF(Z7=1,INDEX($C$12:$N$12,1,Z6),1)</f>
        <v>1.14</v>
      </c>
      <c r="AA16" s="50" t="n">
        <f aca="false">IF(AA7=1,INDEX($C$12:$N$12,1,AA6),1)</f>
        <v>1</v>
      </c>
      <c r="AB16" s="50" t="n">
        <f aca="false">IF(AB7=1,INDEX($C$12:$N$12,1,AB6),1)</f>
        <v>1</v>
      </c>
      <c r="AC16" s="50" t="n">
        <f aca="false">IF(AC7=1,INDEX($C$12:$N$12,1,AC6),1)</f>
        <v>1</v>
      </c>
      <c r="AD16" s="50" t="n">
        <f aca="false">IF(AD7=1,INDEX($C$12:$N$12,1,AD6),1)</f>
        <v>1</v>
      </c>
      <c r="AE16" s="50" t="n">
        <f aca="false">IF(AE7=1,INDEX($C$12:$N$12,1,AE6),1)</f>
        <v>1</v>
      </c>
    </row>
    <row r="17" customFormat="false" ht="15" hidden="false" customHeight="false" outlineLevel="0" collapsed="false">
      <c r="A17" s="6" t="s">
        <v>414</v>
      </c>
      <c r="B17" s="23" t="s">
        <v>227</v>
      </c>
      <c r="C17" s="51" t="n">
        <f aca="false">IF(C7=1,INDEX($C$13:$N$13,1,C6),AVERAGE($C$13:$N$13))</f>
        <v>0.256603773584906</v>
      </c>
      <c r="D17" s="51" t="n">
        <f aca="false">IF(D7=1,INDEX($C$13:$N$13,1,D6),AVERAGE($C$13:$N$13))</f>
        <v>0.256603773584906</v>
      </c>
      <c r="E17" s="51" t="n">
        <f aca="false">IF(E7=1,INDEX($C$13:$N$13,1,E6),AVERAGE($C$13:$N$13))</f>
        <v>0.256603773584906</v>
      </c>
      <c r="F17" s="51" t="n">
        <f aca="false">IF(F7=1,INDEX($C$13:$N$13,1,F6),AVERAGE($C$13:$N$13))</f>
        <v>0.273710691823899</v>
      </c>
      <c r="G17" s="51" t="n">
        <f aca="false">IF(G7=1,INDEX($C$13:$N$13,1,G6),AVERAGE($C$13:$N$13))</f>
        <v>0.290817610062893</v>
      </c>
      <c r="H17" s="51" t="n">
        <f aca="false">IF(H7=1,INDEX($C$13:$N$13,1,H6),AVERAGE($C$13:$N$13))</f>
        <v>0.470440251572327</v>
      </c>
      <c r="I17" s="51" t="n">
        <f aca="false">IF(I7=1,INDEX($C$13:$N$13,1,I6),AVERAGE($C$13:$N$13))</f>
        <v>0.513207547169811</v>
      </c>
      <c r="J17" s="51" t="n">
        <f aca="false">IF(J7=1,INDEX($C$13:$N$13,1,J6),AVERAGE($C$13:$N$13))</f>
        <v>0.478993710691824</v>
      </c>
      <c r="K17" s="51" t="n">
        <f aca="false">IF(K7=1,INDEX($C$13:$N$13,1,K6),AVERAGE($C$13:$N$13))</f>
        <v>0.307924528301887</v>
      </c>
      <c r="L17" s="51" t="n">
        <f aca="false">IF(L7=1,INDEX($C$13:$N$13,1,L6),AVERAGE($C$13:$N$13))</f>
        <v>0.359245283018868</v>
      </c>
      <c r="M17" s="51" t="n">
        <f aca="false">IF(M7=1,INDEX($C$13:$N$13,1,M6),AVERAGE($C$13:$N$13))</f>
        <v>0.342138364779874</v>
      </c>
      <c r="N17" s="51" t="n">
        <f aca="false">IF(N7=1,INDEX($C$13:$N$13,1,N6),AVERAGE($C$13:$N$13))</f>
        <v>0.273710691823899</v>
      </c>
      <c r="O17" s="51" t="n">
        <f aca="false">IF(O7=1,INDEX($C$13:$N$13,1,O6),AVERAGE($C$13:$N$13))</f>
        <v>0.256603773584906</v>
      </c>
      <c r="P17" s="51" t="n">
        <f aca="false">IF(P7=1,INDEX($C$13:$N$13,1,P6),AVERAGE($C$13:$N$13))</f>
        <v>0.256603773584906</v>
      </c>
      <c r="Q17" s="51" t="n">
        <f aca="false">IF(Q7=1,INDEX($C$13:$N$13,1,Q6),AVERAGE($C$13:$N$13))</f>
        <v>0.256603773584906</v>
      </c>
      <c r="R17" s="51" t="n">
        <f aca="false">IF(R7=1,INDEX($C$13:$N$13,1,R6),AVERAGE($C$13:$N$13))</f>
        <v>0.273710691823899</v>
      </c>
      <c r="S17" s="51" t="n">
        <f aca="false">IF(S7=1,INDEX($C$13:$N$13,1,S6),AVERAGE($C$13:$N$13))</f>
        <v>0.290817610062893</v>
      </c>
      <c r="T17" s="51" t="n">
        <f aca="false">IF(T7=1,INDEX($C$13:$N$13,1,T6),AVERAGE($C$13:$N$13))</f>
        <v>0.470440251572327</v>
      </c>
      <c r="U17" s="51" t="n">
        <f aca="false">IF(U7=1,INDEX($C$13:$N$13,1,U6),AVERAGE($C$13:$N$13))</f>
        <v>0.513207547169811</v>
      </c>
      <c r="V17" s="51" t="n">
        <f aca="false">IF(V7=1,INDEX($C$13:$N$13,1,V6),AVERAGE($C$13:$N$13))</f>
        <v>0.478993710691824</v>
      </c>
      <c r="W17" s="51" t="n">
        <f aca="false">IF(W7=1,INDEX($C$13:$N$13,1,W6),AVERAGE($C$13:$N$13))</f>
        <v>0.307924528301887</v>
      </c>
      <c r="X17" s="51" t="n">
        <f aca="false">IF(X7=1,INDEX($C$13:$N$13,1,X6),AVERAGE($C$13:$N$13))</f>
        <v>0.359245283018868</v>
      </c>
      <c r="Y17" s="51" t="n">
        <f aca="false">IF(Y7=1,INDEX($C$13:$N$13,1,Y6),AVERAGE($C$13:$N$13))</f>
        <v>0.342138364779874</v>
      </c>
      <c r="Z17" s="51" t="n">
        <f aca="false">IF(Z7=1,INDEX($C$13:$N$13,1,Z6),AVERAGE($C$13:$N$13))</f>
        <v>0.273710691823899</v>
      </c>
      <c r="AA17" s="51" t="n">
        <f aca="false">IF(AA7=1,INDEX($C$13:$N$13,1,AA6),AVERAGE($C$13:$N$13))</f>
        <v>0.34</v>
      </c>
      <c r="AB17" s="51" t="n">
        <f aca="false">IF(AB7=1,INDEX($C$13:$N$13,1,AB6),AVERAGE($C$13:$N$13))</f>
        <v>0.34</v>
      </c>
      <c r="AC17" s="51" t="n">
        <f aca="false">IF(AC7=1,INDEX($C$13:$N$13,1,AC6),AVERAGE($C$13:$N$13))</f>
        <v>0.34</v>
      </c>
      <c r="AD17" s="51" t="n">
        <f aca="false">IF(AD7=1,INDEX($C$13:$N$13,1,AD6),AVERAGE($C$13:$N$13))</f>
        <v>0.34</v>
      </c>
      <c r="AE17" s="51" t="n">
        <f aca="false">IF(AE7=1,INDEX($C$13:$N$13,1,AE6),AVERAGE($C$13:$N$13))</f>
        <v>0.34</v>
      </c>
    </row>
    <row r="19" customFormat="false" ht="15" hidden="false" customHeight="false" outlineLevel="0" collapsed="false">
      <c r="A19" s="45" t="s">
        <v>415</v>
      </c>
      <c r="B19" s="46"/>
      <c r="C19" s="46"/>
      <c r="D19" s="46"/>
      <c r="E19" s="46"/>
      <c r="F19" s="46"/>
      <c r="G19" s="46"/>
      <c r="H19" s="46"/>
      <c r="I19" s="46"/>
      <c r="J19" s="46"/>
      <c r="K19" s="46"/>
      <c r="L19" s="46"/>
      <c r="M19" s="46"/>
      <c r="N19" s="46"/>
      <c r="O19" s="46"/>
      <c r="P19" s="46"/>
      <c r="Q19" s="46"/>
      <c r="R19" s="46"/>
      <c r="S19" s="46"/>
      <c r="T19" s="46"/>
      <c r="U19" s="46"/>
      <c r="V19" s="46"/>
      <c r="W19" s="46"/>
      <c r="X19" s="46"/>
      <c r="Y19" s="46"/>
      <c r="Z19" s="46"/>
      <c r="AA19" s="46"/>
      <c r="AB19" s="46"/>
      <c r="AC19" s="46"/>
      <c r="AD19" s="46"/>
      <c r="AE19" s="46"/>
    </row>
    <row r="20" customFormat="false" ht="15" hidden="false" customHeight="false" outlineLevel="0" collapsed="false">
      <c r="A20" s="6" t="s">
        <v>416</v>
      </c>
      <c r="B20" s="23" t="s">
        <v>186</v>
      </c>
      <c r="C20" s="52" t="n">
        <f aca="false">INDEX(Assumptions!$B$86:$B$92,C5)*Assumptions!$B$115*INDEX(Assumptions!$B$100:$B$106,C5)*C7</f>
        <v>12</v>
      </c>
      <c r="D20" s="52" t="n">
        <f aca="false">INDEX(Assumptions!$B$86:$B$92,D5)*Assumptions!$B$115*INDEX(Assumptions!$B$100:$B$106,D5)*D7</f>
        <v>12</v>
      </c>
      <c r="E20" s="52" t="n">
        <f aca="false">INDEX(Assumptions!$B$86:$B$92,E5)*Assumptions!$B$115*INDEX(Assumptions!$B$100:$B$106,E5)*E7</f>
        <v>12</v>
      </c>
      <c r="F20" s="52" t="n">
        <f aca="false">INDEX(Assumptions!$B$86:$B$92,F5)*Assumptions!$B$115*INDEX(Assumptions!$B$100:$B$106,F5)*F7</f>
        <v>12</v>
      </c>
      <c r="G20" s="52" t="n">
        <f aca="false">INDEX(Assumptions!$B$86:$B$92,G5)*Assumptions!$B$115*INDEX(Assumptions!$B$100:$B$106,G5)*G7</f>
        <v>12</v>
      </c>
      <c r="H20" s="52" t="n">
        <f aca="false">INDEX(Assumptions!$B$86:$B$92,H5)*Assumptions!$B$115*INDEX(Assumptions!$B$100:$B$106,H5)*H7</f>
        <v>12</v>
      </c>
      <c r="I20" s="52" t="n">
        <f aca="false">INDEX(Assumptions!$B$86:$B$92,I5)*Assumptions!$B$115*INDEX(Assumptions!$B$100:$B$106,I5)*I7</f>
        <v>12</v>
      </c>
      <c r="J20" s="52" t="n">
        <f aca="false">INDEX(Assumptions!$B$86:$B$92,J5)*Assumptions!$B$115*INDEX(Assumptions!$B$100:$B$106,J5)*J7</f>
        <v>12</v>
      </c>
      <c r="K20" s="52" t="n">
        <f aca="false">INDEX(Assumptions!$B$86:$B$92,K5)*Assumptions!$B$115*INDEX(Assumptions!$B$100:$B$106,K5)*K7</f>
        <v>12</v>
      </c>
      <c r="L20" s="52" t="n">
        <f aca="false">INDEX(Assumptions!$B$86:$B$92,L5)*Assumptions!$B$115*INDEX(Assumptions!$B$100:$B$106,L5)*L7</f>
        <v>12</v>
      </c>
      <c r="M20" s="52" t="n">
        <f aca="false">INDEX(Assumptions!$B$86:$B$92,M5)*Assumptions!$B$115*INDEX(Assumptions!$B$100:$B$106,M5)*M7</f>
        <v>12</v>
      </c>
      <c r="N20" s="52" t="n">
        <f aca="false">INDEX(Assumptions!$B$86:$B$92,N5)*Assumptions!$B$115*INDEX(Assumptions!$B$100:$B$106,N5)*N7</f>
        <v>12</v>
      </c>
      <c r="O20" s="52" t="n">
        <f aca="false">INDEX(Assumptions!$B$86:$B$92,O5)*Assumptions!$B$115*INDEX(Assumptions!$B$100:$B$106,O5)*O7</f>
        <v>51</v>
      </c>
      <c r="P20" s="52" t="n">
        <f aca="false">INDEX(Assumptions!$B$86:$B$92,P5)*Assumptions!$B$115*INDEX(Assumptions!$B$100:$B$106,P5)*P7</f>
        <v>51</v>
      </c>
      <c r="Q20" s="52" t="n">
        <f aca="false">INDEX(Assumptions!$B$86:$B$92,Q5)*Assumptions!$B$115*INDEX(Assumptions!$B$100:$B$106,Q5)*Q7</f>
        <v>51</v>
      </c>
      <c r="R20" s="52" t="n">
        <f aca="false">INDEX(Assumptions!$B$86:$B$92,R5)*Assumptions!$B$115*INDEX(Assumptions!$B$100:$B$106,R5)*R7</f>
        <v>51</v>
      </c>
      <c r="S20" s="52" t="n">
        <f aca="false">INDEX(Assumptions!$B$86:$B$92,S5)*Assumptions!$B$115*INDEX(Assumptions!$B$100:$B$106,S5)*S7</f>
        <v>51</v>
      </c>
      <c r="T20" s="52" t="n">
        <f aca="false">INDEX(Assumptions!$B$86:$B$92,T5)*Assumptions!$B$115*INDEX(Assumptions!$B$100:$B$106,T5)*T7</f>
        <v>51</v>
      </c>
      <c r="U20" s="52" t="n">
        <f aca="false">INDEX(Assumptions!$B$86:$B$92,U5)*Assumptions!$B$115*INDEX(Assumptions!$B$100:$B$106,U5)*U7</f>
        <v>51</v>
      </c>
      <c r="V20" s="52" t="n">
        <f aca="false">INDEX(Assumptions!$B$86:$B$92,V5)*Assumptions!$B$115*INDEX(Assumptions!$B$100:$B$106,V5)*V7</f>
        <v>51</v>
      </c>
      <c r="W20" s="52" t="n">
        <f aca="false">INDEX(Assumptions!$B$86:$B$92,W5)*Assumptions!$B$115*INDEX(Assumptions!$B$100:$B$106,W5)*W7</f>
        <v>51</v>
      </c>
      <c r="X20" s="52" t="n">
        <f aca="false">INDEX(Assumptions!$B$86:$B$92,X5)*Assumptions!$B$115*INDEX(Assumptions!$B$100:$B$106,X5)*X7</f>
        <v>51</v>
      </c>
      <c r="Y20" s="52" t="n">
        <f aca="false">INDEX(Assumptions!$B$86:$B$92,Y5)*Assumptions!$B$115*INDEX(Assumptions!$B$100:$B$106,Y5)*Y7</f>
        <v>51</v>
      </c>
      <c r="Z20" s="52" t="n">
        <f aca="false">INDEX(Assumptions!$B$86:$B$92,Z5)*Assumptions!$B$115*INDEX(Assumptions!$B$100:$B$106,Z5)*Z7</f>
        <v>51</v>
      </c>
      <c r="AA20" s="52" t="n">
        <f aca="false">INDEX(Assumptions!$B$86:$B$92,AA5)*Assumptions!$B$115*INDEX(Assumptions!$B$100:$B$106,AA5)*AA7</f>
        <v>1920</v>
      </c>
      <c r="AB20" s="52" t="n">
        <f aca="false">INDEX(Assumptions!$B$86:$B$92,AB5)*Assumptions!$B$115*INDEX(Assumptions!$B$100:$B$106,AB5)*AB7</f>
        <v>2880</v>
      </c>
      <c r="AC20" s="52" t="n">
        <f aca="false">INDEX(Assumptions!$B$86:$B$92,AC5)*Assumptions!$B$115*INDEX(Assumptions!$B$100:$B$106,AC5)*AC7</f>
        <v>4320</v>
      </c>
      <c r="AD20" s="52" t="n">
        <f aca="false">INDEX(Assumptions!$B$86:$B$92,AD5)*Assumptions!$B$115*INDEX(Assumptions!$B$100:$B$106,AD5)*AD7</f>
        <v>5088</v>
      </c>
      <c r="AE20" s="52" t="n">
        <f aca="false">INDEX(Assumptions!$B$86:$B$92,AE5)*Assumptions!$B$115*INDEX(Assumptions!$B$100:$B$106,AE5)*AE7</f>
        <v>5952</v>
      </c>
    </row>
    <row r="21" customFormat="false" ht="15" hidden="false" customHeight="false" outlineLevel="0" collapsed="false">
      <c r="A21" s="6" t="s">
        <v>417</v>
      </c>
      <c r="B21" s="23" t="s">
        <v>186</v>
      </c>
      <c r="C21" s="52" t="n">
        <f aca="false">INDEX(Assumptions!$B$93:$B$99,C5)/12*C7/Assumptions!$B$116*(1+Assumptions!$B$119)</f>
        <v>46.6666666666667</v>
      </c>
      <c r="D21" s="52" t="n">
        <f aca="false">INDEX(Assumptions!$B$93:$B$99,D5)/12*D7/Assumptions!$B$116*(1+Assumptions!$B$119)</f>
        <v>46.6666666666667</v>
      </c>
      <c r="E21" s="52" t="n">
        <f aca="false">INDEX(Assumptions!$B$93:$B$99,E5)/12*E7/Assumptions!$B$116*(1+Assumptions!$B$119)</f>
        <v>46.6666666666667</v>
      </c>
      <c r="F21" s="52" t="n">
        <f aca="false">INDEX(Assumptions!$B$93:$B$99,F5)/12*F7/Assumptions!$B$116*(1+Assumptions!$B$119)</f>
        <v>46.6666666666667</v>
      </c>
      <c r="G21" s="52" t="n">
        <f aca="false">INDEX(Assumptions!$B$93:$B$99,G5)/12*G7/Assumptions!$B$116*(1+Assumptions!$B$119)</f>
        <v>46.6666666666667</v>
      </c>
      <c r="H21" s="52" t="n">
        <f aca="false">INDEX(Assumptions!$B$93:$B$99,H5)/12*H7/Assumptions!$B$116*(1+Assumptions!$B$119)</f>
        <v>46.6666666666667</v>
      </c>
      <c r="I21" s="52" t="n">
        <f aca="false">INDEX(Assumptions!$B$93:$B$99,I5)/12*I7/Assumptions!$B$116*(1+Assumptions!$B$119)</f>
        <v>46.6666666666667</v>
      </c>
      <c r="J21" s="52" t="n">
        <f aca="false">INDEX(Assumptions!$B$93:$B$99,J5)/12*J7/Assumptions!$B$116*(1+Assumptions!$B$119)</f>
        <v>46.6666666666667</v>
      </c>
      <c r="K21" s="52" t="n">
        <f aca="false">INDEX(Assumptions!$B$93:$B$99,K5)/12*K7/Assumptions!$B$116*(1+Assumptions!$B$119)</f>
        <v>46.6666666666667</v>
      </c>
      <c r="L21" s="52" t="n">
        <f aca="false">INDEX(Assumptions!$B$93:$B$99,L5)/12*L7/Assumptions!$B$116*(1+Assumptions!$B$119)</f>
        <v>46.6666666666667</v>
      </c>
      <c r="M21" s="52" t="n">
        <f aca="false">INDEX(Assumptions!$B$93:$B$99,M5)/12*M7/Assumptions!$B$116*(1+Assumptions!$B$119)</f>
        <v>46.6666666666667</v>
      </c>
      <c r="N21" s="52" t="n">
        <f aca="false">INDEX(Assumptions!$B$93:$B$99,N5)/12*N7/Assumptions!$B$116*(1+Assumptions!$B$119)</f>
        <v>46.6666666666667</v>
      </c>
      <c r="O21" s="52" t="n">
        <f aca="false">INDEX(Assumptions!$B$93:$B$99,O5)/12*O7/Assumptions!$B$116*(1+Assumptions!$B$119)</f>
        <v>140</v>
      </c>
      <c r="P21" s="52" t="n">
        <f aca="false">INDEX(Assumptions!$B$93:$B$99,P5)/12*P7/Assumptions!$B$116*(1+Assumptions!$B$119)</f>
        <v>140</v>
      </c>
      <c r="Q21" s="52" t="n">
        <f aca="false">INDEX(Assumptions!$B$93:$B$99,Q5)/12*Q7/Assumptions!$B$116*(1+Assumptions!$B$119)</f>
        <v>140</v>
      </c>
      <c r="R21" s="52" t="n">
        <f aca="false">INDEX(Assumptions!$B$93:$B$99,R5)/12*R7/Assumptions!$B$116*(1+Assumptions!$B$119)</f>
        <v>140</v>
      </c>
      <c r="S21" s="52" t="n">
        <f aca="false">INDEX(Assumptions!$B$93:$B$99,S5)/12*S7/Assumptions!$B$116*(1+Assumptions!$B$119)</f>
        <v>140</v>
      </c>
      <c r="T21" s="52" t="n">
        <f aca="false">INDEX(Assumptions!$B$93:$B$99,T5)/12*T7/Assumptions!$B$116*(1+Assumptions!$B$119)</f>
        <v>140</v>
      </c>
      <c r="U21" s="52" t="n">
        <f aca="false">INDEX(Assumptions!$B$93:$B$99,U5)/12*U7/Assumptions!$B$116*(1+Assumptions!$B$119)</f>
        <v>140</v>
      </c>
      <c r="V21" s="52" t="n">
        <f aca="false">INDEX(Assumptions!$B$93:$B$99,V5)/12*V7/Assumptions!$B$116*(1+Assumptions!$B$119)</f>
        <v>140</v>
      </c>
      <c r="W21" s="52" t="n">
        <f aca="false">INDEX(Assumptions!$B$93:$B$99,W5)/12*W7/Assumptions!$B$116*(1+Assumptions!$B$119)</f>
        <v>140</v>
      </c>
      <c r="X21" s="52" t="n">
        <f aca="false">INDEX(Assumptions!$B$93:$B$99,X5)/12*X7/Assumptions!$B$116*(1+Assumptions!$B$119)</f>
        <v>140</v>
      </c>
      <c r="Y21" s="52" t="n">
        <f aca="false">INDEX(Assumptions!$B$93:$B$99,Y5)/12*Y7/Assumptions!$B$116*(1+Assumptions!$B$119)</f>
        <v>140</v>
      </c>
      <c r="Z21" s="52" t="n">
        <f aca="false">INDEX(Assumptions!$B$93:$B$99,Z5)/12*Z7/Assumptions!$B$116*(1+Assumptions!$B$119)</f>
        <v>140</v>
      </c>
      <c r="AA21" s="52" t="n">
        <f aca="false">INDEX(Assumptions!$B$93:$B$99,AA5)/12*AA7/Assumptions!$B$116*(1+Assumptions!$B$119)</f>
        <v>2333.33333333333</v>
      </c>
      <c r="AB21" s="52" t="n">
        <f aca="false">INDEX(Assumptions!$B$93:$B$99,AB5)/12*AB7/Assumptions!$B$116*(1+Assumptions!$B$119)</f>
        <v>3733.33333333333</v>
      </c>
      <c r="AC21" s="52" t="n">
        <f aca="false">INDEX(Assumptions!$B$93:$B$99,AC5)/12*AC7/Assumptions!$B$116*(1+Assumptions!$B$119)</f>
        <v>5600</v>
      </c>
      <c r="AD21" s="52" t="n">
        <f aca="false">INDEX(Assumptions!$B$93:$B$99,AD5)/12*AD7/Assumptions!$B$116*(1+Assumptions!$B$119)</f>
        <v>7933.33333333333</v>
      </c>
      <c r="AE21" s="52" t="n">
        <f aca="false">INDEX(Assumptions!$B$93:$B$99,AE5)/12*AE7/Assumptions!$B$116*(1+Assumptions!$B$119)</f>
        <v>10266.6666666667</v>
      </c>
    </row>
    <row r="22" customFormat="false" ht="15" hidden="false" customHeight="false" outlineLevel="0" collapsed="false">
      <c r="A22" s="6" t="s">
        <v>418</v>
      </c>
      <c r="B22" s="23" t="s">
        <v>186</v>
      </c>
      <c r="C22" s="53" t="n">
        <v>0</v>
      </c>
      <c r="D22" s="53" t="n">
        <f aca="false">IF(D2&gt;=Assumptions!$B$53,C125*Assumptions!$B$117/12*Assumptions!$B$118*D7,0)</f>
        <v>0</v>
      </c>
      <c r="E22" s="53" t="n">
        <f aca="false">IF(E2&gt;=Assumptions!$B$53,D125*Assumptions!$B$117/12*Assumptions!$B$118*E7,0)</f>
        <v>0</v>
      </c>
      <c r="F22" s="53" t="n">
        <f aca="false">IF(F2&gt;=Assumptions!$B$53,E125*Assumptions!$B$117/12*Assumptions!$B$118*F7,0)</f>
        <v>0</v>
      </c>
      <c r="G22" s="53" t="n">
        <f aca="false">IF(G2&gt;=Assumptions!$B$53,F125*Assumptions!$B$117/12*Assumptions!$B$118*G7,0)</f>
        <v>0</v>
      </c>
      <c r="H22" s="53" t="n">
        <f aca="false">IF(H2&gt;=Assumptions!$B$53,G125*Assumptions!$B$117/12*Assumptions!$B$118*H7,0)</f>
        <v>0</v>
      </c>
      <c r="I22" s="53" t="n">
        <f aca="false">IF(I2&gt;=Assumptions!$B$53,H125*Assumptions!$B$117/12*Assumptions!$B$118*I7,0)</f>
        <v>0</v>
      </c>
      <c r="J22" s="53" t="n">
        <f aca="false">IF(J2&gt;=Assumptions!$B$53,I125*Assumptions!$B$117/12*Assumptions!$B$118*J7,0)</f>
        <v>0</v>
      </c>
      <c r="K22" s="53" t="n">
        <f aca="false">IF(K2&gt;=Assumptions!$B$53,J125*Assumptions!$B$117/12*Assumptions!$B$118*K7,0)</f>
        <v>0</v>
      </c>
      <c r="L22" s="53" t="n">
        <f aca="false">IF(L2&gt;=Assumptions!$B$53,K125*Assumptions!$B$117/12*Assumptions!$B$118*L7,0)</f>
        <v>0</v>
      </c>
      <c r="M22" s="53" t="n">
        <f aca="false">IF(M2&gt;=Assumptions!$B$53,L125*Assumptions!$B$117/12*Assumptions!$B$118*M7,0)</f>
        <v>0</v>
      </c>
      <c r="N22" s="53" t="n">
        <f aca="false">IF(N2&gt;=Assumptions!$B$53,M125*Assumptions!$B$117/12*Assumptions!$B$118*N7,0)</f>
        <v>0</v>
      </c>
      <c r="O22" s="53" t="n">
        <f aca="false">IF(O2&gt;=Assumptions!$B$53,N125*Assumptions!$B$117/12*Assumptions!$B$118*O7,0)</f>
        <v>12.3534529222825</v>
      </c>
      <c r="P22" s="53" t="n">
        <f aca="false">IF(P2&gt;=Assumptions!$B$53,O125*Assumptions!$B$117/12*Assumptions!$B$118*P7,0)</f>
        <v>16.3893394101509</v>
      </c>
      <c r="Q22" s="53" t="n">
        <f aca="false">IF(Q2&gt;=Assumptions!$B$53,P125*Assumptions!$B$117/12*Assumptions!$B$118*Q7,0)</f>
        <v>20.081014649041</v>
      </c>
      <c r="R22" s="53" t="n">
        <f aca="false">IF(R2&gt;=Assumptions!$B$53,Q125*Assumptions!$B$117/12*Assumptions!$B$118*R7,0)</f>
        <v>23.4772037118421</v>
      </c>
      <c r="S22" s="53" t="n">
        <f aca="false">IF(S2&gt;=Assumptions!$B$53,R125*Assumptions!$B$117/12*Assumptions!$B$118*S7,0)</f>
        <v>27.8823814595753</v>
      </c>
      <c r="T22" s="53" t="n">
        <f aca="false">IF(T2&gt;=Assumptions!$B$53,S125*Assumptions!$B$117/12*Assumptions!$B$118*T7,0)</f>
        <v>31.6379526877449</v>
      </c>
      <c r="U22" s="53" t="n">
        <f aca="false">IF(U2&gt;=Assumptions!$B$53,T125*Assumptions!$B$117/12*Assumptions!$B$118*U7,0)</f>
        <v>34.492623509937</v>
      </c>
      <c r="V22" s="53" t="n">
        <f aca="false">IF(V2&gt;=Assumptions!$B$53,U125*Assumptions!$B$117/12*Assumptions!$B$118*V7,0)</f>
        <v>37.1079217947029</v>
      </c>
      <c r="W22" s="53" t="n">
        <f aca="false">IF(W2&gt;=Assumptions!$B$53,V125*Assumptions!$B$117/12*Assumptions!$B$118*W7,0)</f>
        <v>39.6406747234875</v>
      </c>
      <c r="X22" s="53" t="n">
        <f aca="false">IF(X2&gt;=Assumptions!$B$53,W125*Assumptions!$B$117/12*Assumptions!$B$118*X7,0)</f>
        <v>42.5053127737079</v>
      </c>
      <c r="Y22" s="53" t="n">
        <f aca="false">IF(Y2&gt;=Assumptions!$B$53,X125*Assumptions!$B$117/12*Assumptions!$B$118*Y7,0)</f>
        <v>46.950582698993</v>
      </c>
      <c r="Z22" s="53" t="n">
        <f aca="false">IF(Z2&gt;=Assumptions!$B$53,Y125*Assumptions!$B$117/12*Assumptions!$B$118*Z7,0)</f>
        <v>50.7619829117668</v>
      </c>
      <c r="AA22" s="53" t="n">
        <f aca="false">IF(AA2&gt;=Assumptions!$B$53,Z125*Assumptions!$B$117/12*Assumptions!$B$118*AA7,0)</f>
        <v>644.67545777609</v>
      </c>
      <c r="AB22" s="53" t="n">
        <f aca="false">IF(AB2&gt;=Assumptions!$B$53,AA125*Assumptions!$B$117/12*Assumptions!$B$118*AB7,0)</f>
        <v>1344.02040164571</v>
      </c>
      <c r="AC22" s="53" t="n">
        <f aca="false">IF(AC2&gt;=Assumptions!$B$53,AB125*Assumptions!$B$117/12*Assumptions!$B$118*AC7,0)</f>
        <v>2284.79875133195</v>
      </c>
      <c r="AD22" s="53" t="n">
        <f aca="false">IF(AD2&gt;=Assumptions!$B$53,AC125*Assumptions!$B$117/12*Assumptions!$B$118*AD7,0)</f>
        <v>3484.53347847603</v>
      </c>
      <c r="AE22" s="53" t="n">
        <f aca="false">IF(AE2&gt;=Assumptions!$B$53,AD125*Assumptions!$B$117/12*Assumptions!$B$118*AE7,0)</f>
        <v>4679.57570870263</v>
      </c>
    </row>
    <row r="23" customFormat="false" ht="15" hidden="false" customHeight="false" outlineLevel="0" collapsed="false">
      <c r="A23" s="6" t="s">
        <v>419</v>
      </c>
      <c r="B23" s="23" t="s">
        <v>186</v>
      </c>
      <c r="C23" s="53" t="n">
        <f aca="false">C21+C22</f>
        <v>46.6666666666667</v>
      </c>
      <c r="D23" s="53" t="n">
        <f aca="false">D21+D22</f>
        <v>46.6666666666667</v>
      </c>
      <c r="E23" s="53" t="n">
        <f aca="false">E21+E22</f>
        <v>46.6666666666667</v>
      </c>
      <c r="F23" s="53" t="n">
        <f aca="false">F21+F22</f>
        <v>46.6666666666667</v>
      </c>
      <c r="G23" s="53" t="n">
        <f aca="false">G21+G22</f>
        <v>46.6666666666667</v>
      </c>
      <c r="H23" s="53" t="n">
        <f aca="false">H21+H22</f>
        <v>46.6666666666667</v>
      </c>
      <c r="I23" s="53" t="n">
        <f aca="false">I21+I22</f>
        <v>46.6666666666667</v>
      </c>
      <c r="J23" s="53" t="n">
        <f aca="false">J21+J22</f>
        <v>46.6666666666667</v>
      </c>
      <c r="K23" s="53" t="n">
        <f aca="false">K21+K22</f>
        <v>46.6666666666667</v>
      </c>
      <c r="L23" s="53" t="n">
        <f aca="false">L21+L22</f>
        <v>46.6666666666667</v>
      </c>
      <c r="M23" s="53" t="n">
        <f aca="false">M21+M22</f>
        <v>46.6666666666667</v>
      </c>
      <c r="N23" s="53" t="n">
        <f aca="false">N21+N22</f>
        <v>46.6666666666667</v>
      </c>
      <c r="O23" s="53" t="n">
        <f aca="false">O21+O22</f>
        <v>152.353452922283</v>
      </c>
      <c r="P23" s="53" t="n">
        <f aca="false">P21+P22</f>
        <v>156.389339410151</v>
      </c>
      <c r="Q23" s="53" t="n">
        <f aca="false">Q21+Q22</f>
        <v>160.081014649041</v>
      </c>
      <c r="R23" s="53" t="n">
        <f aca="false">R21+R22</f>
        <v>163.477203711842</v>
      </c>
      <c r="S23" s="53" t="n">
        <f aca="false">S21+S22</f>
        <v>167.882381459575</v>
      </c>
      <c r="T23" s="53" t="n">
        <f aca="false">T21+T22</f>
        <v>171.637952687745</v>
      </c>
      <c r="U23" s="53" t="n">
        <f aca="false">U21+U22</f>
        <v>174.492623509937</v>
      </c>
      <c r="V23" s="53" t="n">
        <f aca="false">V21+V22</f>
        <v>177.107921794703</v>
      </c>
      <c r="W23" s="53" t="n">
        <f aca="false">W21+W22</f>
        <v>179.640674723488</v>
      </c>
      <c r="X23" s="53" t="n">
        <f aca="false">X21+X22</f>
        <v>182.505312773708</v>
      </c>
      <c r="Y23" s="53" t="n">
        <f aca="false">Y21+Y22</f>
        <v>186.950582698993</v>
      </c>
      <c r="Z23" s="53" t="n">
        <f aca="false">Z21+Z22</f>
        <v>190.761982911767</v>
      </c>
      <c r="AA23" s="53" t="n">
        <f aca="false">AA21+AA22</f>
        <v>2978.00879110942</v>
      </c>
      <c r="AB23" s="53" t="n">
        <f aca="false">AB21+AB22</f>
        <v>5077.35373497904</v>
      </c>
      <c r="AC23" s="53" t="n">
        <f aca="false">AC21+AC22</f>
        <v>7884.79875133196</v>
      </c>
      <c r="AD23" s="53" t="n">
        <f aca="false">AD21+AD22</f>
        <v>11417.8668118094</v>
      </c>
      <c r="AE23" s="53" t="n">
        <f aca="false">AE21+AE22</f>
        <v>14946.2423753693</v>
      </c>
    </row>
    <row r="24" customFormat="false" ht="15" hidden="false" customHeight="false" outlineLevel="0" collapsed="false">
      <c r="A24" s="6" t="s">
        <v>420</v>
      </c>
      <c r="B24" s="23" t="s">
        <v>421</v>
      </c>
      <c r="C24" s="50" t="n">
        <f aca="false">Assumptions!$B$160*1+Assumptions!$B$161*IF(C2&gt;=Assumptions!$B$54,1,0)+Assumptions!$B$162*IF(C2&gt;=Assumptions!$B$55,1,0)</f>
        <v>0.867594006180006</v>
      </c>
      <c r="D24" s="50" t="n">
        <f aca="false">Assumptions!$B$160*1+Assumptions!$B$161*IF(D2&gt;=Assumptions!$B$54,1,0)+Assumptions!$B$162*IF(D2&gt;=Assumptions!$B$55,1,0)</f>
        <v>0.867594006180006</v>
      </c>
      <c r="E24" s="50" t="n">
        <f aca="false">Assumptions!$B$160*1+Assumptions!$B$161*IF(E2&gt;=Assumptions!$B$54,1,0)+Assumptions!$B$162*IF(E2&gt;=Assumptions!$B$55,1,0)</f>
        <v>0.867594006180006</v>
      </c>
      <c r="F24" s="50" t="n">
        <f aca="false">Assumptions!$B$160*1+Assumptions!$B$161*IF(F2&gt;=Assumptions!$B$54,1,0)+Assumptions!$B$162*IF(F2&gt;=Assumptions!$B$55,1,0)</f>
        <v>0.867594006180006</v>
      </c>
      <c r="G24" s="50" t="n">
        <f aca="false">Assumptions!$B$160*1+Assumptions!$B$161*IF(G2&gt;=Assumptions!$B$54,1,0)+Assumptions!$B$162*IF(G2&gt;=Assumptions!$B$55,1,0)</f>
        <v>0.867594006180006</v>
      </c>
      <c r="H24" s="50" t="n">
        <f aca="false">Assumptions!$B$160*1+Assumptions!$B$161*IF(H2&gt;=Assumptions!$B$54,1,0)+Assumptions!$B$162*IF(H2&gt;=Assumptions!$B$55,1,0)</f>
        <v>0.867594006180006</v>
      </c>
      <c r="I24" s="50" t="n">
        <f aca="false">Assumptions!$B$160*1+Assumptions!$B$161*IF(I2&gt;=Assumptions!$B$54,1,0)+Assumptions!$B$162*IF(I2&gt;=Assumptions!$B$55,1,0)</f>
        <v>0.867594006180006</v>
      </c>
      <c r="J24" s="50" t="n">
        <f aca="false">Assumptions!$B$160*1+Assumptions!$B$161*IF(J2&gt;=Assumptions!$B$54,1,0)+Assumptions!$B$162*IF(J2&gt;=Assumptions!$B$55,1,0)</f>
        <v>0.867594006180006</v>
      </c>
      <c r="K24" s="50" t="n">
        <f aca="false">Assumptions!$B$160*1+Assumptions!$B$161*IF(K2&gt;=Assumptions!$B$54,1,0)+Assumptions!$B$162*IF(K2&gt;=Assumptions!$B$55,1,0)</f>
        <v>0.867594006180006</v>
      </c>
      <c r="L24" s="50" t="n">
        <f aca="false">Assumptions!$B$160*1+Assumptions!$B$161*IF(L2&gt;=Assumptions!$B$54,1,0)+Assumptions!$B$162*IF(L2&gt;=Assumptions!$B$55,1,0)</f>
        <v>0.867594006180006</v>
      </c>
      <c r="M24" s="50" t="n">
        <f aca="false">Assumptions!$B$160*1+Assumptions!$B$161*IF(M2&gt;=Assumptions!$B$54,1,0)+Assumptions!$B$162*IF(M2&gt;=Assumptions!$B$55,1,0)</f>
        <v>0.867594006180006</v>
      </c>
      <c r="N24" s="50" t="n">
        <f aca="false">Assumptions!$B$160*1+Assumptions!$B$161*IF(N2&gt;=Assumptions!$B$54,1,0)+Assumptions!$B$162*IF(N2&gt;=Assumptions!$B$55,1,0)</f>
        <v>0.867594006180006</v>
      </c>
      <c r="O24" s="50" t="n">
        <f aca="false">Assumptions!$B$160*1+Assumptions!$B$161*IF(O2&gt;=Assumptions!$B$54,1,0)+Assumptions!$B$162*IF(O2&gt;=Assumptions!$B$55,1,0)</f>
        <v>1</v>
      </c>
      <c r="P24" s="50" t="n">
        <f aca="false">Assumptions!$B$160*1+Assumptions!$B$161*IF(P2&gt;=Assumptions!$B$54,1,0)+Assumptions!$B$162*IF(P2&gt;=Assumptions!$B$55,1,0)</f>
        <v>1</v>
      </c>
      <c r="Q24" s="50" t="n">
        <f aca="false">Assumptions!$B$160*1+Assumptions!$B$161*IF(Q2&gt;=Assumptions!$B$54,1,0)+Assumptions!$B$162*IF(Q2&gt;=Assumptions!$B$55,1,0)</f>
        <v>1</v>
      </c>
      <c r="R24" s="50" t="n">
        <f aca="false">Assumptions!$B$160*1+Assumptions!$B$161*IF(R2&gt;=Assumptions!$B$54,1,0)+Assumptions!$B$162*IF(R2&gt;=Assumptions!$B$55,1,0)</f>
        <v>1</v>
      </c>
      <c r="S24" s="50" t="n">
        <f aca="false">Assumptions!$B$160*1+Assumptions!$B$161*IF(S2&gt;=Assumptions!$B$54,1,0)+Assumptions!$B$162*IF(S2&gt;=Assumptions!$B$55,1,0)</f>
        <v>1</v>
      </c>
      <c r="T24" s="50" t="n">
        <f aca="false">Assumptions!$B$160*1+Assumptions!$B$161*IF(T2&gt;=Assumptions!$B$54,1,0)+Assumptions!$B$162*IF(T2&gt;=Assumptions!$B$55,1,0)</f>
        <v>1</v>
      </c>
      <c r="U24" s="50" t="n">
        <f aca="false">Assumptions!$B$160*1+Assumptions!$B$161*IF(U2&gt;=Assumptions!$B$54,1,0)+Assumptions!$B$162*IF(U2&gt;=Assumptions!$B$55,1,0)</f>
        <v>1</v>
      </c>
      <c r="V24" s="50" t="n">
        <f aca="false">Assumptions!$B$160*1+Assumptions!$B$161*IF(V2&gt;=Assumptions!$B$54,1,0)+Assumptions!$B$162*IF(V2&gt;=Assumptions!$B$55,1,0)</f>
        <v>1</v>
      </c>
      <c r="W24" s="50" t="n">
        <f aca="false">Assumptions!$B$160*1+Assumptions!$B$161*IF(W2&gt;=Assumptions!$B$54,1,0)+Assumptions!$B$162*IF(W2&gt;=Assumptions!$B$55,1,0)</f>
        <v>1</v>
      </c>
      <c r="X24" s="50" t="n">
        <f aca="false">Assumptions!$B$160*1+Assumptions!$B$161*IF(X2&gt;=Assumptions!$B$54,1,0)+Assumptions!$B$162*IF(X2&gt;=Assumptions!$B$55,1,0)</f>
        <v>1</v>
      </c>
      <c r="Y24" s="50" t="n">
        <f aca="false">Assumptions!$B$160*1+Assumptions!$B$161*IF(Y2&gt;=Assumptions!$B$54,1,0)+Assumptions!$B$162*IF(Y2&gt;=Assumptions!$B$55,1,0)</f>
        <v>1</v>
      </c>
      <c r="Z24" s="50" t="n">
        <f aca="false">Assumptions!$B$160*1+Assumptions!$B$161*IF(Z2&gt;=Assumptions!$B$54,1,0)+Assumptions!$B$162*IF(Z2&gt;=Assumptions!$B$55,1,0)</f>
        <v>1</v>
      </c>
      <c r="AA24" s="50" t="n">
        <f aca="false">Assumptions!$B$160*1+Assumptions!$B$161*IF(AA2&gt;=Assumptions!$B$54,1,0)+Assumptions!$B$162*IF(AA2&gt;=Assumptions!$B$55,1,0)</f>
        <v>1</v>
      </c>
      <c r="AB24" s="50" t="n">
        <f aca="false">Assumptions!$B$160*1+Assumptions!$B$161*IF(AB2&gt;=Assumptions!$B$54,1,0)+Assumptions!$B$162*IF(AB2&gt;=Assumptions!$B$55,1,0)</f>
        <v>1</v>
      </c>
      <c r="AC24" s="50" t="n">
        <f aca="false">Assumptions!$B$160*1+Assumptions!$B$161*IF(AC2&gt;=Assumptions!$B$54,1,0)+Assumptions!$B$162*IF(AC2&gt;=Assumptions!$B$55,1,0)</f>
        <v>1</v>
      </c>
      <c r="AD24" s="50" t="n">
        <f aca="false">Assumptions!$B$160*1+Assumptions!$B$161*IF(AD2&gt;=Assumptions!$B$54,1,0)+Assumptions!$B$162*IF(AD2&gt;=Assumptions!$B$55,1,0)</f>
        <v>1</v>
      </c>
      <c r="AE24" s="50" t="n">
        <f aca="false">Assumptions!$B$160*1+Assumptions!$B$161*IF(AE2&gt;=Assumptions!$B$54,1,0)+Assumptions!$B$162*IF(AE2&gt;=Assumptions!$B$55,1,0)</f>
        <v>1</v>
      </c>
    </row>
    <row r="26" customFormat="false" ht="15" hidden="false" customHeight="false" outlineLevel="0" collapsed="false">
      <c r="A26" s="45" t="s">
        <v>422</v>
      </c>
      <c r="B26" s="46"/>
      <c r="C26" s="46"/>
      <c r="D26" s="46"/>
      <c r="E26" s="46"/>
      <c r="F26" s="46"/>
      <c r="G26" s="46"/>
      <c r="H26" s="46"/>
      <c r="I26" s="46"/>
      <c r="J26" s="46"/>
      <c r="K26" s="46"/>
      <c r="L26" s="46"/>
      <c r="M26" s="46"/>
      <c r="N26" s="46"/>
      <c r="O26" s="46"/>
      <c r="P26" s="46"/>
      <c r="Q26" s="46"/>
      <c r="R26" s="46"/>
      <c r="S26" s="46"/>
      <c r="T26" s="46"/>
      <c r="U26" s="46"/>
      <c r="V26" s="46"/>
      <c r="W26" s="46"/>
      <c r="X26" s="46"/>
      <c r="Y26" s="46"/>
      <c r="Z26" s="46"/>
      <c r="AA26" s="46"/>
      <c r="AB26" s="46"/>
      <c r="AC26" s="46"/>
      <c r="AD26" s="46"/>
      <c r="AE26" s="46"/>
    </row>
    <row r="27" customFormat="false" ht="15" hidden="false" customHeight="false" outlineLevel="0" collapsed="false">
      <c r="A27" s="6" t="s">
        <v>423</v>
      </c>
      <c r="B27" s="23" t="s">
        <v>186</v>
      </c>
      <c r="C27" s="53" t="n">
        <f aca="false">C23*Assumptions!$B$160*1/C24+C20*Assumptions!$B$107</f>
        <v>33.6761820216952</v>
      </c>
      <c r="D27" s="53" t="n">
        <f aca="false">D23*Assumptions!$B$160*1/D24+D20*Assumptions!$B$107</f>
        <v>33.6761820216952</v>
      </c>
      <c r="E27" s="53" t="n">
        <f aca="false">E23*Assumptions!$B$160*1/E24+E20*Assumptions!$B$107</f>
        <v>33.6761820216952</v>
      </c>
      <c r="F27" s="53" t="n">
        <f aca="false">F23*Assumptions!$B$160*1/F24+F20*Assumptions!$B$107</f>
        <v>33.6761820216952</v>
      </c>
      <c r="G27" s="53" t="n">
        <f aca="false">G23*Assumptions!$B$160*1/G24+G20*Assumptions!$B$107</f>
        <v>33.6761820216952</v>
      </c>
      <c r="H27" s="53" t="n">
        <f aca="false">H23*Assumptions!$B$160*1/H24+H20*Assumptions!$B$107</f>
        <v>33.6761820216952</v>
      </c>
      <c r="I27" s="53" t="n">
        <f aca="false">I23*Assumptions!$B$160*1/I24+I20*Assumptions!$B$107</f>
        <v>33.6761820216952</v>
      </c>
      <c r="J27" s="53" t="n">
        <f aca="false">J23*Assumptions!$B$160*1/J24+J20*Assumptions!$B$107</f>
        <v>33.6761820216952</v>
      </c>
      <c r="K27" s="53" t="n">
        <f aca="false">K23*Assumptions!$B$160*1/K24+K20*Assumptions!$B$107</f>
        <v>33.6761820216952</v>
      </c>
      <c r="L27" s="53" t="n">
        <f aca="false">L23*Assumptions!$B$160*1/L24+L20*Assumptions!$B$107</f>
        <v>33.6761820216952</v>
      </c>
      <c r="M27" s="53" t="n">
        <f aca="false">M23*Assumptions!$B$160*1/M24+M20*Assumptions!$B$107</f>
        <v>33.6761820216952</v>
      </c>
      <c r="N27" s="53" t="n">
        <f aca="false">N23*Assumptions!$B$160*1/N24+N20*Assumptions!$B$107</f>
        <v>33.6761820216952</v>
      </c>
      <c r="O27" s="53" t="n">
        <f aca="false">O23*Assumptions!$B$160*1/O24+O20*Assumptions!$B$107</f>
        <v>95.386060328472</v>
      </c>
      <c r="P27" s="53" t="n">
        <f aca="false">P23*Assumptions!$B$160*1/P24+P20*Assumptions!$B$107</f>
        <v>97.9128643137224</v>
      </c>
      <c r="Q27" s="53" t="n">
        <f aca="false">Q23*Assumptions!$B$160*1/Q24+Q20*Assumptions!$B$107</f>
        <v>100.224163140862</v>
      </c>
      <c r="R27" s="53" t="n">
        <f aca="false">R23*Assumptions!$B$160*1/R24+R20*Assumptions!$B$107</f>
        <v>102.350462798779</v>
      </c>
      <c r="S27" s="53" t="n">
        <f aca="false">S23*Assumptions!$B$160*1/S24+S20*Assumptions!$B$107</f>
        <v>105.108474135859</v>
      </c>
      <c r="T27" s="53" t="n">
        <f aca="false">T23*Assumptions!$B$160*1/T24+T20*Assumptions!$B$107</f>
        <v>107.459777220016</v>
      </c>
      <c r="U27" s="53" t="n">
        <f aca="false">U23*Assumptions!$B$160*1/U24+U20*Assumptions!$B$107</f>
        <v>109.247040967838</v>
      </c>
      <c r="V27" s="53" t="n">
        <f aca="false">V23*Assumptions!$B$160*1/V24+V20*Assumptions!$B$107</f>
        <v>110.884437398196</v>
      </c>
      <c r="W27" s="53" t="n">
        <f aca="false">W23*Assumptions!$B$160*1/W24+W20*Assumptions!$B$107</f>
        <v>112.470153501299</v>
      </c>
      <c r="X27" s="53" t="n">
        <f aca="false">X23*Assumptions!$B$160*1/X24+X20*Assumptions!$B$107</f>
        <v>114.263657571186</v>
      </c>
      <c r="Y27" s="53" t="n">
        <f aca="false">Y23*Assumptions!$B$160*1/Y24+Y20*Assumptions!$B$107</f>
        <v>117.046769979448</v>
      </c>
      <c r="Z27" s="53" t="n">
        <f aca="false">Z23*Assumptions!$B$160*1/Z24+Z20*Assumptions!$B$107</f>
        <v>119.433026698008</v>
      </c>
      <c r="AA27" s="53" t="n">
        <f aca="false">AA23*Assumptions!$B$160*1/AA24+AA20*Assumptions!$B$107</f>
        <v>1864.48367765177</v>
      </c>
      <c r="AB27" s="53" t="n">
        <f aca="false">AB23*Assumptions!$B$160*1/AB24+AB20*Assumptions!$B$107</f>
        <v>3178.84997277191</v>
      </c>
      <c r="AC27" s="53" t="n">
        <f aca="false">AC23*Assumptions!$B$160*1/AC24+AC20*Assumptions!$B$107</f>
        <v>4936.54639882738</v>
      </c>
      <c r="AD27" s="53" t="n">
        <f aca="false">AD23*Assumptions!$B$160*1/AD24+AD20*Assumptions!$B$107</f>
        <v>7148.54380812277</v>
      </c>
      <c r="AE27" s="53" t="n">
        <f aca="false">AE23*Assumptions!$B$160*1/AE24+AE20*Assumptions!$B$107</f>
        <v>9357.60332014391</v>
      </c>
    </row>
    <row r="28" customFormat="false" ht="15" hidden="false" customHeight="false" outlineLevel="0" collapsed="false">
      <c r="A28" s="6" t="s">
        <v>424</v>
      </c>
      <c r="B28" s="23" t="s">
        <v>421</v>
      </c>
      <c r="C28" s="50" t="n">
        <v>1</v>
      </c>
      <c r="D28" s="50" t="n">
        <f aca="false">MAX(0,1-C33/Assumptions!$B$82)</f>
        <v>0.999700105383053</v>
      </c>
      <c r="E28" s="50" t="n">
        <f aca="false">MAX(0,1-D33/Assumptions!$B$82)</f>
        <v>0.999415142518738</v>
      </c>
      <c r="F28" s="50" t="n">
        <f aca="false">MAX(0,1-E33/Assumptions!$B$82)</f>
        <v>0.999142130950788</v>
      </c>
      <c r="G28" s="50" t="n">
        <f aca="false">MAX(0,1-F33/Assumptions!$B$82)</f>
        <v>0.998800959714518</v>
      </c>
      <c r="H28" s="50" t="n">
        <f aca="false">MAX(0,1-G33/Assumptions!$B$82)</f>
        <v>0.998492527603163</v>
      </c>
      <c r="I28" s="50" t="n">
        <f aca="false">MAX(0,1-H33/Assumptions!$B$82)</f>
        <v>0.998231627177421</v>
      </c>
      <c r="J28" s="50" t="n">
        <f aca="false">MAX(0,1-I33/Assumptions!$B$82)</f>
        <v>0.997979686932136</v>
      </c>
      <c r="K28" s="50" t="n">
        <f aca="false">MAX(0,1-J33/Assumptions!$B$82)</f>
        <v>0.997727810273183</v>
      </c>
      <c r="L28" s="50" t="n">
        <f aca="false">MAX(0,1-K33/Assumptions!$B$82)</f>
        <v>0.997452297129108</v>
      </c>
      <c r="M28" s="50" t="n">
        <f aca="false">MAX(0,1-L33/Assumptions!$B$82)</f>
        <v>0.997082086021966</v>
      </c>
      <c r="N28" s="50" t="n">
        <f aca="false">MAX(0,1-M33/Assumptions!$B$82)</f>
        <v>0.996741618217224</v>
      </c>
      <c r="O28" s="50" t="n">
        <f aca="false">MAX(0,1-N33/Assumptions!$B$82)</f>
        <v>0.996442700771434</v>
      </c>
      <c r="P28" s="50" t="n">
        <f aca="false">MAX(0,1-O33/Assumptions!$B$82)</f>
        <v>0.995596286331207</v>
      </c>
      <c r="Q28" s="50" t="n">
        <f aca="false">MAX(0,1-P33/Assumptions!$B$82)</f>
        <v>0.994771163308956</v>
      </c>
      <c r="R28" s="50" t="n">
        <f aca="false">MAX(0,1-Q33/Assumptions!$B$82)</f>
        <v>0.993962425212265</v>
      </c>
      <c r="S28" s="50" t="n">
        <f aca="false">MAX(0,1-R33/Assumptions!$B$82)</f>
        <v>0.992930894729184</v>
      </c>
      <c r="T28" s="50" t="n">
        <f aca="false">MAX(0,1-S33/Assumptions!$B$82)</f>
        <v>0.991973888988581</v>
      </c>
      <c r="U28" s="50" t="n">
        <f aca="false">MAX(0,1-T33/Assumptions!$B$82)</f>
        <v>0.991146797984883</v>
      </c>
      <c r="V28" s="50" t="n">
        <f aca="false">MAX(0,1-U33/Assumptions!$B$82)</f>
        <v>0.990335293285931</v>
      </c>
      <c r="W28" s="50" t="n">
        <f aca="false">MAX(0,1-V33/Assumptions!$B$82)</f>
        <v>0.989512300121835</v>
      </c>
      <c r="X28" s="50" t="n">
        <f aca="false">MAX(0,1-W33/Assumptions!$B$82)</f>
        <v>0.988599730764391</v>
      </c>
      <c r="Y28" s="50" t="n">
        <f aca="false">MAX(0,1-X33/Assumptions!$B$82)</f>
        <v>0.987354748768954</v>
      </c>
      <c r="Z28" s="50" t="n">
        <f aca="false">MAX(0,1-Y33/Assumptions!$B$82)</f>
        <v>0.986182944862846</v>
      </c>
      <c r="AA28" s="50" t="n">
        <f aca="false">MAX(0,1-Z33/Assumptions!$B$82)</f>
        <v>0.985134060168626</v>
      </c>
      <c r="AB28" s="50" t="n">
        <f aca="false">MAX(0,1-AA33/Assumptions!$B$82)</f>
        <v>0.968939156512051</v>
      </c>
      <c r="AC28" s="50" t="n">
        <f aca="false">MAX(0,1-AB33/Assumptions!$B$82)</f>
        <v>0.941781581559029</v>
      </c>
      <c r="AD28" s="50" t="n">
        <f aca="false">MAX(0,1-AC33/Assumptions!$B$82)</f>
        <v>0.900789698954064</v>
      </c>
      <c r="AE28" s="50" t="n">
        <f aca="false">MAX(0,1-AD33/Assumptions!$B$82)</f>
        <v>0.84401361395255</v>
      </c>
    </row>
    <row r="29" customFormat="false" ht="15" hidden="false" customHeight="false" outlineLevel="0" collapsed="false">
      <c r="A29" s="6" t="s">
        <v>425</v>
      </c>
      <c r="B29" s="23" t="s">
        <v>186</v>
      </c>
      <c r="C29" s="53" t="n">
        <f aca="false">C27*C28*C15</f>
        <v>34.0129438419122</v>
      </c>
      <c r="D29" s="53" t="n">
        <f aca="false">D27*D28*D15</f>
        <v>32.3194394073481</v>
      </c>
      <c r="E29" s="53" t="n">
        <f aca="false">E27*E28*E15</f>
        <v>30.9639673543235</v>
      </c>
      <c r="F29" s="53" t="n">
        <f aca="false">F27*F28*F15</f>
        <v>38.6943861075597</v>
      </c>
      <c r="G29" s="53" t="n">
        <f aca="false">G27*G28*G15</f>
        <v>34.9812350397016</v>
      </c>
      <c r="H29" s="53" t="n">
        <f aca="false">H27*H28*H15</f>
        <v>29.5903661740427</v>
      </c>
      <c r="I29" s="53" t="n">
        <f aca="false">I27*I28*I15</f>
        <v>28.5741354801439</v>
      </c>
      <c r="J29" s="53" t="n">
        <f aca="false">J27*J28*J15</f>
        <v>28.5669237524189</v>
      </c>
      <c r="K29" s="53" t="n">
        <f aca="false">K27*K28*K15</f>
        <v>31.2476869125864</v>
      </c>
      <c r="L29" s="53" t="n">
        <f aca="false">L27*L28*L15</f>
        <v>41.9879813950973</v>
      </c>
      <c r="M29" s="53" t="n">
        <f aca="false">M27*M28*M15</f>
        <v>38.6146054923644</v>
      </c>
      <c r="N29" s="53" t="n">
        <f aca="false">N27*N28*N15</f>
        <v>33.9021166853191</v>
      </c>
      <c r="O29" s="53" t="n">
        <f aca="false">O27*O28*O15</f>
        <v>95.997211005346</v>
      </c>
      <c r="P29" s="53" t="n">
        <f aca="false">P27*P28*P15</f>
        <v>93.5824167310016</v>
      </c>
      <c r="Q29" s="53" t="n">
        <f aca="false">Q27*Q28*Q15</f>
        <v>91.7240987705575</v>
      </c>
      <c r="R29" s="53" t="n">
        <f aca="false">R27*R28*R15</f>
        <v>116.992391358833</v>
      </c>
      <c r="S29" s="53" t="n">
        <f aca="false">S27*S28*S15</f>
        <v>108.540069318032</v>
      </c>
      <c r="T29" s="53" t="n">
        <f aca="false">T27*T28*T15</f>
        <v>93.8056179445314</v>
      </c>
      <c r="U29" s="53" t="n">
        <f aca="false">U27*U28*U15</f>
        <v>92.0378766179067</v>
      </c>
      <c r="V29" s="53" t="n">
        <f aca="false">V27*V28*V15</f>
        <v>93.3408560568496</v>
      </c>
      <c r="W29" s="53" t="n">
        <f aca="false">W27*W28*W15</f>
        <v>103.500258266097</v>
      </c>
      <c r="X29" s="53" t="n">
        <f aca="false">X27*X28*X15</f>
        <v>141.201276388787</v>
      </c>
      <c r="Y29" s="53" t="n">
        <f aca="false">Y27*Y28*Y15</f>
        <v>132.901686792367</v>
      </c>
      <c r="Z29" s="53" t="n">
        <f aca="false">Z27*Z28*Z15</f>
        <v>118.960642122754</v>
      </c>
      <c r="AA29" s="53" t="n">
        <f aca="false">AA27*AA28*AA15</f>
        <v>1836.76637548322</v>
      </c>
      <c r="AB29" s="53" t="n">
        <f aca="false">AB27*AB28*AB15</f>
        <v>3080.11221129597</v>
      </c>
      <c r="AC29" s="53" t="n">
        <f aca="false">AC27*AC28*AC15</f>
        <v>4649.14847492718</v>
      </c>
      <c r="AD29" s="53" t="n">
        <f aca="false">AD27*AD28*AD15</f>
        <v>6439.33462487885</v>
      </c>
      <c r="AE29" s="53" t="n">
        <f aca="false">AE27*AE28*AE15</f>
        <v>7897.94459616905</v>
      </c>
    </row>
    <row r="30" customFormat="false" ht="15" hidden="false" customHeight="false" outlineLevel="0" collapsed="false">
      <c r="A30" s="6" t="s">
        <v>426</v>
      </c>
      <c r="B30" s="23" t="s">
        <v>186</v>
      </c>
      <c r="C30" s="28" t="n">
        <f aca="false">C29*(1-Assumptions!$B$114)^(C7/2)</f>
        <v>33.1761511311234</v>
      </c>
      <c r="D30" s="28" t="n">
        <f aca="false">C30*(1-Assumptions!$B$114)^D7+D29*(1-Assumptions!$B$114)^(D7/2)</f>
        <v>63.0881306161147</v>
      </c>
      <c r="E30" s="28" t="n">
        <f aca="false">D30*(1-Assumptions!$B$114)^E7+E29*(1-Assumptions!$B$114)^(E7/2)</f>
        <v>90.2242903091027</v>
      </c>
      <c r="F30" s="28" t="n">
        <f aca="false">E30*(1-Assumptions!$B$114)^F7+F29*(1-Assumptions!$B$114)^(F7/2)</f>
        <v>123.581890603223</v>
      </c>
      <c r="G30" s="28" t="n">
        <f aca="false">F30*(1-Assumptions!$B$114)^G7+G29*(1-Assumptions!$B$114)^(G7/2)</f>
        <v>151.696542070282</v>
      </c>
      <c r="H30" s="28" t="n">
        <f aca="false">G30*(1-Assumptions!$B$114)^H7+H29*(1-Assumptions!$B$114)^(H7/2)</f>
        <v>173.186605034427</v>
      </c>
      <c r="I30" s="28" t="n">
        <f aca="false">H30*(1-Assumptions!$B$114)^I7+I29*(1-Assumptions!$B$114)^(I7/2)</f>
        <v>192.641041058901</v>
      </c>
      <c r="J30" s="28" t="n">
        <f aca="false">I30*(1-Assumptions!$B$114)^J7+J29*(1-Assumptions!$B$114)^(J7/2)</f>
        <v>211.14297467862</v>
      </c>
      <c r="K30" s="28" t="n">
        <f aca="false">J30*(1-Assumptions!$B$114)^K7+K29*(1-Assumptions!$B$114)^(K7/2)</f>
        <v>231.360541488635</v>
      </c>
      <c r="L30" s="28" t="n">
        <f aca="false">K30*(1-Assumptions!$B$114)^L7+L29*(1-Assumptions!$B$114)^(L7/2)</f>
        <v>261.07161250615</v>
      </c>
      <c r="M30" s="28" t="n">
        <f aca="false">L30*(1-Assumptions!$B$114)^M7+M29*(1-Assumptions!$B$114)^(M7/2)</f>
        <v>286.048368695137</v>
      </c>
      <c r="N30" s="28" t="n">
        <f aca="false">M30*(1-Assumptions!$B$114)^N7+N29*(1-Assumptions!$B$114)^(N7/2)</f>
        <v>305.214725698192</v>
      </c>
      <c r="O30" s="28" t="n">
        <f aca="false">N30*(1-Assumptions!$B$114)^O7+O29*(1-Assumptions!$B$114)^(O7/2)</f>
        <v>384.017034350868</v>
      </c>
      <c r="P30" s="28" t="n">
        <f aca="false">O30*(1-Assumptions!$B$114)^P7+P29*(1-Assumptions!$B$114)^(P7/2)</f>
        <v>456.634236585445</v>
      </c>
      <c r="Q30" s="28" t="n">
        <f aca="false">P30*(1-Assumptions!$B$114)^Q7+Q29*(1-Assumptions!$B$114)^(Q7/2)</f>
        <v>523.909708794547</v>
      </c>
      <c r="R30" s="28" t="n">
        <f aca="false">Q30*(1-Assumptions!$B$114)^R7+R29*(1-Assumptions!$B$114)^(R7/2)</f>
        <v>612.562290933522</v>
      </c>
      <c r="S30" s="28" t="n">
        <f aca="false">R30*(1-Assumptions!$B$114)^S7+S29*(1-Assumptions!$B$114)^(S7/2)</f>
        <v>688.662060822322</v>
      </c>
      <c r="T30" s="28" t="n">
        <f aca="false">S30*(1-Assumptions!$B$114)^T7+T29*(1-Assumptions!$B$114)^(T7/2)</f>
        <v>746.691498621886</v>
      </c>
      <c r="U30" s="28" t="n">
        <f aca="false">T30*(1-Assumptions!$B$114)^U7+U29*(1-Assumptions!$B$114)^(U7/2)</f>
        <v>800.176506883928</v>
      </c>
      <c r="V30" s="28" t="n">
        <f aca="false">U30*(1-Assumptions!$B$114)^V7+V29*(1-Assumptions!$B$114)^(V7/2)</f>
        <v>852.333115126094</v>
      </c>
      <c r="W30" s="28" t="n">
        <f aca="false">V30*(1-Assumptions!$B$114)^W7+W29*(1-Assumptions!$B$114)^(W7/2)</f>
        <v>911.864417820765</v>
      </c>
      <c r="X30" s="28" t="n">
        <f aca="false">W30*(1-Assumptions!$B$114)^X7+X29*(1-Assumptions!$B$114)^(X7/2)</f>
        <v>1005.27604345198</v>
      </c>
      <c r="Y30" s="28" t="n">
        <f aca="false">X30*(1-Assumptions!$B$114)^Y7+Y29*(1-Assumptions!$B$114)^(Y7/2)</f>
        <v>1086.05254649032</v>
      </c>
      <c r="Z30" s="28" t="n">
        <f aca="false">Y30*(1-Assumptions!$B$114)^Z7+Z29*(1-Assumptions!$B$114)^(Z7/2)</f>
        <v>1149.30531957872</v>
      </c>
      <c r="AA30" s="28" t="n">
        <f aca="false">Z30*(1-Assumptions!$B$114)^AA7+AA29*(1-Assumptions!$B$114)^(AA7/2)</f>
        <v>1994.30032726898</v>
      </c>
      <c r="AB30" s="28" t="n">
        <f aca="false">AA30*(1-Assumptions!$B$114)^AB7+AB29*(1-Assumptions!$B$114)^(AB7/2)</f>
        <v>3381.13753214774</v>
      </c>
      <c r="AC30" s="28" t="n">
        <f aca="false">AB30*(1-Assumptions!$B$114)^AC7+AC29*(1-Assumptions!$B$114)^(AC7/2)</f>
        <v>5307.52643128506</v>
      </c>
      <c r="AD30" s="28" t="n">
        <f aca="false">AC30*(1-Assumptions!$B$114)^AD7+AD29*(1-Assumptions!$B$114)^(AD7/2)</f>
        <v>7694.6779074997</v>
      </c>
      <c r="AE30" s="28" t="n">
        <f aca="false">AD30*(1-Assumptions!$B$114)^AE7+AE29*(1-Assumptions!$B$114)^(AE7/2)</f>
        <v>10089.3453256523</v>
      </c>
    </row>
    <row r="31" customFormat="false" ht="15" hidden="false" customHeight="false" outlineLevel="0" collapsed="false">
      <c r="A31" s="6" t="s">
        <v>427</v>
      </c>
      <c r="B31" s="23" t="s">
        <v>186</v>
      </c>
      <c r="C31" s="53" t="n">
        <f aca="false">C29-C30</f>
        <v>0.836792710788785</v>
      </c>
      <c r="D31" s="53" t="n">
        <f aca="false">C30+D29-D30</f>
        <v>2.40745992235681</v>
      </c>
      <c r="E31" s="53" t="n">
        <f aca="false">D30+E29-E30</f>
        <v>3.82780766133557</v>
      </c>
      <c r="F31" s="53" t="n">
        <f aca="false">E30+F29-F30</f>
        <v>5.33678581343898</v>
      </c>
      <c r="G31" s="53" t="n">
        <f aca="false">F30+G29-G30</f>
        <v>6.86658357264338</v>
      </c>
      <c r="H31" s="53" t="n">
        <f aca="false">G30+H29-H30</f>
        <v>8.10030320989773</v>
      </c>
      <c r="I31" s="53" t="n">
        <f aca="false">H30+I29-I30</f>
        <v>9.11969945566912</v>
      </c>
      <c r="J31" s="53" t="n">
        <f aca="false">I30+J29-J30</f>
        <v>10.0649901327005</v>
      </c>
      <c r="K31" s="53" t="n">
        <f aca="false">J30+K29-K30</f>
        <v>11.0301201025709</v>
      </c>
      <c r="L31" s="53" t="n">
        <f aca="false">K30+L29-L30</f>
        <v>12.2769103775821</v>
      </c>
      <c r="M31" s="53" t="n">
        <f aca="false">L30+M29-M30</f>
        <v>13.6378493033779</v>
      </c>
      <c r="N31" s="53" t="n">
        <f aca="false">M30+N29-N30</f>
        <v>14.7357596822641</v>
      </c>
      <c r="O31" s="53" t="n">
        <f aca="false">N30+O29-O30</f>
        <v>17.1949023526701</v>
      </c>
      <c r="P31" s="53" t="n">
        <f aca="false">O30+P29-P30</f>
        <v>20.9652144964243</v>
      </c>
      <c r="Q31" s="53" t="n">
        <f aca="false">P30+Q29-Q30</f>
        <v>24.448626561456</v>
      </c>
      <c r="R31" s="53" t="n">
        <f aca="false">Q30+R29-R30</f>
        <v>28.3398092198584</v>
      </c>
      <c r="S31" s="53" t="n">
        <f aca="false">R30+S29-S30</f>
        <v>32.4402994292311</v>
      </c>
      <c r="T31" s="53" t="n">
        <f aca="false">S30+T29-T30</f>
        <v>35.7761801449675</v>
      </c>
      <c r="U31" s="53" t="n">
        <f aca="false">T30+U29-U30</f>
        <v>38.5528683558648</v>
      </c>
      <c r="V31" s="53" t="n">
        <f aca="false">U30+V29-V30</f>
        <v>41.184247814683</v>
      </c>
      <c r="W31" s="53" t="n">
        <f aca="false">V30+W29-W30</f>
        <v>43.9689555714267</v>
      </c>
      <c r="X31" s="53" t="n">
        <f aca="false">W30+X29-X30</f>
        <v>47.789650757569</v>
      </c>
      <c r="Y31" s="53" t="n">
        <f aca="false">X30+Y29-Y30</f>
        <v>52.1251837540283</v>
      </c>
      <c r="Z31" s="53" t="n">
        <f aca="false">Y30+Z29-Z30</f>
        <v>55.7078690343601</v>
      </c>
      <c r="AA31" s="53" t="n">
        <f aca="false">Z30+AA29-AA30</f>
        <v>991.771367792959</v>
      </c>
      <c r="AB31" s="53" t="n">
        <f aca="false">AA30+AB29-AB30</f>
        <v>1693.27500641721</v>
      </c>
      <c r="AC31" s="53" t="n">
        <f aca="false">AB30+AC29-AC30</f>
        <v>2722.75957578986</v>
      </c>
      <c r="AD31" s="53" t="n">
        <f aca="false">AC30+AD29-AD30</f>
        <v>4052.1831486642</v>
      </c>
      <c r="AE31" s="53" t="n">
        <f aca="false">AD30+AE29-AE30</f>
        <v>5503.27717801649</v>
      </c>
    </row>
    <row r="32" customFormat="false" ht="15" hidden="false" customHeight="false" outlineLevel="0" collapsed="false">
      <c r="A32" s="6" t="s">
        <v>428</v>
      </c>
      <c r="B32" s="23" t="s">
        <v>186</v>
      </c>
      <c r="C32" s="44" t="n">
        <f aca="false">C31</f>
        <v>0.836792710788785</v>
      </c>
      <c r="D32" s="44" t="n">
        <f aca="false">C32+D31</f>
        <v>3.24425263314559</v>
      </c>
      <c r="E32" s="44" t="n">
        <f aca="false">D32+E31</f>
        <v>7.07206029448116</v>
      </c>
      <c r="F32" s="44" t="n">
        <f aca="false">E32+F31</f>
        <v>12.4088461079201</v>
      </c>
      <c r="G32" s="44" t="n">
        <f aca="false">F32+G31</f>
        <v>19.2754296805635</v>
      </c>
      <c r="H32" s="44" t="n">
        <f aca="false">G32+H31</f>
        <v>27.3757328904613</v>
      </c>
      <c r="I32" s="44" t="n">
        <f aca="false">H32+I31</f>
        <v>36.4954323461304</v>
      </c>
      <c r="J32" s="44" t="n">
        <f aca="false">I32+J31</f>
        <v>46.5604224788308</v>
      </c>
      <c r="K32" s="44" t="n">
        <f aca="false">J32+K31</f>
        <v>57.5905425814017</v>
      </c>
      <c r="L32" s="44" t="n">
        <f aca="false">K32+L31</f>
        <v>69.8674529589838</v>
      </c>
      <c r="M32" s="44" t="n">
        <f aca="false">L32+M31</f>
        <v>83.5053022623618</v>
      </c>
      <c r="N32" s="44" t="n">
        <f aca="false">M32+N31</f>
        <v>98.2410619446258</v>
      </c>
      <c r="O32" s="44" t="n">
        <f aca="false">N32+O31</f>
        <v>115.435964297296</v>
      </c>
      <c r="P32" s="44" t="n">
        <f aca="false">O32+P31</f>
        <v>136.40117879372</v>
      </c>
      <c r="Q32" s="44" t="n">
        <f aca="false">P32+Q31</f>
        <v>160.849805355176</v>
      </c>
      <c r="R32" s="44" t="n">
        <f aca="false">Q32+R31</f>
        <v>189.189614575035</v>
      </c>
      <c r="S32" s="44" t="n">
        <f aca="false">R32+S31</f>
        <v>221.629914004266</v>
      </c>
      <c r="T32" s="44" t="n">
        <f aca="false">S32+T31</f>
        <v>257.406094149233</v>
      </c>
      <c r="U32" s="44" t="n">
        <f aca="false">T32+U31</f>
        <v>295.958962505098</v>
      </c>
      <c r="V32" s="44" t="n">
        <f aca="false">U32+V31</f>
        <v>337.143210319781</v>
      </c>
      <c r="W32" s="44" t="n">
        <f aca="false">V32+W31</f>
        <v>381.112165891208</v>
      </c>
      <c r="X32" s="44" t="n">
        <f aca="false">W32+X31</f>
        <v>428.901816648777</v>
      </c>
      <c r="Y32" s="44" t="n">
        <f aca="false">X32+Y31</f>
        <v>481.027000402805</v>
      </c>
      <c r="Z32" s="44" t="n">
        <f aca="false">Y32+Z31</f>
        <v>536.734869437165</v>
      </c>
      <c r="AA32" s="44" t="n">
        <f aca="false">Z32+AA31</f>
        <v>1528.50623723012</v>
      </c>
      <c r="AB32" s="44" t="n">
        <f aca="false">AA32+AB31</f>
        <v>3221.78124364733</v>
      </c>
      <c r="AC32" s="44" t="n">
        <f aca="false">AB32+AC31</f>
        <v>5944.54081943719</v>
      </c>
      <c r="AD32" s="44" t="n">
        <f aca="false">AC32+AD31</f>
        <v>9996.72396810139</v>
      </c>
      <c r="AE32" s="44" t="n">
        <f aca="false">AD32+AE31</f>
        <v>15500.0011461179</v>
      </c>
    </row>
    <row r="33" customFormat="false" ht="15" hidden="false" customHeight="false" outlineLevel="0" collapsed="false">
      <c r="A33" s="6" t="s">
        <v>429</v>
      </c>
      <c r="B33" s="23" t="s">
        <v>186</v>
      </c>
      <c r="C33" s="44" t="n">
        <f aca="false">C29</f>
        <v>34.0129438419122</v>
      </c>
      <c r="D33" s="44" t="n">
        <f aca="false">C33+D29</f>
        <v>66.3323832492603</v>
      </c>
      <c r="E33" s="44" t="n">
        <f aca="false">D33+E29</f>
        <v>97.2963506035838</v>
      </c>
      <c r="F33" s="44" t="n">
        <f aca="false">E33+F29</f>
        <v>135.990736711143</v>
      </c>
      <c r="G33" s="44" t="n">
        <f aca="false">F33+G29</f>
        <v>170.971971750845</v>
      </c>
      <c r="H33" s="44" t="n">
        <f aca="false">G33+H29</f>
        <v>200.562337924888</v>
      </c>
      <c r="I33" s="44" t="n">
        <f aca="false">H33+I29</f>
        <v>229.136473405032</v>
      </c>
      <c r="J33" s="44" t="n">
        <f aca="false">I33+J29</f>
        <v>257.70339715745</v>
      </c>
      <c r="K33" s="44" t="n">
        <f aca="false">J33+K29</f>
        <v>288.951084070037</v>
      </c>
      <c r="L33" s="44" t="n">
        <f aca="false">K33+L29</f>
        <v>330.939065465134</v>
      </c>
      <c r="M33" s="44" t="n">
        <f aca="false">L33+M29</f>
        <v>369.553670957499</v>
      </c>
      <c r="N33" s="44" t="n">
        <f aca="false">M33+N29</f>
        <v>403.455787642818</v>
      </c>
      <c r="O33" s="44" t="n">
        <f aca="false">N33+O29</f>
        <v>499.452998648164</v>
      </c>
      <c r="P33" s="44" t="n">
        <f aca="false">O33+P29</f>
        <v>593.035415379165</v>
      </c>
      <c r="Q33" s="44" t="n">
        <f aca="false">P33+Q29</f>
        <v>684.759514149723</v>
      </c>
      <c r="R33" s="44" t="n">
        <f aca="false">Q33+R29</f>
        <v>801.751905508556</v>
      </c>
      <c r="S33" s="44" t="n">
        <f aca="false">R33+S29</f>
        <v>910.291974826588</v>
      </c>
      <c r="T33" s="44" t="n">
        <f aca="false">S33+T29</f>
        <v>1004.09759277112</v>
      </c>
      <c r="U33" s="44" t="n">
        <f aca="false">T33+U29</f>
        <v>1096.13546938903</v>
      </c>
      <c r="V33" s="44" t="n">
        <f aca="false">U33+V29</f>
        <v>1189.47632544588</v>
      </c>
      <c r="W33" s="44" t="n">
        <f aca="false">V33+W29</f>
        <v>1292.97658371197</v>
      </c>
      <c r="X33" s="44" t="n">
        <f aca="false">W33+X29</f>
        <v>1434.17786010076</v>
      </c>
      <c r="Y33" s="44" t="n">
        <f aca="false">X33+Y29</f>
        <v>1567.07954689313</v>
      </c>
      <c r="Z33" s="44" t="n">
        <f aca="false">Y33+Z29</f>
        <v>1686.04018901588</v>
      </c>
      <c r="AA33" s="44" t="n">
        <f aca="false">Z33+AA29</f>
        <v>3522.8065644991</v>
      </c>
      <c r="AB33" s="44" t="n">
        <f aca="false">AA33+AB29</f>
        <v>6602.91877579507</v>
      </c>
      <c r="AC33" s="44" t="n">
        <f aca="false">AB33+AC29</f>
        <v>11252.0672507222</v>
      </c>
      <c r="AD33" s="44" t="n">
        <f aca="false">AC33+AD29</f>
        <v>17691.4018756011</v>
      </c>
      <c r="AE33" s="44" t="n">
        <f aca="false">AD33+AE29</f>
        <v>25589.3464717701</v>
      </c>
    </row>
    <row r="34" customFormat="false" ht="15" hidden="false" customHeight="false" outlineLevel="0" collapsed="false">
      <c r="A34" s="6" t="s">
        <v>430</v>
      </c>
      <c r="B34" s="23" t="s">
        <v>110</v>
      </c>
      <c r="C34" s="54" t="n">
        <f aca="false">IF(C2&gt;=Assumptions!$B$45,C30*Assumptions!$B$157*C7,0)</f>
        <v>1114.71867800575</v>
      </c>
      <c r="D34" s="54" t="n">
        <f aca="false">IF(D2&gt;=Assumptions!$B$45,D30*Assumptions!$B$157*D7,0)</f>
        <v>2119.76118870145</v>
      </c>
      <c r="E34" s="54" t="n">
        <f aca="false">IF(E2&gt;=Assumptions!$B$45,E30*Assumptions!$B$157*E7,0)</f>
        <v>3031.53615438585</v>
      </c>
      <c r="F34" s="54" t="n">
        <f aca="false">IF(F2&gt;=Assumptions!$B$45,F30*Assumptions!$B$157*F7,0)</f>
        <v>4152.3515242683</v>
      </c>
      <c r="G34" s="54" t="n">
        <f aca="false">IF(G2&gt;=Assumptions!$B$45,G30*Assumptions!$B$157*G7,0)</f>
        <v>5097.00381356146</v>
      </c>
      <c r="H34" s="54" t="n">
        <f aca="false">IF(H2&gt;=Assumptions!$B$45,H30*Assumptions!$B$157*H7,0)</f>
        <v>5819.06992915673</v>
      </c>
      <c r="I34" s="54" t="n">
        <f aca="false">IF(I2&gt;=Assumptions!$B$45,I30*Assumptions!$B$157*I7,0)</f>
        <v>6472.73897957908</v>
      </c>
      <c r="J34" s="54" t="n">
        <f aca="false">IF(J2&gt;=Assumptions!$B$45,J30*Assumptions!$B$157*J7,0)</f>
        <v>7094.40394920162</v>
      </c>
      <c r="K34" s="54" t="n">
        <f aca="false">IF(K2&gt;=Assumptions!$B$45,K30*Assumptions!$B$157*K7,0)</f>
        <v>7773.71419401814</v>
      </c>
      <c r="L34" s="54" t="n">
        <f aca="false">IF(L2&gt;=Assumptions!$B$45,L30*Assumptions!$B$157*L7,0)</f>
        <v>8772.00618020665</v>
      </c>
      <c r="M34" s="54" t="n">
        <f aca="false">IF(M2&gt;=Assumptions!$B$45,M30*Assumptions!$B$157*M7,0)</f>
        <v>9611.2251881566</v>
      </c>
      <c r="N34" s="54" t="n">
        <f aca="false">IF(N2&gt;=Assumptions!$B$45,N30*Assumptions!$B$157*N7,0)</f>
        <v>10255.2147834593</v>
      </c>
      <c r="O34" s="54" t="n">
        <f aca="false">IF(O2&gt;=Assumptions!$B$45,O30*Assumptions!$B$157*O7,0)</f>
        <v>12902.9723541892</v>
      </c>
      <c r="P34" s="54" t="n">
        <f aca="false">IF(P2&gt;=Assumptions!$B$45,P30*Assumptions!$B$157*P7,0)</f>
        <v>15342.910349271</v>
      </c>
      <c r="Q34" s="54" t="n">
        <f aca="false">IF(Q2&gt;=Assumptions!$B$45,Q30*Assumptions!$B$157*Q7,0)</f>
        <v>17603.3662154968</v>
      </c>
      <c r="R34" s="54" t="n">
        <f aca="false">IF(R2&gt;=Assumptions!$B$45,R30*Assumptions!$B$157*R7,0)</f>
        <v>20582.0929753663</v>
      </c>
      <c r="S34" s="54" t="n">
        <f aca="false">IF(S2&gt;=Assumptions!$B$45,S30*Assumptions!$B$157*S7,0)</f>
        <v>23139.04524363</v>
      </c>
      <c r="T34" s="54" t="n">
        <f aca="false">IF(T2&gt;=Assumptions!$B$45,T30*Assumptions!$B$157*T7,0)</f>
        <v>25088.8343536954</v>
      </c>
      <c r="U34" s="54" t="n">
        <f aca="false">IF(U2&gt;=Assumptions!$B$45,U30*Assumptions!$B$157*U7,0)</f>
        <v>26885.9306313</v>
      </c>
      <c r="V34" s="54" t="n">
        <f aca="false">IF(V2&gt;=Assumptions!$B$45,V30*Assumptions!$B$157*V7,0)</f>
        <v>28638.3926682368</v>
      </c>
      <c r="W34" s="54" t="n">
        <f aca="false">IF(W2&gt;=Assumptions!$B$45,W30*Assumptions!$B$157*W7,0)</f>
        <v>30638.6444387777</v>
      </c>
      <c r="X34" s="54" t="n">
        <f aca="false">IF(X2&gt;=Assumptions!$B$45,X30*Assumptions!$B$157*X7,0)</f>
        <v>33777.2750599866</v>
      </c>
      <c r="Y34" s="54" t="n">
        <f aca="false">IF(Y2&gt;=Assumptions!$B$45,Y30*Assumptions!$B$157*Y7,0)</f>
        <v>36491.3655620748</v>
      </c>
      <c r="Z34" s="54" t="n">
        <f aca="false">IF(Z2&gt;=Assumptions!$B$45,Z30*Assumptions!$B$157*Z7,0)</f>
        <v>38616.6587378448</v>
      </c>
      <c r="AA34" s="54" t="n">
        <f aca="false">IF(AA2&gt;=Assumptions!$B$45,AA30*Assumptions!$B$157*AA7,0)</f>
        <v>804101.891954852</v>
      </c>
      <c r="AB34" s="54" t="n">
        <f aca="false">IF(AB2&gt;=Assumptions!$B$45,AB30*Assumptions!$B$157*AB7,0)</f>
        <v>1363274.65296197</v>
      </c>
      <c r="AC34" s="54" t="n">
        <f aca="false">IF(AC2&gt;=Assumptions!$B$45,AC30*Assumptions!$B$157*AC7,0)</f>
        <v>2139994.65709414</v>
      </c>
      <c r="AD34" s="54" t="n">
        <f aca="false">IF(AD2&gt;=Assumptions!$B$45,AD30*Assumptions!$B$157*AD7,0)</f>
        <v>3102494.13230388</v>
      </c>
      <c r="AE34" s="54" t="n">
        <f aca="false">IF(AE2&gt;=Assumptions!$B$45,AE30*Assumptions!$B$157*AE7,0)</f>
        <v>4068024.03530299</v>
      </c>
    </row>
    <row r="35" customFormat="false" ht="15" hidden="false" customHeight="false" outlineLevel="0" collapsed="false">
      <c r="A35" s="6" t="s">
        <v>431</v>
      </c>
      <c r="B35" s="23" t="s">
        <v>110</v>
      </c>
      <c r="C35" s="54" t="n">
        <f aca="false">IF(C2&gt;=Assumptions!$B$46,C30*Assumptions!$B$33*Assumptions!$B$126*Assumptions!$B$128*Assumptions!$B$127/12*C7,0)</f>
        <v>211.215966176297</v>
      </c>
      <c r="D35" s="54" t="n">
        <f aca="false">IF(D2&gt;=Assumptions!$B$46,D30*Assumptions!$B$33*Assumptions!$B$126*Assumptions!$B$128*Assumptions!$B$127/12*D7,0)</f>
        <v>401.650583567494</v>
      </c>
      <c r="E35" s="54" t="n">
        <f aca="false">IF(E2&gt;=Assumptions!$B$46,E30*Assumptions!$B$33*Assumptions!$B$126*Assumptions!$B$128*Assumptions!$B$127/12*E7,0)</f>
        <v>574.412944252902</v>
      </c>
      <c r="F35" s="54" t="n">
        <f aca="false">IF(F2&gt;=Assumptions!$B$46,F30*Assumptions!$B$33*Assumptions!$B$126*Assumptions!$B$128*Assumptions!$B$127/12*F7,0)</f>
        <v>786.784106525422</v>
      </c>
      <c r="G35" s="54" t="n">
        <f aca="false">IF(G2&gt;=Assumptions!$B$46,G30*Assumptions!$B$33*Assumptions!$B$126*Assumptions!$B$128*Assumptions!$B$127/12*G7,0)</f>
        <v>965.776035090448</v>
      </c>
      <c r="H35" s="54" t="n">
        <f aca="false">IF(H2&gt;=Assumptions!$B$46,H30*Assumptions!$B$33*Assumptions!$B$126*Assumptions!$B$128*Assumptions!$B$127/12*H7,0)</f>
        <v>1102.59252095168</v>
      </c>
      <c r="I35" s="54" t="n">
        <f aca="false">IF(I2&gt;=Assumptions!$B$46,I30*Assumptions!$B$33*Assumptions!$B$126*Assumptions!$B$128*Assumptions!$B$127/12*I7,0)</f>
        <v>1226.4491879015</v>
      </c>
      <c r="J35" s="54" t="n">
        <f aca="false">IF(J2&gt;=Assumptions!$B$46,J30*Assumptions!$B$33*Assumptions!$B$126*Assumptions!$B$128*Assumptions!$B$127/12*J7,0)</f>
        <v>1344.24174829143</v>
      </c>
      <c r="K35" s="54" t="n">
        <f aca="false">IF(K2&gt;=Assumptions!$B$46,K30*Assumptions!$B$33*Assumptions!$B$126*Assumptions!$B$128*Assumptions!$B$127/12*K7,0)</f>
        <v>1472.9568873874</v>
      </c>
      <c r="L35" s="54" t="n">
        <f aca="false">IF(L2&gt;=Assumptions!$B$46,L30*Assumptions!$B$33*Assumptions!$B$126*Assumptions!$B$128*Assumptions!$B$127/12*L7,0)</f>
        <v>1662.11242102041</v>
      </c>
      <c r="M35" s="54" t="n">
        <f aca="false">IF(M2&gt;=Assumptions!$B$46,M30*Assumptions!$B$33*Assumptions!$B$126*Assumptions!$B$128*Assumptions!$B$127/12*M7,0)</f>
        <v>1821.12693929759</v>
      </c>
      <c r="N35" s="54" t="n">
        <f aca="false">IF(N2&gt;=Assumptions!$B$46,N30*Assumptions!$B$33*Assumptions!$B$126*Assumptions!$B$128*Assumptions!$B$127/12*N7,0)</f>
        <v>1943.14955115754</v>
      </c>
      <c r="O35" s="54" t="n">
        <f aca="false">IF(O2&gt;=Assumptions!$B$46,O30*Assumptions!$B$33*Assumptions!$B$126*Assumptions!$B$128*Assumptions!$B$127/12*O7,0)</f>
        <v>2444.8444491948</v>
      </c>
      <c r="P35" s="54" t="n">
        <f aca="false">IF(P2&gt;=Assumptions!$B$46,P30*Assumptions!$B$33*Assumptions!$B$126*Assumptions!$B$128*Assumptions!$B$127/12*P7,0)</f>
        <v>2907.16186722124</v>
      </c>
      <c r="Q35" s="54" t="n">
        <f aca="false">IF(Q2&gt;=Assumptions!$B$46,Q30*Assumptions!$B$33*Assumptions!$B$126*Assumptions!$B$128*Assumptions!$B$127/12*Q7,0)</f>
        <v>3335.47116104048</v>
      </c>
      <c r="R35" s="54" t="n">
        <f aca="false">IF(R2&gt;=Assumptions!$B$46,R30*Assumptions!$B$33*Assumptions!$B$126*Assumptions!$B$128*Assumptions!$B$127/12*R7,0)</f>
        <v>3899.87782522827</v>
      </c>
      <c r="S35" s="54" t="n">
        <f aca="false">IF(S2&gt;=Assumptions!$B$46,S30*Assumptions!$B$33*Assumptions!$B$126*Assumptions!$B$128*Assumptions!$B$127/12*S7,0)</f>
        <v>4384.36701022531</v>
      </c>
      <c r="T35" s="54" t="n">
        <f aca="false">IF(T2&gt;=Assumptions!$B$46,T30*Assumptions!$B$33*Assumptions!$B$126*Assumptions!$B$128*Assumptions!$B$127/12*T7,0)</f>
        <v>4753.81142597624</v>
      </c>
      <c r="U35" s="54" t="n">
        <f aca="false">IF(U2&gt;=Assumptions!$B$46,U30*Assumptions!$B$33*Assumptions!$B$126*Assumptions!$B$128*Assumptions!$B$127/12*U7,0)</f>
        <v>5094.32373107653</v>
      </c>
      <c r="V35" s="54" t="n">
        <f aca="false">IF(V2&gt;=Assumptions!$B$46,V30*Assumptions!$B$33*Assumptions!$B$126*Assumptions!$B$128*Assumptions!$B$127/12*V7,0)</f>
        <v>5426.37877745028</v>
      </c>
      <c r="W35" s="54" t="n">
        <f aca="false">IF(W2&gt;=Assumptions!$B$46,W30*Assumptions!$B$33*Assumptions!$B$126*Assumptions!$B$128*Assumptions!$B$127/12*W7,0)</f>
        <v>5805.3848160559</v>
      </c>
      <c r="X35" s="54" t="n">
        <f aca="false">IF(X2&gt;=Assumptions!$B$46,X30*Assumptions!$B$33*Assumptions!$B$126*Assumptions!$B$128*Assumptions!$B$127/12*X7,0)</f>
        <v>6400.08993063705</v>
      </c>
      <c r="Y35" s="54" t="n">
        <f aca="false">IF(Y2&gt;=Assumptions!$B$46,Y30*Assumptions!$B$33*Assumptions!$B$126*Assumptions!$B$128*Assumptions!$B$127/12*Y7,0)</f>
        <v>6914.35353723063</v>
      </c>
      <c r="Z35" s="54" t="n">
        <f aca="false">IF(Z2&gt;=Assumptions!$B$46,Z30*Assumptions!$B$33*Assumptions!$B$126*Assumptions!$B$128*Assumptions!$B$127/12*Z7,0)</f>
        <v>7317.05231709789</v>
      </c>
      <c r="AA35" s="54" t="n">
        <f aca="false">IF(AA2&gt;=Assumptions!$B$46,AA30*Assumptions!$B$33*Assumptions!$B$126*Assumptions!$B$128*Assumptions!$B$127/12*AA7,0)</f>
        <v>152360.556402695</v>
      </c>
      <c r="AB35" s="54" t="n">
        <f aca="false">IF(AB2&gt;=Assumptions!$B$46,AB30*Assumptions!$B$33*Assumptions!$B$126*Assumptions!$B$128*Assumptions!$B$127/12*AB7,0)</f>
        <v>258312.145181023</v>
      </c>
      <c r="AC35" s="54" t="n">
        <f aca="false">IF(AC2&gt;=Assumptions!$B$46,AC30*Assumptions!$B$33*Assumptions!$B$126*Assumptions!$B$128*Assumptions!$B$127/12*AC7,0)</f>
        <v>405484.404297316</v>
      </c>
      <c r="AD35" s="54" t="n">
        <f aca="false">IF(AD2&gt;=Assumptions!$B$46,AD30*Assumptions!$B$33*Assumptions!$B$126*Assumptions!$B$128*Assumptions!$B$127/12*AD7,0)</f>
        <v>587858.002777162</v>
      </c>
      <c r="AE35" s="54" t="n">
        <f aca="false">IF(AE2&gt;=Assumptions!$B$46,AE30*Assumptions!$B$33*Assumptions!$B$126*Assumptions!$B$128*Assumptions!$B$127/12*AE7,0)</f>
        <v>770805.804189182</v>
      </c>
    </row>
    <row r="36" customFormat="false" ht="15" hidden="false" customHeight="false" outlineLevel="0" collapsed="false">
      <c r="A36" s="6" t="s">
        <v>432</v>
      </c>
      <c r="B36" s="23" t="s">
        <v>47</v>
      </c>
      <c r="C36" s="53" t="n">
        <f aca="false">(C34+C35)*(1-Assumptions!$B$8)/Assumptions!$B$6/(1+Assumptions!$B$9)</f>
        <v>8.77295753833137</v>
      </c>
      <c r="D36" s="53" t="n">
        <f aca="false">(D34+D35)*(1-Assumptions!$B$8)/Assumptions!$B$6/(1+Assumptions!$B$9)</f>
        <v>16.6827516814828</v>
      </c>
      <c r="E36" s="53" t="n">
        <f aca="false">(E34+E35)*(1-Assumptions!$B$8)/Assumptions!$B$6/(1+Assumptions!$B$9)</f>
        <v>23.8585200760459</v>
      </c>
      <c r="F36" s="53" t="n">
        <f aca="false">(F34+F35)*(1-Assumptions!$B$8)/Assumptions!$B$6/(1+Assumptions!$B$9)</f>
        <v>32.6794592441947</v>
      </c>
      <c r="G36" s="53" t="n">
        <f aca="false">(G34+G35)*(1-Assumptions!$B$8)/Assumptions!$B$6/(1+Assumptions!$B$9)</f>
        <v>40.1139757603104</v>
      </c>
      <c r="H36" s="53" t="n">
        <f aca="false">(H34+H35)*(1-Assumptions!$B$8)/Assumptions!$B$6/(1+Assumptions!$B$9)</f>
        <v>45.796714819925</v>
      </c>
      <c r="I36" s="53" t="n">
        <f aca="false">(I34+I35)*(1-Assumptions!$B$8)/Assumptions!$B$6/(1+Assumptions!$B$9)</f>
        <v>50.9411615190114</v>
      </c>
      <c r="J36" s="53" t="n">
        <f aca="false">(J34+J35)*(1-Assumptions!$B$8)/Assumptions!$B$6/(1+Assumptions!$B$9)</f>
        <v>55.833732612665</v>
      </c>
      <c r="K36" s="53" t="n">
        <f aca="false">(K34+K35)*(1-Assumptions!$B$8)/Assumptions!$B$6/(1+Assumptions!$B$9)</f>
        <v>61.1799783073999</v>
      </c>
      <c r="L36" s="53" t="n">
        <f aca="false">(L34+L35)*(1-Assumptions!$B$8)/Assumptions!$B$6/(1+Assumptions!$B$9)</f>
        <v>69.0366450866419</v>
      </c>
      <c r="M36" s="53" t="n">
        <f aca="false">(M34+M35)*(1-Assumptions!$B$8)/Assumptions!$B$6/(1+Assumptions!$B$9)</f>
        <v>75.6413901827562</v>
      </c>
      <c r="N36" s="53" t="n">
        <f aca="false">(N34+N35)*(1-Assumptions!$B$8)/Assumptions!$B$6/(1+Assumptions!$B$9)</f>
        <v>80.7096585146592</v>
      </c>
      <c r="O36" s="53" t="n">
        <f aca="false">(O34+O35)*(1-Assumptions!$B$8)/Assumptions!$B$6/(1+Assumptions!$B$9)</f>
        <v>101.547799292353</v>
      </c>
      <c r="P36" s="53" t="n">
        <f aca="false">(P34+P35)*(1-Assumptions!$B$8)/Assumptions!$B$6/(1+Assumptions!$B$9)</f>
        <v>120.750377350262</v>
      </c>
      <c r="Q36" s="53" t="n">
        <f aca="false">(Q34+Q35)*(1-Assumptions!$B$8)/Assumptions!$B$6/(1+Assumptions!$B$9)</f>
        <v>138.540411484389</v>
      </c>
      <c r="R36" s="53" t="n">
        <f aca="false">(R34+R35)*(1-Assumptions!$B$8)/Assumptions!$B$6/(1+Assumptions!$B$9)</f>
        <v>161.983315867563</v>
      </c>
      <c r="S36" s="53" t="n">
        <f aca="false">(S34+S35)*(1-Assumptions!$B$8)/Assumptions!$B$6/(1+Assumptions!$B$9)</f>
        <v>182.106809013967</v>
      </c>
      <c r="T36" s="53" t="n">
        <f aca="false">(T34+T35)*(1-Assumptions!$B$8)/Assumptions!$B$6/(1+Assumptions!$B$9)</f>
        <v>197.45186190382</v>
      </c>
      <c r="U36" s="53" t="n">
        <f aca="false">(U34+U35)*(1-Assumptions!$B$8)/Assumptions!$B$6/(1+Assumptions!$B$9)</f>
        <v>211.595205553469</v>
      </c>
      <c r="V36" s="53" t="n">
        <f aca="false">(V34+V35)*(1-Assumptions!$B$8)/Assumptions!$B$6/(1+Assumptions!$B$9)</f>
        <v>225.387272862406</v>
      </c>
      <c r="W36" s="53" t="n">
        <f aca="false">(W34+W35)*(1-Assumptions!$B$8)/Assumptions!$B$6/(1+Assumptions!$B$9)</f>
        <v>241.129472392355</v>
      </c>
      <c r="X36" s="53" t="n">
        <f aca="false">(X34+X35)*(1-Assumptions!$B$8)/Assumptions!$B$6/(1+Assumptions!$B$9)</f>
        <v>265.830837599255</v>
      </c>
      <c r="Y36" s="53" t="n">
        <f aca="false">(Y34+Y35)*(1-Assumptions!$B$8)/Assumptions!$B$6/(1+Assumptions!$B$9)</f>
        <v>287.191025779295</v>
      </c>
      <c r="Z36" s="53" t="n">
        <f aca="false">(Z34+Z35)*(1-Assumptions!$B$8)/Assumptions!$B$6/(1+Assumptions!$B$9)</f>
        <v>303.917314802183</v>
      </c>
      <c r="AA36" s="53" t="n">
        <f aca="false">(AA34+AA35)*(1-Assumptions!$B$8)/Assumptions!$B$6/(1+Assumptions!$B$9)</f>
        <v>6328.36956426729</v>
      </c>
      <c r="AB36" s="53" t="n">
        <f aca="false">(AB34+AB35)*(1-Assumptions!$B$8)/Assumptions!$B$6/(1+Assumptions!$B$9)</f>
        <v>10729.1201623313</v>
      </c>
      <c r="AC36" s="53" t="n">
        <f aca="false">(AC34+AC35)*(1-Assumptions!$B$8)/Assumptions!$B$6/(1+Assumptions!$B$9)</f>
        <v>16841.9912838727</v>
      </c>
      <c r="AD36" s="53" t="n">
        <f aca="false">(AD34+AD35)*(1-Assumptions!$B$8)/Assumptions!$B$6/(1+Assumptions!$B$9)</f>
        <v>24416.967099105</v>
      </c>
      <c r="AE36" s="53" t="n">
        <f aca="false">(AE34+AE35)*(1-Assumptions!$B$8)/Assumptions!$B$6/(1+Assumptions!$B$9)</f>
        <v>32015.7927114599</v>
      </c>
    </row>
    <row r="37" customFormat="false" ht="15" hidden="false" customHeight="false" outlineLevel="0" collapsed="false">
      <c r="A37" s="6" t="s">
        <v>433</v>
      </c>
      <c r="B37" s="23" t="s">
        <v>434</v>
      </c>
      <c r="C37" s="55" t="n">
        <f aca="false">(Assumptions!$B$123+Assumptions!$B$124*IF(C30+C32=0,1,(C30+C32*Assumptions!$B$125)/(C30+C32)))*C7/12</f>
        <v>0.0168634841405503</v>
      </c>
      <c r="D37" s="55" t="n">
        <f aca="false">(Assumptions!$B$123+Assumptions!$B$124*IF(D30+D32=0,1,(D30+D32*Assumptions!$B$125)/(D30+D32)))*D7/12</f>
        <v>0.017057938920034</v>
      </c>
      <c r="E37" s="55" t="n">
        <f aca="false">(Assumptions!$B$123+Assumptions!$B$124*IF(E30+E32=0,1,(E30+E32*Assumptions!$B$125)/(E30+E32)))*E7/12</f>
        <v>0.0172481528375752</v>
      </c>
      <c r="F37" s="55" t="n">
        <f aca="false">(Assumptions!$B$123+Assumptions!$B$124*IF(F30+F32=0,1,(F30+F32*Assumptions!$B$125)/(F30+F32)))*F7/12</f>
        <v>0.0173966485114906</v>
      </c>
      <c r="G37" s="55" t="n">
        <f aca="false">(Assumptions!$B$123+Assumptions!$B$124*IF(G30+G32=0,1,(G30+G32*Assumptions!$B$125)/(G30+G32)))*G7/12</f>
        <v>0.0175685889868305</v>
      </c>
      <c r="H37" s="55" t="n">
        <f aca="false">(Assumptions!$B$123+Assumptions!$B$124*IF(H30+H32=0,1,(H30+H32*Assumptions!$B$125)/(H30+H32)))*H7/12</f>
        <v>0.0177586257323099</v>
      </c>
      <c r="I37" s="55" t="n">
        <f aca="false">(Assumptions!$B$123+Assumptions!$B$124*IF(I30+I32=0,1,(I30+I32*Assumptions!$B$125)/(I30+I32)))*I7/12</f>
        <v>0.0179408569098453</v>
      </c>
      <c r="J37" s="55" t="n">
        <f aca="false">(Assumptions!$B$123+Assumptions!$B$124*IF(J30+J32=0,1,(J30+J32*Assumptions!$B$125)/(J30+J32)))*J7/12</f>
        <v>0.0181120623577567</v>
      </c>
      <c r="K37" s="55" t="n">
        <f aca="false">(Assumptions!$B$123+Assumptions!$B$124*IF(K30+K32=0,1,(K30+K32*Assumptions!$B$125)/(K30+K32)))*K7/12</f>
        <v>0.0182611384165617</v>
      </c>
      <c r="L37" s="55" t="n">
        <f aca="false">(Assumptions!$B$123+Assumptions!$B$124*IF(L30+L32=0,1,(L30+L32*Assumptions!$B$125)/(L30+L32)))*L7/12</f>
        <v>0.0183556169357631</v>
      </c>
      <c r="M37" s="55" t="n">
        <f aca="false">(Assumptions!$B$123+Assumptions!$B$124*IF(M30+M32=0,1,(M30+M32*Assumptions!$B$125)/(M30+M32)))*M7/12</f>
        <v>0.0184743673353355</v>
      </c>
      <c r="N37" s="55" t="n">
        <f aca="false">(Assumptions!$B$123+Assumptions!$B$124*IF(N30+N32=0,1,(N30+N32*Assumptions!$B$125)/(N30+N32)))*N7/12</f>
        <v>0.0186146582920906</v>
      </c>
      <c r="O37" s="55" t="n">
        <f aca="false">(Assumptions!$B$123+Assumptions!$B$124*IF(O30+O32=0,1,(O30+O32*Assumptions!$B$125)/(O30+O32)))*O7/12</f>
        <v>0.0185156649044947</v>
      </c>
      <c r="P37" s="55" t="n">
        <f aca="false">(Assumptions!$B$123+Assumptions!$B$124*IF(P30+P32=0,1,(P30+P32*Assumptions!$B$125)/(P30+P32)))*P7/12</f>
        <v>0.0185067075850528</v>
      </c>
      <c r="Q37" s="55" t="n">
        <f aca="false">(Assumptions!$B$123+Assumptions!$B$124*IF(Q30+Q32=0,1,(Q30+Q32*Assumptions!$B$125)/(Q30+Q32)))*Q7/12</f>
        <v>0.0185458642772895</v>
      </c>
      <c r="R37" s="55" t="n">
        <f aca="false">(Assumptions!$B$123+Assumptions!$B$124*IF(R30+R32=0,1,(R30+R32*Assumptions!$B$125)/(R30+R32)))*R7/12</f>
        <v>0.0185544288362374</v>
      </c>
      <c r="S37" s="55" t="n">
        <f aca="false">(Assumptions!$B$123+Assumptions!$B$124*IF(S30+S32=0,1,(S30+S32*Assumptions!$B$125)/(S30+S32)))*S7/12</f>
        <v>0.0186144365702428</v>
      </c>
      <c r="T37" s="55" t="n">
        <f aca="false">(Assumptions!$B$123+Assumptions!$B$124*IF(T30+T32=0,1,(T30+T32*Assumptions!$B$125)/(T30+T32)))*T7/12</f>
        <v>0.0187175118912934</v>
      </c>
      <c r="U37" s="55" t="n">
        <f aca="false">(Assumptions!$B$123+Assumptions!$B$124*IF(U30+U32=0,1,(U30+U32*Assumptions!$B$125)/(U30+U32)))*U7/12</f>
        <v>0.0188266840788945</v>
      </c>
      <c r="V37" s="55" t="n">
        <f aca="false">(Assumptions!$B$123+Assumptions!$B$124*IF(V30+V32=0,1,(V30+V32*Assumptions!$B$125)/(V30+V32)))*V7/12</f>
        <v>0.0189341734886685</v>
      </c>
      <c r="W37" s="55" t="n">
        <f aca="false">(Assumptions!$B$123+Assumptions!$B$124*IF(W30+W32=0,1,(W30+W32*Assumptions!$B$125)/(W30+W32)))*W7/12</f>
        <v>0.0190247119441586</v>
      </c>
      <c r="X37" s="55" t="n">
        <f aca="false">(Assumptions!$B$123+Assumptions!$B$124*IF(X30+X32=0,1,(X30+X32*Assumptions!$B$125)/(X30+X32)))*X7/12</f>
        <v>0.0190591276219272</v>
      </c>
      <c r="Y37" s="55" t="n">
        <f aca="false">(Assumptions!$B$123+Assumptions!$B$124*IF(Y30+Y32=0,1,(Y30+Y32*Assumptions!$B$125)/(Y30+Y32)))*Y7/12</f>
        <v>0.0191223275875509</v>
      </c>
      <c r="Z37" s="55" t="n">
        <f aca="false">(Assumptions!$B$123+Assumptions!$B$124*IF(Z30+Z32=0,1,(Z30+Z32*Assumptions!$B$125)/(Z30+Z32)))*Z7/12</f>
        <v>0.0192133906317719</v>
      </c>
      <c r="AA37" s="55" t="n">
        <f aca="false">(Assumptions!$B$123+Assumptions!$B$124*IF(AA30+AA32=0,1,(AA30+AA32*Assumptions!$B$125)/(AA30+AA32)))*AA7/12</f>
        <v>0.241653322737848</v>
      </c>
      <c r="AB37" s="55" t="n">
        <f aca="false">(Assumptions!$B$123+Assumptions!$B$124*IF(AB30+AB32=0,1,(AB30+AB32*Assumptions!$B$125)/(AB30+AB32)))*AB7/12</f>
        <v>0.246841557482721</v>
      </c>
      <c r="AC37" s="55" t="n">
        <f aca="false">(Assumptions!$B$123+Assumptions!$B$124*IF(AC30+AC32=0,1,(AC30+AC32*Assumptions!$B$125)/(AC30+AC32)))*AC7/12</f>
        <v>0.250717428713318</v>
      </c>
      <c r="AD37" s="55" t="n">
        <f aca="false">(Assumptions!$B$123+Assumptions!$B$124*IF(AD30+AD32=0,1,(AD30+AD32*Assumptions!$B$125)/(AD30+AD32)))*AD7/12</f>
        <v>0.254245870829562</v>
      </c>
      <c r="AE37" s="55" t="n">
        <f aca="false">(Assumptions!$B$123+Assumptions!$B$124*IF(AE30+AE32=0,1,(AE30+AE32*Assumptions!$B$125)/(AE30+AE32)))*AE7/12</f>
        <v>0.258149203289301</v>
      </c>
    </row>
    <row r="38" customFormat="false" ht="15" hidden="false" customHeight="false" outlineLevel="0" collapsed="false">
      <c r="A38" s="6" t="s">
        <v>435</v>
      </c>
      <c r="B38" s="23" t="s">
        <v>47</v>
      </c>
      <c r="C38" s="44" t="n">
        <f aca="false">C36</f>
        <v>8.77295753833137</v>
      </c>
      <c r="D38" s="44" t="n">
        <f aca="false">C38*(1-D37)+D36</f>
        <v>25.3060606459773</v>
      </c>
      <c r="E38" s="44" t="n">
        <f aca="false">D38*(1-E37)+E36</f>
        <v>48.7280979202844</v>
      </c>
      <c r="F38" s="44" t="n">
        <f aca="false">E38*(1-F37)+F36</f>
        <v>80.5598515723264</v>
      </c>
      <c r="G38" s="44" t="n">
        <f aca="false">F38*(1-G37)+G36</f>
        <v>119.258504411523</v>
      </c>
      <c r="H38" s="44" t="n">
        <f aca="false">G38*(1-H37)+H36</f>
        <v>162.937352086208</v>
      </c>
      <c r="I38" s="44" t="n">
        <f aca="false">H38*(1-I37)+I36</f>
        <v>210.955277886172</v>
      </c>
      <c r="J38" s="44" t="n">
        <f aca="false">I38*(1-J37)+J36</f>
        <v>262.968175351065</v>
      </c>
      <c r="K38" s="44" t="n">
        <f aca="false">J38*(1-K37)+K36</f>
        <v>319.346055409228</v>
      </c>
      <c r="L38" s="44" t="n">
        <f aca="false">K38*(1-L37)+L36</f>
        <v>382.520906632831</v>
      </c>
      <c r="M38" s="44" t="n">
        <f aca="false">L38*(1-M37)+M36</f>
        <v>451.095465073007</v>
      </c>
      <c r="N38" s="44" t="n">
        <f aca="false">M38*(1-N37)+N36</f>
        <v>523.408135648221</v>
      </c>
      <c r="O38" s="44" t="n">
        <f aca="false">N38*(1-O37)+O36</f>
        <v>615.264685292625</v>
      </c>
      <c r="P38" s="44" t="n">
        <f aca="false">O38*(1-P37)+P36</f>
        <v>724.628539024767</v>
      </c>
      <c r="Q38" s="44" t="n">
        <f aca="false">P38*(1-Q37)+Q36</f>
        <v>849.730087972952</v>
      </c>
      <c r="R38" s="44" t="n">
        <f aca="false">Q38*(1-R37)+R36</f>
        <v>995.947147393212</v>
      </c>
      <c r="S38" s="44" t="n">
        <f aca="false">R38*(1-S37)+S36</f>
        <v>1159.51496140471</v>
      </c>
      <c r="T38" s="44" t="n">
        <f aca="false">S38*(1-T37)+T36</f>
        <v>1335.26358823031</v>
      </c>
      <c r="U38" s="44" t="n">
        <f aca="false">T38*(1-U37)+U36</f>
        <v>1521.72020804611</v>
      </c>
      <c r="V38" s="44" t="n">
        <f aca="false">U38*(1-V37)+V36</f>
        <v>1718.29496648816</v>
      </c>
      <c r="W38" s="44" t="n">
        <f aca="false">V38*(1-W37)+W36</f>
        <v>1926.73437210798</v>
      </c>
      <c r="X38" s="44" t="n">
        <f aca="false">W38*(1-X37)+X36</f>
        <v>2155.84333341568</v>
      </c>
      <c r="Y38" s="44" t="n">
        <f aca="false">X38*(1-Y37)+Y36</f>
        <v>2401.80961674596</v>
      </c>
      <c r="Z38" s="44" t="n">
        <f aca="false">Y38*(1-Z37)+Z36</f>
        <v>2659.58002515846</v>
      </c>
      <c r="AA38" s="44" t="n">
        <f aca="false">Z38*(1-AA37)+AA36</f>
        <v>8345.253239259</v>
      </c>
      <c r="AB38" s="44" t="n">
        <f aca="false">AA38*(1-AB37)+AB36</f>
        <v>17014.4180944239</v>
      </c>
      <c r="AC38" s="44" t="n">
        <f aca="false">AB38*(1-AC37)+AC36</f>
        <v>29590.5982226093</v>
      </c>
      <c r="AD38" s="44" t="n">
        <f aca="false">AC38*(1-AD37)+AD36</f>
        <v>46484.2779082393</v>
      </c>
      <c r="AE38" s="44" t="n">
        <f aca="false">AD38*(1-AE37)+AE36</f>
        <v>66500.1913122088</v>
      </c>
    </row>
    <row r="39" customFormat="false" ht="15" hidden="false" customHeight="false" outlineLevel="0" collapsed="false">
      <c r="A39" s="6" t="s">
        <v>436</v>
      </c>
      <c r="B39" s="23" t="s">
        <v>110</v>
      </c>
      <c r="C39" s="56" t="n">
        <f aca="false">C38*Assumptions!$B$6</f>
        <v>1241.02257337236</v>
      </c>
      <c r="D39" s="56" t="n">
        <f aca="false">D38*Assumptions!$B$6</f>
        <v>3579.79533897995</v>
      </c>
      <c r="E39" s="56" t="n">
        <f aca="false">E38*Assumptions!$B$6</f>
        <v>6893.07673180344</v>
      </c>
      <c r="F39" s="56" t="n">
        <f aca="false">F38*Assumptions!$B$6</f>
        <v>11395.9966034213</v>
      </c>
      <c r="G39" s="56" t="n">
        <f aca="false">G38*Assumptions!$B$6</f>
        <v>16870.308034054</v>
      </c>
      <c r="H39" s="56" t="n">
        <f aca="false">H38*Assumptions!$B$6</f>
        <v>23049.117826115</v>
      </c>
      <c r="I39" s="56" t="n">
        <f aca="false">I38*Assumptions!$B$6</f>
        <v>29841.7336097779</v>
      </c>
      <c r="J39" s="56" t="n">
        <f aca="false">J38*Assumptions!$B$6</f>
        <v>37199.4780851616</v>
      </c>
      <c r="K39" s="56" t="n">
        <f aca="false">K38*Assumptions!$B$6</f>
        <v>45174.6929981894</v>
      </c>
      <c r="L39" s="56" t="n">
        <f aca="false">L38*Assumptions!$B$6</f>
        <v>54111.4074522803</v>
      </c>
      <c r="M39" s="56" t="n">
        <f aca="false">M38*Assumptions!$B$6</f>
        <v>63811.9644892276</v>
      </c>
      <c r="N39" s="56" t="n">
        <f aca="false">N38*Assumptions!$B$6</f>
        <v>74041.3148687973</v>
      </c>
      <c r="O39" s="56" t="n">
        <f aca="false">O38*Assumptions!$B$6</f>
        <v>87035.3423814948</v>
      </c>
      <c r="P39" s="56" t="n">
        <f aca="false">P38*Assumptions!$B$6</f>
        <v>102505.953130444</v>
      </c>
      <c r="Q39" s="56" t="n">
        <f aca="false">Q38*Assumptions!$B$6</f>
        <v>120202.818244654</v>
      </c>
      <c r="R39" s="56" t="n">
        <f aca="false">R38*Assumptions!$B$6</f>
        <v>140886.683470244</v>
      </c>
      <c r="S39" s="56" t="n">
        <f aca="false">S38*Assumptions!$B$6</f>
        <v>164024.986440311</v>
      </c>
      <c r="T39" s="56" t="n">
        <f aca="false">T38*Assumptions!$B$6</f>
        <v>188886.387191059</v>
      </c>
      <c r="U39" s="56" t="n">
        <f aca="false">U38*Assumptions!$B$6</f>
        <v>215262.540630203</v>
      </c>
      <c r="V39" s="56" t="n">
        <f aca="false">V38*Assumptions!$B$6</f>
        <v>243070.005959415</v>
      </c>
      <c r="W39" s="56" t="n">
        <f aca="false">W38*Assumptions!$B$6</f>
        <v>272555.844278395</v>
      </c>
      <c r="X39" s="56" t="n">
        <f aca="false">X38*Assumptions!$B$6</f>
        <v>304965.597944982</v>
      </c>
      <c r="Y39" s="56" t="n">
        <f aca="false">Y38*Assumptions!$B$6</f>
        <v>339759.988384884</v>
      </c>
      <c r="Z39" s="56" t="n">
        <f aca="false">Z38*Assumptions!$B$6</f>
        <v>376224.190358915</v>
      </c>
      <c r="AA39" s="56" t="n">
        <f aca="false">AA38*Assumptions!$B$6</f>
        <v>1180519.52322558</v>
      </c>
      <c r="AB39" s="56" t="n">
        <f aca="false">AB38*Assumptions!$B$6</f>
        <v>2406859.58363721</v>
      </c>
      <c r="AC39" s="56" t="n">
        <f aca="false">AC38*Assumptions!$B$6</f>
        <v>4185886.02457031</v>
      </c>
      <c r="AD39" s="56" t="n">
        <f aca="false">AD38*Assumptions!$B$6</f>
        <v>6575665.95289954</v>
      </c>
      <c r="AE39" s="56" t="n">
        <f aca="false">AE38*Assumptions!$B$6</f>
        <v>9407117.06302506</v>
      </c>
    </row>
    <row r="40" customFormat="false" ht="15" hidden="false" customHeight="false" outlineLevel="0" collapsed="false">
      <c r="A40" s="6" t="s">
        <v>437</v>
      </c>
      <c r="B40" s="23" t="s">
        <v>186</v>
      </c>
      <c r="C40" s="53" t="n">
        <f aca="false">C30+C32*Assumptions!$B$164</f>
        <v>34.0129438419122</v>
      </c>
      <c r="D40" s="53" t="n">
        <f aca="false">D30+D32*Assumptions!$B$164</f>
        <v>66.3323832492603</v>
      </c>
      <c r="E40" s="53" t="n">
        <f aca="false">E30+E32*Assumptions!$B$164</f>
        <v>97.2963506035838</v>
      </c>
      <c r="F40" s="53" t="n">
        <f aca="false">F30+F32*Assumptions!$B$164</f>
        <v>135.990736711143</v>
      </c>
      <c r="G40" s="53" t="n">
        <f aca="false">G30+G32*Assumptions!$B$164</f>
        <v>170.971971750845</v>
      </c>
      <c r="H40" s="53" t="n">
        <f aca="false">H30+H32*Assumptions!$B$164</f>
        <v>200.562337924888</v>
      </c>
      <c r="I40" s="53" t="n">
        <f aca="false">I30+I32*Assumptions!$B$164</f>
        <v>229.136473405032</v>
      </c>
      <c r="J40" s="53" t="n">
        <f aca="false">J30+J32*Assumptions!$B$164</f>
        <v>257.70339715745</v>
      </c>
      <c r="K40" s="53" t="n">
        <f aca="false">K30+K32*Assumptions!$B$164</f>
        <v>288.951084070037</v>
      </c>
      <c r="L40" s="53" t="n">
        <f aca="false">L30+L32*Assumptions!$B$164</f>
        <v>330.939065465134</v>
      </c>
      <c r="M40" s="53" t="n">
        <f aca="false">M30+M32*Assumptions!$B$164</f>
        <v>369.553670957499</v>
      </c>
      <c r="N40" s="53" t="n">
        <f aca="false">N30+N32*Assumptions!$B$164</f>
        <v>403.455787642818</v>
      </c>
      <c r="O40" s="53" t="n">
        <f aca="false">O30+O32*Assumptions!$B$164</f>
        <v>499.452998648164</v>
      </c>
      <c r="P40" s="53" t="n">
        <f aca="false">P30+P32*Assumptions!$B$164</f>
        <v>593.035415379165</v>
      </c>
      <c r="Q40" s="53" t="n">
        <f aca="false">Q30+Q32*Assumptions!$B$164</f>
        <v>684.759514149723</v>
      </c>
      <c r="R40" s="53" t="n">
        <f aca="false">R30+R32*Assumptions!$B$164</f>
        <v>801.751905508556</v>
      </c>
      <c r="S40" s="53" t="n">
        <f aca="false">S30+S32*Assumptions!$B$164</f>
        <v>910.291974826588</v>
      </c>
      <c r="T40" s="53" t="n">
        <f aca="false">T30+T32*Assumptions!$B$164</f>
        <v>1004.09759277112</v>
      </c>
      <c r="U40" s="53" t="n">
        <f aca="false">U30+U32*Assumptions!$B$164</f>
        <v>1096.13546938903</v>
      </c>
      <c r="V40" s="53" t="n">
        <f aca="false">V30+V32*Assumptions!$B$164</f>
        <v>1189.47632544588</v>
      </c>
      <c r="W40" s="53" t="n">
        <f aca="false">W30+W32*Assumptions!$B$164</f>
        <v>1292.97658371197</v>
      </c>
      <c r="X40" s="53" t="n">
        <f aca="false">X30+X32*Assumptions!$B$164</f>
        <v>1434.17786010076</v>
      </c>
      <c r="Y40" s="53" t="n">
        <f aca="false">Y30+Y32*Assumptions!$B$164</f>
        <v>1567.07954689313</v>
      </c>
      <c r="Z40" s="53" t="n">
        <f aca="false">Z30+Z32*Assumptions!$B$164</f>
        <v>1686.04018901588</v>
      </c>
      <c r="AA40" s="53" t="n">
        <f aca="false">AA30+AA32*Assumptions!$B$164</f>
        <v>3522.8065644991</v>
      </c>
      <c r="AB40" s="53" t="n">
        <f aca="false">AB30+AB32*Assumptions!$B$164</f>
        <v>6602.91877579507</v>
      </c>
      <c r="AC40" s="53" t="n">
        <f aca="false">AC30+AC32*Assumptions!$B$164</f>
        <v>11252.0672507222</v>
      </c>
      <c r="AD40" s="53" t="n">
        <f aca="false">AD30+AD32*Assumptions!$B$164</f>
        <v>17691.4018756011</v>
      </c>
      <c r="AE40" s="53" t="n">
        <f aca="false">AE30+AE32*Assumptions!$B$164</f>
        <v>25589.3464717701</v>
      </c>
    </row>
    <row r="41" customFormat="false" ht="15" hidden="false" customHeight="false" outlineLevel="0" collapsed="false">
      <c r="A41" s="6" t="s">
        <v>438</v>
      </c>
      <c r="B41" s="23" t="s">
        <v>186</v>
      </c>
      <c r="C41" s="44" t="n">
        <f aca="false">IF(C7&gt;1,C40*Assumptions!$B$121,IF(C2&gt;Assumptions!$B$122,INDEX($C$40:$AE$40,1,C2-Assumptions!$B$122)*Assumptions!$B$121,0))</f>
        <v>0</v>
      </c>
      <c r="D41" s="44" t="n">
        <f aca="false">IF(D7&gt;1,D40*Assumptions!$B$121,IF(D2&gt;Assumptions!$B$122,INDEX($C$40:$AE$40,1,D2-Assumptions!$B$122)*Assumptions!$B$121,0))</f>
        <v>0</v>
      </c>
      <c r="E41" s="44" t="n">
        <f aca="false">IF(E7&gt;1,E40*Assumptions!$B$121,IF(E2&gt;Assumptions!$B$122,INDEX($C$40:$AE$40,1,E2-Assumptions!$B$122)*Assumptions!$B$121,0))</f>
        <v>0</v>
      </c>
      <c r="F41" s="44" t="n">
        <f aca="false">IF(F7&gt;1,F40*Assumptions!$B$121,IF(F2&gt;Assumptions!$B$122,INDEX($C$40:$AE$40,1,F2-Assumptions!$B$122)*Assumptions!$B$121,0))</f>
        <v>0</v>
      </c>
      <c r="G41" s="44" t="n">
        <f aca="false">IF(G7&gt;1,G40*Assumptions!$B$121,IF(G2&gt;Assumptions!$B$122,INDEX($C$40:$AE$40,1,G2-Assumptions!$B$122)*Assumptions!$B$121,0))</f>
        <v>0</v>
      </c>
      <c r="H41" s="44" t="n">
        <f aca="false">IF(H7&gt;1,H40*Assumptions!$B$121,IF(H2&gt;Assumptions!$B$122,INDEX($C$40:$AE$40,1,H2-Assumptions!$B$122)*Assumptions!$B$121,0))</f>
        <v>0</v>
      </c>
      <c r="I41" s="44" t="n">
        <f aca="false">IF(I7&gt;1,I40*Assumptions!$B$121,IF(I2&gt;Assumptions!$B$122,INDEX($C$40:$AE$40,1,I2-Assumptions!$B$122)*Assumptions!$B$121,0))</f>
        <v>0</v>
      </c>
      <c r="J41" s="44" t="n">
        <f aca="false">IF(J7&gt;1,J40*Assumptions!$B$121,IF(J2&gt;Assumptions!$B$122,INDEX($C$40:$AE$40,1,J2-Assumptions!$B$122)*Assumptions!$B$121,0))</f>
        <v>0</v>
      </c>
      <c r="K41" s="44" t="n">
        <f aca="false">IF(K7&gt;1,K40*Assumptions!$B$121,IF(K2&gt;Assumptions!$B$122,INDEX($C$40:$AE$40,1,K2-Assumptions!$B$122)*Assumptions!$B$121,0))</f>
        <v>18.7071191130517</v>
      </c>
      <c r="L41" s="44" t="n">
        <f aca="false">IF(L7&gt;1,L40*Assumptions!$B$121,IF(L2&gt;Assumptions!$B$122,INDEX($C$40:$AE$40,1,L2-Assumptions!$B$122)*Assumptions!$B$121,0))</f>
        <v>36.4828107870932</v>
      </c>
      <c r="M41" s="44" t="n">
        <f aca="false">IF(M7&gt;1,M40*Assumptions!$B$121,IF(M2&gt;Assumptions!$B$122,INDEX($C$40:$AE$40,1,M2-Assumptions!$B$122)*Assumptions!$B$121,0))</f>
        <v>53.5129928319711</v>
      </c>
      <c r="N41" s="44" t="n">
        <f aca="false">IF(N7&gt;1,N40*Assumptions!$B$121,IF(N2&gt;Assumptions!$B$122,INDEX($C$40:$AE$40,1,N2-Assumptions!$B$122)*Assumptions!$B$121,0))</f>
        <v>74.7949051911289</v>
      </c>
      <c r="O41" s="44" t="n">
        <f aca="false">IF(O7&gt;1,O40*Assumptions!$B$121,IF(O2&gt;Assumptions!$B$122,INDEX($C$40:$AE$40,1,O2-Assumptions!$B$122)*Assumptions!$B$121,0))</f>
        <v>94.0345844629648</v>
      </c>
      <c r="P41" s="44" t="n">
        <f aca="false">IF(P7&gt;1,P40*Assumptions!$B$121,IF(P2&gt;Assumptions!$B$122,INDEX($C$40:$AE$40,1,P2-Assumptions!$B$122)*Assumptions!$B$121,0))</f>
        <v>110.309285858688</v>
      </c>
      <c r="Q41" s="44" t="n">
        <f aca="false">IF(Q7&gt;1,Q40*Assumptions!$B$121,IF(Q2&gt;Assumptions!$B$122,INDEX($C$40:$AE$40,1,Q2-Assumptions!$B$122)*Assumptions!$B$121,0))</f>
        <v>126.025060372767</v>
      </c>
      <c r="R41" s="44" t="n">
        <f aca="false">IF(R7&gt;1,R40*Assumptions!$B$121,IF(R2&gt;Assumptions!$B$122,INDEX($C$40:$AE$40,1,R2-Assumptions!$B$122)*Assumptions!$B$121,0))</f>
        <v>141.736868436598</v>
      </c>
      <c r="S41" s="44" t="n">
        <f aca="false">IF(S7&gt;1,S40*Assumptions!$B$121,IF(S2&gt;Assumptions!$B$122,INDEX($C$40:$AE$40,1,S2-Assumptions!$B$122)*Assumptions!$B$121,0))</f>
        <v>158.92309623852</v>
      </c>
      <c r="T41" s="44" t="n">
        <f aca="false">IF(T7&gt;1,T40*Assumptions!$B$121,IF(T2&gt;Assumptions!$B$122,INDEX($C$40:$AE$40,1,T2-Assumptions!$B$122)*Assumptions!$B$121,0))</f>
        <v>182.016486005824</v>
      </c>
      <c r="U41" s="44" t="n">
        <f aca="false">IF(U7&gt;1,U40*Assumptions!$B$121,IF(U2&gt;Assumptions!$B$122,INDEX($C$40:$AE$40,1,U2-Assumptions!$B$122)*Assumptions!$B$121,0))</f>
        <v>203.254519026624</v>
      </c>
      <c r="V41" s="44" t="n">
        <f aca="false">IF(V7&gt;1,V40*Assumptions!$B$121,IF(V2&gt;Assumptions!$B$122,INDEX($C$40:$AE$40,1,V2-Assumptions!$B$122)*Assumptions!$B$121,0))</f>
        <v>221.90068320355</v>
      </c>
      <c r="W41" s="44" t="n">
        <f aca="false">IF(W7&gt;1,W40*Assumptions!$B$121,IF(W2&gt;Assumptions!$B$122,INDEX($C$40:$AE$40,1,W2-Assumptions!$B$122)*Assumptions!$B$121,0))</f>
        <v>274.69914925649</v>
      </c>
      <c r="X41" s="44" t="n">
        <f aca="false">IF(X7&gt;1,X40*Assumptions!$B$121,IF(X2&gt;Assumptions!$B$122,INDEX($C$40:$AE$40,1,X2-Assumptions!$B$122)*Assumptions!$B$121,0))</f>
        <v>326.169478458541</v>
      </c>
      <c r="Y41" s="44" t="n">
        <f aca="false">IF(Y7&gt;1,Y40*Assumptions!$B$121,IF(Y2&gt;Assumptions!$B$122,INDEX($C$40:$AE$40,1,Y2-Assumptions!$B$122)*Assumptions!$B$121,0))</f>
        <v>376.617732782348</v>
      </c>
      <c r="Z41" s="44" t="n">
        <f aca="false">IF(Z7&gt;1,Z40*Assumptions!$B$121,IF(Z2&gt;Assumptions!$B$122,INDEX($C$40:$AE$40,1,Z2-Assumptions!$B$122)*Assumptions!$B$121,0))</f>
        <v>440.963548029706</v>
      </c>
      <c r="AA41" s="44" t="n">
        <f aca="false">IF(AA7&gt;1,AA40*Assumptions!$B$121,IF(AA2&gt;Assumptions!$B$122,INDEX($C$40:$AE$40,1,AA2-Assumptions!$B$122)*Assumptions!$B$121,0))</f>
        <v>1937.54361047451</v>
      </c>
      <c r="AB41" s="44" t="n">
        <f aca="false">IF(AB7&gt;1,AB40*Assumptions!$B$121,IF(AB2&gt;Assumptions!$B$122,INDEX($C$40:$AE$40,1,AB2-Assumptions!$B$122)*Assumptions!$B$121,0))</f>
        <v>3631.60532668729</v>
      </c>
      <c r="AC41" s="44" t="n">
        <f aca="false">IF(AC7&gt;1,AC40*Assumptions!$B$121,IF(AC2&gt;Assumptions!$B$122,INDEX($C$40:$AE$40,1,AC2-Assumptions!$B$122)*Assumptions!$B$121,0))</f>
        <v>6188.63698789724</v>
      </c>
      <c r="AD41" s="44" t="n">
        <f aca="false">IF(AD7&gt;1,AD40*Assumptions!$B$121,IF(AD2&gt;Assumptions!$B$122,INDEX($C$40:$AE$40,1,AD2-Assumptions!$B$122)*Assumptions!$B$121,0))</f>
        <v>9730.2710315806</v>
      </c>
      <c r="AE41" s="44" t="n">
        <f aca="false">IF(AE7&gt;1,AE40*Assumptions!$B$121,IF(AE2&gt;Assumptions!$B$122,INDEX($C$40:$AE$40,1,AE2-Assumptions!$B$122)*Assumptions!$B$121,0))</f>
        <v>14074.1405594736</v>
      </c>
    </row>
    <row r="42" customFormat="false" ht="15" hidden="false" customHeight="false" outlineLevel="0" collapsed="false">
      <c r="A42" s="6" t="s">
        <v>439</v>
      </c>
      <c r="B42" s="23" t="s">
        <v>440</v>
      </c>
      <c r="C42" s="28" t="n">
        <f aca="false">IF(C2&gt;=Assumptions!$B$49,C41*Assumptions!$B$132,0)</f>
        <v>0</v>
      </c>
      <c r="D42" s="28" t="n">
        <f aca="false">IF(D2&gt;=Assumptions!$B$49,D41*Assumptions!$B$132,0)</f>
        <v>0</v>
      </c>
      <c r="E42" s="28" t="n">
        <f aca="false">IF(E2&gt;=Assumptions!$B$49,E41*Assumptions!$B$132,0)</f>
        <v>0</v>
      </c>
      <c r="F42" s="28" t="n">
        <f aca="false">IF(F2&gt;=Assumptions!$B$49,F41*Assumptions!$B$132,0)</f>
        <v>0</v>
      </c>
      <c r="G42" s="28" t="n">
        <f aca="false">IF(G2&gt;=Assumptions!$B$49,G41*Assumptions!$B$132,0)</f>
        <v>0</v>
      </c>
      <c r="H42" s="28" t="n">
        <f aca="false">IF(H2&gt;=Assumptions!$B$49,H41*Assumptions!$B$132,0)</f>
        <v>0</v>
      </c>
      <c r="I42" s="28" t="n">
        <f aca="false">IF(I2&gt;=Assumptions!$B$49,I41*Assumptions!$B$132,0)</f>
        <v>0</v>
      </c>
      <c r="J42" s="28" t="n">
        <f aca="false">IF(J2&gt;=Assumptions!$B$49,J41*Assumptions!$B$132,0)</f>
        <v>0</v>
      </c>
      <c r="K42" s="28" t="n">
        <f aca="false">IF(K2&gt;=Assumptions!$B$49,K41*Assumptions!$B$132,0)</f>
        <v>0</v>
      </c>
      <c r="L42" s="28" t="n">
        <f aca="false">IF(L2&gt;=Assumptions!$B$49,L41*Assumptions!$B$132,0)</f>
        <v>0</v>
      </c>
      <c r="M42" s="28" t="n">
        <f aca="false">IF(M2&gt;=Assumptions!$B$49,M41*Assumptions!$B$132,0)</f>
        <v>0</v>
      </c>
      <c r="N42" s="28" t="n">
        <f aca="false">IF(N2&gt;=Assumptions!$B$49,N41*Assumptions!$B$132,0)</f>
        <v>0</v>
      </c>
      <c r="O42" s="28" t="n">
        <f aca="false">IF(O2&gt;=Assumptions!$B$49,O41*Assumptions!$B$132,0)</f>
        <v>47.0172922314824</v>
      </c>
      <c r="P42" s="28" t="n">
        <f aca="false">IF(P2&gt;=Assumptions!$B$49,P41*Assumptions!$B$132,0)</f>
        <v>55.1546429293441</v>
      </c>
      <c r="Q42" s="28" t="n">
        <f aca="false">IF(Q2&gt;=Assumptions!$B$49,Q41*Assumptions!$B$132,0)</f>
        <v>63.0125301863837</v>
      </c>
      <c r="R42" s="28" t="n">
        <f aca="false">IF(R2&gt;=Assumptions!$B$49,R41*Assumptions!$B$132,0)</f>
        <v>70.8684342182989</v>
      </c>
      <c r="S42" s="28" t="n">
        <f aca="false">IF(S2&gt;=Assumptions!$B$49,S41*Assumptions!$B$132,0)</f>
        <v>79.4615481192602</v>
      </c>
      <c r="T42" s="28" t="n">
        <f aca="false">IF(T2&gt;=Assumptions!$B$49,T41*Assumptions!$B$132,0)</f>
        <v>91.0082430029119</v>
      </c>
      <c r="U42" s="28" t="n">
        <f aca="false">IF(U2&gt;=Assumptions!$B$49,U41*Assumptions!$B$132,0)</f>
        <v>101.627259513312</v>
      </c>
      <c r="V42" s="28" t="n">
        <f aca="false">IF(V2&gt;=Assumptions!$B$49,V41*Assumptions!$B$132,0)</f>
        <v>110.950341601775</v>
      </c>
      <c r="W42" s="28" t="n">
        <f aca="false">IF(W2&gt;=Assumptions!$B$49,W41*Assumptions!$B$132,0)</f>
        <v>137.349574628245</v>
      </c>
      <c r="X42" s="28" t="n">
        <f aca="false">IF(X2&gt;=Assumptions!$B$49,X41*Assumptions!$B$132,0)</f>
        <v>163.084739229271</v>
      </c>
      <c r="Y42" s="28" t="n">
        <f aca="false">IF(Y2&gt;=Assumptions!$B$49,Y41*Assumptions!$B$132,0)</f>
        <v>188.308866391174</v>
      </c>
      <c r="Z42" s="28" t="n">
        <f aca="false">IF(Z2&gt;=Assumptions!$B$49,Z41*Assumptions!$B$132,0)</f>
        <v>220.481774014853</v>
      </c>
      <c r="AA42" s="28" t="n">
        <f aca="false">IF(AA2&gt;=Assumptions!$B$49,AA41*Assumptions!$B$132,0)</f>
        <v>968.771805237253</v>
      </c>
      <c r="AB42" s="28" t="n">
        <f aca="false">IF(AB2&gt;=Assumptions!$B$49,AB41*Assumptions!$B$132,0)</f>
        <v>1815.80266334364</v>
      </c>
      <c r="AC42" s="28" t="n">
        <f aca="false">IF(AC2&gt;=Assumptions!$B$49,AC41*Assumptions!$B$132,0)</f>
        <v>3094.31849394862</v>
      </c>
      <c r="AD42" s="28" t="n">
        <f aca="false">IF(AD2&gt;=Assumptions!$B$49,AD41*Assumptions!$B$132,0)</f>
        <v>4865.1355157903</v>
      </c>
      <c r="AE42" s="28" t="n">
        <f aca="false">IF(AE2&gt;=Assumptions!$B$49,AE41*Assumptions!$B$132,0)</f>
        <v>7037.07027973679</v>
      </c>
    </row>
    <row r="43" customFormat="false" ht="15" hidden="false" customHeight="false" outlineLevel="0" collapsed="false">
      <c r="A43" s="6" t="s">
        <v>441</v>
      </c>
      <c r="B43" s="23" t="s">
        <v>110</v>
      </c>
      <c r="C43" s="54" t="n">
        <f aca="false">IF(C30=0,0,C39/C30*Assumptions!$B$32)</f>
        <v>18.7035344827586</v>
      </c>
      <c r="D43" s="54" t="n">
        <f aca="false">IF(D30=0,0,D39/D30*Assumptions!$B$32)</f>
        <v>28.3713854255935</v>
      </c>
      <c r="E43" s="54" t="n">
        <f aca="false">IF(E30=0,0,E39/E30*Assumptions!$B$32)</f>
        <v>38.1996727720894</v>
      </c>
      <c r="F43" s="54" t="n">
        <f aca="false">IF(F30=0,0,F39/F30*Assumptions!$B$32)</f>
        <v>46.1070653143255</v>
      </c>
      <c r="G43" s="54" t="n">
        <f aca="false">IF(G30=0,0,G39/G30*Assumptions!$B$32)</f>
        <v>55.6054469133446</v>
      </c>
      <c r="H43" s="54" t="n">
        <f aca="false">IF(H30=0,0,H39/H30*Assumptions!$B$32)</f>
        <v>66.544170149687</v>
      </c>
      <c r="I43" s="54" t="n">
        <f aca="false">IF(I30=0,0,I39/I30*Assumptions!$B$32)</f>
        <v>77.4542471472981</v>
      </c>
      <c r="J43" s="54" t="n">
        <f aca="false">IF(J30=0,0,J39/J30*Assumptions!$B$32)</f>
        <v>88.0907312729274</v>
      </c>
      <c r="K43" s="54" t="n">
        <f aca="false">IF(K30=0,0,K39/K30*Assumptions!$B$32)</f>
        <v>97.6283438557056</v>
      </c>
      <c r="L43" s="54" t="n">
        <f aca="false">IF(L30=0,0,L39/L30*Assumptions!$B$32)</f>
        <v>103.633265472334</v>
      </c>
      <c r="M43" s="54" t="n">
        <f aca="false">IF(M30=0,0,M39/M30*Assumptions!$B$32)</f>
        <v>111.540514599537</v>
      </c>
      <c r="N43" s="54" t="n">
        <f aca="false">IF(N30=0,0,N39/N30*Assumptions!$B$32)</f>
        <v>121.293811593501</v>
      </c>
      <c r="O43" s="54" t="n">
        <f aca="false">IF(O30=0,0,O39/O30*Assumptions!$B$32)</f>
        <v>113.322241718544</v>
      </c>
      <c r="P43" s="54" t="n">
        <f aca="false">IF(P30=0,0,P39/P30*Assumptions!$B$32)</f>
        <v>112.240766151207</v>
      </c>
      <c r="Q43" s="54" t="n">
        <f aca="false">IF(Q30=0,0,Q39/Q30*Assumptions!$B$32)</f>
        <v>114.717112726567</v>
      </c>
      <c r="R43" s="54" t="n">
        <f aca="false">IF(R30=0,0,R39/R30*Assumptions!$B$32)</f>
        <v>114.997842305586</v>
      </c>
      <c r="S43" s="54" t="n">
        <f aca="false">IF(S30=0,0,S39/S30*Assumptions!$B$32)</f>
        <v>119.089605607466</v>
      </c>
      <c r="T43" s="54" t="n">
        <f aca="false">IF(T30=0,0,T39/T30*Assumptions!$B$32)</f>
        <v>126.482213564553</v>
      </c>
      <c r="U43" s="54" t="n">
        <f aca="false">IF(U30=0,0,U39/U30*Assumptions!$B$32)</f>
        <v>134.509410597723</v>
      </c>
      <c r="V43" s="54" t="n">
        <f aca="false">IF(V30=0,0,V39/V30*Assumptions!$B$32)</f>
        <v>142.590966868309</v>
      </c>
      <c r="W43" s="54" t="n">
        <f aca="false">IF(W30=0,0,W39/W30*Assumptions!$B$32)</f>
        <v>149.449764105155</v>
      </c>
      <c r="X43" s="54" t="n">
        <f aca="false">IF(X30=0,0,X39/X30*Assumptions!$B$32)</f>
        <v>151.682515430175</v>
      </c>
      <c r="Y43" s="54" t="n">
        <f aca="false">IF(Y30=0,0,Y39/Y30*Assumptions!$B$32)</f>
        <v>156.419682216505</v>
      </c>
      <c r="Z43" s="54" t="n">
        <f aca="false">IF(Z30=0,0,Z39/Z30*Assumptions!$B$32)</f>
        <v>163.674605846609</v>
      </c>
      <c r="AA43" s="54" t="n">
        <f aca="false">IF(AA30=0,0,AA39/AA30*Assumptions!$B$32)</f>
        <v>295.973356440802</v>
      </c>
      <c r="AB43" s="54" t="n">
        <f aca="false">IF(AB30=0,0,AB39/AB30*Assumptions!$B$32)</f>
        <v>355.924531426609</v>
      </c>
      <c r="AC43" s="54" t="n">
        <f aca="false">IF(AC30=0,0,AC39/AC30*Assumptions!$B$32)</f>
        <v>394.334920302679</v>
      </c>
      <c r="AD43" s="54" t="n">
        <f aca="false">IF(AD30=0,0,AD39/AD30*Assumptions!$B$32)</f>
        <v>427.286627975064</v>
      </c>
      <c r="AE43" s="54" t="n">
        <f aca="false">IF(AE30=0,0,AE39/AE30*Assumptions!$B$32)</f>
        <v>466.190657539859</v>
      </c>
    </row>
    <row r="44" customFormat="false" ht="15" hidden="false" customHeight="false" outlineLevel="0" collapsed="false">
      <c r="A44" s="6" t="s">
        <v>442</v>
      </c>
      <c r="B44" s="23" t="s">
        <v>110</v>
      </c>
      <c r="C44" s="54" t="n">
        <f aca="false">IF(Assumptions!$B$163=1,Assumptions!$B$157*Assumptions!$B$131*C16,MIN(Assumptions!$B$157*Assumptions!$B$131*C16,C43))</f>
        <v>18.7035344827586</v>
      </c>
      <c r="D44" s="54" t="n">
        <f aca="false">IF(Assumptions!$B$163=1,Assumptions!$B$157*Assumptions!$B$131*D16,MIN(Assumptions!$B$157*Assumptions!$B$131*D16,D43))</f>
        <v>28.3713854255935</v>
      </c>
      <c r="E44" s="54" t="n">
        <f aca="false">IF(Assumptions!$B$163=1,Assumptions!$B$157*Assumptions!$B$131*E16,MIN(Assumptions!$B$157*Assumptions!$B$131*E16,E43))</f>
        <v>38.1996727720894</v>
      </c>
      <c r="F44" s="54" t="n">
        <f aca="false">IF(Assumptions!$B$163=1,Assumptions!$B$157*Assumptions!$B$131*F16,MIN(Assumptions!$B$157*Assumptions!$B$131*F16,F43))</f>
        <v>46.1070653143255</v>
      </c>
      <c r="G44" s="54" t="n">
        <f aca="false">IF(Assumptions!$B$163=1,Assumptions!$B$157*Assumptions!$B$131*G16,MIN(Assumptions!$B$157*Assumptions!$B$131*G16,G43))</f>
        <v>55.6054469133446</v>
      </c>
      <c r="H44" s="54" t="n">
        <f aca="false">IF(Assumptions!$B$163=1,Assumptions!$B$157*Assumptions!$B$131*H16,MIN(Assumptions!$B$157*Assumptions!$B$131*H16,H43))</f>
        <v>66.544170149687</v>
      </c>
      <c r="I44" s="54" t="n">
        <f aca="false">IF(Assumptions!$B$163=1,Assumptions!$B$157*Assumptions!$B$131*I16,MIN(Assumptions!$B$157*Assumptions!$B$131*I16,I43))</f>
        <v>77.4542471472981</v>
      </c>
      <c r="J44" s="54" t="n">
        <f aca="false">IF(Assumptions!$B$163=1,Assumptions!$B$157*Assumptions!$B$131*J16,MIN(Assumptions!$B$157*Assumptions!$B$131*J16,J43))</f>
        <v>88.0907312729274</v>
      </c>
      <c r="K44" s="54" t="n">
        <f aca="false">IF(Assumptions!$B$163=1,Assumptions!$B$157*Assumptions!$B$131*K16,MIN(Assumptions!$B$157*Assumptions!$B$131*K16,K43))</f>
        <v>97.6283438557056</v>
      </c>
      <c r="L44" s="54" t="n">
        <f aca="false">IF(Assumptions!$B$163=1,Assumptions!$B$157*Assumptions!$B$131*L16,MIN(Assumptions!$B$157*Assumptions!$B$131*L16,L43))</f>
        <v>103.633265472334</v>
      </c>
      <c r="M44" s="54" t="n">
        <f aca="false">IF(Assumptions!$B$163=1,Assumptions!$B$157*Assumptions!$B$131*M16,MIN(Assumptions!$B$157*Assumptions!$B$131*M16,M43))</f>
        <v>111.540514599537</v>
      </c>
      <c r="N44" s="54" t="n">
        <f aca="false">IF(Assumptions!$B$163=1,Assumptions!$B$157*Assumptions!$B$131*N16,MIN(Assumptions!$B$157*Assumptions!$B$131*N16,N43))</f>
        <v>121.293811593501</v>
      </c>
      <c r="O44" s="54" t="n">
        <f aca="false">IF(Assumptions!$B$163=1,Assumptions!$B$157*Assumptions!$B$131*O16,MIN(Assumptions!$B$157*Assumptions!$B$131*O16,O43))</f>
        <v>113.322241718544</v>
      </c>
      <c r="P44" s="54" t="n">
        <f aca="false">IF(Assumptions!$B$163=1,Assumptions!$B$157*Assumptions!$B$131*P16,MIN(Assumptions!$B$157*Assumptions!$B$131*P16,P43))</f>
        <v>112.240766151207</v>
      </c>
      <c r="Q44" s="54" t="n">
        <f aca="false">IF(Assumptions!$B$163=1,Assumptions!$B$157*Assumptions!$B$131*Q16,MIN(Assumptions!$B$157*Assumptions!$B$131*Q16,Q43))</f>
        <v>114.717112726567</v>
      </c>
      <c r="R44" s="54" t="n">
        <f aca="false">IF(Assumptions!$B$163=1,Assumptions!$B$157*Assumptions!$B$131*R16,MIN(Assumptions!$B$157*Assumptions!$B$131*R16,R43))</f>
        <v>114.997842305586</v>
      </c>
      <c r="S44" s="54" t="n">
        <f aca="false">IF(Assumptions!$B$163=1,Assumptions!$B$157*Assumptions!$B$131*S16,MIN(Assumptions!$B$157*Assumptions!$B$131*S16,S43))</f>
        <v>119.089605607466</v>
      </c>
      <c r="T44" s="54" t="n">
        <f aca="false">IF(Assumptions!$B$163=1,Assumptions!$B$157*Assumptions!$B$131*T16,MIN(Assumptions!$B$157*Assumptions!$B$131*T16,T43))</f>
        <v>126.482213564553</v>
      </c>
      <c r="U44" s="54" t="n">
        <f aca="false">IF(Assumptions!$B$163=1,Assumptions!$B$157*Assumptions!$B$131*U16,MIN(Assumptions!$B$157*Assumptions!$B$131*U16,U43))</f>
        <v>134.509410597723</v>
      </c>
      <c r="V44" s="54" t="n">
        <f aca="false">IF(Assumptions!$B$163=1,Assumptions!$B$157*Assumptions!$B$131*V16,MIN(Assumptions!$B$157*Assumptions!$B$131*V16,V43))</f>
        <v>142.590966868309</v>
      </c>
      <c r="W44" s="54" t="n">
        <f aca="false">IF(Assumptions!$B$163=1,Assumptions!$B$157*Assumptions!$B$131*W16,MIN(Assumptions!$B$157*Assumptions!$B$131*W16,W43))</f>
        <v>149.449764105155</v>
      </c>
      <c r="X44" s="54" t="n">
        <f aca="false">IF(Assumptions!$B$163=1,Assumptions!$B$157*Assumptions!$B$131*X16,MIN(Assumptions!$B$157*Assumptions!$B$131*X16,X43))</f>
        <v>151.682515430175</v>
      </c>
      <c r="Y44" s="54" t="n">
        <f aca="false">IF(Assumptions!$B$163=1,Assumptions!$B$157*Assumptions!$B$131*Y16,MIN(Assumptions!$B$157*Assumptions!$B$131*Y16,Y43))</f>
        <v>156.419682216505</v>
      </c>
      <c r="Z44" s="54" t="n">
        <f aca="false">IF(Assumptions!$B$163=1,Assumptions!$B$157*Assumptions!$B$131*Z16,MIN(Assumptions!$B$157*Assumptions!$B$131*Z16,Z43))</f>
        <v>163.674605846609</v>
      </c>
      <c r="AA44" s="54" t="n">
        <f aca="false">IF(Assumptions!$B$163=1,Assumptions!$B$157*Assumptions!$B$131*AA16,MIN(Assumptions!$B$157*Assumptions!$B$131*AA16,AA43))</f>
        <v>268.8</v>
      </c>
      <c r="AB44" s="54" t="n">
        <f aca="false">IF(Assumptions!$B$163=1,Assumptions!$B$157*Assumptions!$B$131*AB16,MIN(Assumptions!$B$157*Assumptions!$B$131*AB16,AB43))</f>
        <v>268.8</v>
      </c>
      <c r="AC44" s="54" t="n">
        <f aca="false">IF(Assumptions!$B$163=1,Assumptions!$B$157*Assumptions!$B$131*AC16,MIN(Assumptions!$B$157*Assumptions!$B$131*AC16,AC43))</f>
        <v>268.8</v>
      </c>
      <c r="AD44" s="54" t="n">
        <f aca="false">IF(Assumptions!$B$163=1,Assumptions!$B$157*Assumptions!$B$131*AD16,MIN(Assumptions!$B$157*Assumptions!$B$131*AD16,AD43))</f>
        <v>268.8</v>
      </c>
      <c r="AE44" s="54" t="n">
        <f aca="false">IF(Assumptions!$B$163=1,Assumptions!$B$157*Assumptions!$B$131*AE16,MIN(Assumptions!$B$157*Assumptions!$B$131*AE16,AE43))</f>
        <v>268.8</v>
      </c>
    </row>
    <row r="45" customFormat="false" ht="15" hidden="false" customHeight="false" outlineLevel="0" collapsed="false">
      <c r="A45" s="6" t="s">
        <v>443</v>
      </c>
      <c r="B45" s="23" t="s">
        <v>60</v>
      </c>
      <c r="C45" s="44" t="n">
        <f aca="false">C42*C44*Assumptions!$B$7*C7</f>
        <v>0</v>
      </c>
      <c r="D45" s="44" t="n">
        <f aca="false">D42*D44*Assumptions!$B$7*D7</f>
        <v>0</v>
      </c>
      <c r="E45" s="44" t="n">
        <f aca="false">E42*E44*Assumptions!$B$7*E7</f>
        <v>0</v>
      </c>
      <c r="F45" s="44" t="n">
        <f aca="false">F42*F44*Assumptions!$B$7*F7</f>
        <v>0</v>
      </c>
      <c r="G45" s="44" t="n">
        <f aca="false">G42*G44*Assumptions!$B$7*G7</f>
        <v>0</v>
      </c>
      <c r="H45" s="44" t="n">
        <f aca="false">H42*H44*Assumptions!$B$7*H7</f>
        <v>0</v>
      </c>
      <c r="I45" s="44" t="n">
        <f aca="false">I42*I44*Assumptions!$B$7*I7</f>
        <v>0</v>
      </c>
      <c r="J45" s="44" t="n">
        <f aca="false">J42*J44*Assumptions!$B$7*J7</f>
        <v>0</v>
      </c>
      <c r="K45" s="44" t="n">
        <f aca="false">K42*K44*Assumptions!$B$7*K7</f>
        <v>0</v>
      </c>
      <c r="L45" s="44" t="n">
        <f aca="false">L42*L44*Assumptions!$B$7*L7</f>
        <v>0</v>
      </c>
      <c r="M45" s="44" t="n">
        <f aca="false">M42*M44*Assumptions!$B$7*M7</f>
        <v>0</v>
      </c>
      <c r="N45" s="44" t="n">
        <f aca="false">N42*N44*Assumptions!$B$7*N7</f>
        <v>0</v>
      </c>
      <c r="O45" s="44" t="n">
        <f aca="false">O42*O44*Assumptions!$B$7*O7</f>
        <v>19567.4654479994</v>
      </c>
      <c r="P45" s="44" t="n">
        <f aca="false">P42*P44*Assumptions!$B$7*P7</f>
        <v>22734.9762200599</v>
      </c>
      <c r="Q45" s="44" t="n">
        <f aca="false">Q42*Q44*Assumptions!$B$7*Q7</f>
        <v>26547.0905287012</v>
      </c>
      <c r="R45" s="44" t="n">
        <f aca="false">R42*R44*Assumptions!$B$7*R7</f>
        <v>29929.8357657914</v>
      </c>
      <c r="S45" s="44" t="n">
        <f aca="false">S42*S44*Assumptions!$B$7*S7</f>
        <v>34753.030656253</v>
      </c>
      <c r="T45" s="44" t="n">
        <f aca="false">T42*T44*Assumptions!$B$7*T7</f>
        <v>42273.8684914677</v>
      </c>
      <c r="U45" s="44" t="n">
        <f aca="false">U42*U44*Assumptions!$B$7*U7</f>
        <v>50202.424151461</v>
      </c>
      <c r="V45" s="44" t="n">
        <f aca="false">V42*V44*Assumptions!$B$7*V7</f>
        <v>58100.8467851627</v>
      </c>
      <c r="W45" s="44" t="n">
        <f aca="false">W42*W44*Assumptions!$B$7*W7</f>
        <v>75384.8989620743</v>
      </c>
      <c r="X45" s="44" t="n">
        <f aca="false">X42*X44*Assumptions!$B$7*X7</f>
        <v>90847.0125103581</v>
      </c>
      <c r="Y45" s="44" t="n">
        <f aca="false">Y42*Y44*Assumptions!$B$7*Y7</f>
        <v>108174.269887408</v>
      </c>
      <c r="Z45" s="44" t="n">
        <f aca="false">Z42*Z44*Assumptions!$B$7*Z7</f>
        <v>132530.489740395</v>
      </c>
      <c r="AA45" s="44" t="n">
        <f aca="false">AA42*AA44*Assumptions!$B$7*AA7</f>
        <v>11476086.3051894</v>
      </c>
      <c r="AB45" s="44" t="n">
        <f aca="false">AB42*AB44*Assumptions!$B$7*AB7</f>
        <v>21510027.4028114</v>
      </c>
      <c r="AC45" s="44" t="n">
        <f aca="false">AC42*AC44*Assumptions!$B$7*AC7</f>
        <v>36655346.3884112</v>
      </c>
      <c r="AD45" s="44" t="n">
        <f aca="false">AD42*AD44*Assumptions!$B$7*AD7</f>
        <v>57632473.1622202</v>
      </c>
      <c r="AE45" s="44" t="n">
        <f aca="false">AE42*AE44*Assumptions!$B$7*AE7</f>
        <v>83361247.1268865</v>
      </c>
    </row>
    <row r="46" customFormat="false" ht="15" hidden="false" customHeight="false" outlineLevel="0" collapsed="false">
      <c r="A46" s="6" t="s">
        <v>443</v>
      </c>
      <c r="B46" s="23" t="s">
        <v>110</v>
      </c>
      <c r="C46" s="54" t="n">
        <f aca="false">C45/Assumptions!$B$7</f>
        <v>0</v>
      </c>
      <c r="D46" s="54" t="n">
        <f aca="false">D45/Assumptions!$B$7</f>
        <v>0</v>
      </c>
      <c r="E46" s="54" t="n">
        <f aca="false">E45/Assumptions!$B$7</f>
        <v>0</v>
      </c>
      <c r="F46" s="54" t="n">
        <f aca="false">F45/Assumptions!$B$7</f>
        <v>0</v>
      </c>
      <c r="G46" s="54" t="n">
        <f aca="false">G45/Assumptions!$B$7</f>
        <v>0</v>
      </c>
      <c r="H46" s="54" t="n">
        <f aca="false">H45/Assumptions!$B$7</f>
        <v>0</v>
      </c>
      <c r="I46" s="54" t="n">
        <f aca="false">I45/Assumptions!$B$7</f>
        <v>0</v>
      </c>
      <c r="J46" s="54" t="n">
        <f aca="false">J45/Assumptions!$B$7</f>
        <v>0</v>
      </c>
      <c r="K46" s="54" t="n">
        <f aca="false">K45/Assumptions!$B$7</f>
        <v>0</v>
      </c>
      <c r="L46" s="54" t="n">
        <f aca="false">L45/Assumptions!$B$7</f>
        <v>0</v>
      </c>
      <c r="M46" s="54" t="n">
        <f aca="false">M45/Assumptions!$B$7</f>
        <v>0</v>
      </c>
      <c r="N46" s="54" t="n">
        <f aca="false">N45/Assumptions!$B$7</f>
        <v>0</v>
      </c>
      <c r="O46" s="54" t="n">
        <f aca="false">O45/Assumptions!$B$7</f>
        <v>5328.10495520746</v>
      </c>
      <c r="P46" s="54" t="n">
        <f aca="false">P45/Assumptions!$B$7</f>
        <v>6190.59937918583</v>
      </c>
      <c r="Q46" s="54" t="n">
        <f aca="false">Q45/Assumptions!$B$7</f>
        <v>7228.61552857759</v>
      </c>
      <c r="R46" s="54" t="n">
        <f aca="false">R45/Assumptions!$B$7</f>
        <v>8149.71702267976</v>
      </c>
      <c r="S46" s="54" t="n">
        <f aca="false">S45/Assumptions!$B$7</f>
        <v>9463.04442648141</v>
      </c>
      <c r="T46" s="54" t="n">
        <f aca="false">T45/Assumptions!$B$7</f>
        <v>11510.9240276291</v>
      </c>
      <c r="U46" s="54" t="n">
        <f aca="false">U45/Assumptions!$B$7</f>
        <v>13669.8227777974</v>
      </c>
      <c r="V46" s="54" t="n">
        <f aca="false">V45/Assumptions!$B$7</f>
        <v>15820.5164833663</v>
      </c>
      <c r="W46" s="54" t="n">
        <f aca="false">W45/Assumptions!$B$7</f>
        <v>20526.8615281346</v>
      </c>
      <c r="X46" s="54" t="n">
        <f aca="false">X45/Assumptions!$B$7</f>
        <v>24737.1034745699</v>
      </c>
      <c r="Y46" s="54" t="n">
        <f aca="false">Y45/Assumptions!$B$7</f>
        <v>29455.2130394577</v>
      </c>
      <c r="Z46" s="54" t="n">
        <f aca="false">Z45/Assumptions!$B$7</f>
        <v>36087.2674582423</v>
      </c>
      <c r="AA46" s="54" t="n">
        <f aca="false">AA45/Assumptions!$B$7</f>
        <v>3124870.33497328</v>
      </c>
      <c r="AB46" s="54" t="n">
        <f aca="false">AB45/Assumptions!$B$7</f>
        <v>5857053.07088126</v>
      </c>
      <c r="AC46" s="54" t="n">
        <f aca="false">AC45/Assumptions!$B$7</f>
        <v>9981033.73408067</v>
      </c>
      <c r="AD46" s="54" t="n">
        <f aca="false">AD45/Assumptions!$B$7</f>
        <v>15692981.1197332</v>
      </c>
      <c r="AE46" s="54" t="n">
        <f aca="false">AE45/Assumptions!$B$7</f>
        <v>22698773.894319</v>
      </c>
    </row>
    <row r="47" customFormat="false" ht="15" hidden="false" customHeight="false" outlineLevel="0" collapsed="false">
      <c r="A47" s="6" t="s">
        <v>444</v>
      </c>
      <c r="B47" s="23" t="s">
        <v>110</v>
      </c>
      <c r="C47" s="54" t="n">
        <f aca="false">C34*(Assumptions!$B$8-(1-Assumptions!$B$8)*Assumptions!$B$9)</f>
        <v>39.8511927387054</v>
      </c>
      <c r="D47" s="54" t="n">
        <f aca="false">D34*(Assumptions!$B$8-(1-Assumptions!$B$8)*Assumptions!$B$9)</f>
        <v>75.781462496077</v>
      </c>
      <c r="E47" s="54" t="n">
        <f aca="false">E34*(Assumptions!$B$8-(1-Assumptions!$B$8)*Assumptions!$B$9)</f>
        <v>108.377417519294</v>
      </c>
      <c r="F47" s="54" t="n">
        <f aca="false">F34*(Assumptions!$B$8-(1-Assumptions!$B$8)*Assumptions!$B$9)</f>
        <v>148.446566992592</v>
      </c>
      <c r="G47" s="54" t="n">
        <f aca="false">G34*(Assumptions!$B$8-(1-Assumptions!$B$8)*Assumptions!$B$9)</f>
        <v>182.217886334822</v>
      </c>
      <c r="H47" s="54" t="n">
        <f aca="false">H34*(Assumptions!$B$8-(1-Assumptions!$B$8)*Assumptions!$B$9)</f>
        <v>208.031749967353</v>
      </c>
      <c r="I47" s="54" t="n">
        <f aca="false">I34*(Assumptions!$B$8-(1-Assumptions!$B$8)*Assumptions!$B$9)</f>
        <v>231.400418519952</v>
      </c>
      <c r="J47" s="54" t="n">
        <f aca="false">J34*(Assumptions!$B$8-(1-Assumptions!$B$8)*Assumptions!$B$9)</f>
        <v>253.624941183958</v>
      </c>
      <c r="K47" s="54" t="n">
        <f aca="false">K34*(Assumptions!$B$8-(1-Assumptions!$B$8)*Assumptions!$B$9)</f>
        <v>277.910282436149</v>
      </c>
      <c r="L47" s="54" t="n">
        <f aca="false">L34*(Assumptions!$B$8-(1-Assumptions!$B$8)*Assumptions!$B$9)</f>
        <v>313.599220942388</v>
      </c>
      <c r="M47" s="54" t="n">
        <f aca="false">M34*(Assumptions!$B$8-(1-Assumptions!$B$8)*Assumptions!$B$9)</f>
        <v>343.601300476599</v>
      </c>
      <c r="N47" s="54" t="n">
        <f aca="false">N34*(Assumptions!$B$8-(1-Assumptions!$B$8)*Assumptions!$B$9)</f>
        <v>366.623928508668</v>
      </c>
      <c r="O47" s="54" t="n">
        <f aca="false">O34*(Assumptions!$B$8-(1-Assumptions!$B$8)*Assumptions!$B$9)</f>
        <v>461.281261662263</v>
      </c>
      <c r="P47" s="54" t="n">
        <f aca="false">P34*(Assumptions!$B$8-(1-Assumptions!$B$8)*Assumptions!$B$9)</f>
        <v>548.509044986437</v>
      </c>
      <c r="Q47" s="54" t="n">
        <f aca="false">Q34*(Assumptions!$B$8-(1-Assumptions!$B$8)*Assumptions!$B$9)</f>
        <v>629.32034220401</v>
      </c>
      <c r="R47" s="54" t="n">
        <f aca="false">R34*(Assumptions!$B$8-(1-Assumptions!$B$8)*Assumptions!$B$9)</f>
        <v>735.809823869346</v>
      </c>
      <c r="S47" s="54" t="n">
        <f aca="false">S34*(Assumptions!$B$8-(1-Assumptions!$B$8)*Assumptions!$B$9)</f>
        <v>827.220867459773</v>
      </c>
      <c r="T47" s="54" t="n">
        <f aca="false">T34*(Assumptions!$B$8-(1-Assumptions!$B$8)*Assumptions!$B$9)</f>
        <v>896.92582814461</v>
      </c>
      <c r="U47" s="54" t="n">
        <f aca="false">U34*(Assumptions!$B$8-(1-Assumptions!$B$8)*Assumptions!$B$9)</f>
        <v>961.172020068974</v>
      </c>
      <c r="V47" s="54" t="n">
        <f aca="false">V34*(Assumptions!$B$8-(1-Assumptions!$B$8)*Assumptions!$B$9)</f>
        <v>1023.82253788946</v>
      </c>
      <c r="W47" s="54" t="n">
        <f aca="false">W34*(Assumptions!$B$8-(1-Assumptions!$B$8)*Assumptions!$B$9)</f>
        <v>1095.3315386863</v>
      </c>
      <c r="X47" s="54" t="n">
        <f aca="false">X34*(Assumptions!$B$8-(1-Assumptions!$B$8)*Assumptions!$B$9)</f>
        <v>1207.53758339452</v>
      </c>
      <c r="Y47" s="54" t="n">
        <f aca="false">Y34*(Assumptions!$B$8-(1-Assumptions!$B$8)*Assumptions!$B$9)</f>
        <v>1304.56631884417</v>
      </c>
      <c r="Z47" s="54" t="n">
        <f aca="false">Z34*(Assumptions!$B$8-(1-Assumptions!$B$8)*Assumptions!$B$9)</f>
        <v>1380.54554987795</v>
      </c>
      <c r="AA47" s="54" t="n">
        <f aca="false">AA34*(Assumptions!$B$8-(1-Assumptions!$B$8)*Assumptions!$B$9)</f>
        <v>28746.642637386</v>
      </c>
      <c r="AB47" s="54" t="n">
        <f aca="false">AB34*(Assumptions!$B$8-(1-Assumptions!$B$8)*Assumptions!$B$9)</f>
        <v>48737.0688433904</v>
      </c>
      <c r="AC47" s="54" t="n">
        <f aca="false">AC34*(Assumptions!$B$8-(1-Assumptions!$B$8)*Assumptions!$B$9)</f>
        <v>76504.8089911154</v>
      </c>
      <c r="AD47" s="54" t="n">
        <f aca="false">AD34*(Assumptions!$B$8-(1-Assumptions!$B$8)*Assumptions!$B$9)</f>
        <v>110914.165229864</v>
      </c>
      <c r="AE47" s="54" t="n">
        <f aca="false">AE34*(Assumptions!$B$8-(1-Assumptions!$B$8)*Assumptions!$B$9)</f>
        <v>145431.859262082</v>
      </c>
    </row>
    <row r="48" customFormat="false" ht="15" hidden="false" customHeight="false" outlineLevel="0" collapsed="false">
      <c r="A48" s="6" t="s">
        <v>445</v>
      </c>
      <c r="B48" s="23" t="s">
        <v>110</v>
      </c>
      <c r="C48" s="54" t="n">
        <f aca="false">C35*(Assumptions!$B$8-(1-Assumptions!$B$8)*Assumptions!$B$9)</f>
        <v>7.55097079080262</v>
      </c>
      <c r="D48" s="54" t="n">
        <f aca="false">D35*(Assumptions!$B$8-(1-Assumptions!$B$8)*Assumptions!$B$9)</f>
        <v>14.3590083625379</v>
      </c>
      <c r="E48" s="54" t="n">
        <f aca="false">E35*(Assumptions!$B$8-(1-Assumptions!$B$8)*Assumptions!$B$9)</f>
        <v>20.5352627570413</v>
      </c>
      <c r="F48" s="54" t="n">
        <f aca="false">F35*(Assumptions!$B$8-(1-Assumptions!$B$8)*Assumptions!$B$9)</f>
        <v>28.1275318082838</v>
      </c>
      <c r="G48" s="54" t="n">
        <f aca="false">G35*(Assumptions!$B$8-(1-Assumptions!$B$8)*Assumptions!$B$9)</f>
        <v>34.5264932544835</v>
      </c>
      <c r="H48" s="54" t="n">
        <f aca="false">H35*(Assumptions!$B$8-(1-Assumptions!$B$8)*Assumptions!$B$9)</f>
        <v>39.4176826240224</v>
      </c>
      <c r="I48" s="54" t="n">
        <f aca="false">I35*(Assumptions!$B$8-(1-Assumptions!$B$8)*Assumptions!$B$9)</f>
        <v>43.8455584674785</v>
      </c>
      <c r="J48" s="54" t="n">
        <f aca="false">J35*(Assumptions!$B$8-(1-Assumptions!$B$8)*Assumptions!$B$9)</f>
        <v>48.0566425014187</v>
      </c>
      <c r="K48" s="54" t="n">
        <f aca="false">K35*(Assumptions!$B$8-(1-Assumptions!$B$8)*Assumptions!$B$9)</f>
        <v>52.6582087240994</v>
      </c>
      <c r="L48" s="54" t="n">
        <f aca="false">L35*(Assumptions!$B$8-(1-Assumptions!$B$8)*Assumptions!$B$9)</f>
        <v>59.4205190514796</v>
      </c>
      <c r="M48" s="54" t="n">
        <f aca="false">M35*(Assumptions!$B$8-(1-Assumptions!$B$8)*Assumptions!$B$9)</f>
        <v>65.1052880798888</v>
      </c>
      <c r="N48" s="54" t="n">
        <f aca="false">N35*(Assumptions!$B$8-(1-Assumptions!$B$8)*Assumptions!$B$9)</f>
        <v>69.467596453882</v>
      </c>
      <c r="O48" s="54" t="n">
        <f aca="false">O35*(Assumptions!$B$8-(1-Assumptions!$B$8)*Assumptions!$B$9)</f>
        <v>87.4031890587141</v>
      </c>
      <c r="P48" s="54" t="n">
        <f aca="false">P35*(Assumptions!$B$8-(1-Assumptions!$B$8)*Assumptions!$B$9)</f>
        <v>103.931036753159</v>
      </c>
      <c r="Q48" s="54" t="n">
        <f aca="false">Q35*(Assumptions!$B$8-(1-Assumptions!$B$8)*Assumptions!$B$9)</f>
        <v>119.243094007197</v>
      </c>
      <c r="R48" s="54" t="n">
        <f aca="false">R35*(Assumptions!$B$8-(1-Assumptions!$B$8)*Assumptions!$B$9)</f>
        <v>139.420632251911</v>
      </c>
      <c r="S48" s="54" t="n">
        <f aca="false">S35*(Assumptions!$B$8-(1-Assumptions!$B$8)*Assumptions!$B$9)</f>
        <v>156.741120615555</v>
      </c>
      <c r="T48" s="54" t="n">
        <f aca="false">T35*(Assumptions!$B$8-(1-Assumptions!$B$8)*Assumptions!$B$9)</f>
        <v>169.948758478651</v>
      </c>
      <c r="U48" s="54" t="n">
        <f aca="false">U35*(Assumptions!$B$8-(1-Assumptions!$B$8)*Assumptions!$B$9)</f>
        <v>182.122073385986</v>
      </c>
      <c r="V48" s="54" t="n">
        <f aca="false">V35*(Assumptions!$B$8-(1-Assumptions!$B$8)*Assumptions!$B$9)</f>
        <v>193.993041293848</v>
      </c>
      <c r="W48" s="54" t="n">
        <f aca="false">W35*(Assumptions!$B$8-(1-Assumptions!$B$8)*Assumptions!$B$9)</f>
        <v>207.542507173998</v>
      </c>
      <c r="X48" s="54" t="n">
        <f aca="false">X35*(Assumptions!$B$8-(1-Assumptions!$B$8)*Assumptions!$B$9)</f>
        <v>228.803215020274</v>
      </c>
      <c r="Y48" s="54" t="n">
        <f aca="false">Y35*(Assumptions!$B$8-(1-Assumptions!$B$8)*Assumptions!$B$9)</f>
        <v>247.188138955995</v>
      </c>
      <c r="Z48" s="54" t="n">
        <f aca="false">Z35*(Assumptions!$B$8-(1-Assumptions!$B$8)*Assumptions!$B$9)</f>
        <v>261.58462033625</v>
      </c>
      <c r="AA48" s="54" t="n">
        <f aca="false">AA35*(Assumptions!$B$8-(1-Assumptions!$B$8)*Assumptions!$B$9)</f>
        <v>5446.88989139636</v>
      </c>
      <c r="AB48" s="54" t="n">
        <f aca="false">AB35*(Assumptions!$B$8-(1-Assumptions!$B$8)*Assumptions!$B$9)</f>
        <v>9234.65919022158</v>
      </c>
      <c r="AC48" s="54" t="n">
        <f aca="false">AC35*(Assumptions!$B$8-(1-Assumptions!$B$8)*Assumptions!$B$9)</f>
        <v>14496.0674536291</v>
      </c>
      <c r="AD48" s="54" t="n">
        <f aca="false">AD35*(Assumptions!$B$8-(1-Assumptions!$B$8)*Assumptions!$B$9)</f>
        <v>21015.9235992836</v>
      </c>
      <c r="AE48" s="54" t="n">
        <f aca="false">AE35*(Assumptions!$B$8-(1-Assumptions!$B$8)*Assumptions!$B$9)</f>
        <v>27556.3074997632</v>
      </c>
    </row>
    <row r="49" customFormat="false" ht="15" hidden="false" customHeight="false" outlineLevel="0" collapsed="false">
      <c r="A49" s="6" t="s">
        <v>446</v>
      </c>
      <c r="B49" s="23" t="s">
        <v>110</v>
      </c>
      <c r="C49" s="54" t="n">
        <f aca="false">C46*IF(Assumptions!$B$163=1,MIN(Assumptions!$B$14,1%),Assumptions!$B$14)*(1-Assumptions!$B$130)</f>
        <v>0</v>
      </c>
      <c r="D49" s="54" t="n">
        <f aca="false">D46*IF(Assumptions!$B$163=1,MIN(Assumptions!$B$14,1%),Assumptions!$B$14)*(1-Assumptions!$B$130)</f>
        <v>0</v>
      </c>
      <c r="E49" s="54" t="n">
        <f aca="false">E46*IF(Assumptions!$B$163=1,MIN(Assumptions!$B$14,1%),Assumptions!$B$14)*(1-Assumptions!$B$130)</f>
        <v>0</v>
      </c>
      <c r="F49" s="54" t="n">
        <f aca="false">F46*IF(Assumptions!$B$163=1,MIN(Assumptions!$B$14,1%),Assumptions!$B$14)*(1-Assumptions!$B$130)</f>
        <v>0</v>
      </c>
      <c r="G49" s="54" t="n">
        <f aca="false">G46*IF(Assumptions!$B$163=1,MIN(Assumptions!$B$14,1%),Assumptions!$B$14)*(1-Assumptions!$B$130)</f>
        <v>0</v>
      </c>
      <c r="H49" s="54" t="n">
        <f aca="false">H46*IF(Assumptions!$B$163=1,MIN(Assumptions!$B$14,1%),Assumptions!$B$14)*(1-Assumptions!$B$130)</f>
        <v>0</v>
      </c>
      <c r="I49" s="54" t="n">
        <f aca="false">I46*IF(Assumptions!$B$163=1,MIN(Assumptions!$B$14,1%),Assumptions!$B$14)*(1-Assumptions!$B$130)</f>
        <v>0</v>
      </c>
      <c r="J49" s="54" t="n">
        <f aca="false">J46*IF(Assumptions!$B$163=1,MIN(Assumptions!$B$14,1%),Assumptions!$B$14)*(1-Assumptions!$B$130)</f>
        <v>0</v>
      </c>
      <c r="K49" s="54" t="n">
        <f aca="false">K46*IF(Assumptions!$B$163=1,MIN(Assumptions!$B$14,1%),Assumptions!$B$14)*(1-Assumptions!$B$130)</f>
        <v>0</v>
      </c>
      <c r="L49" s="54" t="n">
        <f aca="false">L46*IF(Assumptions!$B$163=1,MIN(Assumptions!$B$14,1%),Assumptions!$B$14)*(1-Assumptions!$B$130)</f>
        <v>0</v>
      </c>
      <c r="M49" s="54" t="n">
        <f aca="false">M46*IF(Assumptions!$B$163=1,MIN(Assumptions!$B$14,1%),Assumptions!$B$14)*(1-Assumptions!$B$130)</f>
        <v>0</v>
      </c>
      <c r="N49" s="54" t="n">
        <f aca="false">N46*IF(Assumptions!$B$163=1,MIN(Assumptions!$B$14,1%),Assumptions!$B$14)*(1-Assumptions!$B$130)</f>
        <v>0</v>
      </c>
      <c r="O49" s="54" t="n">
        <f aca="false">O46*IF(Assumptions!$B$163=1,MIN(Assumptions!$B$14,1%),Assumptions!$B$14)*(1-Assumptions!$B$130)</f>
        <v>26.8536489742456</v>
      </c>
      <c r="P49" s="54" t="n">
        <f aca="false">P46*IF(Assumptions!$B$163=1,MIN(Assumptions!$B$14,1%),Assumptions!$B$14)*(1-Assumptions!$B$130)</f>
        <v>31.2006208710966</v>
      </c>
      <c r="Q49" s="54" t="n">
        <f aca="false">Q46*IF(Assumptions!$B$163=1,MIN(Assumptions!$B$14,1%),Assumptions!$B$14)*(1-Assumptions!$B$130)</f>
        <v>36.432222264031</v>
      </c>
      <c r="R49" s="54" t="n">
        <f aca="false">R46*IF(Assumptions!$B$163=1,MIN(Assumptions!$B$14,1%),Assumptions!$B$14)*(1-Assumptions!$B$130)</f>
        <v>41.074573794306</v>
      </c>
      <c r="S49" s="54" t="n">
        <f aca="false">S46*IF(Assumptions!$B$163=1,MIN(Assumptions!$B$14,1%),Assumptions!$B$14)*(1-Assumptions!$B$130)</f>
        <v>47.6937439094663</v>
      </c>
      <c r="T49" s="54" t="n">
        <f aca="false">T46*IF(Assumptions!$B$163=1,MIN(Assumptions!$B$14,1%),Assumptions!$B$14)*(1-Assumptions!$B$130)</f>
        <v>58.0150570992505</v>
      </c>
      <c r="U49" s="54" t="n">
        <f aca="false">U46*IF(Assumptions!$B$163=1,MIN(Assumptions!$B$14,1%),Assumptions!$B$14)*(1-Assumptions!$B$130)</f>
        <v>68.895906800099</v>
      </c>
      <c r="V49" s="54" t="n">
        <f aca="false">V46*IF(Assumptions!$B$163=1,MIN(Assumptions!$B$14,1%),Assumptions!$B$14)*(1-Assumptions!$B$130)</f>
        <v>79.735403076166</v>
      </c>
      <c r="W49" s="54" t="n">
        <f aca="false">W46*IF(Assumptions!$B$163=1,MIN(Assumptions!$B$14,1%),Assumptions!$B$14)*(1-Assumptions!$B$130)</f>
        <v>103.455382101798</v>
      </c>
      <c r="X49" s="54" t="n">
        <f aca="false">X46*IF(Assumptions!$B$163=1,MIN(Assumptions!$B$14,1%),Assumptions!$B$14)*(1-Assumptions!$B$130)</f>
        <v>124.675001511832</v>
      </c>
      <c r="Y49" s="54" t="n">
        <f aca="false">Y46*IF(Assumptions!$B$163=1,MIN(Assumptions!$B$14,1%),Assumptions!$B$14)*(1-Assumptions!$B$130)</f>
        <v>148.454273718867</v>
      </c>
      <c r="Z49" s="54" t="n">
        <f aca="false">Z46*IF(Assumptions!$B$163=1,MIN(Assumptions!$B$14,1%),Assumptions!$B$14)*(1-Assumptions!$B$130)</f>
        <v>181.879827989541</v>
      </c>
      <c r="AA49" s="54" t="n">
        <f aca="false">AA46*IF(Assumptions!$B$163=1,MIN(Assumptions!$B$14,1%),Assumptions!$B$14)*(1-Assumptions!$B$130)</f>
        <v>15749.3464882654</v>
      </c>
      <c r="AB49" s="54" t="n">
        <f aca="false">AB46*IF(Assumptions!$B$163=1,MIN(Assumptions!$B$14,1%),Assumptions!$B$14)*(1-Assumptions!$B$130)</f>
        <v>29519.5474772416</v>
      </c>
      <c r="AC49" s="54" t="n">
        <f aca="false">AC46*IF(Assumptions!$B$163=1,MIN(Assumptions!$B$14,1%),Assumptions!$B$14)*(1-Assumptions!$B$130)</f>
        <v>50304.4100197666</v>
      </c>
      <c r="AD49" s="54" t="n">
        <f aca="false">AD46*IF(Assumptions!$B$163=1,MIN(Assumptions!$B$14,1%),Assumptions!$B$14)*(1-Assumptions!$B$130)</f>
        <v>79092.6248434553</v>
      </c>
      <c r="AE49" s="54" t="n">
        <f aca="false">AE46*IF(Assumptions!$B$163=1,MIN(Assumptions!$B$14,1%),Assumptions!$B$14)*(1-Assumptions!$B$130)</f>
        <v>114401.820427368</v>
      </c>
    </row>
    <row r="50" customFormat="false" ht="15" hidden="false" customHeight="false" outlineLevel="0" collapsed="false">
      <c r="A50" s="6" t="s">
        <v>447</v>
      </c>
      <c r="B50" s="23" t="s">
        <v>110</v>
      </c>
      <c r="C50" s="54" t="n">
        <f aca="false">IF(C2&gt;=Assumptions!$B$48,C30*Assumptions!$B$148*Assumptions!$B$26/12*C7,0)</f>
        <v>0</v>
      </c>
      <c r="D50" s="54" t="n">
        <f aca="false">IF(D2&gt;=Assumptions!$B$48,D30*Assumptions!$B$148*Assumptions!$B$26/12*D7,0)</f>
        <v>0</v>
      </c>
      <c r="E50" s="54" t="n">
        <f aca="false">IF(E2&gt;=Assumptions!$B$48,E30*Assumptions!$B$148*Assumptions!$B$26/12*E7,0)</f>
        <v>0</v>
      </c>
      <c r="F50" s="54" t="n">
        <f aca="false">IF(F2&gt;=Assumptions!$B$48,F30*Assumptions!$B$148*Assumptions!$B$26/12*F7,0)</f>
        <v>0</v>
      </c>
      <c r="G50" s="54" t="n">
        <f aca="false">IF(G2&gt;=Assumptions!$B$48,G30*Assumptions!$B$148*Assumptions!$B$26/12*G7,0)</f>
        <v>0</v>
      </c>
      <c r="H50" s="54" t="n">
        <f aca="false">IF(H2&gt;=Assumptions!$B$48,H30*Assumptions!$B$148*Assumptions!$B$26/12*H7,0)</f>
        <v>0</v>
      </c>
      <c r="I50" s="54" t="n">
        <f aca="false">IF(I2&gt;=Assumptions!$B$48,I30*Assumptions!$B$148*Assumptions!$B$26/12*I7,0)</f>
        <v>385.282082117803</v>
      </c>
      <c r="J50" s="54" t="n">
        <f aca="false">IF(J2&gt;=Assumptions!$B$48,J30*Assumptions!$B$148*Assumptions!$B$26/12*J7,0)</f>
        <v>422.285949357239</v>
      </c>
      <c r="K50" s="54" t="n">
        <f aca="false">IF(K2&gt;=Assumptions!$B$48,K30*Assumptions!$B$148*Assumptions!$B$26/12*K7,0)</f>
        <v>462.72108297727</v>
      </c>
      <c r="L50" s="54" t="n">
        <f aca="false">IF(L2&gt;=Assumptions!$B$48,L30*Assumptions!$B$148*Assumptions!$B$26/12*L7,0)</f>
        <v>522.143225012301</v>
      </c>
      <c r="M50" s="54" t="n">
        <f aca="false">IF(M2&gt;=Assumptions!$B$48,M30*Assumptions!$B$148*Assumptions!$B$26/12*M7,0)</f>
        <v>572.096737390274</v>
      </c>
      <c r="N50" s="54" t="n">
        <f aca="false">IF(N2&gt;=Assumptions!$B$48,N30*Assumptions!$B$148*Assumptions!$B$26/12*N7,0)</f>
        <v>610.429451396384</v>
      </c>
      <c r="O50" s="54" t="n">
        <f aca="false">IF(O2&gt;=Assumptions!$B$48,O30*Assumptions!$B$148*Assumptions!$B$26/12*O7,0)</f>
        <v>768.034068701736</v>
      </c>
      <c r="P50" s="54" t="n">
        <f aca="false">IF(P2&gt;=Assumptions!$B$48,P30*Assumptions!$B$148*Assumptions!$B$26/12*P7,0)</f>
        <v>913.26847317089</v>
      </c>
      <c r="Q50" s="54" t="n">
        <f aca="false">IF(Q2&gt;=Assumptions!$B$48,Q30*Assumptions!$B$148*Assumptions!$B$26/12*Q7,0)</f>
        <v>1047.81941758909</v>
      </c>
      <c r="R50" s="54" t="n">
        <f aca="false">IF(R2&gt;=Assumptions!$B$48,R30*Assumptions!$B$148*Assumptions!$B$26/12*R7,0)</f>
        <v>1225.12458186704</v>
      </c>
      <c r="S50" s="54" t="n">
        <f aca="false">IF(S2&gt;=Assumptions!$B$48,S30*Assumptions!$B$148*Assumptions!$B$26/12*S7,0)</f>
        <v>1377.32412164464</v>
      </c>
      <c r="T50" s="54" t="n">
        <f aca="false">IF(T2&gt;=Assumptions!$B$48,T30*Assumptions!$B$148*Assumptions!$B$26/12*T7,0)</f>
        <v>1493.38299724377</v>
      </c>
      <c r="U50" s="54" t="n">
        <f aca="false">IF(U2&gt;=Assumptions!$B$48,U30*Assumptions!$B$148*Assumptions!$B$26/12*U7,0)</f>
        <v>1600.35301376786</v>
      </c>
      <c r="V50" s="54" t="n">
        <f aca="false">IF(V2&gt;=Assumptions!$B$48,V30*Assumptions!$B$148*Assumptions!$B$26/12*V7,0)</f>
        <v>1704.66623025219</v>
      </c>
      <c r="W50" s="54" t="n">
        <f aca="false">IF(W2&gt;=Assumptions!$B$48,W30*Assumptions!$B$148*Assumptions!$B$26/12*W7,0)</f>
        <v>1823.72883564153</v>
      </c>
      <c r="X50" s="54" t="n">
        <f aca="false">IF(X2&gt;=Assumptions!$B$48,X30*Assumptions!$B$148*Assumptions!$B$26/12*X7,0)</f>
        <v>2010.55208690397</v>
      </c>
      <c r="Y50" s="54" t="n">
        <f aca="false">IF(Y2&gt;=Assumptions!$B$48,Y30*Assumptions!$B$148*Assumptions!$B$26/12*Y7,0)</f>
        <v>2172.10509298064</v>
      </c>
      <c r="Z50" s="54" t="n">
        <f aca="false">IF(Z2&gt;=Assumptions!$B$48,Z30*Assumptions!$B$148*Assumptions!$B$26/12*Z7,0)</f>
        <v>2298.61063915743</v>
      </c>
      <c r="AA50" s="54" t="n">
        <f aca="false">IF(AA2&gt;=Assumptions!$B$48,AA30*Assumptions!$B$148*Assumptions!$B$26/12*AA7,0)</f>
        <v>47863.2078544555</v>
      </c>
      <c r="AB50" s="54" t="n">
        <f aca="false">IF(AB2&gt;=Assumptions!$B$48,AB30*Assumptions!$B$148*Assumptions!$B$26/12*AB7,0)</f>
        <v>81147.3007715458</v>
      </c>
      <c r="AC50" s="54" t="n">
        <f aca="false">IF(AC2&gt;=Assumptions!$B$48,AC30*Assumptions!$B$148*Assumptions!$B$26/12*AC7,0)</f>
        <v>127380.634350841</v>
      </c>
      <c r="AD50" s="54" t="n">
        <f aca="false">IF(AD2&gt;=Assumptions!$B$48,AD30*Assumptions!$B$148*Assumptions!$B$26/12*AD7,0)</f>
        <v>184672.269779993</v>
      </c>
      <c r="AE50" s="54" t="n">
        <f aca="false">IF(AE2&gt;=Assumptions!$B$48,AE30*Assumptions!$B$148*Assumptions!$B$26/12*AE7,0)</f>
        <v>242144.287815654</v>
      </c>
    </row>
    <row r="51" customFormat="false" ht="15" hidden="false" customHeight="false" outlineLevel="0" collapsed="false">
      <c r="A51" s="6" t="s">
        <v>448</v>
      </c>
      <c r="B51" s="23" t="s">
        <v>110</v>
      </c>
      <c r="C51" s="54" t="n">
        <f aca="false">IF(C2&gt;=Assumptions!$B$50,C46*C17*Assumptions!$B$18+C42*(Assumptions!$B$136*MAX(0,Assumptions!$B$140-Assumptions!$B$19)+Assumptions!$B$137*MAX(0,Assumptions!$B$141-Assumptions!$B$19)+Assumptions!$B$138*MAX(0,Assumptions!$B$142-Assumptions!$B$19)+Assumptions!$B$139*MAX(0,Assumptions!$B$143-Assumptions!$B$19))*Assumptions!$B$20/Assumptions!$B$7*C7+C42*(Assumptions!$B$134*Assumptions!$B$21+Assumptions!$B$135*Assumptions!$B$22)/12/Assumptions!$B$7*C7,0)</f>
        <v>0</v>
      </c>
      <c r="D51" s="54" t="n">
        <f aca="false">IF(D2&gt;=Assumptions!$B$50,D46*D17*Assumptions!$B$18+D42*(Assumptions!$B$136*MAX(0,Assumptions!$B$140-Assumptions!$B$19)+Assumptions!$B$137*MAX(0,Assumptions!$B$141-Assumptions!$B$19)+Assumptions!$B$138*MAX(0,Assumptions!$B$142-Assumptions!$B$19)+Assumptions!$B$139*MAX(0,Assumptions!$B$143-Assumptions!$B$19))*Assumptions!$B$20/Assumptions!$B$7*D7+D42*(Assumptions!$B$134*Assumptions!$B$21+Assumptions!$B$135*Assumptions!$B$22)/12/Assumptions!$B$7*D7,0)</f>
        <v>0</v>
      </c>
      <c r="E51" s="54" t="n">
        <f aca="false">IF(E2&gt;=Assumptions!$B$50,E46*E17*Assumptions!$B$18+E42*(Assumptions!$B$136*MAX(0,Assumptions!$B$140-Assumptions!$B$19)+Assumptions!$B$137*MAX(0,Assumptions!$B$141-Assumptions!$B$19)+Assumptions!$B$138*MAX(0,Assumptions!$B$142-Assumptions!$B$19)+Assumptions!$B$139*MAX(0,Assumptions!$B$143-Assumptions!$B$19))*Assumptions!$B$20/Assumptions!$B$7*E7+E42*(Assumptions!$B$134*Assumptions!$B$21+Assumptions!$B$135*Assumptions!$B$22)/12/Assumptions!$B$7*E7,0)</f>
        <v>0</v>
      </c>
      <c r="F51" s="54" t="n">
        <f aca="false">IF(F2&gt;=Assumptions!$B$50,F46*F17*Assumptions!$B$18+F42*(Assumptions!$B$136*MAX(0,Assumptions!$B$140-Assumptions!$B$19)+Assumptions!$B$137*MAX(0,Assumptions!$B$141-Assumptions!$B$19)+Assumptions!$B$138*MAX(0,Assumptions!$B$142-Assumptions!$B$19)+Assumptions!$B$139*MAX(0,Assumptions!$B$143-Assumptions!$B$19))*Assumptions!$B$20/Assumptions!$B$7*F7+F42*(Assumptions!$B$134*Assumptions!$B$21+Assumptions!$B$135*Assumptions!$B$22)/12/Assumptions!$B$7*F7,0)</f>
        <v>0</v>
      </c>
      <c r="G51" s="54" t="n">
        <f aca="false">IF(G2&gt;=Assumptions!$B$50,G46*G17*Assumptions!$B$18+G42*(Assumptions!$B$136*MAX(0,Assumptions!$B$140-Assumptions!$B$19)+Assumptions!$B$137*MAX(0,Assumptions!$B$141-Assumptions!$B$19)+Assumptions!$B$138*MAX(0,Assumptions!$B$142-Assumptions!$B$19)+Assumptions!$B$139*MAX(0,Assumptions!$B$143-Assumptions!$B$19))*Assumptions!$B$20/Assumptions!$B$7*G7+G42*(Assumptions!$B$134*Assumptions!$B$21+Assumptions!$B$135*Assumptions!$B$22)/12/Assumptions!$B$7*G7,0)</f>
        <v>0</v>
      </c>
      <c r="H51" s="54" t="n">
        <f aca="false">IF(H2&gt;=Assumptions!$B$50,H46*H17*Assumptions!$B$18+H42*(Assumptions!$B$136*MAX(0,Assumptions!$B$140-Assumptions!$B$19)+Assumptions!$B$137*MAX(0,Assumptions!$B$141-Assumptions!$B$19)+Assumptions!$B$138*MAX(0,Assumptions!$B$142-Assumptions!$B$19)+Assumptions!$B$139*MAX(0,Assumptions!$B$143-Assumptions!$B$19))*Assumptions!$B$20/Assumptions!$B$7*H7+H42*(Assumptions!$B$134*Assumptions!$B$21+Assumptions!$B$135*Assumptions!$B$22)/12/Assumptions!$B$7*H7,0)</f>
        <v>0</v>
      </c>
      <c r="I51" s="54" t="n">
        <f aca="false">IF(I2&gt;=Assumptions!$B$50,I46*I17*Assumptions!$B$18+I42*(Assumptions!$B$136*MAX(0,Assumptions!$B$140-Assumptions!$B$19)+Assumptions!$B$137*MAX(0,Assumptions!$B$141-Assumptions!$B$19)+Assumptions!$B$138*MAX(0,Assumptions!$B$142-Assumptions!$B$19)+Assumptions!$B$139*MAX(0,Assumptions!$B$143-Assumptions!$B$19))*Assumptions!$B$20/Assumptions!$B$7*I7+I42*(Assumptions!$B$134*Assumptions!$B$21+Assumptions!$B$135*Assumptions!$B$22)/12/Assumptions!$B$7*I7,0)</f>
        <v>0</v>
      </c>
      <c r="J51" s="54" t="n">
        <f aca="false">IF(J2&gt;=Assumptions!$B$50,J46*J17*Assumptions!$B$18+J42*(Assumptions!$B$136*MAX(0,Assumptions!$B$140-Assumptions!$B$19)+Assumptions!$B$137*MAX(0,Assumptions!$B$141-Assumptions!$B$19)+Assumptions!$B$138*MAX(0,Assumptions!$B$142-Assumptions!$B$19)+Assumptions!$B$139*MAX(0,Assumptions!$B$143-Assumptions!$B$19))*Assumptions!$B$20/Assumptions!$B$7*J7+J42*(Assumptions!$B$134*Assumptions!$B$21+Assumptions!$B$135*Assumptions!$B$22)/12/Assumptions!$B$7*J7,0)</f>
        <v>0</v>
      </c>
      <c r="K51" s="54" t="n">
        <f aca="false">IF(K2&gt;=Assumptions!$B$50,K46*K17*Assumptions!$B$18+K42*(Assumptions!$B$136*MAX(0,Assumptions!$B$140-Assumptions!$B$19)+Assumptions!$B$137*MAX(0,Assumptions!$B$141-Assumptions!$B$19)+Assumptions!$B$138*MAX(0,Assumptions!$B$142-Assumptions!$B$19)+Assumptions!$B$139*MAX(0,Assumptions!$B$143-Assumptions!$B$19))*Assumptions!$B$20/Assumptions!$B$7*K7+K42*(Assumptions!$B$134*Assumptions!$B$21+Assumptions!$B$135*Assumptions!$B$22)/12/Assumptions!$B$7*K7,0)</f>
        <v>0</v>
      </c>
      <c r="L51" s="54" t="n">
        <f aca="false">IF(L2&gt;=Assumptions!$B$50,L46*L17*Assumptions!$B$18+L42*(Assumptions!$B$136*MAX(0,Assumptions!$B$140-Assumptions!$B$19)+Assumptions!$B$137*MAX(0,Assumptions!$B$141-Assumptions!$B$19)+Assumptions!$B$138*MAX(0,Assumptions!$B$142-Assumptions!$B$19)+Assumptions!$B$139*MAX(0,Assumptions!$B$143-Assumptions!$B$19))*Assumptions!$B$20/Assumptions!$B$7*L7+L42*(Assumptions!$B$134*Assumptions!$B$21+Assumptions!$B$135*Assumptions!$B$22)/12/Assumptions!$B$7*L7,0)</f>
        <v>0</v>
      </c>
      <c r="M51" s="54" t="n">
        <f aca="false">IF(M2&gt;=Assumptions!$B$50,M46*M17*Assumptions!$B$18+M42*(Assumptions!$B$136*MAX(0,Assumptions!$B$140-Assumptions!$B$19)+Assumptions!$B$137*MAX(0,Assumptions!$B$141-Assumptions!$B$19)+Assumptions!$B$138*MAX(0,Assumptions!$B$142-Assumptions!$B$19)+Assumptions!$B$139*MAX(0,Assumptions!$B$143-Assumptions!$B$19))*Assumptions!$B$20/Assumptions!$B$7*M7+M42*(Assumptions!$B$134*Assumptions!$B$21+Assumptions!$B$135*Assumptions!$B$22)/12/Assumptions!$B$7*M7,0)</f>
        <v>0</v>
      </c>
      <c r="N51" s="54" t="n">
        <f aca="false">IF(N2&gt;=Assumptions!$B$50,N46*N17*Assumptions!$B$18+N42*(Assumptions!$B$136*MAX(0,Assumptions!$B$140-Assumptions!$B$19)+Assumptions!$B$137*MAX(0,Assumptions!$B$141-Assumptions!$B$19)+Assumptions!$B$138*MAX(0,Assumptions!$B$142-Assumptions!$B$19)+Assumptions!$B$139*MAX(0,Assumptions!$B$143-Assumptions!$B$19))*Assumptions!$B$20/Assumptions!$B$7*N7+N42*(Assumptions!$B$134*Assumptions!$B$21+Assumptions!$B$135*Assumptions!$B$22)/12/Assumptions!$B$7*N7,0)</f>
        <v>0</v>
      </c>
      <c r="O51" s="54" t="n">
        <f aca="false">IF(O2&gt;=Assumptions!$B$50,O46*O17*Assumptions!$B$18+O42*(Assumptions!$B$136*MAX(0,Assumptions!$B$140-Assumptions!$B$19)+Assumptions!$B$137*MAX(0,Assumptions!$B$141-Assumptions!$B$19)+Assumptions!$B$138*MAX(0,Assumptions!$B$142-Assumptions!$B$19)+Assumptions!$B$139*MAX(0,Assumptions!$B$143-Assumptions!$B$19))*Assumptions!$B$20/Assumptions!$B$7*O7+O42*(Assumptions!$B$134*Assumptions!$B$21+Assumptions!$B$135*Assumptions!$B$22)/12/Assumptions!$B$7*O7,0)</f>
        <v>185.348797211488</v>
      </c>
      <c r="P51" s="54" t="n">
        <f aca="false">IF(P2&gt;=Assumptions!$B$50,P46*P17*Assumptions!$B$18+P42*(Assumptions!$B$136*MAX(0,Assumptions!$B$140-Assumptions!$B$19)+Assumptions!$B$137*MAX(0,Assumptions!$B$141-Assumptions!$B$19)+Assumptions!$B$138*MAX(0,Assumptions!$B$142-Assumptions!$B$19)+Assumptions!$B$139*MAX(0,Assumptions!$B$143-Assumptions!$B$19))*Assumptions!$B$20/Assumptions!$B$7*P7+P42*(Assumptions!$B$134*Assumptions!$B$21+Assumptions!$B$135*Assumptions!$B$22)/12/Assumptions!$B$7*P7,0)</f>
        <v>217.121261255711</v>
      </c>
      <c r="Q51" s="54" t="n">
        <f aca="false">IF(Q2&gt;=Assumptions!$B$50,Q46*Q17*Assumptions!$B$18+Q42*(Assumptions!$B$136*MAX(0,Assumptions!$B$140-Assumptions!$B$19)+Assumptions!$B$137*MAX(0,Assumptions!$B$141-Assumptions!$B$19)+Assumptions!$B$138*MAX(0,Assumptions!$B$142-Assumptions!$B$19)+Assumptions!$B$139*MAX(0,Assumptions!$B$143-Assumptions!$B$19))*Assumptions!$B$20/Assumptions!$B$7*Q7+Q42*(Assumptions!$B$134*Assumptions!$B$21+Assumptions!$B$135*Assumptions!$B$22)/12/Assumptions!$B$7*Q7,0)</f>
        <v>248.855361614953</v>
      </c>
      <c r="R51" s="54" t="n">
        <f aca="false">IF(R2&gt;=Assumptions!$B$50,R46*R17*Assumptions!$B$18+R42*(Assumptions!$B$136*MAX(0,Assumptions!$B$140-Assumptions!$B$19)+Assumptions!$B$137*MAX(0,Assumptions!$B$141-Assumptions!$B$19)+Assumptions!$B$138*MAX(0,Assumptions!$B$142-Assumptions!$B$19)+Assumptions!$B$139*MAX(0,Assumptions!$B$143-Assumptions!$B$19))*Assumptions!$B$20/Assumptions!$B$7*R7+R42*(Assumptions!$B$134*Assumptions!$B$21+Assumptions!$B$135*Assumptions!$B$22)/12/Assumptions!$B$7*R7,0)</f>
        <v>282.7711132426</v>
      </c>
      <c r="S51" s="54" t="n">
        <f aca="false">IF(S2&gt;=Assumptions!$B$50,S46*S17*Assumptions!$B$18+S42*(Assumptions!$B$136*MAX(0,Assumptions!$B$140-Assumptions!$B$19)+Assumptions!$B$137*MAX(0,Assumptions!$B$141-Assumptions!$B$19)+Assumptions!$B$138*MAX(0,Assumptions!$B$142-Assumptions!$B$19)+Assumptions!$B$139*MAX(0,Assumptions!$B$143-Assumptions!$B$19))*Assumptions!$B$20/Assumptions!$B$7*S7+S42*(Assumptions!$B$134*Assumptions!$B$21+Assumptions!$B$135*Assumptions!$B$22)/12/Assumptions!$B$7*S7,0)</f>
        <v>322.075917239777</v>
      </c>
      <c r="T51" s="54" t="n">
        <f aca="false">IF(T2&gt;=Assumptions!$B$50,T46*T17*Assumptions!$B$18+T42*(Assumptions!$B$136*MAX(0,Assumptions!$B$140-Assumptions!$B$19)+Assumptions!$B$137*MAX(0,Assumptions!$B$141-Assumptions!$B$19)+Assumptions!$B$138*MAX(0,Assumptions!$B$142-Assumptions!$B$19)+Assumptions!$B$139*MAX(0,Assumptions!$B$143-Assumptions!$B$19))*Assumptions!$B$20/Assumptions!$B$7*T7+T42*(Assumptions!$B$134*Assumptions!$B$21+Assumptions!$B$135*Assumptions!$B$22)/12/Assumptions!$B$7*T7,0)</f>
        <v>414.142950475744</v>
      </c>
      <c r="U51" s="54" t="n">
        <f aca="false">IF(U2&gt;=Assumptions!$B$50,U46*U17*Assumptions!$B$18+U42*(Assumptions!$B$136*MAX(0,Assumptions!$B$140-Assumptions!$B$19)+Assumptions!$B$137*MAX(0,Assumptions!$B$141-Assumptions!$B$19)+Assumptions!$B$138*MAX(0,Assumptions!$B$142-Assumptions!$B$19)+Assumptions!$B$139*MAX(0,Assumptions!$B$143-Assumptions!$B$19))*Assumptions!$B$20/Assumptions!$B$7*U7+U42*(Assumptions!$B$134*Assumptions!$B$21+Assumptions!$B$135*Assumptions!$B$22)/12/Assumptions!$B$7*U7,0)</f>
        <v>481.833906160687</v>
      </c>
      <c r="V51" s="54" t="n">
        <f aca="false">IF(V2&gt;=Assumptions!$B$50,V46*V17*Assumptions!$B$18+V42*(Assumptions!$B$136*MAX(0,Assumptions!$B$140-Assumptions!$B$19)+Assumptions!$B$137*MAX(0,Assumptions!$B$141-Assumptions!$B$19)+Assumptions!$B$138*MAX(0,Assumptions!$B$142-Assumptions!$B$19)+Assumptions!$B$139*MAX(0,Assumptions!$B$143-Assumptions!$B$19))*Assumptions!$B$20/Assumptions!$B$7*V7+V42*(Assumptions!$B$134*Assumptions!$B$21+Assumptions!$B$135*Assumptions!$B$22)/12/Assumptions!$B$7*V7,0)</f>
        <v>524.41414200712</v>
      </c>
      <c r="W51" s="54" t="n">
        <f aca="false">IF(W2&gt;=Assumptions!$B$50,W46*W17*Assumptions!$B$18+W42*(Assumptions!$B$136*MAX(0,Assumptions!$B$140-Assumptions!$B$19)+Assumptions!$B$137*MAX(0,Assumptions!$B$141-Assumptions!$B$19)+Assumptions!$B$138*MAX(0,Assumptions!$B$142-Assumptions!$B$19)+Assumptions!$B$139*MAX(0,Assumptions!$B$143-Assumptions!$B$19))*Assumptions!$B$20/Assumptions!$B$7*W7+W42*(Assumptions!$B$134*Assumptions!$B$21+Assumptions!$B$135*Assumptions!$B$22)/12/Assumptions!$B$7*W7,0)</f>
        <v>587.986346072131</v>
      </c>
      <c r="X51" s="54" t="n">
        <f aca="false">IF(X2&gt;=Assumptions!$B$50,X46*X17*Assumptions!$B$18+X42*(Assumptions!$B$136*MAX(0,Assumptions!$B$140-Assumptions!$B$19)+Assumptions!$B$137*MAX(0,Assumptions!$B$141-Assumptions!$B$19)+Assumptions!$B$138*MAX(0,Assumptions!$B$142-Assumptions!$B$19)+Assumptions!$B$139*MAX(0,Assumptions!$B$143-Assumptions!$B$19))*Assumptions!$B$20/Assumptions!$B$7*X7+X42*(Assumptions!$B$134*Assumptions!$B$21+Assumptions!$B$135*Assumptions!$B$22)/12/Assumptions!$B$7*X7,0)</f>
        <v>725.790253070649</v>
      </c>
      <c r="Y51" s="54" t="n">
        <f aca="false">IF(Y2&gt;=Assumptions!$B$50,Y46*Y17*Assumptions!$B$18+Y42*(Assumptions!$B$136*MAX(0,Assumptions!$B$140-Assumptions!$B$19)+Assumptions!$B$137*MAX(0,Assumptions!$B$141-Assumptions!$B$19)+Assumptions!$B$138*MAX(0,Assumptions!$B$142-Assumptions!$B$19)+Assumptions!$B$139*MAX(0,Assumptions!$B$143-Assumptions!$B$19))*Assumptions!$B$20/Assumptions!$B$7*Y7+Y42*(Assumptions!$B$134*Assumptions!$B$21+Assumptions!$B$135*Assumptions!$B$22)/12/Assumptions!$B$7*Y7,0)</f>
        <v>834.378928683031</v>
      </c>
      <c r="Z51" s="54" t="n">
        <f aca="false">IF(Z2&gt;=Assumptions!$B$50,Z46*Z17*Assumptions!$B$18+Z42*(Assumptions!$B$136*MAX(0,Assumptions!$B$140-Assumptions!$B$19)+Assumptions!$B$137*MAX(0,Assumptions!$B$141-Assumptions!$B$19)+Assumptions!$B$138*MAX(0,Assumptions!$B$142-Assumptions!$B$19)+Assumptions!$B$139*MAX(0,Assumptions!$B$143-Assumptions!$B$19))*Assumptions!$B$20/Assumptions!$B$7*Z7+Z42*(Assumptions!$B$134*Assumptions!$B$21+Assumptions!$B$135*Assumptions!$B$22)/12/Assumptions!$B$7*Z7,0)</f>
        <v>938.492253685151</v>
      </c>
      <c r="AA51" s="54" t="n">
        <f aca="false">IF(AA2&gt;=Assumptions!$B$50,AA46*AA17*Assumptions!$B$18+AA42*(Assumptions!$B$136*MAX(0,Assumptions!$B$140-Assumptions!$B$19)+Assumptions!$B$137*MAX(0,Assumptions!$B$141-Assumptions!$B$19)+Assumptions!$B$138*MAX(0,Assumptions!$B$142-Assumptions!$B$19)+Assumptions!$B$139*MAX(0,Assumptions!$B$143-Assumptions!$B$19))*Assumptions!$B$20/Assumptions!$B$7*AA7+AA42*(Assumptions!$B$134*Assumptions!$B$21+Assumptions!$B$135*Assumptions!$B$22)/12/Assumptions!$B$7*AA7,0)</f>
        <v>60316.5394774473</v>
      </c>
      <c r="AB51" s="54" t="n">
        <f aca="false">IF(AB2&gt;=Assumptions!$B$50,AB46*AB17*Assumptions!$B$18+AB42*(Assumptions!$B$136*MAX(0,Assumptions!$B$140-Assumptions!$B$19)+Assumptions!$B$137*MAX(0,Assumptions!$B$141-Assumptions!$B$19)+Assumptions!$B$138*MAX(0,Assumptions!$B$142-Assumptions!$B$19)+Assumptions!$B$139*MAX(0,Assumptions!$B$143-Assumptions!$B$19))*Assumptions!$B$20/Assumptions!$B$7*AB7+AB42*(Assumptions!$B$134*Assumptions!$B$21+Assumptions!$B$135*Assumptions!$B$22)/12/Assumptions!$B$7*AB7,0)</f>
        <v>113053.386189329</v>
      </c>
      <c r="AC51" s="54" t="n">
        <f aca="false">IF(AC2&gt;=Assumptions!$B$50,AC46*AC17*Assumptions!$B$18+AC42*(Assumptions!$B$136*MAX(0,Assumptions!$B$140-Assumptions!$B$19)+Assumptions!$B$137*MAX(0,Assumptions!$B$141-Assumptions!$B$19)+Assumptions!$B$138*MAX(0,Assumptions!$B$142-Assumptions!$B$19)+Assumptions!$B$139*MAX(0,Assumptions!$B$143-Assumptions!$B$19))*Assumptions!$B$20/Assumptions!$B$7*AC7+AC42*(Assumptions!$B$134*Assumptions!$B$21+Assumptions!$B$135*Assumptions!$B$22)/12/Assumptions!$B$7*AC7,0)</f>
        <v>192654.84666984</v>
      </c>
      <c r="AD51" s="54" t="n">
        <f aca="false">IF(AD2&gt;=Assumptions!$B$50,AD46*AD17*Assumptions!$B$18+AD42*(Assumptions!$B$136*MAX(0,Assumptions!$B$140-Assumptions!$B$19)+Assumptions!$B$137*MAX(0,Assumptions!$B$141-Assumptions!$B$19)+Assumptions!$B$138*MAX(0,Assumptions!$B$142-Assumptions!$B$19)+Assumptions!$B$139*MAX(0,Assumptions!$B$143-Assumptions!$B$19))*Assumptions!$B$20/Assumptions!$B$7*AD7+AD42*(Assumptions!$B$134*Assumptions!$B$21+Assumptions!$B$135*Assumptions!$B$22)/12/Assumptions!$B$7*AD7,0)</f>
        <v>302907.389351025</v>
      </c>
      <c r="AE51" s="54" t="n">
        <f aca="false">IF(AE2&gt;=Assumptions!$B$50,AE46*AE17*Assumptions!$B$18+AE42*(Assumptions!$B$136*MAX(0,Assumptions!$B$140-Assumptions!$B$19)+Assumptions!$B$137*MAX(0,Assumptions!$B$141-Assumptions!$B$19)+Assumptions!$B$138*MAX(0,Assumptions!$B$142-Assumptions!$B$19)+Assumptions!$B$139*MAX(0,Assumptions!$B$143-Assumptions!$B$19))*Assumptions!$B$20/Assumptions!$B$7*AE7+AE42*(Assumptions!$B$134*Assumptions!$B$21+Assumptions!$B$135*Assumptions!$B$22)/12/Assumptions!$B$7*AE7,0)</f>
        <v>438133.856743866</v>
      </c>
    </row>
    <row r="52" customFormat="false" ht="15" hidden="false" customHeight="false" outlineLevel="0" collapsed="false">
      <c r="A52" s="6" t="s">
        <v>449</v>
      </c>
      <c r="B52" s="23" t="s">
        <v>110</v>
      </c>
      <c r="C52" s="54" t="n">
        <f aca="false">IF(C2&gt;=Assumptions!$B$51,C41*Assumptions!$B$144*(1-Assumptions!$B$163)*IF(C33=0,0,C39/C33)*Assumptions!$B$32*Assumptions!$B$145*Assumptions!$B$146,0)</f>
        <v>0</v>
      </c>
      <c r="D52" s="54" t="n">
        <f aca="false">IF(D2&gt;=Assumptions!$B$51,D41*Assumptions!$B$144*(1-Assumptions!$B$163)*IF(D33=0,0,D39/D33)*Assumptions!$B$32*Assumptions!$B$145*Assumptions!$B$146,0)</f>
        <v>0</v>
      </c>
      <c r="E52" s="54" t="n">
        <f aca="false">IF(E2&gt;=Assumptions!$B$51,E41*Assumptions!$B$144*(1-Assumptions!$B$163)*IF(E33=0,0,E39/E33)*Assumptions!$B$32*Assumptions!$B$145*Assumptions!$B$146,0)</f>
        <v>0</v>
      </c>
      <c r="F52" s="54" t="n">
        <f aca="false">IF(F2&gt;=Assumptions!$B$51,F41*Assumptions!$B$144*(1-Assumptions!$B$163)*IF(F33=0,0,F39/F33)*Assumptions!$B$32*Assumptions!$B$145*Assumptions!$B$146,0)</f>
        <v>0</v>
      </c>
      <c r="G52" s="54" t="n">
        <f aca="false">IF(G2&gt;=Assumptions!$B$51,G41*Assumptions!$B$144*(1-Assumptions!$B$163)*IF(G33=0,0,G39/G33)*Assumptions!$B$32*Assumptions!$B$145*Assumptions!$B$146,0)</f>
        <v>0</v>
      </c>
      <c r="H52" s="54" t="n">
        <f aca="false">IF(H2&gt;=Assumptions!$B$51,H41*Assumptions!$B$144*(1-Assumptions!$B$163)*IF(H33=0,0,H39/H33)*Assumptions!$B$32*Assumptions!$B$145*Assumptions!$B$146,0)</f>
        <v>0</v>
      </c>
      <c r="I52" s="54" t="n">
        <f aca="false">IF(I2&gt;=Assumptions!$B$51,I41*Assumptions!$B$144*(1-Assumptions!$B$163)*IF(I33=0,0,I39/I33)*Assumptions!$B$32*Assumptions!$B$145*Assumptions!$B$146,0)</f>
        <v>0</v>
      </c>
      <c r="J52" s="54" t="n">
        <f aca="false">IF(J2&gt;=Assumptions!$B$51,J41*Assumptions!$B$144*(1-Assumptions!$B$163)*IF(J33=0,0,J39/J33)*Assumptions!$B$32*Assumptions!$B$145*Assumptions!$B$146,0)</f>
        <v>0</v>
      </c>
      <c r="K52" s="54" t="n">
        <f aca="false">IF(K2&gt;=Assumptions!$B$51,K41*Assumptions!$B$144*(1-Assumptions!$B$163)*IF(K33=0,0,K39/K33)*Assumptions!$B$32*Assumptions!$B$145*Assumptions!$B$146,0)</f>
        <v>0</v>
      </c>
      <c r="L52" s="54" t="n">
        <f aca="false">IF(L2&gt;=Assumptions!$B$51,L41*Assumptions!$B$144*(1-Assumptions!$B$163)*IF(L33=0,0,L39/L33)*Assumptions!$B$32*Assumptions!$B$145*Assumptions!$B$146,0)</f>
        <v>0</v>
      </c>
      <c r="M52" s="54" t="n">
        <f aca="false">IF(M2&gt;=Assumptions!$B$51,M41*Assumptions!$B$144*(1-Assumptions!$B$163)*IF(M33=0,0,M39/M33)*Assumptions!$B$32*Assumptions!$B$145*Assumptions!$B$146,0)</f>
        <v>0</v>
      </c>
      <c r="N52" s="54" t="n">
        <f aca="false">IF(N2&gt;=Assumptions!$B$51,N41*Assumptions!$B$144*(1-Assumptions!$B$163)*IF(N33=0,0,N39/N33)*Assumptions!$B$32*Assumptions!$B$145*Assumptions!$B$146,0)</f>
        <v>0</v>
      </c>
      <c r="O52" s="54" t="n">
        <f aca="false">IF(O2&gt;=Assumptions!$B$51,O41*Assumptions!$B$144*(1-Assumptions!$B$163)*IF(O33=0,0,O39/O33)*Assumptions!$B$32*Assumptions!$B$145*Assumptions!$B$146,0)</f>
        <v>309.706579052499</v>
      </c>
      <c r="P52" s="54" t="n">
        <f aca="false">IF(P2&gt;=Assumptions!$B$51,P41*Assumptions!$B$144*(1-Assumptions!$B$163)*IF(P33=0,0,P39/P33)*Assumptions!$B$32*Assumptions!$B$145*Assumptions!$B$146,0)</f>
        <v>360.364777287944</v>
      </c>
      <c r="Q52" s="54" t="n">
        <f aca="false">IF(Q2&gt;=Assumptions!$B$51,Q41*Assumptions!$B$144*(1-Assumptions!$B$163)*IF(Q33=0,0,Q39/Q33)*Assumptions!$B$32*Assumptions!$B$145*Assumptions!$B$146,0)</f>
        <v>418.114562032502</v>
      </c>
      <c r="R52" s="54" t="n">
        <f aca="false">IF(R2&gt;=Assumptions!$B$51,R41*Assumptions!$B$144*(1-Assumptions!$B$163)*IF(R33=0,0,R39/R33)*Assumptions!$B$32*Assumptions!$B$145*Assumptions!$B$146,0)</f>
        <v>470.732932151844</v>
      </c>
      <c r="S52" s="54" t="n">
        <f aca="false">IF(S2&gt;=Assumptions!$B$51,S41*Assumptions!$B$144*(1-Assumptions!$B$163)*IF(S33=0,0,S39/S33)*Assumptions!$B$32*Assumptions!$B$145*Assumptions!$B$146,0)</f>
        <v>541.225335562507</v>
      </c>
      <c r="T52" s="54" t="n">
        <f aca="false">IF(T2&gt;=Assumptions!$B$51,T41*Assumptions!$B$144*(1-Assumptions!$B$163)*IF(T33=0,0,T39/T33)*Assumptions!$B$32*Assumptions!$B$145*Assumptions!$B$146,0)</f>
        <v>647.13853872292</v>
      </c>
      <c r="U52" s="54" t="n">
        <f aca="false">IF(U2&gt;=Assumptions!$B$51,U41*Assumptions!$B$144*(1-Assumptions!$B$163)*IF(U33=0,0,U39/U33)*Assumptions!$B$32*Assumptions!$B$145*Assumptions!$B$146,0)</f>
        <v>754.40793015254</v>
      </c>
      <c r="V52" s="54" t="n">
        <f aca="false">IF(V2&gt;=Assumptions!$B$51,V41*Assumptions!$B$144*(1-Assumptions!$B$163)*IF(V33=0,0,V39/V33)*Assumptions!$B$32*Assumptions!$B$145*Assumptions!$B$146,0)</f>
        <v>857.029976585723</v>
      </c>
      <c r="W52" s="54" t="n">
        <f aca="false">IF(W2&gt;=Assumptions!$B$51,W41*Assumptions!$B$144*(1-Assumptions!$B$163)*IF(W33=0,0,W39/W33)*Assumptions!$B$32*Assumptions!$B$145*Assumptions!$B$146,0)</f>
        <v>1094.41984053397</v>
      </c>
      <c r="X52" s="54" t="n">
        <f aca="false">IF(X2&gt;=Assumptions!$B$51,X41*Assumptions!$B$144*(1-Assumptions!$B$163)*IF(X33=0,0,X39/X33)*Assumptions!$B$32*Assumptions!$B$145*Assumptions!$B$146,0)</f>
        <v>1310.84988540103</v>
      </c>
      <c r="Y52" s="54" t="n">
        <f aca="false">IF(Y2&gt;=Assumptions!$B$51,Y41*Assumptions!$B$144*(1-Assumptions!$B$163)*IF(Y33=0,0,Y39/Y33)*Assumptions!$B$32*Assumptions!$B$145*Assumptions!$B$146,0)</f>
        <v>1543.27655857736</v>
      </c>
      <c r="Z52" s="54" t="n">
        <f aca="false">IF(Z2&gt;=Assumptions!$B$51,Z41*Assumptions!$B$144*(1-Assumptions!$B$163)*IF(Z33=0,0,Z39/Z33)*Assumptions!$B$32*Assumptions!$B$145*Assumptions!$B$146,0)</f>
        <v>1859.70170101152</v>
      </c>
      <c r="AA52" s="54" t="n">
        <f aca="false">IF(AA2&gt;=Assumptions!$B$51,AA41*Assumptions!$B$144*(1-Assumptions!$B$163)*IF(AA33=0,0,AA39/AA33)*Assumptions!$B$32*Assumptions!$B$145*Assumptions!$B$146,0)</f>
        <v>12271.5004439299</v>
      </c>
      <c r="AB52" s="54" t="n">
        <f aca="false">IF(AB2&gt;=Assumptions!$B$51,AB41*Assumptions!$B$144*(1-Assumptions!$B$163)*IF(AB33=0,0,AB39/AB33)*Assumptions!$B$32*Assumptions!$B$145*Assumptions!$B$146,0)</f>
        <v>25019.3053719088</v>
      </c>
      <c r="AC52" s="54" t="n">
        <f aca="false">IF(AC2&gt;=Assumptions!$B$51,AC41*Assumptions!$B$144*(1-Assumptions!$B$163)*IF(AC33=0,0,AC39/AC33)*Assumptions!$B$32*Assumptions!$B$145*Assumptions!$B$146,0)</f>
        <v>43512.2852254084</v>
      </c>
      <c r="AD52" s="54" t="n">
        <f aca="false">IF(AD2&gt;=Assumptions!$B$51,AD41*Assumptions!$B$144*(1-Assumptions!$B$163)*IF(AD33=0,0,AD39/AD33)*Assumptions!$B$32*Assumptions!$B$145*Assumptions!$B$146,0)</f>
        <v>68354.0475803907</v>
      </c>
      <c r="AE52" s="54" t="n">
        <f aca="false">IF(AE2&gt;=Assumptions!$B$51,AE41*Assumptions!$B$144*(1-Assumptions!$B$163)*IF(AE33=0,0,AE39/AE33)*Assumptions!$B$32*Assumptions!$B$145*Assumptions!$B$146,0)</f>
        <v>97786.9818701455</v>
      </c>
    </row>
    <row r="53" customFormat="false" ht="15" hidden="false" customHeight="false" outlineLevel="0" collapsed="false">
      <c r="A53" s="6" t="s">
        <v>450</v>
      </c>
      <c r="B53" s="23" t="s">
        <v>110</v>
      </c>
      <c r="C53" s="54" t="n">
        <f aca="false">(C52*Assumptions!$B$30*Assumptions!$B$31+C52/Assumptions!$B$146*Assumptions!$B$147*Assumptions!$B$28*Assumptions!$B$29)*C7/12</f>
        <v>0</v>
      </c>
      <c r="D53" s="54" t="n">
        <f aca="false">(D52*Assumptions!$B$30*Assumptions!$B$31+D52/Assumptions!$B$146*Assumptions!$B$147*Assumptions!$B$28*Assumptions!$B$29)*D7/12</f>
        <v>0</v>
      </c>
      <c r="E53" s="54" t="n">
        <f aca="false">(E52*Assumptions!$B$30*Assumptions!$B$31+E52/Assumptions!$B$146*Assumptions!$B$147*Assumptions!$B$28*Assumptions!$B$29)*E7/12</f>
        <v>0</v>
      </c>
      <c r="F53" s="54" t="n">
        <f aca="false">(F52*Assumptions!$B$30*Assumptions!$B$31+F52/Assumptions!$B$146*Assumptions!$B$147*Assumptions!$B$28*Assumptions!$B$29)*F7/12</f>
        <v>0</v>
      </c>
      <c r="G53" s="54" t="n">
        <f aca="false">(G52*Assumptions!$B$30*Assumptions!$B$31+G52/Assumptions!$B$146*Assumptions!$B$147*Assumptions!$B$28*Assumptions!$B$29)*G7/12</f>
        <v>0</v>
      </c>
      <c r="H53" s="54" t="n">
        <f aca="false">(H52*Assumptions!$B$30*Assumptions!$B$31+H52/Assumptions!$B$146*Assumptions!$B$147*Assumptions!$B$28*Assumptions!$B$29)*H7/12</f>
        <v>0</v>
      </c>
      <c r="I53" s="54" t="n">
        <f aca="false">(I52*Assumptions!$B$30*Assumptions!$B$31+I52/Assumptions!$B$146*Assumptions!$B$147*Assumptions!$B$28*Assumptions!$B$29)*I7/12</f>
        <v>0</v>
      </c>
      <c r="J53" s="54" t="n">
        <f aca="false">(J52*Assumptions!$B$30*Assumptions!$B$31+J52/Assumptions!$B$146*Assumptions!$B$147*Assumptions!$B$28*Assumptions!$B$29)*J7/12</f>
        <v>0</v>
      </c>
      <c r="K53" s="54" t="n">
        <f aca="false">(K52*Assumptions!$B$30*Assumptions!$B$31+K52/Assumptions!$B$146*Assumptions!$B$147*Assumptions!$B$28*Assumptions!$B$29)*K7/12</f>
        <v>0</v>
      </c>
      <c r="L53" s="54" t="n">
        <f aca="false">(L52*Assumptions!$B$30*Assumptions!$B$31+L52/Assumptions!$B$146*Assumptions!$B$147*Assumptions!$B$28*Assumptions!$B$29)*L7/12</f>
        <v>0</v>
      </c>
      <c r="M53" s="54" t="n">
        <f aca="false">(M52*Assumptions!$B$30*Assumptions!$B$31+M52/Assumptions!$B$146*Assumptions!$B$147*Assumptions!$B$28*Assumptions!$B$29)*M7/12</f>
        <v>0</v>
      </c>
      <c r="N53" s="54" t="n">
        <f aca="false">(N52*Assumptions!$B$30*Assumptions!$B$31+N52/Assumptions!$B$146*Assumptions!$B$147*Assumptions!$B$28*Assumptions!$B$29)*N7/12</f>
        <v>0</v>
      </c>
      <c r="O53" s="54" t="n">
        <f aca="false">(O52*Assumptions!$B$30*Assumptions!$B$31+O52/Assumptions!$B$146*Assumptions!$B$147*Assumptions!$B$28*Assumptions!$B$29)*O7/12</f>
        <v>0.735553125249686</v>
      </c>
      <c r="P53" s="54" t="n">
        <f aca="false">(P52*Assumptions!$B$30*Assumptions!$B$31+P52/Assumptions!$B$146*Assumptions!$B$147*Assumptions!$B$28*Assumptions!$B$29)*P7/12</f>
        <v>0.855866346058867</v>
      </c>
      <c r="Q53" s="54" t="n">
        <f aca="false">(Q52*Assumptions!$B$30*Assumptions!$B$31+Q52/Assumptions!$B$146*Assumptions!$B$147*Assumptions!$B$28*Assumptions!$B$29)*Q7/12</f>
        <v>0.993022084827193</v>
      </c>
      <c r="R53" s="54" t="n">
        <f aca="false">(R52*Assumptions!$B$30*Assumptions!$B$31+R52/Assumptions!$B$146*Assumptions!$B$147*Assumptions!$B$28*Assumptions!$B$29)*R7/12</f>
        <v>1.11799071386063</v>
      </c>
      <c r="S53" s="54" t="n">
        <f aca="false">(S52*Assumptions!$B$30*Assumptions!$B$31+S52/Assumptions!$B$146*Assumptions!$B$147*Assumptions!$B$28*Assumptions!$B$29)*S7/12</f>
        <v>1.28541017196095</v>
      </c>
      <c r="T53" s="54" t="n">
        <f aca="false">(T52*Assumptions!$B$30*Assumptions!$B$31+T52/Assumptions!$B$146*Assumptions!$B$147*Assumptions!$B$28*Assumptions!$B$29)*T7/12</f>
        <v>1.53695402946694</v>
      </c>
      <c r="U53" s="54" t="n">
        <f aca="false">(U52*Assumptions!$B$30*Assumptions!$B$31+U52/Assumptions!$B$146*Assumptions!$B$147*Assumptions!$B$28*Assumptions!$B$29)*U7/12</f>
        <v>1.79171883411228</v>
      </c>
      <c r="V53" s="54" t="n">
        <f aca="false">(V52*Assumptions!$B$30*Assumptions!$B$31+V52/Assumptions!$B$146*Assumptions!$B$147*Assumptions!$B$28*Assumptions!$B$29)*V7/12</f>
        <v>2.03544619439109</v>
      </c>
      <c r="W53" s="54" t="n">
        <f aca="false">(W52*Assumptions!$B$30*Assumptions!$B$31+W52/Assumptions!$B$146*Assumptions!$B$147*Assumptions!$B$28*Assumptions!$B$29)*W7/12</f>
        <v>2.59924712126818</v>
      </c>
      <c r="X53" s="54" t="n">
        <f aca="false">(X52*Assumptions!$B$30*Assumptions!$B$31+X52/Assumptions!$B$146*Assumptions!$B$147*Assumptions!$B$28*Assumptions!$B$29)*X7/12</f>
        <v>3.11326847782744</v>
      </c>
      <c r="Y53" s="54" t="n">
        <f aca="false">(Y52*Assumptions!$B$30*Assumptions!$B$31+Y52/Assumptions!$B$146*Assumptions!$B$147*Assumptions!$B$28*Assumptions!$B$29)*Y7/12</f>
        <v>3.66528182662123</v>
      </c>
      <c r="Z53" s="54" t="n">
        <f aca="false">(Z52*Assumptions!$B$30*Assumptions!$B$31+Z52/Assumptions!$B$146*Assumptions!$B$147*Assumptions!$B$28*Assumptions!$B$29)*Z7/12</f>
        <v>4.41679153990236</v>
      </c>
      <c r="AA53" s="54" t="n">
        <f aca="false">(AA52*Assumptions!$B$30*Assumptions!$B$31+AA52/Assumptions!$B$146*Assumptions!$B$147*Assumptions!$B$28*Assumptions!$B$29)*AA7/12</f>
        <v>349.737762652002</v>
      </c>
      <c r="AB53" s="54" t="n">
        <f aca="false">(AB52*Assumptions!$B$30*Assumptions!$B$31+AB52/Assumptions!$B$146*Assumptions!$B$147*Assumptions!$B$28*Assumptions!$B$29)*AB7/12</f>
        <v>713.0502030994</v>
      </c>
      <c r="AC53" s="54" t="n">
        <f aca="false">(AC52*Assumptions!$B$30*Assumptions!$B$31+AC52/Assumptions!$B$146*Assumptions!$B$147*Assumptions!$B$28*Assumptions!$B$29)*AC7/12</f>
        <v>1240.10012892414</v>
      </c>
      <c r="AD53" s="54" t="n">
        <f aca="false">(AD52*Assumptions!$B$30*Assumptions!$B$31+AD52/Assumptions!$B$146*Assumptions!$B$147*Assumptions!$B$28*Assumptions!$B$29)*AD7/12</f>
        <v>1948.09035604113</v>
      </c>
      <c r="AE53" s="54" t="n">
        <f aca="false">(AE52*Assumptions!$B$30*Assumptions!$B$31+AE52/Assumptions!$B$146*Assumptions!$B$147*Assumptions!$B$28*Assumptions!$B$29)*AE7/12</f>
        <v>2786.92898329915</v>
      </c>
    </row>
    <row r="54" customFormat="false" ht="15" hidden="false" customHeight="false" outlineLevel="0" collapsed="false">
      <c r="A54" s="6" t="s">
        <v>451</v>
      </c>
      <c r="B54" s="23" t="s">
        <v>452</v>
      </c>
      <c r="C54" s="44" t="n">
        <f aca="false">IF(C2&gt;=Assumptions!$B$47,(C30+C32*Assumptions!$B$125)*Assumptions!$B$124*C7/12,0)</f>
        <v>0.233447300632392</v>
      </c>
      <c r="D54" s="44" t="n">
        <f aca="false">IF(D2&gt;=Assumptions!$B$47,(D30+D32*Assumptions!$B$125)*Assumptions!$B$124*D7/12,0)</f>
        <v>0.468169909393567</v>
      </c>
      <c r="E54" s="44" t="n">
        <f aca="false">IF(E2&gt;=Assumptions!$B$47,(E30+E32*Assumptions!$B$125)*Assumptions!$B$124*E7/12,0)</f>
        <v>0.705218819713075</v>
      </c>
      <c r="F54" s="44" t="n">
        <f aca="false">IF(F2&gt;=Assumptions!$B$47,(F30+F32*Assumptions!$B$125)*Assumptions!$B$124*F7/12,0)</f>
        <v>1.00587568027098</v>
      </c>
      <c r="G54" s="44" t="n">
        <f aca="false">IF(G2&gt;=Assumptions!$B$47,(G30+G32*Assumptions!$B$125)*Assumptions!$B$124*G7/12,0)</f>
        <v>1.29401658245014</v>
      </c>
      <c r="H54" s="44" t="n">
        <f aca="false">IF(H2&gt;=Assumptions!$B$47,(H30+H32*Assumptions!$B$125)*Assumptions!$B$124*H7/12,0)</f>
        <v>1.55608811595628</v>
      </c>
      <c r="I54" s="44" t="n">
        <f aca="false">IF(I2&gt;=Assumptions!$B$47,(I30+I32*Assumptions!$B$125)*Assumptions!$B$124*I7/12,0)</f>
        <v>1.81953994813592</v>
      </c>
      <c r="J54" s="44" t="n">
        <f aca="false">IF(J2&gt;=Assumptions!$B$47,(J30+J32*Assumptions!$B$125)*Assumptions!$B$124*J7/12,0)</f>
        <v>2.09050602754698</v>
      </c>
      <c r="K54" s="44" t="n">
        <f aca="false">IF(K2&gt;=Assumptions!$B$47,(K30+K32*Assumptions!$B$125)*Assumptions!$B$124*K7/12,0)</f>
        <v>2.38706490111813</v>
      </c>
      <c r="L54" s="44" t="n">
        <f aca="false">IF(L2&gt;=Assumptions!$B$47,(L30+L32*Assumptions!$B$125)*Assumptions!$B$124*L7/12,0)</f>
        <v>2.7652000601061</v>
      </c>
      <c r="M54" s="44" t="n">
        <f aca="false">IF(M2&gt;=Assumptions!$B$47,(M30+M32*Assumptions!$B$125)*Assumptions!$B$124*M7/12,0)</f>
        <v>3.13173355781555</v>
      </c>
      <c r="N54" s="44" t="n">
        <f aca="false">IF(N2&gt;=Assumptions!$B$47,(N30+N32*Assumptions!$B$125)*Assumptions!$B$124*N7/12,0)</f>
        <v>3.47563374650913</v>
      </c>
      <c r="O54" s="44" t="n">
        <f aca="false">IF(O2&gt;=Assumptions!$B$47,(O30+O32*Assumptions!$B$125)*Assumptions!$B$124*O7/12,0)</f>
        <v>4.25317437203279</v>
      </c>
      <c r="P54" s="44" t="n">
        <f aca="false">IF(P2&gt;=Assumptions!$B$47,(P30+P32*Assumptions!$B$125)*Assumptions!$B$124*P7/12,0)</f>
        <v>5.04477886621087</v>
      </c>
      <c r="Q54" s="44" t="n">
        <f aca="false">IF(Q2&gt;=Assumptions!$B$47,(Q30+Q32*Assumptions!$B$125)*Assumptions!$B$124*Q7/12,0)</f>
        <v>5.85186187050623</v>
      </c>
      <c r="R54" s="44" t="n">
        <f aca="false">IF(R2&gt;=Assumptions!$B$47,(R30+R32*Assumptions!$B$125)*Assumptions!$B$124*R7/12,0)</f>
        <v>6.85852961999065</v>
      </c>
      <c r="S54" s="44" t="n">
        <f aca="false">IF(S2&gt;=Assumptions!$B$47,(S30+S32*Assumptions!$B$125)*Assumptions!$B$124*S7/12,0)</f>
        <v>7.84165247754471</v>
      </c>
      <c r="T54" s="44" t="n">
        <f aca="false">IF(T2&gt;=Assumptions!$B$47,(T30+T32*Assumptions!$B$125)*Assumptions!$B$124*T7/12,0)</f>
        <v>8.75323270500133</v>
      </c>
      <c r="U54" s="44" t="n">
        <f aca="false">IF(U2&gt;=Assumptions!$B$47,(U30+U32*Assumptions!$B$125)*Assumptions!$B$124*U7/12,0)</f>
        <v>9.67524149596762</v>
      </c>
      <c r="V54" s="44" t="n">
        <f aca="false">IF(V2&gt;=Assumptions!$B$47,(V30+V32*Assumptions!$B$125)*Assumptions!$B$124*V7/12,0)</f>
        <v>10.6269878521974</v>
      </c>
      <c r="W54" s="44" t="n">
        <f aca="false">IF(W2&gt;=Assumptions!$B$47,(W30+W32*Assumptions!$B$125)*Assumptions!$B$124*W7/12,0)</f>
        <v>11.6687412185428</v>
      </c>
      <c r="X54" s="44" t="n">
        <f aca="false">IF(X2&gt;=Assumptions!$B$47,(X30+X32*Assumptions!$B$125)*Assumptions!$B$124*X7/12,0)</f>
        <v>12.9924002671953</v>
      </c>
      <c r="Y54" s="44" t="n">
        <f aca="false">IF(Y2&gt;=Assumptions!$B$47,(Y30+Y32*Assumptions!$B$125)*Assumptions!$B$124*Y7/12,0)</f>
        <v>14.29541298251</v>
      </c>
      <c r="Z54" s="44" t="n">
        <f aca="false">IF(Z2&gt;=Assumptions!$B$47,(Z30+Z32*Assumptions!$B$125)*Assumptions!$B$124*Z7/12,0)</f>
        <v>15.5341468822699</v>
      </c>
      <c r="AA54" s="44" t="n">
        <f aca="false">IF(AA2&gt;=Assumptions!$B$47,(AA30+AA32*Assumptions!$B$125)*Assumptions!$B$124*AA7/12,0)</f>
        <v>428.56112393402</v>
      </c>
      <c r="AB54" s="44" t="n">
        <f aca="false">IF(AB2&gt;=Assumptions!$B$47,(AB30+AB32*Assumptions!$B$125)*Assumptions!$B$124*AB7/12,0)</f>
        <v>837.524501453749</v>
      </c>
      <c r="AC54" s="44" t="n">
        <f aca="false">IF(AC2&gt;=Assumptions!$B$47,(AC30+AC32*Assumptions!$B$125)*Assumptions!$B$124*AC7/12,0)</f>
        <v>1470.84129872375</v>
      </c>
      <c r="AD54" s="44" t="n">
        <f aca="false">IF(AD2&gt;=Assumptions!$B$47,(AD30+AD32*Assumptions!$B$125)*Assumptions!$B$124*AD7/12,0)</f>
        <v>2374.99765098582</v>
      </c>
      <c r="AE54" s="44" t="n">
        <f aca="false">IF(AE2&gt;=Assumptions!$B$47,(AE30+AE32*Assumptions!$B$125)*Assumptions!$B$124*AE7/12,0)</f>
        <v>3535.14782776893</v>
      </c>
    </row>
    <row r="55" customFormat="false" ht="15" hidden="false" customHeight="false" outlineLevel="0" collapsed="false">
      <c r="A55" s="3" t="s">
        <v>453</v>
      </c>
      <c r="B55" s="23" t="s">
        <v>110</v>
      </c>
      <c r="C55" s="56" t="n">
        <f aca="false">C47+C48+C49+C50+C51+C53</f>
        <v>47.4021635295081</v>
      </c>
      <c r="D55" s="56" t="n">
        <f aca="false">D47+D48+D49+D50+D51+D53</f>
        <v>90.1404708586149</v>
      </c>
      <c r="E55" s="56" t="n">
        <f aca="false">E47+E48+E49+E50+E51+E53</f>
        <v>128.912680276335</v>
      </c>
      <c r="F55" s="56" t="n">
        <f aca="false">F47+F48+F49+F50+F51+F53</f>
        <v>176.574098800876</v>
      </c>
      <c r="G55" s="56" t="n">
        <f aca="false">G47+G48+G49+G50+G51+G53</f>
        <v>216.744379589306</v>
      </c>
      <c r="H55" s="56" t="n">
        <f aca="false">H47+H48+H49+H50+H51+H53</f>
        <v>247.449432591376</v>
      </c>
      <c r="I55" s="56" t="n">
        <f aca="false">I47+I48+I49+I50+I51+I53</f>
        <v>660.528059105233</v>
      </c>
      <c r="J55" s="56" t="n">
        <f aca="false">J47+J48+J49+J50+J51+J53</f>
        <v>723.967533042616</v>
      </c>
      <c r="K55" s="56" t="n">
        <f aca="false">K47+K48+K49+K50+K51+K53</f>
        <v>793.289574137519</v>
      </c>
      <c r="L55" s="56" t="n">
        <f aca="false">L47+L48+L49+L50+L51+L53</f>
        <v>895.162965006168</v>
      </c>
      <c r="M55" s="56" t="n">
        <f aca="false">M47+M48+M49+M50+M51+M53</f>
        <v>980.803325946761</v>
      </c>
      <c r="N55" s="56" t="n">
        <f aca="false">N47+N48+N49+N50+N51+N53</f>
        <v>1046.52097635893</v>
      </c>
      <c r="O55" s="56" t="n">
        <f aca="false">O47+O48+O49+O50+O51+O53</f>
        <v>1529.6565187337</v>
      </c>
      <c r="P55" s="56" t="n">
        <f aca="false">P47+P48+P49+P50+P51+P53</f>
        <v>1814.88630338335</v>
      </c>
      <c r="Q55" s="56" t="n">
        <f aca="false">Q47+Q48+Q49+Q50+Q51+Q53</f>
        <v>2082.66345976411</v>
      </c>
      <c r="R55" s="56" t="n">
        <f aca="false">R47+R48+R49+R50+R51+R53</f>
        <v>2425.31871573907</v>
      </c>
      <c r="S55" s="56" t="n">
        <f aca="false">S47+S48+S49+S50+S51+S53</f>
        <v>2732.34118104118</v>
      </c>
      <c r="T55" s="56" t="n">
        <f aca="false">T47+T48+T49+T50+T51+T53</f>
        <v>3033.95254547149</v>
      </c>
      <c r="U55" s="56" t="n">
        <f aca="false">U47+U48+U49+U50+U51+U53</f>
        <v>3296.16863901771</v>
      </c>
      <c r="V55" s="56" t="n">
        <f aca="false">V47+V48+V49+V50+V51+V53</f>
        <v>3528.66680071318</v>
      </c>
      <c r="W55" s="56" t="n">
        <f aca="false">W47+W48+W49+W50+W51+W53</f>
        <v>3820.64385679703</v>
      </c>
      <c r="X55" s="56" t="n">
        <f aca="false">X47+X48+X49+X50+X51+X53</f>
        <v>4300.47140837907</v>
      </c>
      <c r="Y55" s="56" t="n">
        <f aca="false">Y47+Y48+Y49+Y50+Y51+Y53</f>
        <v>4710.35803500933</v>
      </c>
      <c r="Z55" s="56" t="n">
        <f aca="false">Z47+Z48+Z49+Z50+Z51+Z53</f>
        <v>5065.52968258623</v>
      </c>
      <c r="AA55" s="56" t="n">
        <f aca="false">AA47+AA48+AA49+AA50+AA51+AA53</f>
        <v>158472.364111602</v>
      </c>
      <c r="AB55" s="56" t="n">
        <f aca="false">AB47+AB48+AB49+AB50+AB51+AB53</f>
        <v>282405.012674828</v>
      </c>
      <c r="AC55" s="56" t="n">
        <f aca="false">AC47+AC48+AC49+AC50+AC51+AC53</f>
        <v>462580.867614116</v>
      </c>
      <c r="AD55" s="56" t="n">
        <f aca="false">AD47+AD48+AD49+AD50+AD51+AD53</f>
        <v>700550.463159662</v>
      </c>
      <c r="AE55" s="56" t="n">
        <f aca="false">AE47+AE48+AE49+AE50+AE51+AE53</f>
        <v>970455.060732032</v>
      </c>
    </row>
    <row r="57" customFormat="false" ht="15" hidden="false" customHeight="false" outlineLevel="0" collapsed="false">
      <c r="A57" s="45" t="s">
        <v>454</v>
      </c>
      <c r="B57" s="46"/>
      <c r="C57" s="46"/>
      <c r="D57" s="46"/>
      <c r="E57" s="46"/>
      <c r="F57" s="46"/>
      <c r="G57" s="46"/>
      <c r="H57" s="46"/>
      <c r="I57" s="46"/>
      <c r="J57" s="46"/>
      <c r="K57" s="46"/>
      <c r="L57" s="46"/>
      <c r="M57" s="46"/>
      <c r="N57" s="46"/>
      <c r="O57" s="46"/>
      <c r="P57" s="46"/>
      <c r="Q57" s="46"/>
      <c r="R57" s="46"/>
      <c r="S57" s="46"/>
      <c r="T57" s="46"/>
      <c r="U57" s="46"/>
      <c r="V57" s="46"/>
      <c r="W57" s="46"/>
      <c r="X57" s="46"/>
      <c r="Y57" s="46"/>
      <c r="Z57" s="46"/>
      <c r="AA57" s="46"/>
      <c r="AB57" s="46"/>
      <c r="AC57" s="46"/>
      <c r="AD57" s="46"/>
      <c r="AE57" s="46"/>
    </row>
    <row r="58" customFormat="false" ht="15" hidden="false" customHeight="false" outlineLevel="0" collapsed="false">
      <c r="A58" s="6" t="s">
        <v>423</v>
      </c>
      <c r="B58" s="23" t="s">
        <v>186</v>
      </c>
      <c r="C58" s="53" t="n">
        <f aca="false">C23*Assumptions!$B$161*IF(C2&gt;=Assumptions!$B$54,1,0)/C24+C20*Assumptions!$B$108</f>
        <v>0</v>
      </c>
      <c r="D58" s="53" t="n">
        <f aca="false">D23*Assumptions!$B$161*IF(D2&gt;=Assumptions!$B$54,1,0)/D24+D20*Assumptions!$B$108</f>
        <v>0</v>
      </c>
      <c r="E58" s="53" t="n">
        <f aca="false">E23*Assumptions!$B$161*IF(E2&gt;=Assumptions!$B$54,1,0)/E24+E20*Assumptions!$B$108</f>
        <v>0</v>
      </c>
      <c r="F58" s="53" t="n">
        <f aca="false">F23*Assumptions!$B$161*IF(F2&gt;=Assumptions!$B$54,1,0)/F24+F20*Assumptions!$B$108</f>
        <v>0</v>
      </c>
      <c r="G58" s="53" t="n">
        <f aca="false">G23*Assumptions!$B$161*IF(G2&gt;=Assumptions!$B$54,1,0)/G24+G20*Assumptions!$B$108</f>
        <v>0</v>
      </c>
      <c r="H58" s="53" t="n">
        <f aca="false">H23*Assumptions!$B$161*IF(H2&gt;=Assumptions!$B$54,1,0)/H24+H20*Assumptions!$B$108</f>
        <v>0</v>
      </c>
      <c r="I58" s="53" t="n">
        <f aca="false">I23*Assumptions!$B$161*IF(I2&gt;=Assumptions!$B$54,1,0)/I24+I20*Assumptions!$B$108</f>
        <v>0</v>
      </c>
      <c r="J58" s="53" t="n">
        <f aca="false">J23*Assumptions!$B$161*IF(J2&gt;=Assumptions!$B$54,1,0)/J24+J20*Assumptions!$B$108</f>
        <v>0</v>
      </c>
      <c r="K58" s="53" t="n">
        <f aca="false">K23*Assumptions!$B$161*IF(K2&gt;=Assumptions!$B$54,1,0)/K24+K20*Assumptions!$B$108</f>
        <v>0</v>
      </c>
      <c r="L58" s="53" t="n">
        <f aca="false">L23*Assumptions!$B$161*IF(L2&gt;=Assumptions!$B$54,1,0)/L24+L20*Assumptions!$B$108</f>
        <v>0</v>
      </c>
      <c r="M58" s="53" t="n">
        <f aca="false">M23*Assumptions!$B$161*IF(M2&gt;=Assumptions!$B$54,1,0)/M24+M20*Assumptions!$B$108</f>
        <v>0</v>
      </c>
      <c r="N58" s="53" t="n">
        <f aca="false">N23*Assumptions!$B$161*IF(N2&gt;=Assumptions!$B$54,1,0)/N24+N20*Assumptions!$B$108</f>
        <v>0</v>
      </c>
      <c r="O58" s="53" t="n">
        <f aca="false">O23*Assumptions!$B$161*IF(O2&gt;=Assumptions!$B$54,1,0)/O24+O20*Assumptions!$B$108</f>
        <v>20.1725103460824</v>
      </c>
      <c r="P58" s="53" t="n">
        <f aca="false">P23*Assumptions!$B$161*IF(P2&gt;=Assumptions!$B$54,1,0)/P24+P20*Assumptions!$B$108</f>
        <v>20.7068859074533</v>
      </c>
      <c r="Q58" s="53" t="n">
        <f aca="false">Q23*Assumptions!$B$161*IF(Q2&gt;=Assumptions!$B$54,1,0)/Q24+Q20*Assumptions!$B$108</f>
        <v>21.1956858363193</v>
      </c>
      <c r="R58" s="53" t="n">
        <f aca="false">R23*Assumptions!$B$161*IF(R2&gt;=Assumptions!$B$54,1,0)/R24+R20*Assumptions!$B$108</f>
        <v>21.64536162438</v>
      </c>
      <c r="S58" s="53" t="n">
        <f aca="false">S23*Assumptions!$B$161*IF(S2&gt;=Assumptions!$B$54,1,0)/S24+S20*Assumptions!$B$108</f>
        <v>22.2286335620223</v>
      </c>
      <c r="T58" s="53" t="n">
        <f aca="false">T23*Assumptions!$B$161*IF(T2&gt;=Assumptions!$B$54,1,0)/T24+T20*Assumptions!$B$108</f>
        <v>22.7258937028499</v>
      </c>
      <c r="U58" s="53" t="n">
        <f aca="false">U23*Assumptions!$B$161*IF(U2&gt;=Assumptions!$B$54,1,0)/U24+U20*Assumptions!$B$108</f>
        <v>23.1038692300912</v>
      </c>
      <c r="V58" s="53" t="n">
        <f aca="false">V23*Assumptions!$B$161*IF(V2&gt;=Assumptions!$B$54,1,0)/V24+V20*Assumptions!$B$108</f>
        <v>23.4501503986214</v>
      </c>
      <c r="W58" s="53" t="n">
        <f aca="false">W23*Assumptions!$B$161*IF(W2&gt;=Assumptions!$B$54,1,0)/W24+W20*Assumptions!$B$108</f>
        <v>23.7855020672576</v>
      </c>
      <c r="X58" s="53" t="n">
        <f aca="false">X23*Assumptions!$B$161*IF(X2&gt;=Assumptions!$B$54,1,0)/X24+X20*Assumptions!$B$108</f>
        <v>24.1647973152316</v>
      </c>
      <c r="Y58" s="53" t="n">
        <f aca="false">Y23*Assumptions!$B$161*IF(Y2&gt;=Assumptions!$B$54,1,0)/Y24+Y20*Assumptions!$B$108</f>
        <v>24.7533776974871</v>
      </c>
      <c r="Z58" s="53" t="n">
        <f aca="false">Z23*Assumptions!$B$161*IF(Z2&gt;=Assumptions!$B$54,1,0)/Z24+Z20*Assumptions!$B$108</f>
        <v>25.2580299305051</v>
      </c>
      <c r="AA58" s="53" t="n">
        <f aca="false">AA23*Assumptions!$B$161*IF(AA2&gt;=Assumptions!$B$54,1,0)/AA24+AA20*Assumptions!$B$108</f>
        <v>394.306213591521</v>
      </c>
      <c r="AB58" s="53" t="n">
        <f aca="false">AB23*Assumptions!$B$161*IF(AB2&gt;=Assumptions!$B$54,1,0)/AB24+AB20*Assumptions!$B$108</f>
        <v>672.272067255557</v>
      </c>
      <c r="AC58" s="53" t="n">
        <f aca="false">AC23*Assumptions!$B$161*IF(AC2&gt;=Assumptions!$B$54,1,0)/AC24+AC20*Assumptions!$B$108</f>
        <v>1043.99461474075</v>
      </c>
      <c r="AD58" s="53" t="n">
        <f aca="false">AD23*Assumptions!$B$161*IF(AD2&gt;=Assumptions!$B$54,1,0)/AD24+AD20*Assumptions!$B$108</f>
        <v>1511.79400252194</v>
      </c>
      <c r="AE58" s="53" t="n">
        <f aca="false">AE23*Assumptions!$B$161*IF(AE2&gt;=Assumptions!$B$54,1,0)/AE24+AE20*Assumptions!$B$108</f>
        <v>1978.97207558528</v>
      </c>
    </row>
    <row r="59" customFormat="false" ht="15" hidden="false" customHeight="false" outlineLevel="0" collapsed="false">
      <c r="A59" s="6" t="s">
        <v>424</v>
      </c>
      <c r="B59" s="23" t="s">
        <v>421</v>
      </c>
      <c r="C59" s="50" t="n">
        <v>1</v>
      </c>
      <c r="D59" s="50" t="n">
        <f aca="false">MAX(0,1-C64/Assumptions!$B$83)</f>
        <v>1</v>
      </c>
      <c r="E59" s="50" t="n">
        <f aca="false">MAX(0,1-D64/Assumptions!$B$83)</f>
        <v>1</v>
      </c>
      <c r="F59" s="50" t="n">
        <f aca="false">MAX(0,1-E64/Assumptions!$B$83)</f>
        <v>1</v>
      </c>
      <c r="G59" s="50" t="n">
        <f aca="false">MAX(0,1-F64/Assumptions!$B$83)</f>
        <v>1</v>
      </c>
      <c r="H59" s="50" t="n">
        <f aca="false">MAX(0,1-G64/Assumptions!$B$83)</f>
        <v>1</v>
      </c>
      <c r="I59" s="50" t="n">
        <f aca="false">MAX(0,1-H64/Assumptions!$B$83)</f>
        <v>1</v>
      </c>
      <c r="J59" s="50" t="n">
        <f aca="false">MAX(0,1-I64/Assumptions!$B$83)</f>
        <v>1</v>
      </c>
      <c r="K59" s="50" t="n">
        <f aca="false">MAX(0,1-J64/Assumptions!$B$83)</f>
        <v>1</v>
      </c>
      <c r="L59" s="50" t="n">
        <f aca="false">MAX(0,1-K64/Assumptions!$B$83)</f>
        <v>1</v>
      </c>
      <c r="M59" s="50" t="n">
        <f aca="false">MAX(0,1-L64/Assumptions!$B$83)</f>
        <v>1</v>
      </c>
      <c r="N59" s="50" t="n">
        <f aca="false">MAX(0,1-M64/Assumptions!$B$83)</f>
        <v>1</v>
      </c>
      <c r="O59" s="50" t="n">
        <f aca="false">MAX(0,1-N64/Assumptions!$B$83)</f>
        <v>1</v>
      </c>
      <c r="P59" s="50" t="n">
        <f aca="false">MAX(0,1-O64/Assumptions!$B$83)</f>
        <v>0.999150563861252</v>
      </c>
      <c r="Q59" s="50" t="n">
        <f aca="false">MAX(0,1-P64/Assumptions!$B$83)</f>
        <v>0.998322495150817</v>
      </c>
      <c r="R59" s="50" t="n">
        <f aca="false">MAX(0,1-Q64/Assumptions!$B$83)</f>
        <v>0.997510869860104</v>
      </c>
      <c r="S59" s="50" t="n">
        <f aca="false">MAX(0,1-R64/Assumptions!$B$83)</f>
        <v>0.996475656814455</v>
      </c>
      <c r="T59" s="50" t="n">
        <f aca="false">MAX(0,1-S64/Assumptions!$B$83)</f>
        <v>0.995515234564524</v>
      </c>
      <c r="U59" s="50" t="n">
        <f aca="false">MAX(0,1-T64/Assumptions!$B$83)</f>
        <v>0.994685190846949</v>
      </c>
      <c r="V59" s="50" t="n">
        <f aca="false">MAX(0,1-U64/Assumptions!$B$83)</f>
        <v>0.99387078907721</v>
      </c>
      <c r="W59" s="50" t="n">
        <f aca="false">MAX(0,1-V64/Assumptions!$B$83)</f>
        <v>0.993044857828521</v>
      </c>
      <c r="X59" s="50" t="n">
        <f aca="false">MAX(0,1-W64/Assumptions!$B$83)</f>
        <v>0.992129030599581</v>
      </c>
      <c r="Y59" s="50" t="n">
        <f aca="false">MAX(0,1-X64/Assumptions!$B$83)</f>
        <v>0.990879604019936</v>
      </c>
      <c r="Z59" s="50" t="n">
        <f aca="false">MAX(0,1-Y64/Assumptions!$B$83)</f>
        <v>0.98970361677531</v>
      </c>
      <c r="AA59" s="50" t="n">
        <f aca="false">MAX(0,1-Z64/Assumptions!$B$83)</f>
        <v>0.988650987564009</v>
      </c>
      <c r="AB59" s="50" t="n">
        <f aca="false">MAX(0,1-AA64/Assumptions!$B$83)</f>
        <v>0.972398268121098</v>
      </c>
      <c r="AC59" s="50" t="n">
        <f aca="false">MAX(0,1-AB64/Assumptions!$B$83)</f>
        <v>0.945143740658558</v>
      </c>
      <c r="AD59" s="50" t="n">
        <f aca="false">MAX(0,1-AC64/Assumptions!$B$83)</f>
        <v>0.904005517082601</v>
      </c>
      <c r="AE59" s="50" t="n">
        <f aca="false">MAX(0,1-AD64/Assumptions!$B$83)</f>
        <v>0.847026741526758</v>
      </c>
    </row>
    <row r="60" customFormat="false" ht="15" hidden="false" customHeight="false" outlineLevel="0" collapsed="false">
      <c r="A60" s="6" t="s">
        <v>425</v>
      </c>
      <c r="B60" s="23" t="s">
        <v>186</v>
      </c>
      <c r="C60" s="53" t="n">
        <f aca="false">C58*C59*C15</f>
        <v>0</v>
      </c>
      <c r="D60" s="53" t="n">
        <f aca="false">D58*D59*D15</f>
        <v>0</v>
      </c>
      <c r="E60" s="53" t="n">
        <f aca="false">E58*E59*E15</f>
        <v>0</v>
      </c>
      <c r="F60" s="53" t="n">
        <f aca="false">F58*F59*F15</f>
        <v>0</v>
      </c>
      <c r="G60" s="53" t="n">
        <f aca="false">G58*G59*G15</f>
        <v>0</v>
      </c>
      <c r="H60" s="53" t="n">
        <f aca="false">H58*H59*H15</f>
        <v>0</v>
      </c>
      <c r="I60" s="53" t="n">
        <f aca="false">I58*I59*I15</f>
        <v>0</v>
      </c>
      <c r="J60" s="53" t="n">
        <f aca="false">J58*J59*J15</f>
        <v>0</v>
      </c>
      <c r="K60" s="53" t="n">
        <f aca="false">K58*K59*K15</f>
        <v>0</v>
      </c>
      <c r="L60" s="53" t="n">
        <f aca="false">L58*L59*L15</f>
        <v>0</v>
      </c>
      <c r="M60" s="53" t="n">
        <f aca="false">M58*M59*M15</f>
        <v>0</v>
      </c>
      <c r="N60" s="53" t="n">
        <f aca="false">N58*N59*N15</f>
        <v>0</v>
      </c>
      <c r="O60" s="53" t="n">
        <f aca="false">O58*O59*O15</f>
        <v>20.3742354495433</v>
      </c>
      <c r="P60" s="53" t="n">
        <f aca="false">P58*P59*P15</f>
        <v>19.8617248610329</v>
      </c>
      <c r="Q60" s="53" t="n">
        <f aca="false">Q58*Q59*Q15</f>
        <v>19.4673195729033</v>
      </c>
      <c r="R60" s="53" t="n">
        <f aca="false">R58*R59*R15</f>
        <v>24.8302060277276</v>
      </c>
      <c r="S60" s="53" t="n">
        <f aca="false">S58*S59*S15</f>
        <v>23.0363039179562</v>
      </c>
      <c r="T60" s="53" t="n">
        <f aca="false">T58*T59*T15</f>
        <v>19.9090965922473</v>
      </c>
      <c r="U60" s="53" t="n">
        <f aca="false">U58*U59*U15</f>
        <v>19.5339150882708</v>
      </c>
      <c r="V60" s="53" t="n">
        <f aca="false">V58*V59*V15</f>
        <v>19.8104565585585</v>
      </c>
      <c r="W60" s="53" t="n">
        <f aca="false">W58*W59*W15</f>
        <v>21.9666655824466</v>
      </c>
      <c r="X60" s="53" t="n">
        <f aca="false">X58*X59*X15</f>
        <v>29.9682461687451</v>
      </c>
      <c r="Y60" s="53" t="n">
        <f aca="false">Y58*Y59*Y15</f>
        <v>28.2067596546982</v>
      </c>
      <c r="Z60" s="53" t="n">
        <f aca="false">Z58*Z59*Z15</f>
        <v>25.2479432105884</v>
      </c>
      <c r="AA60" s="53" t="n">
        <f aca="false">AA58*AA59*AA15</f>
        <v>389.831227469882</v>
      </c>
      <c r="AB60" s="53" t="n">
        <f aca="false">AB58*AB59*AB15</f>
        <v>653.716193905494</v>
      </c>
      <c r="AC60" s="53" t="n">
        <f aca="false">AC58*AC59*AC15</f>
        <v>986.724975403465</v>
      </c>
      <c r="AD60" s="53" t="n">
        <f aca="false">AD58*AD59*AD15</f>
        <v>1366.67011897222</v>
      </c>
      <c r="AE60" s="53" t="n">
        <f aca="false">AE58*AE59*AE15</f>
        <v>1676.24226875544</v>
      </c>
    </row>
    <row r="61" customFormat="false" ht="15" hidden="false" customHeight="false" outlineLevel="0" collapsed="false">
      <c r="A61" s="6" t="s">
        <v>426</v>
      </c>
      <c r="B61" s="23" t="s">
        <v>186</v>
      </c>
      <c r="C61" s="28" t="n">
        <f aca="false">C60*(1-Assumptions!$B$114)^(C7/2)</f>
        <v>0</v>
      </c>
      <c r="D61" s="28" t="n">
        <f aca="false">C61*(1-Assumptions!$B$114)^D7+D60*(1-Assumptions!$B$114)^(D7/2)</f>
        <v>0</v>
      </c>
      <c r="E61" s="28" t="n">
        <f aca="false">D61*(1-Assumptions!$B$114)^E7+E60*(1-Assumptions!$B$114)^(E7/2)</f>
        <v>0</v>
      </c>
      <c r="F61" s="28" t="n">
        <f aca="false">E61*(1-Assumptions!$B$114)^F7+F60*(1-Assumptions!$B$114)^(F7/2)</f>
        <v>0</v>
      </c>
      <c r="G61" s="28" t="n">
        <f aca="false">F61*(1-Assumptions!$B$114)^G7+G60*(1-Assumptions!$B$114)^(G7/2)</f>
        <v>0</v>
      </c>
      <c r="H61" s="28" t="n">
        <f aca="false">G61*(1-Assumptions!$B$114)^H7+H60*(1-Assumptions!$B$114)^(H7/2)</f>
        <v>0</v>
      </c>
      <c r="I61" s="28" t="n">
        <f aca="false">H61*(1-Assumptions!$B$114)^I7+I60*(1-Assumptions!$B$114)^(I7/2)</f>
        <v>0</v>
      </c>
      <c r="J61" s="28" t="n">
        <f aca="false">I61*(1-Assumptions!$B$114)^J7+J60*(1-Assumptions!$B$114)^(J7/2)</f>
        <v>0</v>
      </c>
      <c r="K61" s="28" t="n">
        <f aca="false">J61*(1-Assumptions!$B$114)^K7+K60*(1-Assumptions!$B$114)^(K7/2)</f>
        <v>0</v>
      </c>
      <c r="L61" s="28" t="n">
        <f aca="false">K61*(1-Assumptions!$B$114)^L7+L60*(1-Assumptions!$B$114)^(L7/2)</f>
        <v>0</v>
      </c>
      <c r="M61" s="28" t="n">
        <f aca="false">L61*(1-Assumptions!$B$114)^M7+M60*(1-Assumptions!$B$114)^(M7/2)</f>
        <v>0</v>
      </c>
      <c r="N61" s="28" t="n">
        <f aca="false">M61*(1-Assumptions!$B$114)^N7+N60*(1-Assumptions!$B$114)^(N7/2)</f>
        <v>0</v>
      </c>
      <c r="O61" s="28" t="n">
        <f aca="false">N61*(1-Assumptions!$B$114)^O7+O60*(1-Assumptions!$B$114)^(O7/2)</f>
        <v>19.8729847553571</v>
      </c>
      <c r="P61" s="28" t="n">
        <f aca="false">O61*(1-Assumptions!$B$114)^P7+P60*(1-Assumptions!$B$114)^(P7/2)</f>
        <v>38.2802586087933</v>
      </c>
      <c r="Q61" s="28" t="n">
        <f aca="false">P61*(1-Assumptions!$B$114)^Q7+Q60*(1-Assumptions!$B$114)^(Q7/2)</f>
        <v>55.4082534444918</v>
      </c>
      <c r="R61" s="28" t="n">
        <f aca="false">Q61*(1-Assumptions!$B$114)^R7+R60*(1-Assumptions!$B$114)^(R7/2)</f>
        <v>76.9347908634418</v>
      </c>
      <c r="S61" s="28" t="n">
        <f aca="false">R61*(1-Assumptions!$B$114)^S7+S60*(1-Assumptions!$B$114)^(S7/2)</f>
        <v>95.6653897165839</v>
      </c>
      <c r="T61" s="28" t="n">
        <f aca="false">S61*(1-Assumptions!$B$114)^T7+T60*(1-Assumptions!$B$114)^(T7/2)</f>
        <v>110.4354271093</v>
      </c>
      <c r="U61" s="28" t="n">
        <f aca="false">T61*(1-Assumptions!$B$114)^U7+U60*(1-Assumptions!$B$114)^(U7/2)</f>
        <v>124.121702743473</v>
      </c>
      <c r="V61" s="28" t="n">
        <f aca="false">U61*(1-Assumptions!$B$114)^V7+V60*(1-Assumptions!$B$114)^(V7/2)</f>
        <v>137.412575631851</v>
      </c>
      <c r="W61" s="28" t="n">
        <f aca="false">V61*(1-Assumptions!$B$114)^W7+W60*(1-Assumptions!$B$114)^(W7/2)</f>
        <v>152.160685618557</v>
      </c>
      <c r="X61" s="28" t="n">
        <f aca="false">W61*(1-Assumptions!$B$114)^X7+X60*(1-Assumptions!$B$114)^(X7/2)</f>
        <v>173.996774944973</v>
      </c>
      <c r="Y61" s="28" t="n">
        <f aca="false">X61*(1-Assumptions!$B$114)^Y7+Y60*(1-Assumptions!$B$114)^(Y7/2)</f>
        <v>193.053499862433</v>
      </c>
      <c r="Z61" s="28" t="n">
        <f aca="false">Y61*(1-Assumptions!$B$114)^Z7+Z60*(1-Assumptions!$B$114)^(Z7/2)</f>
        <v>208.298061984033</v>
      </c>
      <c r="AA61" s="28" t="n">
        <f aca="false">Z61*(1-Assumptions!$B$114)^AA7+AA60*(1-Assumptions!$B$114)^(AA7/2)</f>
        <v>403.670510029697</v>
      </c>
      <c r="AB61" s="28" t="n">
        <f aca="false">AA61*(1-Assumptions!$B$114)^AB7+AB60*(1-Assumptions!$B$114)^(AB7/2)</f>
        <v>706.827685339519</v>
      </c>
      <c r="AC61" s="28" t="n">
        <f aca="false">AB61*(1-Assumptions!$B$114)^AC7+AC60*(1-Assumptions!$B$114)^(AC7/2)</f>
        <v>1120.5300539134</v>
      </c>
      <c r="AD61" s="28" t="n">
        <f aca="false">AC61*(1-Assumptions!$B$114)^AD7+AD60*(1-Assumptions!$B$114)^(AD7/2)</f>
        <v>1629.84121652044</v>
      </c>
      <c r="AE61" s="28" t="n">
        <f aca="false">AD61*(1-Assumptions!$B$114)^AE7+AE60*(1-Assumptions!$B$114)^(AE7/2)</f>
        <v>2139.54720684123</v>
      </c>
    </row>
    <row r="62" customFormat="false" ht="15" hidden="false" customHeight="false" outlineLevel="0" collapsed="false">
      <c r="A62" s="6" t="s">
        <v>427</v>
      </c>
      <c r="B62" s="23" t="s">
        <v>186</v>
      </c>
      <c r="C62" s="53" t="n">
        <f aca="false">C60-C61</f>
        <v>0</v>
      </c>
      <c r="D62" s="53" t="n">
        <f aca="false">C61+D60-D61</f>
        <v>0</v>
      </c>
      <c r="E62" s="53" t="n">
        <f aca="false">D61+E60-E61</f>
        <v>0</v>
      </c>
      <c r="F62" s="53" t="n">
        <f aca="false">E61+F60-F61</f>
        <v>0</v>
      </c>
      <c r="G62" s="53" t="n">
        <f aca="false">F61+G60-G61</f>
        <v>0</v>
      </c>
      <c r="H62" s="53" t="n">
        <f aca="false">G61+H60-H61</f>
        <v>0</v>
      </c>
      <c r="I62" s="53" t="n">
        <f aca="false">H61+I60-I61</f>
        <v>0</v>
      </c>
      <c r="J62" s="53" t="n">
        <f aca="false">I61+J60-J61</f>
        <v>0</v>
      </c>
      <c r="K62" s="53" t="n">
        <f aca="false">J61+K60-K61</f>
        <v>0</v>
      </c>
      <c r="L62" s="53" t="n">
        <f aca="false">K61+L60-L61</f>
        <v>0</v>
      </c>
      <c r="M62" s="53" t="n">
        <f aca="false">L61+M60-M61</f>
        <v>0</v>
      </c>
      <c r="N62" s="53" t="n">
        <f aca="false">M61+N60-N61</f>
        <v>0</v>
      </c>
      <c r="O62" s="53" t="n">
        <f aca="false">N61+O60-O61</f>
        <v>0.501250694186126</v>
      </c>
      <c r="P62" s="53" t="n">
        <f aca="false">O61+P60-P61</f>
        <v>1.45445100759677</v>
      </c>
      <c r="Q62" s="53" t="n">
        <f aca="false">P61+Q60-Q61</f>
        <v>2.33932473720475</v>
      </c>
      <c r="R62" s="53" t="n">
        <f aca="false">Q61+R60-R61</f>
        <v>3.30366860877766</v>
      </c>
      <c r="S62" s="53" t="n">
        <f aca="false">R61+S60-S61</f>
        <v>4.30570506481415</v>
      </c>
      <c r="T62" s="53" t="n">
        <f aca="false">S61+T60-T61</f>
        <v>5.13905919953167</v>
      </c>
      <c r="U62" s="53" t="n">
        <f aca="false">T61+U60-U61</f>
        <v>5.84763945409731</v>
      </c>
      <c r="V62" s="53" t="n">
        <f aca="false">U61+V60-V61</f>
        <v>6.51958367018099</v>
      </c>
      <c r="W62" s="53" t="n">
        <f aca="false">V61+W60-W61</f>
        <v>7.2185555957405</v>
      </c>
      <c r="X62" s="53" t="n">
        <f aca="false">W61+X60-X61</f>
        <v>8.13215684232824</v>
      </c>
      <c r="Y62" s="53" t="n">
        <f aca="false">X61+Y60-Y61</f>
        <v>9.15003473723911</v>
      </c>
      <c r="Z62" s="53" t="n">
        <f aca="false">Y61+Z60-Z61</f>
        <v>10.0033810889884</v>
      </c>
      <c r="AA62" s="53" t="n">
        <f aca="false">Z61+AA60-AA61</f>
        <v>194.458779424218</v>
      </c>
      <c r="AB62" s="53" t="n">
        <f aca="false">AA61+AB60-AB61</f>
        <v>350.559018595672</v>
      </c>
      <c r="AC62" s="53" t="n">
        <f aca="false">AB61+AC60-AC61</f>
        <v>573.022606829581</v>
      </c>
      <c r="AD62" s="53" t="n">
        <f aca="false">AC61+AD60-AD61</f>
        <v>857.35895636519</v>
      </c>
      <c r="AE62" s="53" t="n">
        <f aca="false">AD61+AE60-AE61</f>
        <v>1166.53627843465</v>
      </c>
    </row>
    <row r="63" customFormat="false" ht="15" hidden="false" customHeight="false" outlineLevel="0" collapsed="false">
      <c r="A63" s="6" t="s">
        <v>428</v>
      </c>
      <c r="B63" s="23" t="s">
        <v>186</v>
      </c>
      <c r="C63" s="44" t="n">
        <f aca="false">C62</f>
        <v>0</v>
      </c>
      <c r="D63" s="44" t="n">
        <f aca="false">C63+D62</f>
        <v>0</v>
      </c>
      <c r="E63" s="44" t="n">
        <f aca="false">D63+E62</f>
        <v>0</v>
      </c>
      <c r="F63" s="44" t="n">
        <f aca="false">E63+F62</f>
        <v>0</v>
      </c>
      <c r="G63" s="44" t="n">
        <f aca="false">F63+G62</f>
        <v>0</v>
      </c>
      <c r="H63" s="44" t="n">
        <f aca="false">G63+H62</f>
        <v>0</v>
      </c>
      <c r="I63" s="44" t="n">
        <f aca="false">H63+I62</f>
        <v>0</v>
      </c>
      <c r="J63" s="44" t="n">
        <f aca="false">I63+J62</f>
        <v>0</v>
      </c>
      <c r="K63" s="44" t="n">
        <f aca="false">J63+K62</f>
        <v>0</v>
      </c>
      <c r="L63" s="44" t="n">
        <f aca="false">K63+L62</f>
        <v>0</v>
      </c>
      <c r="M63" s="44" t="n">
        <f aca="false">L63+M62</f>
        <v>0</v>
      </c>
      <c r="N63" s="44" t="n">
        <f aca="false">M63+N62</f>
        <v>0</v>
      </c>
      <c r="O63" s="44" t="n">
        <f aca="false">N63+O62</f>
        <v>0.501250694186126</v>
      </c>
      <c r="P63" s="44" t="n">
        <f aca="false">O63+P62</f>
        <v>1.9557017017829</v>
      </c>
      <c r="Q63" s="44" t="n">
        <f aca="false">P63+Q62</f>
        <v>4.29502643898765</v>
      </c>
      <c r="R63" s="44" t="n">
        <f aca="false">Q63+R62</f>
        <v>7.5986950477653</v>
      </c>
      <c r="S63" s="44" t="n">
        <f aca="false">R63+S62</f>
        <v>11.9044001125795</v>
      </c>
      <c r="T63" s="44" t="n">
        <f aca="false">S63+T62</f>
        <v>17.0434593121111</v>
      </c>
      <c r="U63" s="44" t="n">
        <f aca="false">T63+U62</f>
        <v>22.8910987662084</v>
      </c>
      <c r="V63" s="44" t="n">
        <f aca="false">U63+V62</f>
        <v>29.4106824363894</v>
      </c>
      <c r="W63" s="44" t="n">
        <f aca="false">V63+W62</f>
        <v>36.6292380321299</v>
      </c>
      <c r="X63" s="44" t="n">
        <f aca="false">W63+X62</f>
        <v>44.7613948744582</v>
      </c>
      <c r="Y63" s="44" t="n">
        <f aca="false">X63+Y62</f>
        <v>53.9114296116973</v>
      </c>
      <c r="Z63" s="44" t="n">
        <f aca="false">Y63+Z62</f>
        <v>63.9148107006856</v>
      </c>
      <c r="AA63" s="44" t="n">
        <f aca="false">Z63+AA62</f>
        <v>258.373590124904</v>
      </c>
      <c r="AB63" s="44" t="n">
        <f aca="false">AA63+AB62</f>
        <v>608.932608720576</v>
      </c>
      <c r="AC63" s="44" t="n">
        <f aca="false">AB63+AC62</f>
        <v>1181.95521555016</v>
      </c>
      <c r="AD63" s="44" t="n">
        <f aca="false">AC63+AD62</f>
        <v>2039.31417191535</v>
      </c>
      <c r="AE63" s="44" t="n">
        <f aca="false">AD63+AE62</f>
        <v>3205.85045034999</v>
      </c>
    </row>
    <row r="64" customFormat="false" ht="15" hidden="false" customHeight="false" outlineLevel="0" collapsed="false">
      <c r="A64" s="6" t="s">
        <v>429</v>
      </c>
      <c r="B64" s="23" t="s">
        <v>186</v>
      </c>
      <c r="C64" s="44" t="n">
        <f aca="false">C60</f>
        <v>0</v>
      </c>
      <c r="D64" s="44" t="n">
        <f aca="false">C64+D60</f>
        <v>0</v>
      </c>
      <c r="E64" s="44" t="n">
        <f aca="false">D64+E60</f>
        <v>0</v>
      </c>
      <c r="F64" s="44" t="n">
        <f aca="false">E64+F60</f>
        <v>0</v>
      </c>
      <c r="G64" s="44" t="n">
        <f aca="false">F64+G60</f>
        <v>0</v>
      </c>
      <c r="H64" s="44" t="n">
        <f aca="false">G64+H60</f>
        <v>0</v>
      </c>
      <c r="I64" s="44" t="n">
        <f aca="false">H64+I60</f>
        <v>0</v>
      </c>
      <c r="J64" s="44" t="n">
        <f aca="false">I64+J60</f>
        <v>0</v>
      </c>
      <c r="K64" s="44" t="n">
        <f aca="false">J64+K60</f>
        <v>0</v>
      </c>
      <c r="L64" s="44" t="n">
        <f aca="false">K64+L60</f>
        <v>0</v>
      </c>
      <c r="M64" s="44" t="n">
        <f aca="false">L64+M60</f>
        <v>0</v>
      </c>
      <c r="N64" s="44" t="n">
        <f aca="false">M64+N60</f>
        <v>0</v>
      </c>
      <c r="O64" s="44" t="n">
        <f aca="false">N64+O60</f>
        <v>20.3742354495433</v>
      </c>
      <c r="P64" s="44" t="n">
        <f aca="false">O64+P60</f>
        <v>40.2359603105762</v>
      </c>
      <c r="Q64" s="44" t="n">
        <f aca="false">P64+Q60</f>
        <v>59.7032798834795</v>
      </c>
      <c r="R64" s="44" t="n">
        <f aca="false">Q64+R60</f>
        <v>84.5334859112071</v>
      </c>
      <c r="S64" s="44" t="n">
        <f aca="false">R64+S60</f>
        <v>107.569789829163</v>
      </c>
      <c r="T64" s="44" t="n">
        <f aca="false">S64+T60</f>
        <v>127.478886421411</v>
      </c>
      <c r="U64" s="44" t="n">
        <f aca="false">T64+U60</f>
        <v>147.012801509681</v>
      </c>
      <c r="V64" s="44" t="n">
        <f aca="false">U64+V60</f>
        <v>166.82325806824</v>
      </c>
      <c r="W64" s="44" t="n">
        <f aca="false">V64+W60</f>
        <v>188.789923650687</v>
      </c>
      <c r="X64" s="44" t="n">
        <f aca="false">W64+X60</f>
        <v>218.758169819432</v>
      </c>
      <c r="Y64" s="44" t="n">
        <f aca="false">X64+Y60</f>
        <v>246.96492947413</v>
      </c>
      <c r="Z64" s="44" t="n">
        <f aca="false">Y64+Z60</f>
        <v>272.212872684718</v>
      </c>
      <c r="AA64" s="44" t="n">
        <f aca="false">Z64+AA60</f>
        <v>662.044100154601</v>
      </c>
      <c r="AB64" s="44" t="n">
        <f aca="false">AA64+AB60</f>
        <v>1315.76029406009</v>
      </c>
      <c r="AC64" s="44" t="n">
        <f aca="false">AB64+AC60</f>
        <v>2302.48526946356</v>
      </c>
      <c r="AD64" s="44" t="n">
        <f aca="false">AC64+AD60</f>
        <v>3669.15538843578</v>
      </c>
      <c r="AE64" s="44" t="n">
        <f aca="false">AD64+AE60</f>
        <v>5345.39765719123</v>
      </c>
    </row>
    <row r="65" customFormat="false" ht="15" hidden="false" customHeight="false" outlineLevel="0" collapsed="false">
      <c r="A65" s="6" t="s">
        <v>430</v>
      </c>
      <c r="B65" s="23" t="s">
        <v>110</v>
      </c>
      <c r="C65" s="54" t="n">
        <f aca="false">IF(C2&gt;=Assumptions!$B$45,C61*Assumptions!$B$158*C7,0)</f>
        <v>0</v>
      </c>
      <c r="D65" s="54" t="n">
        <f aca="false">IF(D2&gt;=Assumptions!$B$45,D61*Assumptions!$B$158*D7,0)</f>
        <v>0</v>
      </c>
      <c r="E65" s="54" t="n">
        <f aca="false">IF(E2&gt;=Assumptions!$B$45,E61*Assumptions!$B$158*E7,0)</f>
        <v>0</v>
      </c>
      <c r="F65" s="54" t="n">
        <f aca="false">IF(F2&gt;=Assumptions!$B$45,F61*Assumptions!$B$158*F7,0)</f>
        <v>0</v>
      </c>
      <c r="G65" s="54" t="n">
        <f aca="false">IF(G2&gt;=Assumptions!$B$45,G61*Assumptions!$B$158*G7,0)</f>
        <v>0</v>
      </c>
      <c r="H65" s="54" t="n">
        <f aca="false">IF(H2&gt;=Assumptions!$B$45,H61*Assumptions!$B$158*H7,0)</f>
        <v>0</v>
      </c>
      <c r="I65" s="54" t="n">
        <f aca="false">IF(I2&gt;=Assumptions!$B$45,I61*Assumptions!$B$158*I7,0)</f>
        <v>0</v>
      </c>
      <c r="J65" s="54" t="n">
        <f aca="false">IF(J2&gt;=Assumptions!$B$45,J61*Assumptions!$B$158*J7,0)</f>
        <v>0</v>
      </c>
      <c r="K65" s="54" t="n">
        <f aca="false">IF(K2&gt;=Assumptions!$B$45,K61*Assumptions!$B$158*K7,0)</f>
        <v>0</v>
      </c>
      <c r="L65" s="54" t="n">
        <f aca="false">IF(L2&gt;=Assumptions!$B$45,L61*Assumptions!$B$158*L7,0)</f>
        <v>0</v>
      </c>
      <c r="M65" s="54" t="n">
        <f aca="false">IF(M2&gt;=Assumptions!$B$45,M61*Assumptions!$B$158*M7,0)</f>
        <v>0</v>
      </c>
      <c r="N65" s="54" t="n">
        <f aca="false">IF(N2&gt;=Assumptions!$B$45,N61*Assumptions!$B$158*N7,0)</f>
        <v>0</v>
      </c>
      <c r="O65" s="54" t="n">
        <f aca="false">IF(O2&gt;=Assumptions!$B$45,O61*Assumptions!$B$158*O7,0)</f>
        <v>516.697603639286</v>
      </c>
      <c r="P65" s="54" t="n">
        <f aca="false">IF(P2&gt;=Assumptions!$B$45,P61*Assumptions!$B$158*P7,0)</f>
        <v>995.286723828626</v>
      </c>
      <c r="Q65" s="54" t="n">
        <f aca="false">IF(Q2&gt;=Assumptions!$B$45,Q61*Assumptions!$B$158*Q7,0)</f>
        <v>1440.61458955679</v>
      </c>
      <c r="R65" s="54" t="n">
        <f aca="false">IF(R2&gt;=Assumptions!$B$45,R61*Assumptions!$B$158*R7,0)</f>
        <v>2000.30456244949</v>
      </c>
      <c r="S65" s="54" t="n">
        <f aca="false">IF(S2&gt;=Assumptions!$B$45,S61*Assumptions!$B$158*S7,0)</f>
        <v>2487.30013263118</v>
      </c>
      <c r="T65" s="54" t="n">
        <f aca="false">IF(T2&gt;=Assumptions!$B$45,T61*Assumptions!$B$158*T7,0)</f>
        <v>2871.32110484179</v>
      </c>
      <c r="U65" s="54" t="n">
        <f aca="false">IF(U2&gt;=Assumptions!$B$45,U61*Assumptions!$B$158*U7,0)</f>
        <v>3227.1642713303</v>
      </c>
      <c r="V65" s="54" t="n">
        <f aca="false">IF(V2&gt;=Assumptions!$B$45,V61*Assumptions!$B$158*V7,0)</f>
        <v>3572.72696642811</v>
      </c>
      <c r="W65" s="54" t="n">
        <f aca="false">IF(W2&gt;=Assumptions!$B$45,W61*Assumptions!$B$158*W7,0)</f>
        <v>3956.17782608247</v>
      </c>
      <c r="X65" s="54" t="n">
        <f aca="false">IF(X2&gt;=Assumptions!$B$45,X61*Assumptions!$B$158*X7,0)</f>
        <v>4523.91614856931</v>
      </c>
      <c r="Y65" s="54" t="n">
        <f aca="false">IF(Y2&gt;=Assumptions!$B$45,Y61*Assumptions!$B$158*Y7,0)</f>
        <v>5019.39099642325</v>
      </c>
      <c r="Z65" s="54" t="n">
        <f aca="false">IF(Z2&gt;=Assumptions!$B$45,Z61*Assumptions!$B$158*Z7,0)</f>
        <v>5415.74961158485</v>
      </c>
      <c r="AA65" s="54" t="n">
        <f aca="false">IF(AA2&gt;=Assumptions!$B$45,AA61*Assumptions!$B$158*AA7,0)</f>
        <v>125945.199129265</v>
      </c>
      <c r="AB65" s="54" t="n">
        <f aca="false">IF(AB2&gt;=Assumptions!$B$45,AB61*Assumptions!$B$158*AB7,0)</f>
        <v>220530.23782593</v>
      </c>
      <c r="AC65" s="54" t="n">
        <f aca="false">IF(AC2&gt;=Assumptions!$B$45,AC61*Assumptions!$B$158*AC7,0)</f>
        <v>349605.376820982</v>
      </c>
      <c r="AD65" s="54" t="n">
        <f aca="false">IF(AD2&gt;=Assumptions!$B$45,AD61*Assumptions!$B$158*AD7,0)</f>
        <v>508510.459554377</v>
      </c>
      <c r="AE65" s="54" t="n">
        <f aca="false">IF(AE2&gt;=Assumptions!$B$45,AE61*Assumptions!$B$158*AE7,0)</f>
        <v>667538.728534464</v>
      </c>
    </row>
    <row r="66" customFormat="false" ht="15" hidden="false" customHeight="false" outlineLevel="0" collapsed="false">
      <c r="A66" s="6" t="s">
        <v>431</v>
      </c>
      <c r="B66" s="23" t="s">
        <v>110</v>
      </c>
      <c r="C66" s="54" t="n">
        <f aca="false">IF(C2&gt;=Assumptions!$B$46,C61*Assumptions!$B$34*Assumptions!$B$126*Assumptions!$B$128*Assumptions!$B$127/12*C7,0)</f>
        <v>0</v>
      </c>
      <c r="D66" s="54" t="n">
        <f aca="false">IF(D2&gt;=Assumptions!$B$46,D61*Assumptions!$B$34*Assumptions!$B$126*Assumptions!$B$128*Assumptions!$B$127/12*D7,0)</f>
        <v>0</v>
      </c>
      <c r="E66" s="54" t="n">
        <f aca="false">IF(E2&gt;=Assumptions!$B$46,E61*Assumptions!$B$34*Assumptions!$B$126*Assumptions!$B$128*Assumptions!$B$127/12*E7,0)</f>
        <v>0</v>
      </c>
      <c r="F66" s="54" t="n">
        <f aca="false">IF(F2&gt;=Assumptions!$B$46,F61*Assumptions!$B$34*Assumptions!$B$126*Assumptions!$B$128*Assumptions!$B$127/12*F7,0)</f>
        <v>0</v>
      </c>
      <c r="G66" s="54" t="n">
        <f aca="false">IF(G2&gt;=Assumptions!$B$46,G61*Assumptions!$B$34*Assumptions!$B$126*Assumptions!$B$128*Assumptions!$B$127/12*G7,0)</f>
        <v>0</v>
      </c>
      <c r="H66" s="54" t="n">
        <f aca="false">IF(H2&gt;=Assumptions!$B$46,H61*Assumptions!$B$34*Assumptions!$B$126*Assumptions!$B$128*Assumptions!$B$127/12*H7,0)</f>
        <v>0</v>
      </c>
      <c r="I66" s="54" t="n">
        <f aca="false">IF(I2&gt;=Assumptions!$B$46,I61*Assumptions!$B$34*Assumptions!$B$126*Assumptions!$B$128*Assumptions!$B$127/12*I7,0)</f>
        <v>0</v>
      </c>
      <c r="J66" s="54" t="n">
        <f aca="false">IF(J2&gt;=Assumptions!$B$46,J61*Assumptions!$B$34*Assumptions!$B$126*Assumptions!$B$128*Assumptions!$B$127/12*J7,0)</f>
        <v>0</v>
      </c>
      <c r="K66" s="54" t="n">
        <f aca="false">IF(K2&gt;=Assumptions!$B$46,K61*Assumptions!$B$34*Assumptions!$B$126*Assumptions!$B$128*Assumptions!$B$127/12*K7,0)</f>
        <v>0</v>
      </c>
      <c r="L66" s="54" t="n">
        <f aca="false">IF(L2&gt;=Assumptions!$B$46,L61*Assumptions!$B$34*Assumptions!$B$126*Assumptions!$B$128*Assumptions!$B$127/12*L7,0)</f>
        <v>0</v>
      </c>
      <c r="M66" s="54" t="n">
        <f aca="false">IF(M2&gt;=Assumptions!$B$46,M61*Assumptions!$B$34*Assumptions!$B$126*Assumptions!$B$128*Assumptions!$B$127/12*M7,0)</f>
        <v>0</v>
      </c>
      <c r="N66" s="54" t="n">
        <f aca="false">IF(N2&gt;=Assumptions!$B$46,N61*Assumptions!$B$34*Assumptions!$B$126*Assumptions!$B$128*Assumptions!$B$127/12*N7,0)</f>
        <v>0</v>
      </c>
      <c r="O66" s="54" t="n">
        <f aca="false">IF(O2&gt;=Assumptions!$B$46,O61*Assumptions!$B$34*Assumptions!$B$126*Assumptions!$B$128*Assumptions!$B$127/12*O7,0)</f>
        <v>98.1427352143313</v>
      </c>
      <c r="P66" s="54" t="n">
        <f aca="false">IF(P2&gt;=Assumptions!$B$46,P61*Assumptions!$B$34*Assumptions!$B$126*Assumptions!$B$128*Assumptions!$B$127/12*P7,0)</f>
        <v>189.047057139526</v>
      </c>
      <c r="Q66" s="54" t="n">
        <f aca="false">IF(Q2&gt;=Assumptions!$B$46,Q61*Assumptions!$B$34*Assumptions!$B$126*Assumptions!$B$128*Assumptions!$B$127/12*Q7,0)</f>
        <v>273.633659635623</v>
      </c>
      <c r="R66" s="54" t="n">
        <f aca="false">IF(R2&gt;=Assumptions!$B$46,R61*Assumptions!$B$34*Assumptions!$B$126*Assumptions!$B$128*Assumptions!$B$127/12*R7,0)</f>
        <v>379.942464679107</v>
      </c>
      <c r="S66" s="54" t="n">
        <f aca="false">IF(S2&gt;=Assumptions!$B$46,S61*Assumptions!$B$34*Assumptions!$B$126*Assumptions!$B$128*Assumptions!$B$127/12*S7,0)</f>
        <v>472.443527115349</v>
      </c>
      <c r="T66" s="54" t="n">
        <f aca="false">IF(T2&gt;=Assumptions!$B$46,T61*Assumptions!$B$34*Assumptions!$B$126*Assumptions!$B$128*Assumptions!$B$127/12*T7,0)</f>
        <v>545.385356779276</v>
      </c>
      <c r="U66" s="54" t="n">
        <f aca="false">IF(U2&gt;=Assumptions!$B$46,U61*Assumptions!$B$34*Assumptions!$B$126*Assumptions!$B$128*Assumptions!$B$127/12*U7,0)</f>
        <v>612.975028998642</v>
      </c>
      <c r="V66" s="54" t="n">
        <f aca="false">IF(V2&gt;=Assumptions!$B$46,V61*Assumptions!$B$34*Assumptions!$B$126*Assumptions!$B$128*Assumptions!$B$127/12*V7,0)</f>
        <v>678.612004757894</v>
      </c>
      <c r="W66" s="54" t="n">
        <f aca="false">IF(W2&gt;=Assumptions!$B$46,W61*Assumptions!$B$34*Assumptions!$B$126*Assumptions!$B$128*Assumptions!$B$127/12*W7,0)</f>
        <v>751.445545927242</v>
      </c>
      <c r="X66" s="54" t="n">
        <f aca="false">IF(X2&gt;=Assumptions!$B$46,X61*Assumptions!$B$34*Assumptions!$B$126*Assumptions!$B$128*Assumptions!$B$127/12*X7,0)</f>
        <v>859.283073065751</v>
      </c>
      <c r="Y66" s="54" t="n">
        <f aca="false">IF(Y2&gt;=Assumptions!$B$46,Y61*Assumptions!$B$34*Assumptions!$B$126*Assumptions!$B$128*Assumptions!$B$127/12*Y7,0)</f>
        <v>953.394709070623</v>
      </c>
      <c r="Z66" s="54" t="n">
        <f aca="false">IF(Z2&gt;=Assumptions!$B$46,Z61*Assumptions!$B$34*Assumptions!$B$126*Assumptions!$B$128*Assumptions!$B$127/12*Z7,0)</f>
        <v>1028.67997910815</v>
      </c>
      <c r="AA66" s="54" t="n">
        <f aca="false">IF(AA2&gt;=Assumptions!$B$46,AA61*Assumptions!$B$34*Assumptions!$B$126*Assumptions!$B$128*Assumptions!$B$127/12*AA7,0)</f>
        <v>23922.3217653799</v>
      </c>
      <c r="AB66" s="54" t="n">
        <f aca="false">IF(AB2&gt;=Assumptions!$B$46,AB61*Assumptions!$B$34*Assumptions!$B$126*Assumptions!$B$128*Assumptions!$B$127/12*AB7,0)</f>
        <v>41888.0222885906</v>
      </c>
      <c r="AC66" s="54" t="n">
        <f aca="false">IF(AC2&gt;=Assumptions!$B$46,AC61*Assumptions!$B$34*Assumptions!$B$126*Assumptions!$B$128*Assumptions!$B$127/12*AC7,0)</f>
        <v>66404.8520550161</v>
      </c>
      <c r="AD66" s="54" t="n">
        <f aca="false">IF(AD2&gt;=Assumptions!$B$46,AD61*Assumptions!$B$34*Assumptions!$B$126*Assumptions!$B$128*Assumptions!$B$127/12*AD7,0)</f>
        <v>96587.6501734342</v>
      </c>
      <c r="AE66" s="54" t="n">
        <f aca="false">IF(AE2&gt;=Assumptions!$B$46,AE61*Assumptions!$B$34*Assumptions!$B$126*Assumptions!$B$128*Assumptions!$B$127/12*AE7,0)</f>
        <v>126793.846571825</v>
      </c>
    </row>
    <row r="67" customFormat="false" ht="15" hidden="false" customHeight="false" outlineLevel="0" collapsed="false">
      <c r="A67" s="6" t="s">
        <v>432</v>
      </c>
      <c r="B67" s="23" t="s">
        <v>47</v>
      </c>
      <c r="C67" s="53" t="n">
        <f aca="false">(C65+C66)*(1-Assumptions!$B$8)/Assumptions!$B$6/(1+Assumptions!$B$9)</f>
        <v>0</v>
      </c>
      <c r="D67" s="53" t="n">
        <f aca="false">(D65+D66)*(1-Assumptions!$B$8)/Assumptions!$B$6/(1+Assumptions!$B$9)</f>
        <v>0</v>
      </c>
      <c r="E67" s="53" t="n">
        <f aca="false">(E65+E66)*(1-Assumptions!$B$8)/Assumptions!$B$6/(1+Assumptions!$B$9)</f>
        <v>0</v>
      </c>
      <c r="F67" s="53" t="n">
        <f aca="false">(F65+F66)*(1-Assumptions!$B$8)/Assumptions!$B$6/(1+Assumptions!$B$9)</f>
        <v>0</v>
      </c>
      <c r="G67" s="53" t="n">
        <f aca="false">(G65+G66)*(1-Assumptions!$B$8)/Assumptions!$B$6/(1+Assumptions!$B$9)</f>
        <v>0</v>
      </c>
      <c r="H67" s="53" t="n">
        <f aca="false">(H65+H66)*(1-Assumptions!$B$8)/Assumptions!$B$6/(1+Assumptions!$B$9)</f>
        <v>0</v>
      </c>
      <c r="I67" s="53" t="n">
        <f aca="false">(I65+I66)*(1-Assumptions!$B$8)/Assumptions!$B$6/(1+Assumptions!$B$9)</f>
        <v>0</v>
      </c>
      <c r="J67" s="53" t="n">
        <f aca="false">(J65+J66)*(1-Assumptions!$B$8)/Assumptions!$B$6/(1+Assumptions!$B$9)</f>
        <v>0</v>
      </c>
      <c r="K67" s="53" t="n">
        <f aca="false">(K65+K66)*(1-Assumptions!$B$8)/Assumptions!$B$6/(1+Assumptions!$B$9)</f>
        <v>0</v>
      </c>
      <c r="L67" s="53" t="n">
        <f aca="false">(L65+L66)*(1-Assumptions!$B$8)/Assumptions!$B$6/(1+Assumptions!$B$9)</f>
        <v>0</v>
      </c>
      <c r="M67" s="53" t="n">
        <f aca="false">(M65+M66)*(1-Assumptions!$B$8)/Assumptions!$B$6/(1+Assumptions!$B$9)</f>
        <v>0</v>
      </c>
      <c r="N67" s="53" t="n">
        <f aca="false">(N65+N66)*(1-Assumptions!$B$8)/Assumptions!$B$6/(1+Assumptions!$B$9)</f>
        <v>0</v>
      </c>
      <c r="O67" s="53" t="n">
        <f aca="false">(O65+O66)*(1-Assumptions!$B$8)/Assumptions!$B$6/(1+Assumptions!$B$9)</f>
        <v>4.0680498162438</v>
      </c>
      <c r="P67" s="53" t="n">
        <f aca="false">(P65+P66)*(1-Assumptions!$B$8)/Assumptions!$B$6/(1+Assumptions!$B$9)</f>
        <v>7.83606493520244</v>
      </c>
      <c r="Q67" s="53" t="n">
        <f aca="false">(Q65+Q66)*(1-Assumptions!$B$8)/Assumptions!$B$6/(1+Assumptions!$B$9)</f>
        <v>11.3422084310961</v>
      </c>
      <c r="R67" s="53" t="n">
        <f aca="false">(R65+R66)*(1-Assumptions!$B$8)/Assumptions!$B$6/(1+Assumptions!$B$9)</f>
        <v>15.7487446243027</v>
      </c>
      <c r="S67" s="53" t="n">
        <f aca="false">(S65+S66)*(1-Assumptions!$B$8)/Assumptions!$B$6/(1+Assumptions!$B$9)</f>
        <v>19.582945181525</v>
      </c>
      <c r="T67" s="53" t="n">
        <f aca="false">(T65+T66)*(1-Assumptions!$B$8)/Assumptions!$B$6/(1+Assumptions!$B$9)</f>
        <v>22.6064088756313</v>
      </c>
      <c r="U67" s="53" t="n">
        <f aca="false">(U65+U66)*(1-Assumptions!$B$8)/Assumptions!$B$6/(1+Assumptions!$B$9)</f>
        <v>25.4080238199417</v>
      </c>
      <c r="V67" s="53" t="n">
        <f aca="false">(V65+V66)*(1-Assumptions!$B$8)/Assumptions!$B$6/(1+Assumptions!$B$9)</f>
        <v>28.1286988306096</v>
      </c>
      <c r="W67" s="53" t="n">
        <f aca="false">(W65+W66)*(1-Assumptions!$B$8)/Assumptions!$B$6/(1+Assumptions!$B$9)</f>
        <v>31.147673929717</v>
      </c>
      <c r="X67" s="53" t="n">
        <f aca="false">(X65+X66)*(1-Assumptions!$B$8)/Assumptions!$B$6/(1+Assumptions!$B$9)</f>
        <v>35.6175761746662</v>
      </c>
      <c r="Y67" s="53" t="n">
        <f aca="false">(Y65+Y66)*(1-Assumptions!$B$8)/Assumptions!$B$6/(1+Assumptions!$B$9)</f>
        <v>39.5185355551025</v>
      </c>
      <c r="Z67" s="53" t="n">
        <f aca="false">(Z65+Z66)*(1-Assumptions!$B$8)/Assumptions!$B$6/(1+Assumptions!$B$9)</f>
        <v>42.6391356512091</v>
      </c>
      <c r="AA67" s="53" t="n">
        <f aca="false">(AA65+AA66)*(1-Assumptions!$B$8)/Assumptions!$B$6/(1+Assumptions!$B$9)</f>
        <v>991.58838857762</v>
      </c>
      <c r="AB67" s="53" t="n">
        <f aca="false">(AB65+AB66)*(1-Assumptions!$B$8)/Assumptions!$B$6/(1+Assumptions!$B$9)</f>
        <v>1736.27279698064</v>
      </c>
      <c r="AC67" s="53" t="n">
        <f aca="false">(AC65+AC66)*(1-Assumptions!$B$8)/Assumptions!$B$6/(1+Assumptions!$B$9)</f>
        <v>2752.50374477701</v>
      </c>
      <c r="AD67" s="53" t="n">
        <f aca="false">(AD65+AD66)*(1-Assumptions!$B$8)/Assumptions!$B$6/(1+Assumptions!$B$9)</f>
        <v>4003.59101141175</v>
      </c>
      <c r="AE67" s="53" t="n">
        <f aca="false">(AE65+AE66)*(1-Assumptions!$B$8)/Assumptions!$B$6/(1+Assumptions!$B$9)</f>
        <v>5255.6481447242</v>
      </c>
    </row>
    <row r="68" customFormat="false" ht="15" hidden="false" customHeight="false" outlineLevel="0" collapsed="false">
      <c r="A68" s="6" t="s">
        <v>433</v>
      </c>
      <c r="B68" s="23" t="s">
        <v>434</v>
      </c>
      <c r="C68" s="55" t="n">
        <f aca="false">(Assumptions!$B$123+Assumptions!$B$124*IF(C61+C63=0,1,(C61+C63*Assumptions!$B$125)/(C61+C63)))*C7/12</f>
        <v>0.0166666666666667</v>
      </c>
      <c r="D68" s="55" t="n">
        <f aca="false">(Assumptions!$B$123+Assumptions!$B$124*IF(D61+D63=0,1,(D61+D63*Assumptions!$B$125)/(D61+D63)))*D7/12</f>
        <v>0.0166666666666667</v>
      </c>
      <c r="E68" s="55" t="n">
        <f aca="false">(Assumptions!$B$123+Assumptions!$B$124*IF(E61+E63=0,1,(E61+E63*Assumptions!$B$125)/(E61+E63)))*E7/12</f>
        <v>0.0166666666666667</v>
      </c>
      <c r="F68" s="55" t="n">
        <f aca="false">(Assumptions!$B$123+Assumptions!$B$124*IF(F61+F63=0,1,(F61+F63*Assumptions!$B$125)/(F61+F63)))*F7/12</f>
        <v>0.0166666666666667</v>
      </c>
      <c r="G68" s="55" t="n">
        <f aca="false">(Assumptions!$B$123+Assumptions!$B$124*IF(G61+G63=0,1,(G61+G63*Assumptions!$B$125)/(G61+G63)))*G7/12</f>
        <v>0.0166666666666667</v>
      </c>
      <c r="H68" s="55" t="n">
        <f aca="false">(Assumptions!$B$123+Assumptions!$B$124*IF(H61+H63=0,1,(H61+H63*Assumptions!$B$125)/(H61+H63)))*H7/12</f>
        <v>0.0166666666666667</v>
      </c>
      <c r="I68" s="55" t="n">
        <f aca="false">(Assumptions!$B$123+Assumptions!$B$124*IF(I61+I63=0,1,(I61+I63*Assumptions!$B$125)/(I61+I63)))*I7/12</f>
        <v>0.0166666666666667</v>
      </c>
      <c r="J68" s="55" t="n">
        <f aca="false">(Assumptions!$B$123+Assumptions!$B$124*IF(J61+J63=0,1,(J61+J63*Assumptions!$B$125)/(J61+J63)))*J7/12</f>
        <v>0.0166666666666667</v>
      </c>
      <c r="K68" s="55" t="n">
        <f aca="false">(Assumptions!$B$123+Assumptions!$B$124*IF(K61+K63=0,1,(K61+K63*Assumptions!$B$125)/(K61+K63)))*K7/12</f>
        <v>0.0166666666666667</v>
      </c>
      <c r="L68" s="55" t="n">
        <f aca="false">(Assumptions!$B$123+Assumptions!$B$124*IF(L61+L63=0,1,(L61+L63*Assumptions!$B$125)/(L61+L63)))*L7/12</f>
        <v>0.0166666666666667</v>
      </c>
      <c r="M68" s="55" t="n">
        <f aca="false">(Assumptions!$B$123+Assumptions!$B$124*IF(M61+M63=0,1,(M61+M63*Assumptions!$B$125)/(M61+M63)))*M7/12</f>
        <v>0.0166666666666667</v>
      </c>
      <c r="N68" s="55" t="n">
        <f aca="false">(Assumptions!$B$123+Assumptions!$B$124*IF(N61+N63=0,1,(N61+N63*Assumptions!$B$125)/(N61+N63)))*N7/12</f>
        <v>0.0166666666666667</v>
      </c>
      <c r="O68" s="55" t="n">
        <f aca="false">(Assumptions!$B$123+Assumptions!$B$124*IF(O61+O63=0,1,(O61+O63*Assumptions!$B$125)/(O61+O63)))*O7/12</f>
        <v>0.0168634841405503</v>
      </c>
      <c r="P68" s="55" t="n">
        <f aca="false">(Assumptions!$B$123+Assumptions!$B$124*IF(P61+P63=0,1,(P61+P63*Assumptions!$B$125)/(P61+P63)))*P7/12</f>
        <v>0.0170555131983139</v>
      </c>
      <c r="Q68" s="55" t="n">
        <f aca="false">(Assumptions!$B$123+Assumptions!$B$124*IF(Q61+Q63=0,1,(Q61+Q63*Assumptions!$B$125)/(Q61+Q63)))*Q7/12</f>
        <v>0.0172421829796558</v>
      </c>
      <c r="R68" s="55" t="n">
        <f aca="false">(Assumptions!$B$123+Assumptions!$B$124*IF(R61+R63=0,1,(R61+R63*Assumptions!$B$125)/(R61+R63)))*R7/12</f>
        <v>0.0173857847738505</v>
      </c>
      <c r="S68" s="55" t="n">
        <f aca="false">(Assumptions!$B$123+Assumptions!$B$124*IF(S61+S63=0,1,(S61+S63*Assumptions!$B$125)/(S61+S63)))*S7/12</f>
        <v>0.0175520007465406</v>
      </c>
      <c r="T68" s="55" t="n">
        <f aca="false">(Assumptions!$B$123+Assumptions!$B$124*IF(T61+T63=0,1,(T61+T63*Assumptions!$B$125)/(T61+T63)))*T7/12</f>
        <v>0.0177362373094958</v>
      </c>
      <c r="U68" s="55" t="n">
        <f aca="false">(Assumptions!$B$123+Assumptions!$B$124*IF(U61+U63=0,1,(U61+U63*Assumptions!$B$125)/(U61+U63)))*U7/12</f>
        <v>0.0179123322702679</v>
      </c>
      <c r="V68" s="55" t="n">
        <f aca="false">(Assumptions!$B$123+Assumptions!$B$124*IF(V61+V63=0,1,(V61+V63*Assumptions!$B$125)/(V61+V63)))*V7/12</f>
        <v>0.0180770542961594</v>
      </c>
      <c r="W68" s="55" t="n">
        <f aca="false">(Assumptions!$B$123+Assumptions!$B$124*IF(W61+W63=0,1,(W61+W63*Assumptions!$B$125)/(W61+W63)))*W7/12</f>
        <v>0.0182188358639975</v>
      </c>
      <c r="X68" s="55" t="n">
        <f aca="false">(Assumptions!$B$123+Assumptions!$B$124*IF(X61+X63=0,1,(X61+X63*Assumptions!$B$125)/(X61+X63)))*X7/12</f>
        <v>0.0183035936865409</v>
      </c>
      <c r="Y68" s="55" t="n">
        <f aca="false">(Assumptions!$B$123+Assumptions!$B$124*IF(Y61+Y63=0,1,(Y61+Y63*Assumptions!$B$125)/(Y61+Y63)))*Y7/12</f>
        <v>0.0184130338039438</v>
      </c>
      <c r="Z68" s="55" t="n">
        <f aca="false">(Assumptions!$B$123+Assumptions!$B$124*IF(Z61+Z63=0,1,(Z61+Z63*Assumptions!$B$125)/(Z61+Z63)))*Z7/12</f>
        <v>0.0185450439842511</v>
      </c>
      <c r="AA68" s="55" t="n">
        <f aca="false">(Assumptions!$B$123+Assumptions!$B$124*IF(AA61+AA63=0,1,(AA61+AA63*Assumptions!$B$125)/(AA61+AA63)))*AA7/12</f>
        <v>0.23746557766499</v>
      </c>
      <c r="AB68" s="55" t="n">
        <f aca="false">(Assumptions!$B$123+Assumptions!$B$124*IF(AB61+AB63=0,1,(AB61+AB63*Assumptions!$B$125)/(AB61+AB63)))*AB7/12</f>
        <v>0.244428708406142</v>
      </c>
      <c r="AC68" s="55" t="n">
        <f aca="false">(Assumptions!$B$123+Assumptions!$B$124*IF(AC61+AC63=0,1,(AC61+AC63*Assumptions!$B$125)/(AC61+AC63)))*AC7/12</f>
        <v>0.249280532734636</v>
      </c>
      <c r="AD68" s="55" t="n">
        <f aca="false">(Assumptions!$B$123+Assumptions!$B$124*IF(AD61+AD63=0,1,(AD61+AD63*Assumptions!$B$125)/(AD61+AD63)))*AD7/12</f>
        <v>0.25335673739</v>
      </c>
      <c r="AE68" s="55" t="n">
        <f aca="false">(Assumptions!$B$123+Assumptions!$B$124*IF(AE61+AE63=0,1,(AE61+AE63*Assumptions!$B$125)/(AE61+AE63)))*AE7/12</f>
        <v>0.257575069802256</v>
      </c>
    </row>
    <row r="69" customFormat="false" ht="15" hidden="false" customHeight="false" outlineLevel="0" collapsed="false">
      <c r="A69" s="6" t="s">
        <v>435</v>
      </c>
      <c r="B69" s="23" t="s">
        <v>47</v>
      </c>
      <c r="C69" s="44" t="n">
        <f aca="false">C67</f>
        <v>0</v>
      </c>
      <c r="D69" s="44" t="n">
        <f aca="false">C69*(1-D68)+D67</f>
        <v>0</v>
      </c>
      <c r="E69" s="44" t="n">
        <f aca="false">D69*(1-E68)+E67</f>
        <v>0</v>
      </c>
      <c r="F69" s="44" t="n">
        <f aca="false">E69*(1-F68)+F67</f>
        <v>0</v>
      </c>
      <c r="G69" s="44" t="n">
        <f aca="false">F69*(1-G68)+G67</f>
        <v>0</v>
      </c>
      <c r="H69" s="44" t="n">
        <f aca="false">G69*(1-H68)+H67</f>
        <v>0</v>
      </c>
      <c r="I69" s="44" t="n">
        <f aca="false">H69*(1-I68)+I67</f>
        <v>0</v>
      </c>
      <c r="J69" s="44" t="n">
        <f aca="false">I69*(1-J68)+J67</f>
        <v>0</v>
      </c>
      <c r="K69" s="44" t="n">
        <f aca="false">J69*(1-K68)+K67</f>
        <v>0</v>
      </c>
      <c r="L69" s="44" t="n">
        <f aca="false">K69*(1-L68)+L67</f>
        <v>0</v>
      </c>
      <c r="M69" s="44" t="n">
        <f aca="false">L69*(1-M68)+M67</f>
        <v>0</v>
      </c>
      <c r="N69" s="44" t="n">
        <f aca="false">M69*(1-N68)+N67</f>
        <v>0</v>
      </c>
      <c r="O69" s="44" t="n">
        <f aca="false">N69*(1-O68)+O67</f>
        <v>4.0680498162438</v>
      </c>
      <c r="P69" s="44" t="n">
        <f aca="false">O69*(1-P68)+P67</f>
        <v>11.8347320741139</v>
      </c>
      <c r="Q69" s="44" t="n">
        <f aca="false">P69*(1-Q68)+Q67</f>
        <v>22.9728838892729</v>
      </c>
      <c r="R69" s="44" t="n">
        <f aca="false">Q69*(1-R68)+R67</f>
        <v>38.322226898642</v>
      </c>
      <c r="S69" s="44" t="n">
        <f aca="false">R69*(1-S68)+S67</f>
        <v>57.2325403250329</v>
      </c>
      <c r="T69" s="44" t="n">
        <f aca="false">S69*(1-T68)+T67</f>
        <v>78.8238592836342</v>
      </c>
      <c r="U69" s="44" t="n">
        <f aca="false">T69*(1-U68)+U67</f>
        <v>102.819963945263</v>
      </c>
      <c r="V69" s="44" t="n">
        <f aca="false">U69*(1-V68)+V67</f>
        <v>129.089980704905</v>
      </c>
      <c r="W69" s="44" t="n">
        <f aca="false">V69*(1-W68)+W67</f>
        <v>157.885785464472</v>
      </c>
      <c r="X69" s="44" t="n">
        <f aca="false">W69*(1-X68)+X67</f>
        <v>190.613484373116</v>
      </c>
      <c r="Y69" s="44" t="n">
        <f aca="false">X69*(1-Y68)+Y67</f>
        <v>226.622247396969</v>
      </c>
      <c r="Z69" s="44" t="n">
        <f aca="false">Y69*(1-Z68)+Z67</f>
        <v>265.058663502392</v>
      </c>
      <c r="AA69" s="44" t="n">
        <f aca="false">Z69*(1-AA68)+AA67</f>
        <v>1193.70474343631</v>
      </c>
      <c r="AB69" s="44" t="n">
        <f aca="false">AA69*(1-AB68)+AB67</f>
        <v>2638.20183176052</v>
      </c>
      <c r="AC69" s="44" t="n">
        <f aca="false">AB69*(1-AC68)+AC67</f>
        <v>4733.05321845478</v>
      </c>
      <c r="AD69" s="44" t="n">
        <f aca="false">AC69*(1-AD68)+AD67</f>
        <v>7537.49330854558</v>
      </c>
      <c r="AE69" s="44" t="n">
        <f aca="false">AD69*(1-AE68)+AE67</f>
        <v>10851.6710881871</v>
      </c>
    </row>
    <row r="70" customFormat="false" ht="15" hidden="false" customHeight="false" outlineLevel="0" collapsed="false">
      <c r="A70" s="6" t="s">
        <v>436</v>
      </c>
      <c r="B70" s="23" t="s">
        <v>110</v>
      </c>
      <c r="C70" s="56" t="n">
        <f aca="false">C69*Assumptions!$B$6</f>
        <v>0</v>
      </c>
      <c r="D70" s="56" t="n">
        <f aca="false">D69*Assumptions!$B$6</f>
        <v>0</v>
      </c>
      <c r="E70" s="56" t="n">
        <f aca="false">E69*Assumptions!$B$6</f>
        <v>0</v>
      </c>
      <c r="F70" s="56" t="n">
        <f aca="false">F69*Assumptions!$B$6</f>
        <v>0</v>
      </c>
      <c r="G70" s="56" t="n">
        <f aca="false">G69*Assumptions!$B$6</f>
        <v>0</v>
      </c>
      <c r="H70" s="56" t="n">
        <f aca="false">H69*Assumptions!$B$6</f>
        <v>0</v>
      </c>
      <c r="I70" s="56" t="n">
        <f aca="false">I69*Assumptions!$B$6</f>
        <v>0</v>
      </c>
      <c r="J70" s="56" t="n">
        <f aca="false">J69*Assumptions!$B$6</f>
        <v>0</v>
      </c>
      <c r="K70" s="56" t="n">
        <f aca="false">K69*Assumptions!$B$6</f>
        <v>0</v>
      </c>
      <c r="L70" s="56" t="n">
        <f aca="false">L69*Assumptions!$B$6</f>
        <v>0</v>
      </c>
      <c r="M70" s="56" t="n">
        <f aca="false">M69*Assumptions!$B$6</f>
        <v>0</v>
      </c>
      <c r="N70" s="56" t="n">
        <f aca="false">N69*Assumptions!$B$6</f>
        <v>0</v>
      </c>
      <c r="O70" s="56" t="n">
        <f aca="false">O69*Assumptions!$B$6</f>
        <v>575.466327005849</v>
      </c>
      <c r="P70" s="56" t="n">
        <f aca="false">P69*Assumptions!$B$6</f>
        <v>1674.14119920415</v>
      </c>
      <c r="Q70" s="56" t="n">
        <f aca="false">Q69*Assumptions!$B$6</f>
        <v>3249.74415497654</v>
      </c>
      <c r="R70" s="56" t="n">
        <f aca="false">R69*Assumptions!$B$6</f>
        <v>5421.0622170819</v>
      </c>
      <c r="S70" s="56" t="n">
        <f aca="false">S69*Assumptions!$B$6</f>
        <v>8096.11515437916</v>
      </c>
      <c r="T70" s="56" t="n">
        <f aca="false">T69*Assumptions!$B$6</f>
        <v>11150.4231342629</v>
      </c>
      <c r="U70" s="56" t="n">
        <f aca="false">U69*Assumptions!$B$6</f>
        <v>14544.9120996969</v>
      </c>
      <c r="V70" s="56" t="n">
        <f aca="false">V69*Assumptions!$B$6</f>
        <v>18261.0686705158</v>
      </c>
      <c r="W70" s="56" t="n">
        <f aca="false">W69*Assumptions!$B$6</f>
        <v>22334.5232118042</v>
      </c>
      <c r="X70" s="56" t="n">
        <f aca="false">X69*Assumptions!$B$6</f>
        <v>26964.1834994211</v>
      </c>
      <c r="Y70" s="56" t="n">
        <f aca="false">Y69*Assumptions!$B$6</f>
        <v>32057.9831167753</v>
      </c>
      <c r="Z70" s="56" t="n">
        <f aca="false">Z69*Assumptions!$B$6</f>
        <v>37495.1985390483</v>
      </c>
      <c r="AA70" s="56" t="n">
        <f aca="false">AA69*Assumptions!$B$6</f>
        <v>168861.4730065</v>
      </c>
      <c r="AB70" s="56" t="n">
        <f aca="false">AB69*Assumptions!$B$6</f>
        <v>373200.031120844</v>
      </c>
      <c r="AC70" s="56" t="n">
        <f aca="false">AC69*Assumptions!$B$6</f>
        <v>669537.708282613</v>
      </c>
      <c r="AD70" s="56" t="n">
        <f aca="false">AD69*Assumptions!$B$6</f>
        <v>1066253.80342686</v>
      </c>
      <c r="AE70" s="56" t="n">
        <f aca="false">AE69*Assumptions!$B$6</f>
        <v>1535077.39213495</v>
      </c>
    </row>
    <row r="71" customFormat="false" ht="15" hidden="false" customHeight="false" outlineLevel="0" collapsed="false">
      <c r="A71" s="6" t="s">
        <v>437</v>
      </c>
      <c r="B71" s="23" t="s">
        <v>186</v>
      </c>
      <c r="C71" s="53" t="n">
        <f aca="false">C61+C63*Assumptions!$B$164</f>
        <v>0</v>
      </c>
      <c r="D71" s="53" t="n">
        <f aca="false">D61+D63*Assumptions!$B$164</f>
        <v>0</v>
      </c>
      <c r="E71" s="53" t="n">
        <f aca="false">E61+E63*Assumptions!$B$164</f>
        <v>0</v>
      </c>
      <c r="F71" s="53" t="n">
        <f aca="false">F61+F63*Assumptions!$B$164</f>
        <v>0</v>
      </c>
      <c r="G71" s="53" t="n">
        <f aca="false">G61+G63*Assumptions!$B$164</f>
        <v>0</v>
      </c>
      <c r="H71" s="53" t="n">
        <f aca="false">H61+H63*Assumptions!$B$164</f>
        <v>0</v>
      </c>
      <c r="I71" s="53" t="n">
        <f aca="false">I61+I63*Assumptions!$B$164</f>
        <v>0</v>
      </c>
      <c r="J71" s="53" t="n">
        <f aca="false">J61+J63*Assumptions!$B$164</f>
        <v>0</v>
      </c>
      <c r="K71" s="53" t="n">
        <f aca="false">K61+K63*Assumptions!$B$164</f>
        <v>0</v>
      </c>
      <c r="L71" s="53" t="n">
        <f aca="false">L61+L63*Assumptions!$B$164</f>
        <v>0</v>
      </c>
      <c r="M71" s="53" t="n">
        <f aca="false">M61+M63*Assumptions!$B$164</f>
        <v>0</v>
      </c>
      <c r="N71" s="53" t="n">
        <f aca="false">N61+N63*Assumptions!$B$164</f>
        <v>0</v>
      </c>
      <c r="O71" s="53" t="n">
        <f aca="false">O61+O63*Assumptions!$B$164</f>
        <v>20.3742354495433</v>
      </c>
      <c r="P71" s="53" t="n">
        <f aca="false">P61+P63*Assumptions!$B$164</f>
        <v>40.2359603105762</v>
      </c>
      <c r="Q71" s="53" t="n">
        <f aca="false">Q61+Q63*Assumptions!$B$164</f>
        <v>59.7032798834795</v>
      </c>
      <c r="R71" s="53" t="n">
        <f aca="false">R61+R63*Assumptions!$B$164</f>
        <v>84.5334859112071</v>
      </c>
      <c r="S71" s="53" t="n">
        <f aca="false">S61+S63*Assumptions!$B$164</f>
        <v>107.569789829163</v>
      </c>
      <c r="T71" s="53" t="n">
        <f aca="false">T61+T63*Assumptions!$B$164</f>
        <v>127.478886421411</v>
      </c>
      <c r="U71" s="53" t="n">
        <f aca="false">U61+U63*Assumptions!$B$164</f>
        <v>147.012801509681</v>
      </c>
      <c r="V71" s="53" t="n">
        <f aca="false">V61+V63*Assumptions!$B$164</f>
        <v>166.82325806824</v>
      </c>
      <c r="W71" s="53" t="n">
        <f aca="false">W61+W63*Assumptions!$B$164</f>
        <v>188.789923650687</v>
      </c>
      <c r="X71" s="53" t="n">
        <f aca="false">X61+X63*Assumptions!$B$164</f>
        <v>218.758169819432</v>
      </c>
      <c r="Y71" s="53" t="n">
        <f aca="false">Y61+Y63*Assumptions!$B$164</f>
        <v>246.96492947413</v>
      </c>
      <c r="Z71" s="53" t="n">
        <f aca="false">Z61+Z63*Assumptions!$B$164</f>
        <v>272.212872684718</v>
      </c>
      <c r="AA71" s="53" t="n">
        <f aca="false">AA61+AA63*Assumptions!$B$164</f>
        <v>662.044100154601</v>
      </c>
      <c r="AB71" s="53" t="n">
        <f aca="false">AB61+AB63*Assumptions!$B$164</f>
        <v>1315.76029406009</v>
      </c>
      <c r="AC71" s="53" t="n">
        <f aca="false">AC61+AC63*Assumptions!$B$164</f>
        <v>2302.48526946356</v>
      </c>
      <c r="AD71" s="53" t="n">
        <f aca="false">AD61+AD63*Assumptions!$B$164</f>
        <v>3669.15538843578</v>
      </c>
      <c r="AE71" s="53" t="n">
        <f aca="false">AE61+AE63*Assumptions!$B$164</f>
        <v>5345.39765719123</v>
      </c>
    </row>
    <row r="72" customFormat="false" ht="15" hidden="false" customHeight="false" outlineLevel="0" collapsed="false">
      <c r="A72" s="6" t="s">
        <v>438</v>
      </c>
      <c r="B72" s="23" t="s">
        <v>186</v>
      </c>
      <c r="C72" s="44" t="n">
        <f aca="false">IF(C7&gt;1,C71*Assumptions!$B$121,IF(C2&gt;Assumptions!$B$122,INDEX($C$71:$AE$71,1,C2-Assumptions!$B$122)*Assumptions!$B$121,0))</f>
        <v>0</v>
      </c>
      <c r="D72" s="44" t="n">
        <f aca="false">IF(D7&gt;1,D71*Assumptions!$B$121,IF(D2&gt;Assumptions!$B$122,INDEX($C$71:$AE$71,1,D2-Assumptions!$B$122)*Assumptions!$B$121,0))</f>
        <v>0</v>
      </c>
      <c r="E72" s="44" t="n">
        <f aca="false">IF(E7&gt;1,E71*Assumptions!$B$121,IF(E2&gt;Assumptions!$B$122,INDEX($C$71:$AE$71,1,E2-Assumptions!$B$122)*Assumptions!$B$121,0))</f>
        <v>0</v>
      </c>
      <c r="F72" s="44" t="n">
        <f aca="false">IF(F7&gt;1,F71*Assumptions!$B$121,IF(F2&gt;Assumptions!$B$122,INDEX($C$71:$AE$71,1,F2-Assumptions!$B$122)*Assumptions!$B$121,0))</f>
        <v>0</v>
      </c>
      <c r="G72" s="44" t="n">
        <f aca="false">IF(G7&gt;1,G71*Assumptions!$B$121,IF(G2&gt;Assumptions!$B$122,INDEX($C$71:$AE$71,1,G2-Assumptions!$B$122)*Assumptions!$B$121,0))</f>
        <v>0</v>
      </c>
      <c r="H72" s="44" t="n">
        <f aca="false">IF(H7&gt;1,H71*Assumptions!$B$121,IF(H2&gt;Assumptions!$B$122,INDEX($C$71:$AE$71,1,H2-Assumptions!$B$122)*Assumptions!$B$121,0))</f>
        <v>0</v>
      </c>
      <c r="I72" s="44" t="n">
        <f aca="false">IF(I7&gt;1,I71*Assumptions!$B$121,IF(I2&gt;Assumptions!$B$122,INDEX($C$71:$AE$71,1,I2-Assumptions!$B$122)*Assumptions!$B$121,0))</f>
        <v>0</v>
      </c>
      <c r="J72" s="44" t="n">
        <f aca="false">IF(J7&gt;1,J71*Assumptions!$B$121,IF(J2&gt;Assumptions!$B$122,INDEX($C$71:$AE$71,1,J2-Assumptions!$B$122)*Assumptions!$B$121,0))</f>
        <v>0</v>
      </c>
      <c r="K72" s="44" t="n">
        <f aca="false">IF(K7&gt;1,K71*Assumptions!$B$121,IF(K2&gt;Assumptions!$B$122,INDEX($C$71:$AE$71,1,K2-Assumptions!$B$122)*Assumptions!$B$121,0))</f>
        <v>0</v>
      </c>
      <c r="L72" s="44" t="n">
        <f aca="false">IF(L7&gt;1,L71*Assumptions!$B$121,IF(L2&gt;Assumptions!$B$122,INDEX($C$71:$AE$71,1,L2-Assumptions!$B$122)*Assumptions!$B$121,0))</f>
        <v>0</v>
      </c>
      <c r="M72" s="44" t="n">
        <f aca="false">IF(M7&gt;1,M71*Assumptions!$B$121,IF(M2&gt;Assumptions!$B$122,INDEX($C$71:$AE$71,1,M2-Assumptions!$B$122)*Assumptions!$B$121,0))</f>
        <v>0</v>
      </c>
      <c r="N72" s="44" t="n">
        <f aca="false">IF(N7&gt;1,N71*Assumptions!$B$121,IF(N2&gt;Assumptions!$B$122,INDEX($C$71:$AE$71,1,N2-Assumptions!$B$122)*Assumptions!$B$121,0))</f>
        <v>0</v>
      </c>
      <c r="O72" s="44" t="n">
        <f aca="false">IF(O7&gt;1,O71*Assumptions!$B$121,IF(O2&gt;Assumptions!$B$122,INDEX($C$71:$AE$71,1,O2-Assumptions!$B$122)*Assumptions!$B$121,0))</f>
        <v>0</v>
      </c>
      <c r="P72" s="44" t="n">
        <f aca="false">IF(P7&gt;1,P71*Assumptions!$B$121,IF(P2&gt;Assumptions!$B$122,INDEX($C$71:$AE$71,1,P2-Assumptions!$B$122)*Assumptions!$B$121,0))</f>
        <v>0</v>
      </c>
      <c r="Q72" s="44" t="n">
        <f aca="false">IF(Q7&gt;1,Q71*Assumptions!$B$121,IF(Q2&gt;Assumptions!$B$122,INDEX($C$71:$AE$71,1,Q2-Assumptions!$B$122)*Assumptions!$B$121,0))</f>
        <v>0</v>
      </c>
      <c r="R72" s="44" t="n">
        <f aca="false">IF(R7&gt;1,R71*Assumptions!$B$121,IF(R2&gt;Assumptions!$B$122,INDEX($C$71:$AE$71,1,R2-Assumptions!$B$122)*Assumptions!$B$121,0))</f>
        <v>0</v>
      </c>
      <c r="S72" s="44" t="n">
        <f aca="false">IF(S7&gt;1,S71*Assumptions!$B$121,IF(S2&gt;Assumptions!$B$122,INDEX($C$71:$AE$71,1,S2-Assumptions!$B$122)*Assumptions!$B$121,0))</f>
        <v>0</v>
      </c>
      <c r="T72" s="44" t="n">
        <f aca="false">IF(T7&gt;1,T71*Assumptions!$B$121,IF(T2&gt;Assumptions!$B$122,INDEX($C$71:$AE$71,1,T2-Assumptions!$B$122)*Assumptions!$B$121,0))</f>
        <v>0</v>
      </c>
      <c r="U72" s="44" t="n">
        <f aca="false">IF(U7&gt;1,U71*Assumptions!$B$121,IF(U2&gt;Assumptions!$B$122,INDEX($C$71:$AE$71,1,U2-Assumptions!$B$122)*Assumptions!$B$121,0))</f>
        <v>0</v>
      </c>
      <c r="V72" s="44" t="n">
        <f aca="false">IF(V7&gt;1,V71*Assumptions!$B$121,IF(V2&gt;Assumptions!$B$122,INDEX($C$71:$AE$71,1,V2-Assumptions!$B$122)*Assumptions!$B$121,0))</f>
        <v>0</v>
      </c>
      <c r="W72" s="44" t="n">
        <f aca="false">IF(W7&gt;1,W71*Assumptions!$B$121,IF(W2&gt;Assumptions!$B$122,INDEX($C$71:$AE$71,1,W2-Assumptions!$B$122)*Assumptions!$B$121,0))</f>
        <v>11.2058294972488</v>
      </c>
      <c r="X72" s="44" t="n">
        <f aca="false">IF(X7&gt;1,X71*Assumptions!$B$121,IF(X2&gt;Assumptions!$B$122,INDEX($C$71:$AE$71,1,X2-Assumptions!$B$122)*Assumptions!$B$121,0))</f>
        <v>22.1297781708169</v>
      </c>
      <c r="Y72" s="44" t="n">
        <f aca="false">IF(Y7&gt;1,Y71*Assumptions!$B$121,IF(Y2&gt;Assumptions!$B$122,INDEX($C$71:$AE$71,1,Y2-Assumptions!$B$122)*Assumptions!$B$121,0))</f>
        <v>32.8368039359137</v>
      </c>
      <c r="Z72" s="44" t="n">
        <f aca="false">IF(Z7&gt;1,Z71*Assumptions!$B$121,IF(Z2&gt;Assumptions!$B$122,INDEX($C$71:$AE$71,1,Z2-Assumptions!$B$122)*Assumptions!$B$121,0))</f>
        <v>46.4934172511639</v>
      </c>
      <c r="AA72" s="44" t="n">
        <f aca="false">IF(AA7&gt;1,AA71*Assumptions!$B$121,IF(AA2&gt;Assumptions!$B$122,INDEX($C$71:$AE$71,1,AA2-Assumptions!$B$122)*Assumptions!$B$121,0))</f>
        <v>364.12425508503</v>
      </c>
      <c r="AB72" s="44" t="n">
        <f aca="false">IF(AB7&gt;1,AB71*Assumptions!$B$121,IF(AB2&gt;Assumptions!$B$122,INDEX($C$71:$AE$71,1,AB2-Assumptions!$B$122)*Assumptions!$B$121,0))</f>
        <v>723.668161733052</v>
      </c>
      <c r="AC72" s="44" t="n">
        <f aca="false">IF(AC7&gt;1,AC71*Assumptions!$B$121,IF(AC2&gt;Assumptions!$B$122,INDEX($C$71:$AE$71,1,AC2-Assumptions!$B$122)*Assumptions!$B$121,0))</f>
        <v>1266.36689820496</v>
      </c>
      <c r="AD72" s="44" t="n">
        <f aca="false">IF(AD7&gt;1,AD71*Assumptions!$B$121,IF(AD2&gt;Assumptions!$B$122,INDEX($C$71:$AE$71,1,AD2-Assumptions!$B$122)*Assumptions!$B$121,0))</f>
        <v>2018.03546363968</v>
      </c>
      <c r="AE72" s="44" t="n">
        <f aca="false">IF(AE7&gt;1,AE71*Assumptions!$B$121,IF(AE2&gt;Assumptions!$B$122,INDEX($C$71:$AE$71,1,AE2-Assumptions!$B$122)*Assumptions!$B$121,0))</f>
        <v>2939.96871145518</v>
      </c>
    </row>
    <row r="73" customFormat="false" ht="15" hidden="false" customHeight="false" outlineLevel="0" collapsed="false">
      <c r="A73" s="6" t="s">
        <v>439</v>
      </c>
      <c r="B73" s="23" t="s">
        <v>440</v>
      </c>
      <c r="C73" s="28" t="n">
        <f aca="false">IF(C2&gt;=Assumptions!$B$49,C72*Assumptions!$B$132,0)</f>
        <v>0</v>
      </c>
      <c r="D73" s="28" t="n">
        <f aca="false">IF(D2&gt;=Assumptions!$B$49,D72*Assumptions!$B$132,0)</f>
        <v>0</v>
      </c>
      <c r="E73" s="28" t="n">
        <f aca="false">IF(E2&gt;=Assumptions!$B$49,E72*Assumptions!$B$132,0)</f>
        <v>0</v>
      </c>
      <c r="F73" s="28" t="n">
        <f aca="false">IF(F2&gt;=Assumptions!$B$49,F72*Assumptions!$B$132,0)</f>
        <v>0</v>
      </c>
      <c r="G73" s="28" t="n">
        <f aca="false">IF(G2&gt;=Assumptions!$B$49,G72*Assumptions!$B$132,0)</f>
        <v>0</v>
      </c>
      <c r="H73" s="28" t="n">
        <f aca="false">IF(H2&gt;=Assumptions!$B$49,H72*Assumptions!$B$132,0)</f>
        <v>0</v>
      </c>
      <c r="I73" s="28" t="n">
        <f aca="false">IF(I2&gt;=Assumptions!$B$49,I72*Assumptions!$B$132,0)</f>
        <v>0</v>
      </c>
      <c r="J73" s="28" t="n">
        <f aca="false">IF(J2&gt;=Assumptions!$B$49,J72*Assumptions!$B$132,0)</f>
        <v>0</v>
      </c>
      <c r="K73" s="28" t="n">
        <f aca="false">IF(K2&gt;=Assumptions!$B$49,K72*Assumptions!$B$132,0)</f>
        <v>0</v>
      </c>
      <c r="L73" s="28" t="n">
        <f aca="false">IF(L2&gt;=Assumptions!$B$49,L72*Assumptions!$B$132,0)</f>
        <v>0</v>
      </c>
      <c r="M73" s="28" t="n">
        <f aca="false">IF(M2&gt;=Assumptions!$B$49,M72*Assumptions!$B$132,0)</f>
        <v>0</v>
      </c>
      <c r="N73" s="28" t="n">
        <f aca="false">IF(N2&gt;=Assumptions!$B$49,N72*Assumptions!$B$132,0)</f>
        <v>0</v>
      </c>
      <c r="O73" s="28" t="n">
        <f aca="false">IF(O2&gt;=Assumptions!$B$49,O72*Assumptions!$B$132,0)</f>
        <v>0</v>
      </c>
      <c r="P73" s="28" t="n">
        <f aca="false">IF(P2&gt;=Assumptions!$B$49,P72*Assumptions!$B$132,0)</f>
        <v>0</v>
      </c>
      <c r="Q73" s="28" t="n">
        <f aca="false">IF(Q2&gt;=Assumptions!$B$49,Q72*Assumptions!$B$132,0)</f>
        <v>0</v>
      </c>
      <c r="R73" s="28" t="n">
        <f aca="false">IF(R2&gt;=Assumptions!$B$49,R72*Assumptions!$B$132,0)</f>
        <v>0</v>
      </c>
      <c r="S73" s="28" t="n">
        <f aca="false">IF(S2&gt;=Assumptions!$B$49,S72*Assumptions!$B$132,0)</f>
        <v>0</v>
      </c>
      <c r="T73" s="28" t="n">
        <f aca="false">IF(T2&gt;=Assumptions!$B$49,T72*Assumptions!$B$132,0)</f>
        <v>0</v>
      </c>
      <c r="U73" s="28" t="n">
        <f aca="false">IF(U2&gt;=Assumptions!$B$49,U72*Assumptions!$B$132,0)</f>
        <v>0</v>
      </c>
      <c r="V73" s="28" t="n">
        <f aca="false">IF(V2&gt;=Assumptions!$B$49,V72*Assumptions!$B$132,0)</f>
        <v>0</v>
      </c>
      <c r="W73" s="28" t="n">
        <f aca="false">IF(W2&gt;=Assumptions!$B$49,W72*Assumptions!$B$132,0)</f>
        <v>5.6029147486244</v>
      </c>
      <c r="X73" s="28" t="n">
        <f aca="false">IF(X2&gt;=Assumptions!$B$49,X72*Assumptions!$B$132,0)</f>
        <v>11.0648890854085</v>
      </c>
      <c r="Y73" s="28" t="n">
        <f aca="false">IF(Y2&gt;=Assumptions!$B$49,Y72*Assumptions!$B$132,0)</f>
        <v>16.4184019679569</v>
      </c>
      <c r="Z73" s="28" t="n">
        <f aca="false">IF(Z2&gt;=Assumptions!$B$49,Z72*Assumptions!$B$132,0)</f>
        <v>23.246708625582</v>
      </c>
      <c r="AA73" s="28" t="n">
        <f aca="false">IF(AA2&gt;=Assumptions!$B$49,AA72*Assumptions!$B$132,0)</f>
        <v>182.062127542515</v>
      </c>
      <c r="AB73" s="28" t="n">
        <f aca="false">IF(AB2&gt;=Assumptions!$B$49,AB72*Assumptions!$B$132,0)</f>
        <v>361.834080866526</v>
      </c>
      <c r="AC73" s="28" t="n">
        <f aca="false">IF(AC2&gt;=Assumptions!$B$49,AC72*Assumptions!$B$132,0)</f>
        <v>633.183449102479</v>
      </c>
      <c r="AD73" s="28" t="n">
        <f aca="false">IF(AD2&gt;=Assumptions!$B$49,AD72*Assumptions!$B$132,0)</f>
        <v>1009.01773181984</v>
      </c>
      <c r="AE73" s="28" t="n">
        <f aca="false">IF(AE2&gt;=Assumptions!$B$49,AE72*Assumptions!$B$132,0)</f>
        <v>1469.98435572759</v>
      </c>
    </row>
    <row r="74" customFormat="false" ht="15" hidden="false" customHeight="false" outlineLevel="0" collapsed="false">
      <c r="A74" s="6" t="s">
        <v>441</v>
      </c>
      <c r="B74" s="23" t="s">
        <v>110</v>
      </c>
      <c r="C74" s="54" t="n">
        <f aca="false">IF(C61=0,0,C70/C61*Assumptions!$B$32)</f>
        <v>0</v>
      </c>
      <c r="D74" s="54" t="n">
        <f aca="false">IF(D61=0,0,D70/D61*Assumptions!$B$32)</f>
        <v>0</v>
      </c>
      <c r="E74" s="54" t="n">
        <f aca="false">IF(E61=0,0,E70/E61*Assumptions!$B$32)</f>
        <v>0</v>
      </c>
      <c r="F74" s="54" t="n">
        <f aca="false">IF(F61=0,0,F70/F61*Assumptions!$B$32)</f>
        <v>0</v>
      </c>
      <c r="G74" s="54" t="n">
        <f aca="false">IF(G61=0,0,G70/G61*Assumptions!$B$32)</f>
        <v>0</v>
      </c>
      <c r="H74" s="54" t="n">
        <f aca="false">IF(H61=0,0,H70/H61*Assumptions!$B$32)</f>
        <v>0</v>
      </c>
      <c r="I74" s="54" t="n">
        <f aca="false">IF(I61=0,0,I70/I61*Assumptions!$B$32)</f>
        <v>0</v>
      </c>
      <c r="J74" s="54" t="n">
        <f aca="false">IF(J61=0,0,J70/J61*Assumptions!$B$32)</f>
        <v>0</v>
      </c>
      <c r="K74" s="54" t="n">
        <f aca="false">IF(K61=0,0,K70/K61*Assumptions!$B$32)</f>
        <v>0</v>
      </c>
      <c r="L74" s="54" t="n">
        <f aca="false">IF(L61=0,0,L70/L61*Assumptions!$B$32)</f>
        <v>0</v>
      </c>
      <c r="M74" s="54" t="n">
        <f aca="false">IF(M61=0,0,M70/M61*Assumptions!$B$32)</f>
        <v>0</v>
      </c>
      <c r="N74" s="54" t="n">
        <f aca="false">IF(N61=0,0,N70/N61*Assumptions!$B$32)</f>
        <v>0</v>
      </c>
      <c r="O74" s="54" t="n">
        <f aca="false">IF(O61=0,0,O70/O61*Assumptions!$B$32)</f>
        <v>14.4786083743842</v>
      </c>
      <c r="P74" s="54" t="n">
        <f aca="false">IF(P61=0,0,P70/P61*Assumptions!$B$32)</f>
        <v>21.8669003299208</v>
      </c>
      <c r="Q74" s="54" t="n">
        <f aca="false">IF(Q61=0,0,Q70/Q61*Assumptions!$B$32)</f>
        <v>29.3254520125972</v>
      </c>
      <c r="R74" s="54" t="n">
        <f aca="false">IF(R61=0,0,R70/R61*Assumptions!$B$32)</f>
        <v>35.2315393090768</v>
      </c>
      <c r="S74" s="54" t="n">
        <f aca="false">IF(S61=0,0,S70/S61*Assumptions!$B$32)</f>
        <v>42.31475551589</v>
      </c>
      <c r="T74" s="54" t="n">
        <f aca="false">IF(T61=0,0,T70/T61*Assumptions!$B$32)</f>
        <v>50.4839046043946</v>
      </c>
      <c r="U74" s="54" t="n">
        <f aca="false">IF(U61=0,0,U70/U61*Assumptions!$B$32)</f>
        <v>58.5913332568333</v>
      </c>
      <c r="V74" s="54" t="n">
        <f aca="false">IF(V61=0,0,V70/V61*Assumptions!$B$32)</f>
        <v>66.4461334290103</v>
      </c>
      <c r="W74" s="54" t="n">
        <f aca="false">IF(W61=0,0,W70/W61*Assumptions!$B$32)</f>
        <v>73.3912413742452</v>
      </c>
      <c r="X74" s="54" t="n">
        <f aca="false">IF(X61=0,0,X70/X61*Assumptions!$B$32)</f>
        <v>77.4847220816262</v>
      </c>
      <c r="Y74" s="54" t="n">
        <f aca="false">IF(Y61=0,0,Y70/Y61*Assumptions!$B$32)</f>
        <v>83.0287540490573</v>
      </c>
      <c r="Z74" s="54" t="n">
        <f aca="false">IF(Z61=0,0,Z70/Z61*Assumptions!$B$32)</f>
        <v>90.0037143454618</v>
      </c>
      <c r="AA74" s="54" t="n">
        <f aca="false">IF(AA61=0,0,AA70/AA61*Assumptions!$B$32)</f>
        <v>209.157554008686</v>
      </c>
      <c r="AB74" s="54" t="n">
        <f aca="false">IF(AB61=0,0,AB70/AB61*Assumptions!$B$32)</f>
        <v>263.996472451118</v>
      </c>
      <c r="AC74" s="54" t="n">
        <f aca="false">IF(AC61=0,0,AC70/AC61*Assumptions!$B$32)</f>
        <v>298.759371042428</v>
      </c>
      <c r="AD74" s="54" t="n">
        <f aca="false">IF(AD61=0,0,AD70/AD61*Assumptions!$B$32)</f>
        <v>327.103583042038</v>
      </c>
      <c r="AE74" s="54" t="n">
        <f aca="false">IF(AE61=0,0,AE70/AE61*Assumptions!$B$32)</f>
        <v>358.738846057362</v>
      </c>
    </row>
    <row r="75" customFormat="false" ht="15" hidden="false" customHeight="false" outlineLevel="0" collapsed="false">
      <c r="A75" s="6" t="s">
        <v>442</v>
      </c>
      <c r="B75" s="23" t="s">
        <v>110</v>
      </c>
      <c r="C75" s="54" t="n">
        <f aca="false">IF(Assumptions!$B$163=1,Assumptions!$B$158*Assumptions!$B$131*C16,MIN(Assumptions!$B$158*Assumptions!$B$131*C16,C74))</f>
        <v>0</v>
      </c>
      <c r="D75" s="54" t="n">
        <f aca="false">IF(Assumptions!$B$163=1,Assumptions!$B$158*Assumptions!$B$131*D16,MIN(Assumptions!$B$158*Assumptions!$B$131*D16,D74))</f>
        <v>0</v>
      </c>
      <c r="E75" s="54" t="n">
        <f aca="false">IF(Assumptions!$B$163=1,Assumptions!$B$158*Assumptions!$B$131*E16,MIN(Assumptions!$B$158*Assumptions!$B$131*E16,E74))</f>
        <v>0</v>
      </c>
      <c r="F75" s="54" t="n">
        <f aca="false">IF(Assumptions!$B$163=1,Assumptions!$B$158*Assumptions!$B$131*F16,MIN(Assumptions!$B$158*Assumptions!$B$131*F16,F74))</f>
        <v>0</v>
      </c>
      <c r="G75" s="54" t="n">
        <f aca="false">IF(Assumptions!$B$163=1,Assumptions!$B$158*Assumptions!$B$131*G16,MIN(Assumptions!$B$158*Assumptions!$B$131*G16,G74))</f>
        <v>0</v>
      </c>
      <c r="H75" s="54" t="n">
        <f aca="false">IF(Assumptions!$B$163=1,Assumptions!$B$158*Assumptions!$B$131*H16,MIN(Assumptions!$B$158*Assumptions!$B$131*H16,H74))</f>
        <v>0</v>
      </c>
      <c r="I75" s="54" t="n">
        <f aca="false">IF(Assumptions!$B$163=1,Assumptions!$B$158*Assumptions!$B$131*I16,MIN(Assumptions!$B$158*Assumptions!$B$131*I16,I74))</f>
        <v>0</v>
      </c>
      <c r="J75" s="54" t="n">
        <f aca="false">IF(Assumptions!$B$163=1,Assumptions!$B$158*Assumptions!$B$131*J16,MIN(Assumptions!$B$158*Assumptions!$B$131*J16,J74))</f>
        <v>0</v>
      </c>
      <c r="K75" s="54" t="n">
        <f aca="false">IF(Assumptions!$B$163=1,Assumptions!$B$158*Assumptions!$B$131*K16,MIN(Assumptions!$B$158*Assumptions!$B$131*K16,K74))</f>
        <v>0</v>
      </c>
      <c r="L75" s="54" t="n">
        <f aca="false">IF(Assumptions!$B$163=1,Assumptions!$B$158*Assumptions!$B$131*L16,MIN(Assumptions!$B$158*Assumptions!$B$131*L16,L74))</f>
        <v>0</v>
      </c>
      <c r="M75" s="54" t="n">
        <f aca="false">IF(Assumptions!$B$163=1,Assumptions!$B$158*Assumptions!$B$131*M16,MIN(Assumptions!$B$158*Assumptions!$B$131*M16,M74))</f>
        <v>0</v>
      </c>
      <c r="N75" s="54" t="n">
        <f aca="false">IF(Assumptions!$B$163=1,Assumptions!$B$158*Assumptions!$B$131*N16,MIN(Assumptions!$B$158*Assumptions!$B$131*N16,N74))</f>
        <v>0</v>
      </c>
      <c r="O75" s="54" t="n">
        <f aca="false">IF(Assumptions!$B$163=1,Assumptions!$B$158*Assumptions!$B$131*O16,MIN(Assumptions!$B$158*Assumptions!$B$131*O16,O74))</f>
        <v>14.4786083743842</v>
      </c>
      <c r="P75" s="54" t="n">
        <f aca="false">IF(Assumptions!$B$163=1,Assumptions!$B$158*Assumptions!$B$131*P16,MIN(Assumptions!$B$158*Assumptions!$B$131*P16,P74))</f>
        <v>21.8669003299208</v>
      </c>
      <c r="Q75" s="54" t="n">
        <f aca="false">IF(Assumptions!$B$163=1,Assumptions!$B$158*Assumptions!$B$131*Q16,MIN(Assumptions!$B$158*Assumptions!$B$131*Q16,Q74))</f>
        <v>29.3254520125972</v>
      </c>
      <c r="R75" s="54" t="n">
        <f aca="false">IF(Assumptions!$B$163=1,Assumptions!$B$158*Assumptions!$B$131*R16,MIN(Assumptions!$B$158*Assumptions!$B$131*R16,R74))</f>
        <v>35.2315393090768</v>
      </c>
      <c r="S75" s="54" t="n">
        <f aca="false">IF(Assumptions!$B$163=1,Assumptions!$B$158*Assumptions!$B$131*S16,MIN(Assumptions!$B$158*Assumptions!$B$131*S16,S74))</f>
        <v>42.31475551589</v>
      </c>
      <c r="T75" s="54" t="n">
        <f aca="false">IF(Assumptions!$B$163=1,Assumptions!$B$158*Assumptions!$B$131*T16,MIN(Assumptions!$B$158*Assumptions!$B$131*T16,T74))</f>
        <v>50.4839046043946</v>
      </c>
      <c r="U75" s="54" t="n">
        <f aca="false">IF(Assumptions!$B$163=1,Assumptions!$B$158*Assumptions!$B$131*U16,MIN(Assumptions!$B$158*Assumptions!$B$131*U16,U74))</f>
        <v>58.5913332568333</v>
      </c>
      <c r="V75" s="54" t="n">
        <f aca="false">IF(Assumptions!$B$163=1,Assumptions!$B$158*Assumptions!$B$131*V16,MIN(Assumptions!$B$158*Assumptions!$B$131*V16,V74))</f>
        <v>66.4461334290103</v>
      </c>
      <c r="W75" s="54" t="n">
        <f aca="false">IF(Assumptions!$B$163=1,Assumptions!$B$158*Assumptions!$B$131*W16,MIN(Assumptions!$B$158*Assumptions!$B$131*W16,W74))</f>
        <v>73.3912413742452</v>
      </c>
      <c r="X75" s="54" t="n">
        <f aca="false">IF(Assumptions!$B$163=1,Assumptions!$B$158*Assumptions!$B$131*X16,MIN(Assumptions!$B$158*Assumptions!$B$131*X16,X74))</f>
        <v>77.4847220816262</v>
      </c>
      <c r="Y75" s="54" t="n">
        <f aca="false">IF(Assumptions!$B$163=1,Assumptions!$B$158*Assumptions!$B$131*Y16,MIN(Assumptions!$B$158*Assumptions!$B$131*Y16,Y74))</f>
        <v>83.0287540490573</v>
      </c>
      <c r="Z75" s="54" t="n">
        <f aca="false">IF(Assumptions!$B$163=1,Assumptions!$B$158*Assumptions!$B$131*Z16,MIN(Assumptions!$B$158*Assumptions!$B$131*Z16,Z74))</f>
        <v>90.0037143454618</v>
      </c>
      <c r="AA75" s="54" t="n">
        <f aca="false">IF(Assumptions!$B$163=1,Assumptions!$B$158*Assumptions!$B$131*AA16,MIN(Assumptions!$B$158*Assumptions!$B$131*AA16,AA74))</f>
        <v>208</v>
      </c>
      <c r="AB75" s="54" t="n">
        <f aca="false">IF(Assumptions!$B$163=1,Assumptions!$B$158*Assumptions!$B$131*AB16,MIN(Assumptions!$B$158*Assumptions!$B$131*AB16,AB74))</f>
        <v>208</v>
      </c>
      <c r="AC75" s="54" t="n">
        <f aca="false">IF(Assumptions!$B$163=1,Assumptions!$B$158*Assumptions!$B$131*AC16,MIN(Assumptions!$B$158*Assumptions!$B$131*AC16,AC74))</f>
        <v>208</v>
      </c>
      <c r="AD75" s="54" t="n">
        <f aca="false">IF(Assumptions!$B$163=1,Assumptions!$B$158*Assumptions!$B$131*AD16,MIN(Assumptions!$B$158*Assumptions!$B$131*AD16,AD74))</f>
        <v>208</v>
      </c>
      <c r="AE75" s="54" t="n">
        <f aca="false">IF(Assumptions!$B$163=1,Assumptions!$B$158*Assumptions!$B$131*AE16,MIN(Assumptions!$B$158*Assumptions!$B$131*AE16,AE74))</f>
        <v>208</v>
      </c>
    </row>
    <row r="76" customFormat="false" ht="15" hidden="false" customHeight="false" outlineLevel="0" collapsed="false">
      <c r="A76" s="6" t="s">
        <v>443</v>
      </c>
      <c r="B76" s="23" t="s">
        <v>60</v>
      </c>
      <c r="C76" s="44" t="n">
        <f aca="false">C73*C75*Assumptions!$B$7*C7</f>
        <v>0</v>
      </c>
      <c r="D76" s="44" t="n">
        <f aca="false">D73*D75*Assumptions!$B$7*D7</f>
        <v>0</v>
      </c>
      <c r="E76" s="44" t="n">
        <f aca="false">E73*E75*Assumptions!$B$7*E7</f>
        <v>0</v>
      </c>
      <c r="F76" s="44" t="n">
        <f aca="false">F73*F75*Assumptions!$B$7*F7</f>
        <v>0</v>
      </c>
      <c r="G76" s="44" t="n">
        <f aca="false">G73*G75*Assumptions!$B$7*G7</f>
        <v>0</v>
      </c>
      <c r="H76" s="44" t="n">
        <f aca="false">H73*H75*Assumptions!$B$7*H7</f>
        <v>0</v>
      </c>
      <c r="I76" s="44" t="n">
        <f aca="false">I73*I75*Assumptions!$B$7*I7</f>
        <v>0</v>
      </c>
      <c r="J76" s="44" t="n">
        <f aca="false">J73*J75*Assumptions!$B$7*J7</f>
        <v>0</v>
      </c>
      <c r="K76" s="44" t="n">
        <f aca="false">K73*K75*Assumptions!$B$7*K7</f>
        <v>0</v>
      </c>
      <c r="L76" s="44" t="n">
        <f aca="false">L73*L75*Assumptions!$B$7*L7</f>
        <v>0</v>
      </c>
      <c r="M76" s="44" t="n">
        <f aca="false">M73*M75*Assumptions!$B$7*M7</f>
        <v>0</v>
      </c>
      <c r="N76" s="44" t="n">
        <f aca="false">N73*N75*Assumptions!$B$7*N7</f>
        <v>0</v>
      </c>
      <c r="O76" s="44" t="n">
        <f aca="false">O73*O75*Assumptions!$B$7*O7</f>
        <v>0</v>
      </c>
      <c r="P76" s="44" t="n">
        <f aca="false">P73*P75*Assumptions!$B$7*P7</f>
        <v>0</v>
      </c>
      <c r="Q76" s="44" t="n">
        <f aca="false">Q73*Q75*Assumptions!$B$7*Q7</f>
        <v>0</v>
      </c>
      <c r="R76" s="44" t="n">
        <f aca="false">R73*R75*Assumptions!$B$7*R7</f>
        <v>0</v>
      </c>
      <c r="S76" s="44" t="n">
        <f aca="false">S73*S75*Assumptions!$B$7*S7</f>
        <v>0</v>
      </c>
      <c r="T76" s="44" t="n">
        <f aca="false">T73*T75*Assumptions!$B$7*T7</f>
        <v>0</v>
      </c>
      <c r="U76" s="44" t="n">
        <f aca="false">U73*U75*Assumptions!$B$7*U7</f>
        <v>0</v>
      </c>
      <c r="V76" s="44" t="n">
        <f aca="false">V73*V75*Assumptions!$B$7*V7</f>
        <v>0</v>
      </c>
      <c r="W76" s="44" t="n">
        <f aca="false">W73*W75*Assumptions!$B$7*W7</f>
        <v>1510.14988035808</v>
      </c>
      <c r="X76" s="44" t="n">
        <f aca="false">X73*X75*Assumptions!$B$7*X7</f>
        <v>3148.65406986321</v>
      </c>
      <c r="Y76" s="44" t="n">
        <f aca="false">Y73*Y75*Assumptions!$B$7*Y7</f>
        <v>5006.35001272229</v>
      </c>
      <c r="Z76" s="44" t="n">
        <f aca="false">Z73*Z75*Assumptions!$B$7*Z7</f>
        <v>7683.93547528178</v>
      </c>
      <c r="AA76" s="44" t="n">
        <f aca="false">AA73*AA75*Assumptions!$B$7*AA7</f>
        <v>1668883.41584612</v>
      </c>
      <c r="AB76" s="44" t="n">
        <f aca="false">AB73*AB75*Assumptions!$B$7*AB7</f>
        <v>3316773.81230786</v>
      </c>
      <c r="AC76" s="44" t="n">
        <f aca="false">AC73*AC75*Assumptions!$B$7*AC7</f>
        <v>5804114.07720482</v>
      </c>
      <c r="AD76" s="44" t="n">
        <f aca="false">AD73*AD75*Assumptions!$B$7*AD7</f>
        <v>9249221.57979048</v>
      </c>
      <c r="AE76" s="44" t="n">
        <f aca="false">AE73*AE75*Assumptions!$B$7*AE7</f>
        <v>13474699.7958383</v>
      </c>
    </row>
    <row r="77" customFormat="false" ht="15" hidden="false" customHeight="false" outlineLevel="0" collapsed="false">
      <c r="A77" s="6" t="s">
        <v>443</v>
      </c>
      <c r="B77" s="23" t="s">
        <v>110</v>
      </c>
      <c r="C77" s="54" t="n">
        <f aca="false">C76/Assumptions!$B$7</f>
        <v>0</v>
      </c>
      <c r="D77" s="54" t="n">
        <f aca="false">D76/Assumptions!$B$7</f>
        <v>0</v>
      </c>
      <c r="E77" s="54" t="n">
        <f aca="false">E76/Assumptions!$B$7</f>
        <v>0</v>
      </c>
      <c r="F77" s="54" t="n">
        <f aca="false">F76/Assumptions!$B$7</f>
        <v>0</v>
      </c>
      <c r="G77" s="54" t="n">
        <f aca="false">G76/Assumptions!$B$7</f>
        <v>0</v>
      </c>
      <c r="H77" s="54" t="n">
        <f aca="false">H76/Assumptions!$B$7</f>
        <v>0</v>
      </c>
      <c r="I77" s="54" t="n">
        <f aca="false">I76/Assumptions!$B$7</f>
        <v>0</v>
      </c>
      <c r="J77" s="54" t="n">
        <f aca="false">J76/Assumptions!$B$7</f>
        <v>0</v>
      </c>
      <c r="K77" s="54" t="n">
        <f aca="false">K76/Assumptions!$B$7</f>
        <v>0</v>
      </c>
      <c r="L77" s="54" t="n">
        <f aca="false">L76/Assumptions!$B$7</f>
        <v>0</v>
      </c>
      <c r="M77" s="54" t="n">
        <f aca="false">M76/Assumptions!$B$7</f>
        <v>0</v>
      </c>
      <c r="N77" s="54" t="n">
        <f aca="false">N76/Assumptions!$B$7</f>
        <v>0</v>
      </c>
      <c r="O77" s="54" t="n">
        <f aca="false">O76/Assumptions!$B$7</f>
        <v>0</v>
      </c>
      <c r="P77" s="54" t="n">
        <f aca="false">P76/Assumptions!$B$7</f>
        <v>0</v>
      </c>
      <c r="Q77" s="54" t="n">
        <f aca="false">Q76/Assumptions!$B$7</f>
        <v>0</v>
      </c>
      <c r="R77" s="54" t="n">
        <f aca="false">R76/Assumptions!$B$7</f>
        <v>0</v>
      </c>
      <c r="S77" s="54" t="n">
        <f aca="false">S76/Assumptions!$B$7</f>
        <v>0</v>
      </c>
      <c r="T77" s="54" t="n">
        <f aca="false">T76/Assumptions!$B$7</f>
        <v>0</v>
      </c>
      <c r="U77" s="54" t="n">
        <f aca="false">U76/Assumptions!$B$7</f>
        <v>0</v>
      </c>
      <c r="V77" s="54" t="n">
        <f aca="false">V76/Assumptions!$B$7</f>
        <v>0</v>
      </c>
      <c r="W77" s="54" t="n">
        <f aca="false">W76/Assumptions!$B$7</f>
        <v>411.204868715611</v>
      </c>
      <c r="X77" s="54" t="n">
        <f aca="false">X76/Assumptions!$B$7</f>
        <v>857.359855646893</v>
      </c>
      <c r="Y77" s="54" t="n">
        <f aca="false">Y76/Assumptions!$B$7</f>
        <v>1363.19945887605</v>
      </c>
      <c r="Z77" s="54" t="n">
        <f aca="false">Z76/Assumptions!$B$7</f>
        <v>2092.29012260906</v>
      </c>
      <c r="AA77" s="54" t="n">
        <f aca="false">AA76/Assumptions!$B$7</f>
        <v>454427.070346118</v>
      </c>
      <c r="AB77" s="54" t="n">
        <f aca="false">AB76/Assumptions!$B$7</f>
        <v>903137.865842849</v>
      </c>
      <c r="AC77" s="54" t="n">
        <f aca="false">AC76/Assumptions!$B$7</f>
        <v>1580425.88895979</v>
      </c>
      <c r="AD77" s="54" t="n">
        <f aca="false">AD76/Assumptions!$B$7</f>
        <v>2518508.25862232</v>
      </c>
      <c r="AE77" s="54" t="n">
        <f aca="false">AE76/Assumptions!$B$7</f>
        <v>3669080.95189606</v>
      </c>
    </row>
    <row r="78" customFormat="false" ht="15" hidden="false" customHeight="false" outlineLevel="0" collapsed="false">
      <c r="A78" s="6" t="s">
        <v>444</v>
      </c>
      <c r="B78" s="23" t="s">
        <v>110</v>
      </c>
      <c r="C78" s="54" t="n">
        <f aca="false">C65*(Assumptions!$B$8-(1-Assumptions!$B$8)*Assumptions!$B$9)</f>
        <v>0</v>
      </c>
      <c r="D78" s="54" t="n">
        <f aca="false">D65*(Assumptions!$B$8-(1-Assumptions!$B$8)*Assumptions!$B$9)</f>
        <v>0</v>
      </c>
      <c r="E78" s="54" t="n">
        <f aca="false">E65*(Assumptions!$B$8-(1-Assumptions!$B$8)*Assumptions!$B$9)</f>
        <v>0</v>
      </c>
      <c r="F78" s="54" t="n">
        <f aca="false">F65*(Assumptions!$B$8-(1-Assumptions!$B$8)*Assumptions!$B$9)</f>
        <v>0</v>
      </c>
      <c r="G78" s="54" t="n">
        <f aca="false">G65*(Assumptions!$B$8-(1-Assumptions!$B$8)*Assumptions!$B$9)</f>
        <v>0</v>
      </c>
      <c r="H78" s="54" t="n">
        <f aca="false">H65*(Assumptions!$B$8-(1-Assumptions!$B$8)*Assumptions!$B$9)</f>
        <v>0</v>
      </c>
      <c r="I78" s="54" t="n">
        <f aca="false">I65*(Assumptions!$B$8-(1-Assumptions!$B$8)*Assumptions!$B$9)</f>
        <v>0</v>
      </c>
      <c r="J78" s="54" t="n">
        <f aca="false">J65*(Assumptions!$B$8-(1-Assumptions!$B$8)*Assumptions!$B$9)</f>
        <v>0</v>
      </c>
      <c r="K78" s="54" t="n">
        <f aca="false">K65*(Assumptions!$B$8-(1-Assumptions!$B$8)*Assumptions!$B$9)</f>
        <v>0</v>
      </c>
      <c r="L78" s="54" t="n">
        <f aca="false">L65*(Assumptions!$B$8-(1-Assumptions!$B$8)*Assumptions!$B$9)</f>
        <v>0</v>
      </c>
      <c r="M78" s="54" t="n">
        <f aca="false">M65*(Assumptions!$B$8-(1-Assumptions!$B$8)*Assumptions!$B$9)</f>
        <v>0</v>
      </c>
      <c r="N78" s="54" t="n">
        <f aca="false">N65*(Assumptions!$B$8-(1-Assumptions!$B$8)*Assumptions!$B$9)</f>
        <v>0</v>
      </c>
      <c r="O78" s="54" t="n">
        <f aca="false">O65*(Assumptions!$B$8-(1-Assumptions!$B$8)*Assumptions!$B$9)</f>
        <v>18.4719393301045</v>
      </c>
      <c r="P78" s="54" t="n">
        <f aca="false">P65*(Assumptions!$B$8-(1-Assumptions!$B$8)*Assumptions!$B$9)</f>
        <v>35.5815003768734</v>
      </c>
      <c r="Q78" s="54" t="n">
        <f aca="false">Q65*(Assumptions!$B$8-(1-Assumptions!$B$8)*Assumptions!$B$9)</f>
        <v>51.5019715766552</v>
      </c>
      <c r="R78" s="54" t="n">
        <f aca="false">R65*(Assumptions!$B$8-(1-Assumptions!$B$8)*Assumptions!$B$9)</f>
        <v>71.5108881075691</v>
      </c>
      <c r="S78" s="54" t="n">
        <f aca="false">S65*(Assumptions!$B$8-(1-Assumptions!$B$8)*Assumptions!$B$9)</f>
        <v>88.9209797415647</v>
      </c>
      <c r="T78" s="54" t="n">
        <f aca="false">T65*(Assumptions!$B$8-(1-Assumptions!$B$8)*Assumptions!$B$9)</f>
        <v>102.649729498094</v>
      </c>
      <c r="U78" s="54" t="n">
        <f aca="false">U65*(Assumptions!$B$8-(1-Assumptions!$B$8)*Assumptions!$B$9)</f>
        <v>115.371122700058</v>
      </c>
      <c r="V78" s="54" t="n">
        <f aca="false">V65*(Assumptions!$B$8-(1-Assumptions!$B$8)*Assumptions!$B$9)</f>
        <v>127.724989049805</v>
      </c>
      <c r="W78" s="54" t="n">
        <f aca="false">W65*(Assumptions!$B$8-(1-Assumptions!$B$8)*Assumptions!$B$9)</f>
        <v>141.433357282448</v>
      </c>
      <c r="X78" s="54" t="n">
        <f aca="false">X65*(Assumptions!$B$8-(1-Assumptions!$B$8)*Assumptions!$B$9)</f>
        <v>161.730002311353</v>
      </c>
      <c r="Y78" s="54" t="n">
        <f aca="false">Y65*(Assumptions!$B$8-(1-Assumptions!$B$8)*Assumptions!$B$9)</f>
        <v>179.443228122131</v>
      </c>
      <c r="Z78" s="54" t="n">
        <f aca="false">Z65*(Assumptions!$B$8-(1-Assumptions!$B$8)*Assumptions!$B$9)</f>
        <v>193.613048614158</v>
      </c>
      <c r="AA78" s="54" t="n">
        <f aca="false">AA65*(Assumptions!$B$8-(1-Assumptions!$B$8)*Assumptions!$B$9)</f>
        <v>4502.54086887124</v>
      </c>
      <c r="AB78" s="54" t="n">
        <f aca="false">AB65*(Assumptions!$B$8-(1-Assumptions!$B$8)*Assumptions!$B$9)</f>
        <v>7883.956002277</v>
      </c>
      <c r="AC78" s="54" t="n">
        <f aca="false">AC65*(Assumptions!$B$8-(1-Assumptions!$B$8)*Assumptions!$B$9)</f>
        <v>12498.3922213501</v>
      </c>
      <c r="AD78" s="54" t="n">
        <f aca="false">AD65*(Assumptions!$B$8-(1-Assumptions!$B$8)*Assumptions!$B$9)</f>
        <v>18179.248929069</v>
      </c>
      <c r="AE78" s="54" t="n">
        <f aca="false">AE65*(Assumptions!$B$8-(1-Assumptions!$B$8)*Assumptions!$B$9)</f>
        <v>23864.5095451071</v>
      </c>
    </row>
    <row r="79" customFormat="false" ht="15" hidden="false" customHeight="false" outlineLevel="0" collapsed="false">
      <c r="A79" s="6" t="s">
        <v>445</v>
      </c>
      <c r="B79" s="23" t="s">
        <v>110</v>
      </c>
      <c r="C79" s="54" t="n">
        <f aca="false">C66*(Assumptions!$B$8-(1-Assumptions!$B$8)*Assumptions!$B$9)</f>
        <v>0</v>
      </c>
      <c r="D79" s="54" t="n">
        <f aca="false">D66*(Assumptions!$B$8-(1-Assumptions!$B$8)*Assumptions!$B$9)</f>
        <v>0</v>
      </c>
      <c r="E79" s="54" t="n">
        <f aca="false">E66*(Assumptions!$B$8-(1-Assumptions!$B$8)*Assumptions!$B$9)</f>
        <v>0</v>
      </c>
      <c r="F79" s="54" t="n">
        <f aca="false">F66*(Assumptions!$B$8-(1-Assumptions!$B$8)*Assumptions!$B$9)</f>
        <v>0</v>
      </c>
      <c r="G79" s="54" t="n">
        <f aca="false">G66*(Assumptions!$B$8-(1-Assumptions!$B$8)*Assumptions!$B$9)</f>
        <v>0</v>
      </c>
      <c r="H79" s="54" t="n">
        <f aca="false">H66*(Assumptions!$B$8-(1-Assumptions!$B$8)*Assumptions!$B$9)</f>
        <v>0</v>
      </c>
      <c r="I79" s="54" t="n">
        <f aca="false">I66*(Assumptions!$B$8-(1-Assumptions!$B$8)*Assumptions!$B$9)</f>
        <v>0</v>
      </c>
      <c r="J79" s="54" t="n">
        <f aca="false">J66*(Assumptions!$B$8-(1-Assumptions!$B$8)*Assumptions!$B$9)</f>
        <v>0</v>
      </c>
      <c r="K79" s="54" t="n">
        <f aca="false">K66*(Assumptions!$B$8-(1-Assumptions!$B$8)*Assumptions!$B$9)</f>
        <v>0</v>
      </c>
      <c r="L79" s="54" t="n">
        <f aca="false">L66*(Assumptions!$B$8-(1-Assumptions!$B$8)*Assumptions!$B$9)</f>
        <v>0</v>
      </c>
      <c r="M79" s="54" t="n">
        <f aca="false">M66*(Assumptions!$B$8-(1-Assumptions!$B$8)*Assumptions!$B$9)</f>
        <v>0</v>
      </c>
      <c r="N79" s="54" t="n">
        <f aca="false">N66*(Assumptions!$B$8-(1-Assumptions!$B$8)*Assumptions!$B$9)</f>
        <v>0</v>
      </c>
      <c r="O79" s="54" t="n">
        <f aca="false">O66*(Assumptions!$B$8-(1-Assumptions!$B$8)*Assumptions!$B$9)</f>
        <v>3.50860278391234</v>
      </c>
      <c r="P79" s="54" t="n">
        <f aca="false">P66*(Assumptions!$B$8-(1-Assumptions!$B$8)*Assumptions!$B$9)</f>
        <v>6.75843229273804</v>
      </c>
      <c r="Q79" s="54" t="n">
        <f aca="false">Q66*(Assumptions!$B$8-(1-Assumptions!$B$8)*Assumptions!$B$9)</f>
        <v>9.78240333197352</v>
      </c>
      <c r="R79" s="54" t="n">
        <f aca="false">R66*(Assumptions!$B$8-(1-Assumptions!$B$8)*Assumptions!$B$9)</f>
        <v>13.5829431122781</v>
      </c>
      <c r="S79" s="54" t="n">
        <f aca="false">S66*(Assumptions!$B$8-(1-Assumptions!$B$8)*Assumptions!$B$9)</f>
        <v>16.8898560943737</v>
      </c>
      <c r="T79" s="54" t="n">
        <f aca="false">T66*(Assumptions!$B$8-(1-Assumptions!$B$8)*Assumptions!$B$9)</f>
        <v>19.4975265048591</v>
      </c>
      <c r="U79" s="54" t="n">
        <f aca="false">U66*(Assumptions!$B$8-(1-Assumptions!$B$8)*Assumptions!$B$9)</f>
        <v>21.9138572867014</v>
      </c>
      <c r="V79" s="54" t="n">
        <f aca="false">V66*(Assumptions!$B$8-(1-Assumptions!$B$8)*Assumptions!$B$9)</f>
        <v>24.2603791700947</v>
      </c>
      <c r="W79" s="54" t="n">
        <f aca="false">W66*(Assumptions!$B$8-(1-Assumptions!$B$8)*Assumptions!$B$9)</f>
        <v>26.8641782668989</v>
      </c>
      <c r="X79" s="54" t="n">
        <f aca="false">X66*(Assumptions!$B$8-(1-Assumptions!$B$8)*Assumptions!$B$9)</f>
        <v>30.7193698621006</v>
      </c>
      <c r="Y79" s="54" t="n">
        <f aca="false">Y66*(Assumptions!$B$8-(1-Assumptions!$B$8)*Assumptions!$B$9)</f>
        <v>34.0838608492748</v>
      </c>
      <c r="Z79" s="54" t="n">
        <f aca="false">Z66*(Assumptions!$B$8-(1-Assumptions!$B$8)*Assumptions!$B$9)</f>
        <v>36.7753092531162</v>
      </c>
      <c r="AA79" s="54" t="n">
        <f aca="false">AA66*(Assumptions!$B$8-(1-Assumptions!$B$8)*Assumptions!$B$9)</f>
        <v>855.223003112331</v>
      </c>
      <c r="AB79" s="54" t="n">
        <f aca="false">AB66*(Assumptions!$B$8-(1-Assumptions!$B$8)*Assumptions!$B$9)</f>
        <v>1497.49679681711</v>
      </c>
      <c r="AC79" s="54" t="n">
        <f aca="false">AC66*(Assumptions!$B$8-(1-Assumptions!$B$8)*Assumptions!$B$9)</f>
        <v>2373.97346096683</v>
      </c>
      <c r="AD79" s="54" t="n">
        <f aca="false">AD66*(Assumptions!$B$8-(1-Assumptions!$B$8)*Assumptions!$B$9)</f>
        <v>3453.00849370027</v>
      </c>
      <c r="AE79" s="54" t="n">
        <f aca="false">AE66*(Assumptions!$B$8-(1-Assumptions!$B$8)*Assumptions!$B$9)</f>
        <v>4532.88001494275</v>
      </c>
    </row>
    <row r="80" customFormat="false" ht="15" hidden="false" customHeight="false" outlineLevel="0" collapsed="false">
      <c r="A80" s="6" t="s">
        <v>446</v>
      </c>
      <c r="B80" s="23" t="s">
        <v>110</v>
      </c>
      <c r="C80" s="54" t="n">
        <f aca="false">C77*IF(Assumptions!$B$163=1,MIN(Assumptions!$B$14,1%),Assumptions!$B$14)*(1-Assumptions!$B$130)</f>
        <v>0</v>
      </c>
      <c r="D80" s="54" t="n">
        <f aca="false">D77*IF(Assumptions!$B$163=1,MIN(Assumptions!$B$14,1%),Assumptions!$B$14)*(1-Assumptions!$B$130)</f>
        <v>0</v>
      </c>
      <c r="E80" s="54" t="n">
        <f aca="false">E77*IF(Assumptions!$B$163=1,MIN(Assumptions!$B$14,1%),Assumptions!$B$14)*(1-Assumptions!$B$130)</f>
        <v>0</v>
      </c>
      <c r="F80" s="54" t="n">
        <f aca="false">F77*IF(Assumptions!$B$163=1,MIN(Assumptions!$B$14,1%),Assumptions!$B$14)*(1-Assumptions!$B$130)</f>
        <v>0</v>
      </c>
      <c r="G80" s="54" t="n">
        <f aca="false">G77*IF(Assumptions!$B$163=1,MIN(Assumptions!$B$14,1%),Assumptions!$B$14)*(1-Assumptions!$B$130)</f>
        <v>0</v>
      </c>
      <c r="H80" s="54" t="n">
        <f aca="false">H77*IF(Assumptions!$B$163=1,MIN(Assumptions!$B$14,1%),Assumptions!$B$14)*(1-Assumptions!$B$130)</f>
        <v>0</v>
      </c>
      <c r="I80" s="54" t="n">
        <f aca="false">I77*IF(Assumptions!$B$163=1,MIN(Assumptions!$B$14,1%),Assumptions!$B$14)*(1-Assumptions!$B$130)</f>
        <v>0</v>
      </c>
      <c r="J80" s="54" t="n">
        <f aca="false">J77*IF(Assumptions!$B$163=1,MIN(Assumptions!$B$14,1%),Assumptions!$B$14)*(1-Assumptions!$B$130)</f>
        <v>0</v>
      </c>
      <c r="K80" s="54" t="n">
        <f aca="false">K77*IF(Assumptions!$B$163=1,MIN(Assumptions!$B$14,1%),Assumptions!$B$14)*(1-Assumptions!$B$130)</f>
        <v>0</v>
      </c>
      <c r="L80" s="54" t="n">
        <f aca="false">L77*IF(Assumptions!$B$163=1,MIN(Assumptions!$B$14,1%),Assumptions!$B$14)*(1-Assumptions!$B$130)</f>
        <v>0</v>
      </c>
      <c r="M80" s="54" t="n">
        <f aca="false">M77*IF(Assumptions!$B$163=1,MIN(Assumptions!$B$14,1%),Assumptions!$B$14)*(1-Assumptions!$B$130)</f>
        <v>0</v>
      </c>
      <c r="N80" s="54" t="n">
        <f aca="false">N77*IF(Assumptions!$B$163=1,MIN(Assumptions!$B$14,1%),Assumptions!$B$14)*(1-Assumptions!$B$130)</f>
        <v>0</v>
      </c>
      <c r="O80" s="54" t="n">
        <f aca="false">O77*IF(Assumptions!$B$163=1,MIN(Assumptions!$B$14,1%),Assumptions!$B$14)*(1-Assumptions!$B$130)</f>
        <v>0</v>
      </c>
      <c r="P80" s="54" t="n">
        <f aca="false">P77*IF(Assumptions!$B$163=1,MIN(Assumptions!$B$14,1%),Assumptions!$B$14)*(1-Assumptions!$B$130)</f>
        <v>0</v>
      </c>
      <c r="Q80" s="54" t="n">
        <f aca="false">Q77*IF(Assumptions!$B$163=1,MIN(Assumptions!$B$14,1%),Assumptions!$B$14)*(1-Assumptions!$B$130)</f>
        <v>0</v>
      </c>
      <c r="R80" s="54" t="n">
        <f aca="false">R77*IF(Assumptions!$B$163=1,MIN(Assumptions!$B$14,1%),Assumptions!$B$14)*(1-Assumptions!$B$130)</f>
        <v>0</v>
      </c>
      <c r="S80" s="54" t="n">
        <f aca="false">S77*IF(Assumptions!$B$163=1,MIN(Assumptions!$B$14,1%),Assumptions!$B$14)*(1-Assumptions!$B$130)</f>
        <v>0</v>
      </c>
      <c r="T80" s="54" t="n">
        <f aca="false">T77*IF(Assumptions!$B$163=1,MIN(Assumptions!$B$14,1%),Assumptions!$B$14)*(1-Assumptions!$B$130)</f>
        <v>0</v>
      </c>
      <c r="U80" s="54" t="n">
        <f aca="false">U77*IF(Assumptions!$B$163=1,MIN(Assumptions!$B$14,1%),Assumptions!$B$14)*(1-Assumptions!$B$130)</f>
        <v>0</v>
      </c>
      <c r="V80" s="54" t="n">
        <f aca="false">V77*IF(Assumptions!$B$163=1,MIN(Assumptions!$B$14,1%),Assumptions!$B$14)*(1-Assumptions!$B$130)</f>
        <v>0</v>
      </c>
      <c r="W80" s="54" t="n">
        <f aca="false">W77*IF(Assumptions!$B$163=1,MIN(Assumptions!$B$14,1%),Assumptions!$B$14)*(1-Assumptions!$B$130)</f>
        <v>2.07247253832668</v>
      </c>
      <c r="X80" s="54" t="n">
        <f aca="false">X77*IF(Assumptions!$B$163=1,MIN(Assumptions!$B$14,1%),Assumptions!$B$14)*(1-Assumptions!$B$130)</f>
        <v>4.32109367246034</v>
      </c>
      <c r="Y80" s="54" t="n">
        <f aca="false">Y77*IF(Assumptions!$B$163=1,MIN(Assumptions!$B$14,1%),Assumptions!$B$14)*(1-Assumptions!$B$130)</f>
        <v>6.87052527273529</v>
      </c>
      <c r="Z80" s="54" t="n">
        <f aca="false">Z77*IF(Assumptions!$B$163=1,MIN(Assumptions!$B$14,1%),Assumptions!$B$14)*(1-Assumptions!$B$130)</f>
        <v>10.5451422179497</v>
      </c>
      <c r="AA80" s="54" t="n">
        <f aca="false">AA77*IF(Assumptions!$B$163=1,MIN(Assumptions!$B$14,1%),Assumptions!$B$14)*(1-Assumptions!$B$130)</f>
        <v>2290.31243454443</v>
      </c>
      <c r="AB80" s="54" t="n">
        <f aca="false">AB77*IF(Assumptions!$B$163=1,MIN(Assumptions!$B$14,1%),Assumptions!$B$14)*(1-Assumptions!$B$130)</f>
        <v>4551.81484384796</v>
      </c>
      <c r="AC80" s="54" t="n">
        <f aca="false">AC77*IF(Assumptions!$B$163=1,MIN(Assumptions!$B$14,1%),Assumptions!$B$14)*(1-Assumptions!$B$130)</f>
        <v>7965.34648035733</v>
      </c>
      <c r="AD80" s="54" t="n">
        <f aca="false">AD77*IF(Assumptions!$B$163=1,MIN(Assumptions!$B$14,1%),Assumptions!$B$14)*(1-Assumptions!$B$130)</f>
        <v>12693.2816234565</v>
      </c>
      <c r="AE80" s="54" t="n">
        <f aca="false">AE77*IF(Assumptions!$B$163=1,MIN(Assumptions!$B$14,1%),Assumptions!$B$14)*(1-Assumptions!$B$130)</f>
        <v>18492.1679975561</v>
      </c>
    </row>
    <row r="81" customFormat="false" ht="15" hidden="false" customHeight="false" outlineLevel="0" collapsed="false">
      <c r="A81" s="6" t="s">
        <v>447</v>
      </c>
      <c r="B81" s="23" t="s">
        <v>110</v>
      </c>
      <c r="C81" s="54" t="n">
        <f aca="false">IF(C2&gt;=Assumptions!$B$48,C61*Assumptions!$B$148*Assumptions!$B$26/12*C7,0)</f>
        <v>0</v>
      </c>
      <c r="D81" s="54" t="n">
        <f aca="false">IF(D2&gt;=Assumptions!$B$48,D61*Assumptions!$B$148*Assumptions!$B$26/12*D7,0)</f>
        <v>0</v>
      </c>
      <c r="E81" s="54" t="n">
        <f aca="false">IF(E2&gt;=Assumptions!$B$48,E61*Assumptions!$B$148*Assumptions!$B$26/12*E7,0)</f>
        <v>0</v>
      </c>
      <c r="F81" s="54" t="n">
        <f aca="false">IF(F2&gt;=Assumptions!$B$48,F61*Assumptions!$B$148*Assumptions!$B$26/12*F7,0)</f>
        <v>0</v>
      </c>
      <c r="G81" s="54" t="n">
        <f aca="false">IF(G2&gt;=Assumptions!$B$48,G61*Assumptions!$B$148*Assumptions!$B$26/12*G7,0)</f>
        <v>0</v>
      </c>
      <c r="H81" s="54" t="n">
        <f aca="false">IF(H2&gt;=Assumptions!$B$48,H61*Assumptions!$B$148*Assumptions!$B$26/12*H7,0)</f>
        <v>0</v>
      </c>
      <c r="I81" s="54" t="n">
        <f aca="false">IF(I2&gt;=Assumptions!$B$48,I61*Assumptions!$B$148*Assumptions!$B$26/12*I7,0)</f>
        <v>0</v>
      </c>
      <c r="J81" s="54" t="n">
        <f aca="false">IF(J2&gt;=Assumptions!$B$48,J61*Assumptions!$B$148*Assumptions!$B$26/12*J7,0)</f>
        <v>0</v>
      </c>
      <c r="K81" s="54" t="n">
        <f aca="false">IF(K2&gt;=Assumptions!$B$48,K61*Assumptions!$B$148*Assumptions!$B$26/12*K7,0)</f>
        <v>0</v>
      </c>
      <c r="L81" s="54" t="n">
        <f aca="false">IF(L2&gt;=Assumptions!$B$48,L61*Assumptions!$B$148*Assumptions!$B$26/12*L7,0)</f>
        <v>0</v>
      </c>
      <c r="M81" s="54" t="n">
        <f aca="false">IF(M2&gt;=Assumptions!$B$48,M61*Assumptions!$B$148*Assumptions!$B$26/12*M7,0)</f>
        <v>0</v>
      </c>
      <c r="N81" s="54" t="n">
        <f aca="false">IF(N2&gt;=Assumptions!$B$48,N61*Assumptions!$B$148*Assumptions!$B$26/12*N7,0)</f>
        <v>0</v>
      </c>
      <c r="O81" s="54" t="n">
        <f aca="false">IF(O2&gt;=Assumptions!$B$48,O61*Assumptions!$B$148*Assumptions!$B$26/12*O7,0)</f>
        <v>39.7459695107143</v>
      </c>
      <c r="P81" s="54" t="n">
        <f aca="false">IF(P2&gt;=Assumptions!$B$48,P61*Assumptions!$B$148*Assumptions!$B$26/12*P7,0)</f>
        <v>76.5605172175866</v>
      </c>
      <c r="Q81" s="54" t="n">
        <f aca="false">IF(Q2&gt;=Assumptions!$B$48,Q61*Assumptions!$B$148*Assumptions!$B$26/12*Q7,0)</f>
        <v>110.816506888984</v>
      </c>
      <c r="R81" s="54" t="n">
        <f aca="false">IF(R2&gt;=Assumptions!$B$48,R61*Assumptions!$B$148*Assumptions!$B$26/12*R7,0)</f>
        <v>153.869581726884</v>
      </c>
      <c r="S81" s="54" t="n">
        <f aca="false">IF(S2&gt;=Assumptions!$B$48,S61*Assumptions!$B$148*Assumptions!$B$26/12*S7,0)</f>
        <v>191.330779433168</v>
      </c>
      <c r="T81" s="54" t="n">
        <f aca="false">IF(T2&gt;=Assumptions!$B$48,T61*Assumptions!$B$148*Assumptions!$B$26/12*T7,0)</f>
        <v>220.870854218599</v>
      </c>
      <c r="U81" s="54" t="n">
        <f aca="false">IF(U2&gt;=Assumptions!$B$48,U61*Assumptions!$B$148*Assumptions!$B$26/12*U7,0)</f>
        <v>248.243405486946</v>
      </c>
      <c r="V81" s="54" t="n">
        <f aca="false">IF(V2&gt;=Assumptions!$B$48,V61*Assumptions!$B$148*Assumptions!$B$26/12*V7,0)</f>
        <v>274.825151263701</v>
      </c>
      <c r="W81" s="54" t="n">
        <f aca="false">IF(W2&gt;=Assumptions!$B$48,W61*Assumptions!$B$148*Assumptions!$B$26/12*W7,0)</f>
        <v>304.321371237113</v>
      </c>
      <c r="X81" s="54" t="n">
        <f aca="false">IF(X2&gt;=Assumptions!$B$48,X61*Assumptions!$B$148*Assumptions!$B$26/12*X7,0)</f>
        <v>347.993549889947</v>
      </c>
      <c r="Y81" s="54" t="n">
        <f aca="false">IF(Y2&gt;=Assumptions!$B$48,Y61*Assumptions!$B$148*Assumptions!$B$26/12*Y7,0)</f>
        <v>386.106999724865</v>
      </c>
      <c r="Z81" s="54" t="n">
        <f aca="false">IF(Z2&gt;=Assumptions!$B$48,Z61*Assumptions!$B$148*Assumptions!$B$26/12*Z7,0)</f>
        <v>416.596123968065</v>
      </c>
      <c r="AA81" s="54" t="n">
        <f aca="false">IF(AA2&gt;=Assumptions!$B$48,AA61*Assumptions!$B$148*Assumptions!$B$26/12*AA7,0)</f>
        <v>9688.09224071272</v>
      </c>
      <c r="AB81" s="54" t="n">
        <f aca="false">IF(AB2&gt;=Assumptions!$B$48,AB61*Assumptions!$B$148*Assumptions!$B$26/12*AB7,0)</f>
        <v>16963.8644481485</v>
      </c>
      <c r="AC81" s="54" t="n">
        <f aca="false">IF(AC2&gt;=Assumptions!$B$48,AC61*Assumptions!$B$148*Assumptions!$B$26/12*AC7,0)</f>
        <v>26892.7212939217</v>
      </c>
      <c r="AD81" s="54" t="n">
        <f aca="false">IF(AD2&gt;=Assumptions!$B$48,AD61*Assumptions!$B$148*Assumptions!$B$26/12*AD7,0)</f>
        <v>39116.1891964905</v>
      </c>
      <c r="AE81" s="54" t="n">
        <f aca="false">IF(AE2&gt;=Assumptions!$B$48,AE61*Assumptions!$B$148*Assumptions!$B$26/12*AE7,0)</f>
        <v>51349.1329641896</v>
      </c>
    </row>
    <row r="82" customFormat="false" ht="15" hidden="false" customHeight="false" outlineLevel="0" collapsed="false">
      <c r="A82" s="6" t="s">
        <v>448</v>
      </c>
      <c r="B82" s="23" t="s">
        <v>110</v>
      </c>
      <c r="C82" s="54" t="n">
        <f aca="false">IF(C2&gt;=Assumptions!$B$50,C77*C17*Assumptions!$B$18+C73*(Assumptions!$B$136*MAX(0,Assumptions!$B$140-Assumptions!$B$19)+Assumptions!$B$137*MAX(0,Assumptions!$B$141-Assumptions!$B$19)+Assumptions!$B$138*MAX(0,Assumptions!$B$142-Assumptions!$B$19)+Assumptions!$B$139*MAX(0,Assumptions!$B$143-Assumptions!$B$19))*Assumptions!$B$20/Assumptions!$B$7*C7+C73*(Assumptions!$B$134*Assumptions!$B$21+Assumptions!$B$135*Assumptions!$B$22)/12/Assumptions!$B$7*C7,0)</f>
        <v>0</v>
      </c>
      <c r="D82" s="54" t="n">
        <f aca="false">IF(D2&gt;=Assumptions!$B$50,D77*D17*Assumptions!$B$18+D73*(Assumptions!$B$136*MAX(0,Assumptions!$B$140-Assumptions!$B$19)+Assumptions!$B$137*MAX(0,Assumptions!$B$141-Assumptions!$B$19)+Assumptions!$B$138*MAX(0,Assumptions!$B$142-Assumptions!$B$19)+Assumptions!$B$139*MAX(0,Assumptions!$B$143-Assumptions!$B$19))*Assumptions!$B$20/Assumptions!$B$7*D7+D73*(Assumptions!$B$134*Assumptions!$B$21+Assumptions!$B$135*Assumptions!$B$22)/12/Assumptions!$B$7*D7,0)</f>
        <v>0</v>
      </c>
      <c r="E82" s="54" t="n">
        <f aca="false">IF(E2&gt;=Assumptions!$B$50,E77*E17*Assumptions!$B$18+E73*(Assumptions!$B$136*MAX(0,Assumptions!$B$140-Assumptions!$B$19)+Assumptions!$B$137*MAX(0,Assumptions!$B$141-Assumptions!$B$19)+Assumptions!$B$138*MAX(0,Assumptions!$B$142-Assumptions!$B$19)+Assumptions!$B$139*MAX(0,Assumptions!$B$143-Assumptions!$B$19))*Assumptions!$B$20/Assumptions!$B$7*E7+E73*(Assumptions!$B$134*Assumptions!$B$21+Assumptions!$B$135*Assumptions!$B$22)/12/Assumptions!$B$7*E7,0)</f>
        <v>0</v>
      </c>
      <c r="F82" s="54" t="n">
        <f aca="false">IF(F2&gt;=Assumptions!$B$50,F77*F17*Assumptions!$B$18+F73*(Assumptions!$B$136*MAX(0,Assumptions!$B$140-Assumptions!$B$19)+Assumptions!$B$137*MAX(0,Assumptions!$B$141-Assumptions!$B$19)+Assumptions!$B$138*MAX(0,Assumptions!$B$142-Assumptions!$B$19)+Assumptions!$B$139*MAX(0,Assumptions!$B$143-Assumptions!$B$19))*Assumptions!$B$20/Assumptions!$B$7*F7+F73*(Assumptions!$B$134*Assumptions!$B$21+Assumptions!$B$135*Assumptions!$B$22)/12/Assumptions!$B$7*F7,0)</f>
        <v>0</v>
      </c>
      <c r="G82" s="54" t="n">
        <f aca="false">IF(G2&gt;=Assumptions!$B$50,G77*G17*Assumptions!$B$18+G73*(Assumptions!$B$136*MAX(0,Assumptions!$B$140-Assumptions!$B$19)+Assumptions!$B$137*MAX(0,Assumptions!$B$141-Assumptions!$B$19)+Assumptions!$B$138*MAX(0,Assumptions!$B$142-Assumptions!$B$19)+Assumptions!$B$139*MAX(0,Assumptions!$B$143-Assumptions!$B$19))*Assumptions!$B$20/Assumptions!$B$7*G7+G73*(Assumptions!$B$134*Assumptions!$B$21+Assumptions!$B$135*Assumptions!$B$22)/12/Assumptions!$B$7*G7,0)</f>
        <v>0</v>
      </c>
      <c r="H82" s="54" t="n">
        <f aca="false">IF(H2&gt;=Assumptions!$B$50,H77*H17*Assumptions!$B$18+H73*(Assumptions!$B$136*MAX(0,Assumptions!$B$140-Assumptions!$B$19)+Assumptions!$B$137*MAX(0,Assumptions!$B$141-Assumptions!$B$19)+Assumptions!$B$138*MAX(0,Assumptions!$B$142-Assumptions!$B$19)+Assumptions!$B$139*MAX(0,Assumptions!$B$143-Assumptions!$B$19))*Assumptions!$B$20/Assumptions!$B$7*H7+H73*(Assumptions!$B$134*Assumptions!$B$21+Assumptions!$B$135*Assumptions!$B$22)/12/Assumptions!$B$7*H7,0)</f>
        <v>0</v>
      </c>
      <c r="I82" s="54" t="n">
        <f aca="false">IF(I2&gt;=Assumptions!$B$50,I77*I17*Assumptions!$B$18+I73*(Assumptions!$B$136*MAX(0,Assumptions!$B$140-Assumptions!$B$19)+Assumptions!$B$137*MAX(0,Assumptions!$B$141-Assumptions!$B$19)+Assumptions!$B$138*MAX(0,Assumptions!$B$142-Assumptions!$B$19)+Assumptions!$B$139*MAX(0,Assumptions!$B$143-Assumptions!$B$19))*Assumptions!$B$20/Assumptions!$B$7*I7+I73*(Assumptions!$B$134*Assumptions!$B$21+Assumptions!$B$135*Assumptions!$B$22)/12/Assumptions!$B$7*I7,0)</f>
        <v>0</v>
      </c>
      <c r="J82" s="54" t="n">
        <f aca="false">IF(J2&gt;=Assumptions!$B$50,J77*J17*Assumptions!$B$18+J73*(Assumptions!$B$136*MAX(0,Assumptions!$B$140-Assumptions!$B$19)+Assumptions!$B$137*MAX(0,Assumptions!$B$141-Assumptions!$B$19)+Assumptions!$B$138*MAX(0,Assumptions!$B$142-Assumptions!$B$19)+Assumptions!$B$139*MAX(0,Assumptions!$B$143-Assumptions!$B$19))*Assumptions!$B$20/Assumptions!$B$7*J7+J73*(Assumptions!$B$134*Assumptions!$B$21+Assumptions!$B$135*Assumptions!$B$22)/12/Assumptions!$B$7*J7,0)</f>
        <v>0</v>
      </c>
      <c r="K82" s="54" t="n">
        <f aca="false">IF(K2&gt;=Assumptions!$B$50,K77*K17*Assumptions!$B$18+K73*(Assumptions!$B$136*MAX(0,Assumptions!$B$140-Assumptions!$B$19)+Assumptions!$B$137*MAX(0,Assumptions!$B$141-Assumptions!$B$19)+Assumptions!$B$138*MAX(0,Assumptions!$B$142-Assumptions!$B$19)+Assumptions!$B$139*MAX(0,Assumptions!$B$143-Assumptions!$B$19))*Assumptions!$B$20/Assumptions!$B$7*K7+K73*(Assumptions!$B$134*Assumptions!$B$21+Assumptions!$B$135*Assumptions!$B$22)/12/Assumptions!$B$7*K7,0)</f>
        <v>0</v>
      </c>
      <c r="L82" s="54" t="n">
        <f aca="false">IF(L2&gt;=Assumptions!$B$50,L77*L17*Assumptions!$B$18+L73*(Assumptions!$B$136*MAX(0,Assumptions!$B$140-Assumptions!$B$19)+Assumptions!$B$137*MAX(0,Assumptions!$B$141-Assumptions!$B$19)+Assumptions!$B$138*MAX(0,Assumptions!$B$142-Assumptions!$B$19)+Assumptions!$B$139*MAX(0,Assumptions!$B$143-Assumptions!$B$19))*Assumptions!$B$20/Assumptions!$B$7*L7+L73*(Assumptions!$B$134*Assumptions!$B$21+Assumptions!$B$135*Assumptions!$B$22)/12/Assumptions!$B$7*L7,0)</f>
        <v>0</v>
      </c>
      <c r="M82" s="54" t="n">
        <f aca="false">IF(M2&gt;=Assumptions!$B$50,M77*M17*Assumptions!$B$18+M73*(Assumptions!$B$136*MAX(0,Assumptions!$B$140-Assumptions!$B$19)+Assumptions!$B$137*MAX(0,Assumptions!$B$141-Assumptions!$B$19)+Assumptions!$B$138*MAX(0,Assumptions!$B$142-Assumptions!$B$19)+Assumptions!$B$139*MAX(0,Assumptions!$B$143-Assumptions!$B$19))*Assumptions!$B$20/Assumptions!$B$7*M7+M73*(Assumptions!$B$134*Assumptions!$B$21+Assumptions!$B$135*Assumptions!$B$22)/12/Assumptions!$B$7*M7,0)</f>
        <v>0</v>
      </c>
      <c r="N82" s="54" t="n">
        <f aca="false">IF(N2&gt;=Assumptions!$B$50,N77*N17*Assumptions!$B$18+N73*(Assumptions!$B$136*MAX(0,Assumptions!$B$140-Assumptions!$B$19)+Assumptions!$B$137*MAX(0,Assumptions!$B$141-Assumptions!$B$19)+Assumptions!$B$138*MAX(0,Assumptions!$B$142-Assumptions!$B$19)+Assumptions!$B$139*MAX(0,Assumptions!$B$143-Assumptions!$B$19))*Assumptions!$B$20/Assumptions!$B$7*N7+N73*(Assumptions!$B$134*Assumptions!$B$21+Assumptions!$B$135*Assumptions!$B$22)/12/Assumptions!$B$7*N7,0)</f>
        <v>0</v>
      </c>
      <c r="O82" s="54" t="n">
        <f aca="false">IF(O2&gt;=Assumptions!$B$50,O77*O17*Assumptions!$B$18+O73*(Assumptions!$B$136*MAX(0,Assumptions!$B$140-Assumptions!$B$19)+Assumptions!$B$137*MAX(0,Assumptions!$B$141-Assumptions!$B$19)+Assumptions!$B$138*MAX(0,Assumptions!$B$142-Assumptions!$B$19)+Assumptions!$B$139*MAX(0,Assumptions!$B$143-Assumptions!$B$19))*Assumptions!$B$20/Assumptions!$B$7*O7+O73*(Assumptions!$B$134*Assumptions!$B$21+Assumptions!$B$135*Assumptions!$B$22)/12/Assumptions!$B$7*O7,0)</f>
        <v>0</v>
      </c>
      <c r="P82" s="54" t="n">
        <f aca="false">IF(P2&gt;=Assumptions!$B$50,P77*P17*Assumptions!$B$18+P73*(Assumptions!$B$136*MAX(0,Assumptions!$B$140-Assumptions!$B$19)+Assumptions!$B$137*MAX(0,Assumptions!$B$141-Assumptions!$B$19)+Assumptions!$B$138*MAX(0,Assumptions!$B$142-Assumptions!$B$19)+Assumptions!$B$139*MAX(0,Assumptions!$B$143-Assumptions!$B$19))*Assumptions!$B$20/Assumptions!$B$7*P7+P73*(Assumptions!$B$134*Assumptions!$B$21+Assumptions!$B$135*Assumptions!$B$22)/12/Assumptions!$B$7*P7,0)</f>
        <v>0</v>
      </c>
      <c r="Q82" s="54" t="n">
        <f aca="false">IF(Q2&gt;=Assumptions!$B$50,Q77*Q17*Assumptions!$B$18+Q73*(Assumptions!$B$136*MAX(0,Assumptions!$B$140-Assumptions!$B$19)+Assumptions!$B$137*MAX(0,Assumptions!$B$141-Assumptions!$B$19)+Assumptions!$B$138*MAX(0,Assumptions!$B$142-Assumptions!$B$19)+Assumptions!$B$139*MAX(0,Assumptions!$B$143-Assumptions!$B$19))*Assumptions!$B$20/Assumptions!$B$7*Q7+Q73*(Assumptions!$B$134*Assumptions!$B$21+Assumptions!$B$135*Assumptions!$B$22)/12/Assumptions!$B$7*Q7,0)</f>
        <v>0</v>
      </c>
      <c r="R82" s="54" t="n">
        <f aca="false">IF(R2&gt;=Assumptions!$B$50,R77*R17*Assumptions!$B$18+R73*(Assumptions!$B$136*MAX(0,Assumptions!$B$140-Assumptions!$B$19)+Assumptions!$B$137*MAX(0,Assumptions!$B$141-Assumptions!$B$19)+Assumptions!$B$138*MAX(0,Assumptions!$B$142-Assumptions!$B$19)+Assumptions!$B$139*MAX(0,Assumptions!$B$143-Assumptions!$B$19))*Assumptions!$B$20/Assumptions!$B$7*R7+R73*(Assumptions!$B$134*Assumptions!$B$21+Assumptions!$B$135*Assumptions!$B$22)/12/Assumptions!$B$7*R7,0)</f>
        <v>0</v>
      </c>
      <c r="S82" s="54" t="n">
        <f aca="false">IF(S2&gt;=Assumptions!$B$50,S77*S17*Assumptions!$B$18+S73*(Assumptions!$B$136*MAX(0,Assumptions!$B$140-Assumptions!$B$19)+Assumptions!$B$137*MAX(0,Assumptions!$B$141-Assumptions!$B$19)+Assumptions!$B$138*MAX(0,Assumptions!$B$142-Assumptions!$B$19)+Assumptions!$B$139*MAX(0,Assumptions!$B$143-Assumptions!$B$19))*Assumptions!$B$20/Assumptions!$B$7*S7+S73*(Assumptions!$B$134*Assumptions!$B$21+Assumptions!$B$135*Assumptions!$B$22)/12/Assumptions!$B$7*S7,0)</f>
        <v>0</v>
      </c>
      <c r="T82" s="54" t="n">
        <f aca="false">IF(T2&gt;=Assumptions!$B$50,T77*T17*Assumptions!$B$18+T73*(Assumptions!$B$136*MAX(0,Assumptions!$B$140-Assumptions!$B$19)+Assumptions!$B$137*MAX(0,Assumptions!$B$141-Assumptions!$B$19)+Assumptions!$B$138*MAX(0,Assumptions!$B$142-Assumptions!$B$19)+Assumptions!$B$139*MAX(0,Assumptions!$B$143-Assumptions!$B$19))*Assumptions!$B$20/Assumptions!$B$7*T7+T73*(Assumptions!$B$134*Assumptions!$B$21+Assumptions!$B$135*Assumptions!$B$22)/12/Assumptions!$B$7*T7,0)</f>
        <v>0</v>
      </c>
      <c r="U82" s="54" t="n">
        <f aca="false">IF(U2&gt;=Assumptions!$B$50,U77*U17*Assumptions!$B$18+U73*(Assumptions!$B$136*MAX(0,Assumptions!$B$140-Assumptions!$B$19)+Assumptions!$B$137*MAX(0,Assumptions!$B$141-Assumptions!$B$19)+Assumptions!$B$138*MAX(0,Assumptions!$B$142-Assumptions!$B$19)+Assumptions!$B$139*MAX(0,Assumptions!$B$143-Assumptions!$B$19))*Assumptions!$B$20/Assumptions!$B$7*U7+U73*(Assumptions!$B$134*Assumptions!$B$21+Assumptions!$B$135*Assumptions!$B$22)/12/Assumptions!$B$7*U7,0)</f>
        <v>0</v>
      </c>
      <c r="V82" s="54" t="n">
        <f aca="false">IF(V2&gt;=Assumptions!$B$50,V77*V17*Assumptions!$B$18+V73*(Assumptions!$B$136*MAX(0,Assumptions!$B$140-Assumptions!$B$19)+Assumptions!$B$137*MAX(0,Assumptions!$B$141-Assumptions!$B$19)+Assumptions!$B$138*MAX(0,Assumptions!$B$142-Assumptions!$B$19)+Assumptions!$B$139*MAX(0,Assumptions!$B$143-Assumptions!$B$19))*Assumptions!$B$20/Assumptions!$B$7*V7+V73*(Assumptions!$B$134*Assumptions!$B$21+Assumptions!$B$135*Assumptions!$B$22)/12/Assumptions!$B$7*V7,0)</f>
        <v>0</v>
      </c>
      <c r="W82" s="54" t="n">
        <f aca="false">IF(W2&gt;=Assumptions!$B$50,W77*W17*Assumptions!$B$18+W73*(Assumptions!$B$136*MAX(0,Assumptions!$B$140-Assumptions!$B$19)+Assumptions!$B$137*MAX(0,Assumptions!$B$141-Assumptions!$B$19)+Assumptions!$B$138*MAX(0,Assumptions!$B$142-Assumptions!$B$19)+Assumptions!$B$139*MAX(0,Assumptions!$B$143-Assumptions!$B$19))*Assumptions!$B$20/Assumptions!$B$7*W7+W73*(Assumptions!$B$134*Assumptions!$B$21+Assumptions!$B$135*Assumptions!$B$22)/12/Assumptions!$B$7*W7,0)</f>
        <v>21.3613478504455</v>
      </c>
      <c r="X82" s="54" t="n">
        <f aca="false">IF(X2&gt;=Assumptions!$B$50,X77*X17*Assumptions!$B$18+X73*(Assumptions!$B$136*MAX(0,Assumptions!$B$140-Assumptions!$B$19)+Assumptions!$B$137*MAX(0,Assumptions!$B$141-Assumptions!$B$19)+Assumptions!$B$138*MAX(0,Assumptions!$B$142-Assumptions!$B$19)+Assumptions!$B$139*MAX(0,Assumptions!$B$143-Assumptions!$B$19))*Assumptions!$B$20/Assumptions!$B$7*X7+X73*(Assumptions!$B$134*Assumptions!$B$21+Assumptions!$B$135*Assumptions!$B$22)/12/Assumptions!$B$7*X7,0)</f>
        <v>43.3443036745758</v>
      </c>
      <c r="Y82" s="54" t="n">
        <f aca="false">IF(Y2&gt;=Assumptions!$B$50,Y77*Y17*Assumptions!$B$18+Y73*(Assumptions!$B$136*MAX(0,Assumptions!$B$140-Assumptions!$B$19)+Assumptions!$B$137*MAX(0,Assumptions!$B$141-Assumptions!$B$19)+Assumptions!$B$138*MAX(0,Assumptions!$B$142-Assumptions!$B$19)+Assumptions!$B$139*MAX(0,Assumptions!$B$143-Assumptions!$B$19))*Assumptions!$B$20/Assumptions!$B$7*Y7+Y73*(Assumptions!$B$134*Assumptions!$B$21+Assumptions!$B$135*Assumptions!$B$22)/12/Assumptions!$B$7*Y7,0)</f>
        <v>64.5031265963888</v>
      </c>
      <c r="Z82" s="54" t="n">
        <f aca="false">IF(Z2&gt;=Assumptions!$B$50,Z77*Z17*Assumptions!$B$18+Z73*(Assumptions!$B$136*MAX(0,Assumptions!$B$140-Assumptions!$B$19)+Assumptions!$B$137*MAX(0,Assumptions!$B$141-Assumptions!$B$19)+Assumptions!$B$138*MAX(0,Assumptions!$B$142-Assumptions!$B$19)+Assumptions!$B$139*MAX(0,Assumptions!$B$143-Assumptions!$B$19))*Assumptions!$B$20/Assumptions!$B$7*Z7+Z73*(Assumptions!$B$134*Assumptions!$B$21+Assumptions!$B$135*Assumptions!$B$22)/12/Assumptions!$B$7*Z7,0)</f>
        <v>89.5756663993053</v>
      </c>
      <c r="AA82" s="54" t="n">
        <f aca="false">IF(AA2&gt;=Assumptions!$B$50,AA77*AA17*Assumptions!$B$18+AA73*(Assumptions!$B$136*MAX(0,Assumptions!$B$140-Assumptions!$B$19)+Assumptions!$B$137*MAX(0,Assumptions!$B$141-Assumptions!$B$19)+Assumptions!$B$138*MAX(0,Assumptions!$B$142-Assumptions!$B$19)+Assumptions!$B$139*MAX(0,Assumptions!$B$143-Assumptions!$B$19))*Assumptions!$B$20/Assumptions!$B$7*AA7+AA73*(Assumptions!$B$134*Assumptions!$B$21+Assumptions!$B$135*Assumptions!$B$22)/12/Assumptions!$B$7*AA7,0)</f>
        <v>10432.0785069571</v>
      </c>
      <c r="AB82" s="54" t="n">
        <f aca="false">IF(AB2&gt;=Assumptions!$B$50,AB77*AB17*Assumptions!$B$18+AB73*(Assumptions!$B$136*MAX(0,Assumptions!$B$140-Assumptions!$B$19)+Assumptions!$B$137*MAX(0,Assumptions!$B$141-Assumptions!$B$19)+Assumptions!$B$138*MAX(0,Assumptions!$B$142-Assumptions!$B$19)+Assumptions!$B$139*MAX(0,Assumptions!$B$143-Assumptions!$B$19))*Assumptions!$B$20/Assumptions!$B$7*AB7+AB73*(Assumptions!$B$134*Assumptions!$B$21+Assumptions!$B$135*Assumptions!$B$22)/12/Assumptions!$B$7*AB7,0)</f>
        <v>20732.9310551466</v>
      </c>
      <c r="AC82" s="54" t="n">
        <f aca="false">IF(AC2&gt;=Assumptions!$B$50,AC77*AC17*Assumptions!$B$18+AC73*(Assumptions!$B$136*MAX(0,Assumptions!$B$140-Assumptions!$B$19)+Assumptions!$B$137*MAX(0,Assumptions!$B$141-Assumptions!$B$19)+Assumptions!$B$138*MAX(0,Assumptions!$B$142-Assumptions!$B$19)+Assumptions!$B$139*MAX(0,Assumptions!$B$143-Assumptions!$B$19))*Assumptions!$B$20/Assumptions!$B$7*AC7+AC73*(Assumptions!$B$134*Assumptions!$B$21+Assumptions!$B$135*Assumptions!$B$22)/12/Assumptions!$B$7*AC7,0)</f>
        <v>36281.1285328986</v>
      </c>
      <c r="AD82" s="54" t="n">
        <f aca="false">IF(AD2&gt;=Assumptions!$B$50,AD77*AD17*Assumptions!$B$18+AD73*(Assumptions!$B$136*MAX(0,Assumptions!$B$140-Assumptions!$B$19)+Assumptions!$B$137*MAX(0,Assumptions!$B$141-Assumptions!$B$19)+Assumptions!$B$138*MAX(0,Assumptions!$B$142-Assumptions!$B$19)+Assumptions!$B$139*MAX(0,Assumptions!$B$143-Assumptions!$B$19))*Assumptions!$B$20/Assumptions!$B$7*AD7+AD73*(Assumptions!$B$134*Assumptions!$B$21+Assumptions!$B$135*Assumptions!$B$22)/12/Assumptions!$B$7*AD7,0)</f>
        <v>57816.2648945116</v>
      </c>
      <c r="AE82" s="54" t="n">
        <f aca="false">IF(AE2&gt;=Assumptions!$B$50,AE77*AE17*Assumptions!$B$18+AE73*(Assumptions!$B$136*MAX(0,Assumptions!$B$140-Assumptions!$B$19)+Assumptions!$B$137*MAX(0,Assumptions!$B$141-Assumptions!$B$19)+Assumptions!$B$138*MAX(0,Assumptions!$B$142-Assumptions!$B$19)+Assumptions!$B$139*MAX(0,Assumptions!$B$143-Assumptions!$B$19))*Assumptions!$B$20/Assumptions!$B$7*AE7+AE73*(Assumptions!$B$134*Assumptions!$B$21+Assumptions!$B$135*Assumptions!$B$22)/12/Assumptions!$B$7*AE7,0)</f>
        <v>84229.4463430785</v>
      </c>
    </row>
    <row r="83" customFormat="false" ht="15" hidden="false" customHeight="false" outlineLevel="0" collapsed="false">
      <c r="A83" s="6" t="s">
        <v>449</v>
      </c>
      <c r="B83" s="23" t="s">
        <v>110</v>
      </c>
      <c r="C83" s="54" t="n">
        <f aca="false">IF(C2&gt;=Assumptions!$B$51,C72*Assumptions!$B$144*(1-Assumptions!$B$163)*IF(C64=0,0,C70/C64)*Assumptions!$B$32*Assumptions!$B$145*Assumptions!$B$146,0)</f>
        <v>0</v>
      </c>
      <c r="D83" s="54" t="n">
        <f aca="false">IF(D2&gt;=Assumptions!$B$51,D72*Assumptions!$B$144*(1-Assumptions!$B$163)*IF(D64=0,0,D70/D64)*Assumptions!$B$32*Assumptions!$B$145*Assumptions!$B$146,0)</f>
        <v>0</v>
      </c>
      <c r="E83" s="54" t="n">
        <f aca="false">IF(E2&gt;=Assumptions!$B$51,E72*Assumptions!$B$144*(1-Assumptions!$B$163)*IF(E64=0,0,E70/E64)*Assumptions!$B$32*Assumptions!$B$145*Assumptions!$B$146,0)</f>
        <v>0</v>
      </c>
      <c r="F83" s="54" t="n">
        <f aca="false">IF(F2&gt;=Assumptions!$B$51,F72*Assumptions!$B$144*(1-Assumptions!$B$163)*IF(F64=0,0,F70/F64)*Assumptions!$B$32*Assumptions!$B$145*Assumptions!$B$146,0)</f>
        <v>0</v>
      </c>
      <c r="G83" s="54" t="n">
        <f aca="false">IF(G2&gt;=Assumptions!$B$51,G72*Assumptions!$B$144*(1-Assumptions!$B$163)*IF(G64=0,0,G70/G64)*Assumptions!$B$32*Assumptions!$B$145*Assumptions!$B$146,0)</f>
        <v>0</v>
      </c>
      <c r="H83" s="54" t="n">
        <f aca="false">IF(H2&gt;=Assumptions!$B$51,H72*Assumptions!$B$144*(1-Assumptions!$B$163)*IF(H64=0,0,H70/H64)*Assumptions!$B$32*Assumptions!$B$145*Assumptions!$B$146,0)</f>
        <v>0</v>
      </c>
      <c r="I83" s="54" t="n">
        <f aca="false">IF(I2&gt;=Assumptions!$B$51,I72*Assumptions!$B$144*(1-Assumptions!$B$163)*IF(I64=0,0,I70/I64)*Assumptions!$B$32*Assumptions!$B$145*Assumptions!$B$146,0)</f>
        <v>0</v>
      </c>
      <c r="J83" s="54" t="n">
        <f aca="false">IF(J2&gt;=Assumptions!$B$51,J72*Assumptions!$B$144*(1-Assumptions!$B$163)*IF(J64=0,0,J70/J64)*Assumptions!$B$32*Assumptions!$B$145*Assumptions!$B$146,0)</f>
        <v>0</v>
      </c>
      <c r="K83" s="54" t="n">
        <f aca="false">IF(K2&gt;=Assumptions!$B$51,K72*Assumptions!$B$144*(1-Assumptions!$B$163)*IF(K64=0,0,K70/K64)*Assumptions!$B$32*Assumptions!$B$145*Assumptions!$B$146,0)</f>
        <v>0</v>
      </c>
      <c r="L83" s="54" t="n">
        <f aca="false">IF(L2&gt;=Assumptions!$B$51,L72*Assumptions!$B$144*(1-Assumptions!$B$163)*IF(L64=0,0,L70/L64)*Assumptions!$B$32*Assumptions!$B$145*Assumptions!$B$146,0)</f>
        <v>0</v>
      </c>
      <c r="M83" s="54" t="n">
        <f aca="false">IF(M2&gt;=Assumptions!$B$51,M72*Assumptions!$B$144*(1-Assumptions!$B$163)*IF(M64=0,0,M70/M64)*Assumptions!$B$32*Assumptions!$B$145*Assumptions!$B$146,0)</f>
        <v>0</v>
      </c>
      <c r="N83" s="54" t="n">
        <f aca="false">IF(N2&gt;=Assumptions!$B$51,N72*Assumptions!$B$144*(1-Assumptions!$B$163)*IF(N64=0,0,N70/N64)*Assumptions!$B$32*Assumptions!$B$145*Assumptions!$B$146,0)</f>
        <v>0</v>
      </c>
      <c r="O83" s="54" t="n">
        <f aca="false">IF(O2&gt;=Assumptions!$B$51,O72*Assumptions!$B$144*(1-Assumptions!$B$163)*IF(O64=0,0,O70/O64)*Assumptions!$B$32*Assumptions!$B$145*Assumptions!$B$146,0)</f>
        <v>0</v>
      </c>
      <c r="P83" s="54" t="n">
        <f aca="false">IF(P2&gt;=Assumptions!$B$51,P72*Assumptions!$B$144*(1-Assumptions!$B$163)*IF(P64=0,0,P70/P64)*Assumptions!$B$32*Assumptions!$B$145*Assumptions!$B$146,0)</f>
        <v>0</v>
      </c>
      <c r="Q83" s="54" t="n">
        <f aca="false">IF(Q2&gt;=Assumptions!$B$51,Q72*Assumptions!$B$144*(1-Assumptions!$B$163)*IF(Q64=0,0,Q70/Q64)*Assumptions!$B$32*Assumptions!$B$145*Assumptions!$B$146,0)</f>
        <v>0</v>
      </c>
      <c r="R83" s="54" t="n">
        <f aca="false">IF(R2&gt;=Assumptions!$B$51,R72*Assumptions!$B$144*(1-Assumptions!$B$163)*IF(R64=0,0,R70/R64)*Assumptions!$B$32*Assumptions!$B$145*Assumptions!$B$146,0)</f>
        <v>0</v>
      </c>
      <c r="S83" s="54" t="n">
        <f aca="false">IF(S2&gt;=Assumptions!$B$51,S72*Assumptions!$B$144*(1-Assumptions!$B$163)*IF(S64=0,0,S70/S64)*Assumptions!$B$32*Assumptions!$B$145*Assumptions!$B$146,0)</f>
        <v>0</v>
      </c>
      <c r="T83" s="54" t="n">
        <f aca="false">IF(T2&gt;=Assumptions!$B$51,T72*Assumptions!$B$144*(1-Assumptions!$B$163)*IF(T64=0,0,T70/T64)*Assumptions!$B$32*Assumptions!$B$145*Assumptions!$B$146,0)</f>
        <v>0</v>
      </c>
      <c r="U83" s="54" t="n">
        <f aca="false">IF(U2&gt;=Assumptions!$B$51,U72*Assumptions!$B$144*(1-Assumptions!$B$163)*IF(U64=0,0,U70/U64)*Assumptions!$B$32*Assumptions!$B$145*Assumptions!$B$146,0)</f>
        <v>0</v>
      </c>
      <c r="V83" s="54" t="n">
        <f aca="false">IF(V2&gt;=Assumptions!$B$51,V72*Assumptions!$B$144*(1-Assumptions!$B$163)*IF(V64=0,0,V70/V64)*Assumptions!$B$32*Assumptions!$B$145*Assumptions!$B$146,0)</f>
        <v>0</v>
      </c>
      <c r="W83" s="54" t="n">
        <f aca="false">IF(W2&gt;=Assumptions!$B$51,W72*Assumptions!$B$144*(1-Assumptions!$B$163)*IF(W64=0,0,W70/W64)*Assumptions!$B$32*Assumptions!$B$145*Assumptions!$B$146,0)</f>
        <v>25.0555355068288</v>
      </c>
      <c r="X83" s="54" t="n">
        <f aca="false">IF(X2&gt;=Assumptions!$B$51,X72*Assumptions!$B$144*(1-Assumptions!$B$163)*IF(X64=0,0,X70/X64)*Assumptions!$B$32*Assumptions!$B$145*Assumptions!$B$146,0)</f>
        <v>51.5539394846715</v>
      </c>
      <c r="Y83" s="54" t="n">
        <f aca="false">IF(Y2&gt;=Assumptions!$B$51,Y72*Assumptions!$B$144*(1-Assumptions!$B$163)*IF(Y64=0,0,Y70/Y64)*Assumptions!$B$32*Assumptions!$B$145*Assumptions!$B$146,0)</f>
        <v>80.560767430773</v>
      </c>
      <c r="Z83" s="54" t="n">
        <f aca="false">IF(Z2&gt;=Assumptions!$B$51,Z72*Assumptions!$B$144*(1-Assumptions!$B$163)*IF(Z64=0,0,Z70/Z64)*Assumptions!$B$32*Assumptions!$B$145*Assumptions!$B$146,0)</f>
        <v>121.037590857559</v>
      </c>
      <c r="AA83" s="54" t="n">
        <f aca="false">IF(AA2&gt;=Assumptions!$B$51,AA72*Assumptions!$B$144*(1-Assumptions!$B$163)*IF(AA64=0,0,AA70/AA64)*Assumptions!$B$32*Assumptions!$B$145*Assumptions!$B$146,0)</f>
        <v>1755.31501190257</v>
      </c>
      <c r="AB83" s="54" t="n">
        <f aca="false">IF(AB2&gt;=Assumptions!$B$51,AB72*Assumptions!$B$144*(1-Assumptions!$B$163)*IF(AB64=0,0,AB70/AB64)*Assumptions!$B$32*Assumptions!$B$145*Assumptions!$B$146,0)</f>
        <v>3879.41432350117</v>
      </c>
      <c r="AC83" s="54" t="n">
        <f aca="false">IF(AC2&gt;=Assumptions!$B$51,AC72*Assumptions!$B$144*(1-Assumptions!$B$163)*IF(AC64=0,0,AC70/AC64)*Assumptions!$B$32*Assumptions!$B$145*Assumptions!$B$146,0)</f>
        <v>6959.84447759777</v>
      </c>
      <c r="AD83" s="54" t="n">
        <f aca="false">IF(AD2&gt;=Assumptions!$B$51,AD72*Assumptions!$B$144*(1-Assumptions!$B$163)*IF(AD64=0,0,AD70/AD64)*Assumptions!$B$32*Assumptions!$B$145*Assumptions!$B$146,0)</f>
        <v>11083.7082866222</v>
      </c>
      <c r="AE83" s="54" t="n">
        <f aca="false">IF(AE2&gt;=Assumptions!$B$51,AE72*Assumptions!$B$144*(1-Assumptions!$B$163)*IF(AE64=0,0,AE70/AE64)*Assumptions!$B$32*Assumptions!$B$145*Assumptions!$B$146,0)</f>
        <v>15957.1294912428</v>
      </c>
    </row>
    <row r="84" customFormat="false" ht="15" hidden="false" customHeight="false" outlineLevel="0" collapsed="false">
      <c r="A84" s="6" t="s">
        <v>450</v>
      </c>
      <c r="B84" s="23" t="s">
        <v>110</v>
      </c>
      <c r="C84" s="54" t="n">
        <f aca="false">(C83*Assumptions!$B$30*Assumptions!$B$31+C83/Assumptions!$B$146*Assumptions!$B$147*Assumptions!$B$28*Assumptions!$B$29)*C7/12</f>
        <v>0</v>
      </c>
      <c r="D84" s="54" t="n">
        <f aca="false">(D83*Assumptions!$B$30*Assumptions!$B$31+D83/Assumptions!$B$146*Assumptions!$B$147*Assumptions!$B$28*Assumptions!$B$29)*D7/12</f>
        <v>0</v>
      </c>
      <c r="E84" s="54" t="n">
        <f aca="false">(E83*Assumptions!$B$30*Assumptions!$B$31+E83/Assumptions!$B$146*Assumptions!$B$147*Assumptions!$B$28*Assumptions!$B$29)*E7/12</f>
        <v>0</v>
      </c>
      <c r="F84" s="54" t="n">
        <f aca="false">(F83*Assumptions!$B$30*Assumptions!$B$31+F83/Assumptions!$B$146*Assumptions!$B$147*Assumptions!$B$28*Assumptions!$B$29)*F7/12</f>
        <v>0</v>
      </c>
      <c r="G84" s="54" t="n">
        <f aca="false">(G83*Assumptions!$B$30*Assumptions!$B$31+G83/Assumptions!$B$146*Assumptions!$B$147*Assumptions!$B$28*Assumptions!$B$29)*G7/12</f>
        <v>0</v>
      </c>
      <c r="H84" s="54" t="n">
        <f aca="false">(H83*Assumptions!$B$30*Assumptions!$B$31+H83/Assumptions!$B$146*Assumptions!$B$147*Assumptions!$B$28*Assumptions!$B$29)*H7/12</f>
        <v>0</v>
      </c>
      <c r="I84" s="54" t="n">
        <f aca="false">(I83*Assumptions!$B$30*Assumptions!$B$31+I83/Assumptions!$B$146*Assumptions!$B$147*Assumptions!$B$28*Assumptions!$B$29)*I7/12</f>
        <v>0</v>
      </c>
      <c r="J84" s="54" t="n">
        <f aca="false">(J83*Assumptions!$B$30*Assumptions!$B$31+J83/Assumptions!$B$146*Assumptions!$B$147*Assumptions!$B$28*Assumptions!$B$29)*J7/12</f>
        <v>0</v>
      </c>
      <c r="K84" s="54" t="n">
        <f aca="false">(K83*Assumptions!$B$30*Assumptions!$B$31+K83/Assumptions!$B$146*Assumptions!$B$147*Assumptions!$B$28*Assumptions!$B$29)*K7/12</f>
        <v>0</v>
      </c>
      <c r="L84" s="54" t="n">
        <f aca="false">(L83*Assumptions!$B$30*Assumptions!$B$31+L83/Assumptions!$B$146*Assumptions!$B$147*Assumptions!$B$28*Assumptions!$B$29)*L7/12</f>
        <v>0</v>
      </c>
      <c r="M84" s="54" t="n">
        <f aca="false">(M83*Assumptions!$B$30*Assumptions!$B$31+M83/Assumptions!$B$146*Assumptions!$B$147*Assumptions!$B$28*Assumptions!$B$29)*M7/12</f>
        <v>0</v>
      </c>
      <c r="N84" s="54" t="n">
        <f aca="false">(N83*Assumptions!$B$30*Assumptions!$B$31+N83/Assumptions!$B$146*Assumptions!$B$147*Assumptions!$B$28*Assumptions!$B$29)*N7/12</f>
        <v>0</v>
      </c>
      <c r="O84" s="54" t="n">
        <f aca="false">(O83*Assumptions!$B$30*Assumptions!$B$31+O83/Assumptions!$B$146*Assumptions!$B$147*Assumptions!$B$28*Assumptions!$B$29)*O7/12</f>
        <v>0</v>
      </c>
      <c r="P84" s="54" t="n">
        <f aca="false">(P83*Assumptions!$B$30*Assumptions!$B$31+P83/Assumptions!$B$146*Assumptions!$B$147*Assumptions!$B$28*Assumptions!$B$29)*P7/12</f>
        <v>0</v>
      </c>
      <c r="Q84" s="54" t="n">
        <f aca="false">(Q83*Assumptions!$B$30*Assumptions!$B$31+Q83/Assumptions!$B$146*Assumptions!$B$147*Assumptions!$B$28*Assumptions!$B$29)*Q7/12</f>
        <v>0</v>
      </c>
      <c r="R84" s="54" t="n">
        <f aca="false">(R83*Assumptions!$B$30*Assumptions!$B$31+R83/Assumptions!$B$146*Assumptions!$B$147*Assumptions!$B$28*Assumptions!$B$29)*R7/12</f>
        <v>0</v>
      </c>
      <c r="S84" s="54" t="n">
        <f aca="false">(S83*Assumptions!$B$30*Assumptions!$B$31+S83/Assumptions!$B$146*Assumptions!$B$147*Assumptions!$B$28*Assumptions!$B$29)*S7/12</f>
        <v>0</v>
      </c>
      <c r="T84" s="54" t="n">
        <f aca="false">(T83*Assumptions!$B$30*Assumptions!$B$31+T83/Assumptions!$B$146*Assumptions!$B$147*Assumptions!$B$28*Assumptions!$B$29)*T7/12</f>
        <v>0</v>
      </c>
      <c r="U84" s="54" t="n">
        <f aca="false">(U83*Assumptions!$B$30*Assumptions!$B$31+U83/Assumptions!$B$146*Assumptions!$B$147*Assumptions!$B$28*Assumptions!$B$29)*U7/12</f>
        <v>0</v>
      </c>
      <c r="V84" s="54" t="n">
        <f aca="false">(V83*Assumptions!$B$30*Assumptions!$B$31+V83/Assumptions!$B$146*Assumptions!$B$147*Assumptions!$B$28*Assumptions!$B$29)*V7/12</f>
        <v>0</v>
      </c>
      <c r="W84" s="54" t="n">
        <f aca="false">(W83*Assumptions!$B$30*Assumptions!$B$31+W83/Assumptions!$B$146*Assumptions!$B$147*Assumptions!$B$28*Assumptions!$B$29)*W7/12</f>
        <v>0.0595068968287184</v>
      </c>
      <c r="X84" s="54" t="n">
        <f aca="false">(X83*Assumptions!$B$30*Assumptions!$B$31+X83/Assumptions!$B$146*Assumptions!$B$147*Assumptions!$B$28*Assumptions!$B$29)*X7/12</f>
        <v>0.122440606276095</v>
      </c>
      <c r="Y84" s="54" t="n">
        <f aca="false">(Y83*Assumptions!$B$30*Assumptions!$B$31+Y83/Assumptions!$B$146*Assumptions!$B$147*Assumptions!$B$28*Assumptions!$B$29)*Y7/12</f>
        <v>0.191331822648086</v>
      </c>
      <c r="Z84" s="54" t="n">
        <f aca="false">(Z83*Assumptions!$B$30*Assumptions!$B$31+Z83/Assumptions!$B$146*Assumptions!$B$147*Assumptions!$B$28*Assumptions!$B$29)*Z7/12</f>
        <v>0.287464278286703</v>
      </c>
      <c r="AA84" s="54" t="n">
        <f aca="false">(AA83*Assumptions!$B$30*Assumptions!$B$31+AA83/Assumptions!$B$146*Assumptions!$B$147*Assumptions!$B$28*Assumptions!$B$29)*AA7/12</f>
        <v>50.0264778392231</v>
      </c>
      <c r="AB84" s="54" t="n">
        <f aca="false">(AB83*Assumptions!$B$30*Assumptions!$B$31+AB83/Assumptions!$B$146*Assumptions!$B$147*Assumptions!$B$28*Assumptions!$B$29)*AB7/12</f>
        <v>110.563308219783</v>
      </c>
      <c r="AC84" s="54" t="n">
        <f aca="false">(AC83*Assumptions!$B$30*Assumptions!$B$31+AC83/Assumptions!$B$146*Assumptions!$B$147*Assumptions!$B$28*Assumptions!$B$29)*AC7/12</f>
        <v>198.355567611536</v>
      </c>
      <c r="AD84" s="54" t="n">
        <f aca="false">(AD83*Assumptions!$B$30*Assumptions!$B$31+AD83/Assumptions!$B$146*Assumptions!$B$147*Assumptions!$B$28*Assumptions!$B$29)*AD7/12</f>
        <v>315.885686168732</v>
      </c>
      <c r="AE84" s="54" t="n">
        <f aca="false">(AE83*Assumptions!$B$30*Assumptions!$B$31+AE83/Assumptions!$B$146*Assumptions!$B$147*Assumptions!$B$28*Assumptions!$B$29)*AE7/12</f>
        <v>454.77819050042</v>
      </c>
    </row>
    <row r="85" customFormat="false" ht="15" hidden="false" customHeight="false" outlineLevel="0" collapsed="false">
      <c r="A85" s="6" t="s">
        <v>451</v>
      </c>
      <c r="B85" s="23" t="s">
        <v>452</v>
      </c>
      <c r="C85" s="44" t="n">
        <f aca="false">IF(C2&gt;=Assumptions!$B$47,(C61+C63*Assumptions!$B$125)*Assumptions!$B$124*C7/12,0)</f>
        <v>0</v>
      </c>
      <c r="D85" s="44" t="n">
        <f aca="false">IF(D2&gt;=Assumptions!$B$47,(D61+D63*Assumptions!$B$125)*Assumptions!$B$124*D7/12,0)</f>
        <v>0</v>
      </c>
      <c r="E85" s="44" t="n">
        <f aca="false">IF(E2&gt;=Assumptions!$B$47,(E61+E63*Assumptions!$B$125)*Assumptions!$B$124*E7/12,0)</f>
        <v>0</v>
      </c>
      <c r="F85" s="44" t="n">
        <f aca="false">IF(F2&gt;=Assumptions!$B$47,(F61+F63*Assumptions!$B$125)*Assumptions!$B$124*F7/12,0)</f>
        <v>0</v>
      </c>
      <c r="G85" s="44" t="n">
        <f aca="false">IF(G2&gt;=Assumptions!$B$47,(G61+G63*Assumptions!$B$125)*Assumptions!$B$124*G7/12,0)</f>
        <v>0</v>
      </c>
      <c r="H85" s="44" t="n">
        <f aca="false">IF(H2&gt;=Assumptions!$B$47,(H61+H63*Assumptions!$B$125)*Assumptions!$B$124*H7/12,0)</f>
        <v>0</v>
      </c>
      <c r="I85" s="44" t="n">
        <f aca="false">IF(I2&gt;=Assumptions!$B$47,(I61+I63*Assumptions!$B$125)*Assumptions!$B$124*I7/12,0)</f>
        <v>0</v>
      </c>
      <c r="J85" s="44" t="n">
        <f aca="false">IF(J2&gt;=Assumptions!$B$47,(J61+J63*Assumptions!$B$125)*Assumptions!$B$124*J7/12,0)</f>
        <v>0</v>
      </c>
      <c r="K85" s="44" t="n">
        <f aca="false">IF(K2&gt;=Assumptions!$B$47,(K61+K63*Assumptions!$B$125)*Assumptions!$B$124*K7/12,0)</f>
        <v>0</v>
      </c>
      <c r="L85" s="44" t="n">
        <f aca="false">IF(L2&gt;=Assumptions!$B$47,(L61+L63*Assumptions!$B$125)*Assumptions!$B$124*L7/12,0)</f>
        <v>0</v>
      </c>
      <c r="M85" s="44" t="n">
        <f aca="false">IF(M2&gt;=Assumptions!$B$47,(M61+M63*Assumptions!$B$125)*Assumptions!$B$124*M7/12,0)</f>
        <v>0</v>
      </c>
      <c r="N85" s="44" t="n">
        <f aca="false">IF(N2&gt;=Assumptions!$B$47,(N61+N63*Assumptions!$B$125)*Assumptions!$B$124*N7/12,0)</f>
        <v>0</v>
      </c>
      <c r="O85" s="44" t="n">
        <f aca="false">IF(O2&gt;=Assumptions!$B$47,(O61+O63*Assumptions!$B$125)*Assumptions!$B$124*O7/12,0)</f>
        <v>0.139838241883777</v>
      </c>
      <c r="P85" s="44" t="n">
        <f aca="false">IF(P2&gt;=Assumptions!$B$47,(P61+P63*Assumptions!$B$125)*Assumptions!$B$124*P7/12,0)</f>
        <v>0.283885349018104</v>
      </c>
      <c r="Q85" s="44" t="n">
        <f aca="false">IF(Q2&gt;=Assumptions!$B$47,(Q61+Q63*Assumptions!$B$125)*Assumptions!$B$124*Q7/12,0)</f>
        <v>0.432382077401764</v>
      </c>
      <c r="R85" s="44" t="n">
        <f aca="false">IF(R2&gt;=Assumptions!$B$47,(R61+R63*Assumptions!$B$125)*Assumptions!$B$124*R7/12,0)</f>
        <v>0.624346133123503</v>
      </c>
      <c r="S85" s="44" t="n">
        <f aca="false">IF(S2&gt;=Assumptions!$B$47,(S61+S63*Assumptions!$B$125)*Assumptions!$B$124*S7/12,0)</f>
        <v>0.812367133095058</v>
      </c>
      <c r="T85" s="44" t="n">
        <f aca="false">IF(T2&gt;=Assumptions!$B$47,(T61+T63*Assumptions!$B$125)*Assumptions!$B$124*T7/12,0)</f>
        <v>0.986206917306293</v>
      </c>
      <c r="U85" s="44" t="n">
        <f aca="false">IF(U2&gt;=Assumptions!$B$47,(U61+U63*Assumptions!$B$125)*Assumptions!$B$124*U7/12,0)</f>
        <v>1.16321413352754</v>
      </c>
      <c r="V85" s="44" t="n">
        <f aca="false">IF(V2&gt;=Assumptions!$B$47,(V61+V63*Assumptions!$B$125)*Assumptions!$B$124*V7/12,0)</f>
        <v>1.34744051327938</v>
      </c>
      <c r="W85" s="44" t="n">
        <f aca="false">IF(W2&gt;=Assumptions!$B$47,(W61+W63*Assumptions!$B$125)*Assumptions!$B$124*W7/12,0)</f>
        <v>1.55163339526162</v>
      </c>
      <c r="X85" s="44" t="n">
        <f aca="false">IF(X2&gt;=Assumptions!$B$47,(X61+X63*Assumptions!$B$125)*Assumptions!$B$124*X7/12,0)</f>
        <v>1.81647895779188</v>
      </c>
      <c r="Y85" s="44" t="n">
        <f aca="false">IF(Y2&gt;=Assumptions!$B$47,(Y61+Y63*Assumptions!$B$125)*Assumptions!$B$124*Y7/12,0)</f>
        <v>2.07772430005444</v>
      </c>
      <c r="Z85" s="44" t="n">
        <f aca="false">IF(Z2&gt;=Assumptions!$B$47,(Z61+Z63*Assumptions!$B$125)*Assumptions!$B$124*Z7/12,0)</f>
        <v>2.32607097017027</v>
      </c>
      <c r="AA85" s="44" t="n">
        <f aca="false">IF(AA2&gt;=Assumptions!$B$47,(AA61+AA63*Assumptions!$B$125)*Assumptions!$B$124*AA7/12,0)</f>
        <v>77.7673926643588</v>
      </c>
      <c r="AB85" s="44" t="n">
        <f aca="false">IF(AB2&gt;=Assumptions!$B$47,(AB61+AB63*Assumptions!$B$125)*Assumptions!$B$124*AB7/12,0)</f>
        <v>163.718353961983</v>
      </c>
      <c r="AC85" s="44" t="n">
        <f aca="false">IF(AC2&gt;=Assumptions!$B$47,(AC61+AC63*Assumptions!$B$125)*Assumptions!$B$124*AC7/12,0)</f>
        <v>297.6665222499</v>
      </c>
      <c r="AD85" s="44" t="n">
        <f aca="false">IF(AD2&gt;=Assumptions!$B$47,(AD61+AD63*Assumptions!$B$125)*Assumptions!$B$124*AD7/12,0)</f>
        <v>489.306591578736</v>
      </c>
      <c r="AE85" s="44" t="n">
        <f aca="false">IF(AE2&gt;=Assumptions!$B$47,(AE61+AE63*Assumptions!$B$125)*Assumptions!$B$124*AE7/12,0)</f>
        <v>735.393455808898</v>
      </c>
    </row>
    <row r="86" customFormat="false" ht="15" hidden="false" customHeight="false" outlineLevel="0" collapsed="false">
      <c r="A86" s="3" t="s">
        <v>455</v>
      </c>
      <c r="B86" s="23" t="s">
        <v>110</v>
      </c>
      <c r="C86" s="56" t="n">
        <f aca="false">C78+C79+C80+C81+C82+C84</f>
        <v>0</v>
      </c>
      <c r="D86" s="56" t="n">
        <f aca="false">D78+D79+D80+D81+D82+D84</f>
        <v>0</v>
      </c>
      <c r="E86" s="56" t="n">
        <f aca="false">E78+E79+E80+E81+E82+E84</f>
        <v>0</v>
      </c>
      <c r="F86" s="56" t="n">
        <f aca="false">F78+F79+F80+F81+F82+F84</f>
        <v>0</v>
      </c>
      <c r="G86" s="56" t="n">
        <f aca="false">G78+G79+G80+G81+G82+G84</f>
        <v>0</v>
      </c>
      <c r="H86" s="56" t="n">
        <f aca="false">H78+H79+H80+H81+H82+H84</f>
        <v>0</v>
      </c>
      <c r="I86" s="56" t="n">
        <f aca="false">I78+I79+I80+I81+I82+I84</f>
        <v>0</v>
      </c>
      <c r="J86" s="56" t="n">
        <f aca="false">J78+J79+J80+J81+J82+J84</f>
        <v>0</v>
      </c>
      <c r="K86" s="56" t="n">
        <f aca="false">K78+K79+K80+K81+K82+K84</f>
        <v>0</v>
      </c>
      <c r="L86" s="56" t="n">
        <f aca="false">L78+L79+L80+L81+L82+L84</f>
        <v>0</v>
      </c>
      <c r="M86" s="56" t="n">
        <f aca="false">M78+M79+M80+M81+M82+M84</f>
        <v>0</v>
      </c>
      <c r="N86" s="56" t="n">
        <f aca="false">N78+N79+N80+N81+N82+N84</f>
        <v>0</v>
      </c>
      <c r="O86" s="56" t="n">
        <f aca="false">O78+O79+O80+O81+O82+O84</f>
        <v>61.7265116247311</v>
      </c>
      <c r="P86" s="56" t="n">
        <f aca="false">P78+P79+P80+P81+P82+P84</f>
        <v>118.900449887198</v>
      </c>
      <c r="Q86" s="56" t="n">
        <f aca="false">Q78+Q79+Q80+Q81+Q82+Q84</f>
        <v>172.100881797612</v>
      </c>
      <c r="R86" s="56" t="n">
        <f aca="false">R78+R79+R80+R81+R82+R84</f>
        <v>238.963412946731</v>
      </c>
      <c r="S86" s="56" t="n">
        <f aca="false">S78+S79+S80+S81+S82+S84</f>
        <v>297.141615269106</v>
      </c>
      <c r="T86" s="56" t="n">
        <f aca="false">T78+T79+T80+T81+T82+T84</f>
        <v>343.018110221552</v>
      </c>
      <c r="U86" s="56" t="n">
        <f aca="false">U78+U79+U80+U81+U82+U84</f>
        <v>385.528385473706</v>
      </c>
      <c r="V86" s="56" t="n">
        <f aca="false">V78+V79+V80+V81+V82+V84</f>
        <v>426.810519483601</v>
      </c>
      <c r="W86" s="56" t="n">
        <f aca="false">W78+W79+W80+W81+W82+W84</f>
        <v>496.112234072062</v>
      </c>
      <c r="X86" s="56" t="n">
        <f aca="false">X78+X79+X80+X81+X82+X84</f>
        <v>588.230760016713</v>
      </c>
      <c r="Y86" s="56" t="n">
        <f aca="false">Y78+Y79+Y80+Y81+Y82+Y84</f>
        <v>671.199072388043</v>
      </c>
      <c r="Z86" s="56" t="n">
        <f aca="false">Z78+Z79+Z80+Z81+Z82+Z84</f>
        <v>747.392754730881</v>
      </c>
      <c r="AA86" s="56" t="n">
        <f aca="false">AA78+AA79+AA80+AA81+AA82+AA84</f>
        <v>27818.2735320371</v>
      </c>
      <c r="AB86" s="56" t="n">
        <f aca="false">AB78+AB79+AB80+AB81+AB82+AB84</f>
        <v>51740.6264544569</v>
      </c>
      <c r="AC86" s="56" t="n">
        <f aca="false">AC78+AC79+AC80+AC81+AC82+AC84</f>
        <v>86209.9175571061</v>
      </c>
      <c r="AD86" s="56" t="n">
        <f aca="false">AD78+AD79+AD80+AD81+AD82+AD84</f>
        <v>131573.878823397</v>
      </c>
      <c r="AE86" s="56" t="n">
        <f aca="false">AE78+AE79+AE80+AE81+AE82+AE84</f>
        <v>182922.915055375</v>
      </c>
    </row>
    <row r="88" customFormat="false" ht="15" hidden="false" customHeight="false" outlineLevel="0" collapsed="false">
      <c r="A88" s="45" t="s">
        <v>456</v>
      </c>
      <c r="B88" s="46"/>
      <c r="C88" s="46"/>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c r="AE88" s="46"/>
    </row>
    <row r="89" customFormat="false" ht="15" hidden="false" customHeight="false" outlineLevel="0" collapsed="false">
      <c r="A89" s="6" t="s">
        <v>423</v>
      </c>
      <c r="B89" s="23" t="s">
        <v>186</v>
      </c>
      <c r="C89" s="53" t="n">
        <f aca="false">C23*Assumptions!$B$162*IF(C2&gt;=Assumptions!$B$55,1,0)/C24+C20*Assumptions!$B$109</f>
        <v>24.9904846449714</v>
      </c>
      <c r="D89" s="53" t="n">
        <f aca="false">D23*Assumptions!$B$162*IF(D2&gt;=Assumptions!$B$55,1,0)/D24+D20*Assumptions!$B$109</f>
        <v>24.9904846449714</v>
      </c>
      <c r="E89" s="53" t="n">
        <f aca="false">E23*Assumptions!$B$162*IF(E2&gt;=Assumptions!$B$55,1,0)/E24+E20*Assumptions!$B$109</f>
        <v>24.9904846449714</v>
      </c>
      <c r="F89" s="53" t="n">
        <f aca="false">F23*Assumptions!$B$162*IF(F2&gt;=Assumptions!$B$55,1,0)/F24+F20*Assumptions!$B$109</f>
        <v>24.9904846449714</v>
      </c>
      <c r="G89" s="53" t="n">
        <f aca="false">G23*Assumptions!$B$162*IF(G2&gt;=Assumptions!$B$55,1,0)/G24+G20*Assumptions!$B$109</f>
        <v>24.9904846449714</v>
      </c>
      <c r="H89" s="53" t="n">
        <f aca="false">H23*Assumptions!$B$162*IF(H2&gt;=Assumptions!$B$55,1,0)/H24+H20*Assumptions!$B$109</f>
        <v>24.9904846449714</v>
      </c>
      <c r="I89" s="53" t="n">
        <f aca="false">I23*Assumptions!$B$162*IF(I2&gt;=Assumptions!$B$55,1,0)/I24+I20*Assumptions!$B$109</f>
        <v>24.9904846449714</v>
      </c>
      <c r="J89" s="53" t="n">
        <f aca="false">J23*Assumptions!$B$162*IF(J2&gt;=Assumptions!$B$55,1,0)/J24+J20*Assumptions!$B$109</f>
        <v>24.9904846449714</v>
      </c>
      <c r="K89" s="53" t="n">
        <f aca="false">K23*Assumptions!$B$162*IF(K2&gt;=Assumptions!$B$55,1,0)/K24+K20*Assumptions!$B$109</f>
        <v>24.9904846449714</v>
      </c>
      <c r="L89" s="53" t="n">
        <f aca="false">L23*Assumptions!$B$162*IF(L2&gt;=Assumptions!$B$55,1,0)/L24+L20*Assumptions!$B$109</f>
        <v>24.9904846449714</v>
      </c>
      <c r="M89" s="53" t="n">
        <f aca="false">M23*Assumptions!$B$162*IF(M2&gt;=Assumptions!$B$55,1,0)/M24+M20*Assumptions!$B$109</f>
        <v>24.9904846449714</v>
      </c>
      <c r="N89" s="53" t="n">
        <f aca="false">N23*Assumptions!$B$162*IF(N2&gt;=Assumptions!$B$55,1,0)/N24+N20*Assumptions!$B$109</f>
        <v>24.9904846449714</v>
      </c>
      <c r="O89" s="53" t="n">
        <f aca="false">O23*Assumptions!$B$162*IF(O2&gt;=Assumptions!$B$55,1,0)/O24+O20*Assumptions!$B$109</f>
        <v>87.7948822477281</v>
      </c>
      <c r="P89" s="53" t="n">
        <f aca="false">P23*Assumptions!$B$162*IF(P2&gt;=Assumptions!$B$55,1,0)/P24+P20*Assumptions!$B$109</f>
        <v>88.7695891889752</v>
      </c>
      <c r="Q89" s="53" t="n">
        <f aca="false">Q23*Assumptions!$B$162*IF(Q2&gt;=Assumptions!$B$55,1,0)/Q24+Q20*Assumptions!$B$109</f>
        <v>89.6611656718601</v>
      </c>
      <c r="R89" s="53" t="n">
        <f aca="false">R23*Assumptions!$B$162*IF(R2&gt;=Assumptions!$B$55,1,0)/R24+R20*Assumptions!$B$109</f>
        <v>90.4813792886826</v>
      </c>
      <c r="S89" s="53" t="n">
        <f aca="false">S23*Assumptions!$B$162*IF(S2&gt;=Assumptions!$B$55,1,0)/S24+S20*Assumptions!$B$109</f>
        <v>91.5452737616936</v>
      </c>
      <c r="T89" s="53" t="n">
        <f aca="false">T23*Assumptions!$B$162*IF(T2&gt;=Assumptions!$B$55,1,0)/T24+T20*Assumptions!$B$109</f>
        <v>92.4522817648791</v>
      </c>
      <c r="U89" s="53" t="n">
        <f aca="false">U23*Assumptions!$B$162*IF(U2&gt;=Assumptions!$B$55,1,0)/U24+U20*Assumptions!$B$109</f>
        <v>93.1417133120076</v>
      </c>
      <c r="V89" s="53" t="n">
        <f aca="false">V23*Assumptions!$B$162*IF(V2&gt;=Assumptions!$B$55,1,0)/V24+V20*Assumptions!$B$109</f>
        <v>93.7733339978856</v>
      </c>
      <c r="W89" s="53" t="n">
        <f aca="false">W23*Assumptions!$B$162*IF(W2&gt;=Assumptions!$B$55,1,0)/W24+W20*Assumptions!$B$109</f>
        <v>94.3850191549313</v>
      </c>
      <c r="X89" s="53" t="n">
        <f aca="false">X23*Assumptions!$B$162*IF(X2&gt;=Assumptions!$B$55,1,0)/X24+X20*Assumptions!$B$109</f>
        <v>95.07685788729</v>
      </c>
      <c r="Y89" s="53" t="n">
        <f aca="false">Y23*Assumptions!$B$162*IF(Y2&gt;=Assumptions!$B$55,1,0)/Y24+Y20*Assumptions!$B$109</f>
        <v>96.1504350220574</v>
      </c>
      <c r="Z89" s="53" t="n">
        <f aca="false">Z23*Assumptions!$B$162*IF(Z2&gt;=Assumptions!$B$55,1,0)/Z24+Z20*Assumptions!$B$109</f>
        <v>97.0709262832533</v>
      </c>
      <c r="AA89" s="53" t="n">
        <f aca="false">AA23*Assumptions!$B$162*IF(AA2&gt;=Assumptions!$B$55,1,0)/AA24+AA20*Assumptions!$B$109</f>
        <v>2639.21889986613</v>
      </c>
      <c r="AB89" s="53" t="n">
        <f aca="false">AB23*Assumptions!$B$162*IF(AB2&gt;=Assumptions!$B$55,1,0)/AB24+AB20*Assumptions!$B$109</f>
        <v>4106.23169495158</v>
      </c>
      <c r="AC89" s="53" t="n">
        <f aca="false">AC23*Assumptions!$B$162*IF(AC2&gt;=Assumptions!$B$55,1,0)/AC24+AC20*Assumptions!$B$109</f>
        <v>6224.25773776382</v>
      </c>
      <c r="AD89" s="53" t="n">
        <f aca="false">AD23*Assumptions!$B$162*IF(AD2&gt;=Assumptions!$B$55,1,0)/AD24+AD20*Assumptions!$B$109</f>
        <v>7845.52900116466</v>
      </c>
      <c r="AE89" s="53" t="n">
        <f aca="false">AE23*Assumptions!$B$162*IF(AE2&gt;=Assumptions!$B$55,1,0)/AE24+AE20*Assumptions!$B$109</f>
        <v>9561.66697964011</v>
      </c>
    </row>
    <row r="90" customFormat="false" ht="15" hidden="false" customHeight="false" outlineLevel="0" collapsed="false">
      <c r="A90" s="6" t="s">
        <v>424</v>
      </c>
      <c r="B90" s="23" t="s">
        <v>421</v>
      </c>
      <c r="C90" s="50" t="n">
        <v>1</v>
      </c>
      <c r="D90" s="50" t="n">
        <f aca="false">MAX(0,1-C95/Assumptions!$B$84)</f>
        <v>0.999423076811625</v>
      </c>
      <c r="E90" s="50" t="n">
        <f aca="false">MAX(0,1-D95/Assumptions!$B$84)</f>
        <v>0.998875030540249</v>
      </c>
      <c r="F90" s="50" t="n">
        <f aca="false">MAX(0,1-E95/Assumptions!$B$84)</f>
        <v>0.998350107536273</v>
      </c>
      <c r="G90" s="50" t="n">
        <f aca="false">MAX(0,1-F95/Assumptions!$B$84)</f>
        <v>0.997694298599414</v>
      </c>
      <c r="H90" s="50" t="n">
        <f aca="false">MAX(0,1-G95/Assumptions!$B$84)</f>
        <v>0.99710160880258</v>
      </c>
      <c r="I90" s="50" t="n">
        <f aca="false">MAX(0,1-H95/Assumptions!$B$84)</f>
        <v>0.996600399976272</v>
      </c>
      <c r="J90" s="50" t="n">
        <f aca="false">MAX(0,1-I95/Assumptions!$B$84)</f>
        <v>0.996116521166127</v>
      </c>
      <c r="K90" s="50" t="n">
        <f aca="false">MAX(0,1-J95/Assumptions!$B$84)</f>
        <v>0.995632877293378</v>
      </c>
      <c r="L90" s="50" t="n">
        <f aca="false">MAX(0,1-K95/Assumptions!$B$84)</f>
        <v>0.995103970921657</v>
      </c>
      <c r="M90" s="50" t="n">
        <f aca="false">MAX(0,1-L95/Assumptions!$B$84)</f>
        <v>0.994393452907215</v>
      </c>
      <c r="N90" s="50" t="n">
        <f aca="false">MAX(0,1-M95/Assumptions!$B$84)</f>
        <v>0.993740243068053</v>
      </c>
      <c r="O90" s="50" t="n">
        <f aca="false">MAX(0,1-N95/Assumptions!$B$84)</f>
        <v>0.993166931278605</v>
      </c>
      <c r="P90" s="50" t="n">
        <f aca="false">MAX(0,1-O95/Assumptions!$B$84)</f>
        <v>0.991153973026679</v>
      </c>
      <c r="Q90" s="50" t="n">
        <f aca="false">MAX(0,1-P95/Assumptions!$B$84)</f>
        <v>0.989223345420547</v>
      </c>
      <c r="R90" s="50" t="n">
        <f aca="false">MAX(0,1-Q95/Assumptions!$B$84)</f>
        <v>0.987358217996561</v>
      </c>
      <c r="S90" s="50" t="n">
        <f aca="false">MAX(0,1-R95/Assumptions!$B$84)</f>
        <v>0.985009917118188</v>
      </c>
      <c r="T90" s="50" t="n">
        <f aca="false">MAX(0,1-S95/Assumptions!$B$84)</f>
        <v>0.982866376029699</v>
      </c>
      <c r="U90" s="50" t="n">
        <f aca="false">MAX(0,1-T95/Assumptions!$B$84)</f>
        <v>0.981038626305406</v>
      </c>
      <c r="V90" s="50" t="n">
        <f aca="false">MAX(0,1-U95/Assumptions!$B$84)</f>
        <v>0.97926332857495</v>
      </c>
      <c r="W90" s="50" t="n">
        <f aca="false">MAX(0,1-V95/Assumptions!$B$84)</f>
        <v>0.977479226423979</v>
      </c>
      <c r="X90" s="50" t="n">
        <f aca="false">MAX(0,1-W95/Assumptions!$B$84)</f>
        <v>0.975518055273718</v>
      </c>
      <c r="Y90" s="50" t="n">
        <f aca="false">MAX(0,1-X95/Assumptions!$B$84)</f>
        <v>0.972868078373497</v>
      </c>
      <c r="Z90" s="50" t="n">
        <f aca="false">MAX(0,1-Y95/Assumptions!$B$84)</f>
        <v>0.970409268263831</v>
      </c>
      <c r="AA90" s="50" t="n">
        <f aca="false">MAX(0,1-Z95/Assumptions!$B$84)</f>
        <v>0.968234627993896</v>
      </c>
      <c r="AB90" s="50" t="n">
        <f aca="false">MAX(0,1-AA95/Assumptions!$B$84)</f>
        <v>0.909825870743465</v>
      </c>
      <c r="AC90" s="50" t="n">
        <f aca="false">MAX(0,1-AB95/Assumptions!$B$84)</f>
        <v>0.824432594690122</v>
      </c>
      <c r="AD90" s="50" t="n">
        <f aca="false">MAX(0,1-AC95/Assumptions!$B$84)</f>
        <v>0.707141601392644</v>
      </c>
      <c r="AE90" s="50" t="n">
        <f aca="false">MAX(0,1-AD95/Assumptions!$B$84)</f>
        <v>0.580332459869078</v>
      </c>
    </row>
    <row r="91" customFormat="false" ht="15" hidden="false" customHeight="false" outlineLevel="0" collapsed="false">
      <c r="A91" s="6" t="s">
        <v>425</v>
      </c>
      <c r="B91" s="23" t="s">
        <v>186</v>
      </c>
      <c r="C91" s="53" t="n">
        <f aca="false">C89*C90*C15</f>
        <v>25.2403894914211</v>
      </c>
      <c r="D91" s="53" t="n">
        <f aca="false">D89*D90*D15</f>
        <v>23.9770243726954</v>
      </c>
      <c r="E91" s="53" t="n">
        <f aca="false">E89*E90*E15</f>
        <v>22.9653814239245</v>
      </c>
      <c r="F91" s="53" t="n">
        <f aca="false">F89*F90*F15</f>
        <v>28.6916409875944</v>
      </c>
      <c r="G91" s="53" t="n">
        <f aca="false">G89*G90*G15</f>
        <v>25.9301786115052</v>
      </c>
      <c r="H91" s="53" t="n">
        <f aca="false">H89*H90*H15</f>
        <v>21.9278861509463</v>
      </c>
      <c r="I91" s="53" t="n">
        <f aca="false">I89*I90*I15</f>
        <v>21.1696979438625</v>
      </c>
      <c r="J91" s="53" t="n">
        <f aca="false">J89*J90*J15</f>
        <v>21.1594194327838</v>
      </c>
      <c r="K91" s="53" t="n">
        <f aca="false">K89*K90*K15</f>
        <v>23.1396537627869</v>
      </c>
      <c r="L91" s="53" t="n">
        <f aca="false">L89*L90*L15</f>
        <v>31.0851631318347</v>
      </c>
      <c r="M91" s="53" t="n">
        <f aca="false">M89*M90*M15</f>
        <v>28.5779304633286</v>
      </c>
      <c r="N91" s="53" t="n">
        <f aca="false">N89*N90*N15</f>
        <v>25.0823907883372</v>
      </c>
      <c r="O91" s="53" t="n">
        <f aca="false">O89*O90*O15</f>
        <v>88.066923521782</v>
      </c>
      <c r="P91" s="53" t="n">
        <f aca="false">P89*P90*P15</f>
        <v>84.4649577682549</v>
      </c>
      <c r="Q91" s="53" t="n">
        <f aca="false">Q89*Q90*Q15</f>
        <v>81.5993247994055</v>
      </c>
      <c r="R91" s="53" t="n">
        <f aca="false">R89*R90*R15</f>
        <v>102.738163428796</v>
      </c>
      <c r="S91" s="53" t="n">
        <f aca="false">S89*S90*S15</f>
        <v>93.7799226213904</v>
      </c>
      <c r="T91" s="53" t="n">
        <f aca="false">T89*T90*T15</f>
        <v>79.9640504378526</v>
      </c>
      <c r="U91" s="53" t="n">
        <f aca="false">U89*U90*U15</f>
        <v>77.6692757074423</v>
      </c>
      <c r="V91" s="53" t="n">
        <f aca="false">V89*V90*V15</f>
        <v>78.0544691049889</v>
      </c>
      <c r="W91" s="53" t="n">
        <f aca="false">W89*W90*W15</f>
        <v>85.8012378239044</v>
      </c>
      <c r="X91" s="53" t="n">
        <f aca="false">X89*X90*X15</f>
        <v>115.936489384681</v>
      </c>
      <c r="Y91" s="53" t="n">
        <f aca="false">Y89*Y90*Y15</f>
        <v>107.572942297887</v>
      </c>
      <c r="Z91" s="53" t="n">
        <f aca="false">Z89*Z90*Z15</f>
        <v>95.1405118096663</v>
      </c>
      <c r="AA91" s="53" t="n">
        <f aca="false">AA89*AA90*AA15</f>
        <v>2555.38312970634</v>
      </c>
      <c r="AB91" s="53" t="n">
        <f aca="false">AB89*AB90*AB15</f>
        <v>3735.95582733374</v>
      </c>
      <c r="AC91" s="53" t="n">
        <f aca="false">AC89*AC90*AC15</f>
        <v>5131.4809567647</v>
      </c>
      <c r="AD91" s="53" t="n">
        <f aca="false">AD89*AD90*AD15</f>
        <v>5547.899941656</v>
      </c>
      <c r="AE91" s="53" t="n">
        <f aca="false">AE89*AE90*AE15</f>
        <v>5548.94571874348</v>
      </c>
    </row>
    <row r="92" customFormat="false" ht="15" hidden="false" customHeight="false" outlineLevel="0" collapsed="false">
      <c r="A92" s="6" t="s">
        <v>426</v>
      </c>
      <c r="B92" s="23" t="s">
        <v>186</v>
      </c>
      <c r="C92" s="28" t="n">
        <f aca="false">C91*(1-Assumptions!$B$114)^(C7/2)</f>
        <v>24.6194207789787</v>
      </c>
      <c r="D92" s="28" t="n">
        <f aca="false">C92*(1-Assumptions!$B$114)^D7+D91*(1-Assumptions!$B$114)^(D7/2)</f>
        <v>46.810076263597</v>
      </c>
      <c r="E92" s="28" t="n">
        <f aca="false">D92*(1-Assumptions!$B$114)^E7+E91*(1-Assumptions!$B$114)^(E7/2)</f>
        <v>66.9355315184587</v>
      </c>
      <c r="F92" s="28" t="n">
        <f aca="false">E92*(1-Assumptions!$B$114)^F7+F91*(1-Assumptions!$B$114)^(F7/2)</f>
        <v>91.6682888115876</v>
      </c>
      <c r="G92" s="28" t="n">
        <f aca="false">F92*(1-Assumptions!$B$114)^G7+G91*(1-Assumptions!$B$114)^(G7/2)</f>
        <v>112.505531965023</v>
      </c>
      <c r="H92" s="28" t="n">
        <f aca="false">G92*(1-Assumptions!$B$114)^H7+H91*(1-Assumptions!$B$114)^(H7/2)</f>
        <v>128.426276509766</v>
      </c>
      <c r="I92" s="28" t="n">
        <f aca="false">H92*(1-Assumptions!$B$114)^I7+I91*(1-Assumptions!$B$114)^(I7/2)</f>
        <v>142.833752061228</v>
      </c>
      <c r="J92" s="28" t="n">
        <f aca="false">I92*(1-Assumptions!$B$114)^J7+J91*(1-Assumptions!$B$114)^(J7/2)</f>
        <v>156.531011615929</v>
      </c>
      <c r="K92" s="28" t="n">
        <f aca="false">J92*(1-Assumptions!$B$114)^K7+K91*(1-Assumptions!$B$114)^(K7/2)</f>
        <v>171.494112910271</v>
      </c>
      <c r="L92" s="28" t="n">
        <f aca="false">K92*(1-Assumptions!$B$114)^L7+L91*(1-Assumptions!$B$114)^(L7/2)</f>
        <v>193.480053417216</v>
      </c>
      <c r="M92" s="28" t="n">
        <f aca="false">L92*(1-Assumptions!$B$114)^M7+M91*(1-Assumptions!$B$114)^(M7/2)</f>
        <v>211.951947712371</v>
      </c>
      <c r="N92" s="28" t="n">
        <f aca="false">M92*(1-Assumptions!$B$114)^N7+N91*(1-Assumptions!$B$114)^(N7/2)</f>
        <v>226.116582787077</v>
      </c>
      <c r="O92" s="28" t="n">
        <f aca="false">N92*(1-Assumptions!$B$114)^O7+O91*(1-Assumptions!$B$114)^(O7/2)</f>
        <v>301.027804986288</v>
      </c>
      <c r="P92" s="28" t="n">
        <f aca="false">O92*(1-Assumptions!$B$114)^P7+P91*(1-Assumptions!$B$114)^(P7/2)</f>
        <v>368.785059603226</v>
      </c>
      <c r="Q92" s="28" t="n">
        <f aca="false">P92*(1-Assumptions!$B$114)^Q7+Q91*(1-Assumptions!$B$114)^(Q7/2)</f>
        <v>430.454240420835</v>
      </c>
      <c r="R92" s="28" t="n">
        <f aca="false">Q92*(1-Assumptions!$B$114)^R7+R91*(1-Assumptions!$B$114)^(R7/2)</f>
        <v>509.745131518101</v>
      </c>
      <c r="S92" s="28" t="n">
        <f aca="false">R92*(1-Assumptions!$B$114)^S7+S91*(1-Assumptions!$B$114)^(S7/2)</f>
        <v>576.444708073777</v>
      </c>
      <c r="T92" s="28" t="n">
        <f aca="false">S92*(1-Assumptions!$B$114)^T7+T91*(1-Assumptions!$B$114)^(T7/2)</f>
        <v>626.426773620944</v>
      </c>
      <c r="U92" s="28" t="n">
        <f aca="false">T92*(1-Assumptions!$B$114)^U7+U91*(1-Assumptions!$B$114)^(U7/2)</f>
        <v>671.741437456594</v>
      </c>
      <c r="V92" s="28" t="n">
        <f aca="false">U92*(1-Assumptions!$B$114)^V7+V91*(1-Assumptions!$B$114)^(V7/2)</f>
        <v>715.22956616625</v>
      </c>
      <c r="W92" s="28" t="n">
        <f aca="false">V92*(1-Assumptions!$B$114)^W7+W91*(1-Assumptions!$B$114)^(W7/2)</f>
        <v>764.160392204031</v>
      </c>
      <c r="X92" s="28" t="n">
        <f aca="false">W92*(1-Assumptions!$B$114)^X7+X91*(1-Assumptions!$B$114)^(X7/2)</f>
        <v>840.107082635</v>
      </c>
      <c r="Y92" s="28" t="n">
        <f aca="false">X92*(1-Assumptions!$B$114)^Y7+Y91*(1-Assumptions!$B$114)^(Y7/2)</f>
        <v>904.205046626463</v>
      </c>
      <c r="Z92" s="28" t="n">
        <f aca="false">Y92*(1-Assumptions!$B$114)^Z7+Z91*(1-Assumptions!$B$114)^(Z7/2)</f>
        <v>953.061341649043</v>
      </c>
      <c r="AA92" s="28" t="n">
        <f aca="false">Z92*(1-Assumptions!$B$114)^AA7+AA91*(1-Assumptions!$B$114)^(AA7/2)</f>
        <v>2419.30658795477</v>
      </c>
      <c r="AB92" s="28" t="n">
        <f aca="false">AA92*(1-Assumptions!$B$114)^AB7+AB91*(1-Assumptions!$B$114)^(AB7/2)</f>
        <v>4101.27761882799</v>
      </c>
      <c r="AC92" s="28" t="n">
        <f aca="false">AB92*(1-Assumptions!$B$114)^AC7+AC91*(1-Assumptions!$B$114)^(AC7/2)</f>
        <v>6061.31082116725</v>
      </c>
      <c r="AD92" s="28" t="n">
        <f aca="false">AC92*(1-Assumptions!$B$114)^AD7+AD91*(1-Assumptions!$B$114)^(AD7/2)</f>
        <v>7448.15366702872</v>
      </c>
      <c r="AE92" s="28" t="n">
        <f aca="false">AD92*(1-Assumptions!$B$114)^AE7+AE91*(1-Assumptions!$B$114)^(AE7/2)</f>
        <v>8211.69280129793</v>
      </c>
    </row>
    <row r="93" customFormat="false" ht="15" hidden="false" customHeight="false" outlineLevel="0" collapsed="false">
      <c r="A93" s="6" t="s">
        <v>427</v>
      </c>
      <c r="B93" s="23" t="s">
        <v>186</v>
      </c>
      <c r="C93" s="53" t="n">
        <f aca="false">C91-C92</f>
        <v>0.620968712442494</v>
      </c>
      <c r="D93" s="53" t="n">
        <f aca="false">C92+D91-D92</f>
        <v>1.78636888807707</v>
      </c>
      <c r="E93" s="53" t="n">
        <f aca="false">D92+E91-E92</f>
        <v>2.83992616906286</v>
      </c>
      <c r="F93" s="53" t="n">
        <f aca="false">E92+F91-F92</f>
        <v>3.95888369446547</v>
      </c>
      <c r="G93" s="53" t="n">
        <f aca="false">F92+G91-G92</f>
        <v>5.09293545807014</v>
      </c>
      <c r="H93" s="53" t="n">
        <f aca="false">G92+H91-H92</f>
        <v>6.00714160620305</v>
      </c>
      <c r="I93" s="53" t="n">
        <f aca="false">H92+I91-I92</f>
        <v>6.76222239240025</v>
      </c>
      <c r="J93" s="53" t="n">
        <f aca="false">I92+J91-J92</f>
        <v>7.46215987808273</v>
      </c>
      <c r="K93" s="53" t="n">
        <f aca="false">J92+K91-K92</f>
        <v>8.1765524684449</v>
      </c>
      <c r="L93" s="53" t="n">
        <f aca="false">K92+L91-L92</f>
        <v>9.09922262488982</v>
      </c>
      <c r="M93" s="53" t="n">
        <f aca="false">L92+M91-M92</f>
        <v>10.1060361681736</v>
      </c>
      <c r="N93" s="53" t="n">
        <f aca="false">M92+N91-N92</f>
        <v>10.9177557136309</v>
      </c>
      <c r="O93" s="53" t="n">
        <f aca="false">N92+O91-O92</f>
        <v>13.1557013225715</v>
      </c>
      <c r="P93" s="53" t="n">
        <f aca="false">O92+P91-P92</f>
        <v>16.7077031513172</v>
      </c>
      <c r="Q93" s="53" t="n">
        <f aca="false">P92+Q91-Q92</f>
        <v>19.9301439817961</v>
      </c>
      <c r="R93" s="53" t="n">
        <f aca="false">Q92+R91-R92</f>
        <v>23.4472723315299</v>
      </c>
      <c r="S93" s="53" t="n">
        <f aca="false">R92+S91-S92</f>
        <v>27.0803460657152</v>
      </c>
      <c r="T93" s="53" t="n">
        <f aca="false">S92+T91-T92</f>
        <v>29.9819848906855</v>
      </c>
      <c r="U93" s="53" t="n">
        <f aca="false">T92+U91-U92</f>
        <v>32.3546118717918</v>
      </c>
      <c r="V93" s="53" t="n">
        <f aca="false">U92+V91-V92</f>
        <v>34.5663403953334</v>
      </c>
      <c r="W93" s="53" t="n">
        <f aca="false">V92+W91-W92</f>
        <v>36.8704117861232</v>
      </c>
      <c r="X93" s="53" t="n">
        <f aca="false">W92+X91-X92</f>
        <v>39.9897989537121</v>
      </c>
      <c r="Y93" s="53" t="n">
        <f aca="false">X92+Y91-Y92</f>
        <v>43.4749783064242</v>
      </c>
      <c r="Z93" s="53" t="n">
        <f aca="false">Y92+Z91-Z92</f>
        <v>46.2842167870862</v>
      </c>
      <c r="AA93" s="53" t="n">
        <f aca="false">Z92+AA91-AA92</f>
        <v>1089.13788340062</v>
      </c>
      <c r="AB93" s="53" t="n">
        <f aca="false">AA92+AB91-AB92</f>
        <v>2053.98479646051</v>
      </c>
      <c r="AC93" s="53" t="n">
        <f aca="false">AB92+AC91-AC92</f>
        <v>3171.44775442544</v>
      </c>
      <c r="AD93" s="53" t="n">
        <f aca="false">AC92+AD91-AD92</f>
        <v>4161.05709579453</v>
      </c>
      <c r="AE93" s="53" t="n">
        <f aca="false">AD92+AE91-AE92</f>
        <v>4785.40658447427</v>
      </c>
    </row>
    <row r="94" customFormat="false" ht="15" hidden="false" customHeight="false" outlineLevel="0" collapsed="false">
      <c r="A94" s="6" t="s">
        <v>428</v>
      </c>
      <c r="B94" s="23" t="s">
        <v>186</v>
      </c>
      <c r="C94" s="44" t="n">
        <f aca="false">C93</f>
        <v>0.620968712442494</v>
      </c>
      <c r="D94" s="44" t="n">
        <f aca="false">C94+D93</f>
        <v>2.40733760051957</v>
      </c>
      <c r="E94" s="44" t="n">
        <f aca="false">D94+E93</f>
        <v>5.24726376958243</v>
      </c>
      <c r="F94" s="44" t="n">
        <f aca="false">E94+F93</f>
        <v>9.2061474640479</v>
      </c>
      <c r="G94" s="44" t="n">
        <f aca="false">F94+G93</f>
        <v>14.299082922118</v>
      </c>
      <c r="H94" s="44" t="n">
        <f aca="false">G94+H93</f>
        <v>20.3062245283211</v>
      </c>
      <c r="I94" s="44" t="n">
        <f aca="false">H94+I93</f>
        <v>27.0684469207213</v>
      </c>
      <c r="J94" s="44" t="n">
        <f aca="false">I94+J93</f>
        <v>34.5306067988041</v>
      </c>
      <c r="K94" s="44" t="n">
        <f aca="false">J94+K93</f>
        <v>42.707159267249</v>
      </c>
      <c r="L94" s="44" t="n">
        <f aca="false">K94+L93</f>
        <v>51.8063818921388</v>
      </c>
      <c r="M94" s="44" t="n">
        <f aca="false">L94+M93</f>
        <v>61.9124180603124</v>
      </c>
      <c r="N94" s="44" t="n">
        <f aca="false">M94+N93</f>
        <v>72.8301737739433</v>
      </c>
      <c r="O94" s="44" t="n">
        <f aca="false">N94+O93</f>
        <v>85.9858750965148</v>
      </c>
      <c r="P94" s="44" t="n">
        <f aca="false">O94+P93</f>
        <v>102.693578247832</v>
      </c>
      <c r="Q94" s="44" t="n">
        <f aca="false">P94+Q93</f>
        <v>122.623722229628</v>
      </c>
      <c r="R94" s="44" t="n">
        <f aca="false">Q94+R93</f>
        <v>146.070994561158</v>
      </c>
      <c r="S94" s="44" t="n">
        <f aca="false">R94+S93</f>
        <v>173.151340626873</v>
      </c>
      <c r="T94" s="44" t="n">
        <f aca="false">S94+T93</f>
        <v>203.133325517559</v>
      </c>
      <c r="U94" s="44" t="n">
        <f aca="false">T94+U93</f>
        <v>235.48793738935</v>
      </c>
      <c r="V94" s="44" t="n">
        <f aca="false">U94+V93</f>
        <v>270.054277784684</v>
      </c>
      <c r="W94" s="44" t="n">
        <f aca="false">V94+W93</f>
        <v>306.924689570807</v>
      </c>
      <c r="X94" s="44" t="n">
        <f aca="false">W94+X93</f>
        <v>346.914488524519</v>
      </c>
      <c r="Y94" s="44" t="n">
        <f aca="false">X94+Y93</f>
        <v>390.389466830943</v>
      </c>
      <c r="Z94" s="44" t="n">
        <f aca="false">Y94+Z93</f>
        <v>436.67368361803</v>
      </c>
      <c r="AA94" s="44" t="n">
        <f aca="false">Z94+AA93</f>
        <v>1525.81156701865</v>
      </c>
      <c r="AB94" s="44" t="n">
        <f aca="false">AA94+AB93</f>
        <v>3579.79636347916</v>
      </c>
      <c r="AC94" s="44" t="n">
        <f aca="false">AB94+AC93</f>
        <v>6751.2441179046</v>
      </c>
      <c r="AD94" s="44" t="n">
        <f aca="false">AC94+AD93</f>
        <v>10912.3012136991</v>
      </c>
      <c r="AE94" s="44" t="n">
        <f aca="false">AD94+AE93</f>
        <v>15697.7077981734</v>
      </c>
    </row>
    <row r="95" customFormat="false" ht="15" hidden="false" customHeight="false" outlineLevel="0" collapsed="false">
      <c r="A95" s="6" t="s">
        <v>429</v>
      </c>
      <c r="B95" s="23" t="s">
        <v>186</v>
      </c>
      <c r="C95" s="44" t="n">
        <f aca="false">C91</f>
        <v>25.2403894914211</v>
      </c>
      <c r="D95" s="44" t="n">
        <f aca="false">C95+D91</f>
        <v>49.2174138641165</v>
      </c>
      <c r="E95" s="44" t="n">
        <f aca="false">D95+E91</f>
        <v>72.1827952880411</v>
      </c>
      <c r="F95" s="44" t="n">
        <f aca="false">E95+F91</f>
        <v>100.874436275636</v>
      </c>
      <c r="G95" s="44" t="n">
        <f aca="false">F95+G91</f>
        <v>126.804614887141</v>
      </c>
      <c r="H95" s="44" t="n">
        <f aca="false">G95+H91</f>
        <v>148.732501038087</v>
      </c>
      <c r="I95" s="44" t="n">
        <f aca="false">H95+I91</f>
        <v>169.902198981949</v>
      </c>
      <c r="J95" s="44" t="n">
        <f aca="false">I95+J91</f>
        <v>191.061618414733</v>
      </c>
      <c r="K95" s="44" t="n">
        <f aca="false">J95+K91</f>
        <v>214.20127217752</v>
      </c>
      <c r="L95" s="44" t="n">
        <f aca="false">K95+L91</f>
        <v>245.286435309355</v>
      </c>
      <c r="M95" s="44" t="n">
        <f aca="false">L95+M91</f>
        <v>273.864365772683</v>
      </c>
      <c r="N95" s="44" t="n">
        <f aca="false">M95+N91</f>
        <v>298.946756561021</v>
      </c>
      <c r="O95" s="44" t="n">
        <f aca="false">N95+O91</f>
        <v>387.013680082803</v>
      </c>
      <c r="P95" s="44" t="n">
        <f aca="false">O95+P91</f>
        <v>471.478637851058</v>
      </c>
      <c r="Q95" s="44" t="n">
        <f aca="false">P95+Q91</f>
        <v>553.077962650463</v>
      </c>
      <c r="R95" s="44" t="n">
        <f aca="false">Q95+R91</f>
        <v>655.816126079259</v>
      </c>
      <c r="S95" s="44" t="n">
        <f aca="false">R95+S91</f>
        <v>749.59604870065</v>
      </c>
      <c r="T95" s="44" t="n">
        <f aca="false">S95+T91</f>
        <v>829.560099138502</v>
      </c>
      <c r="U95" s="44" t="n">
        <f aca="false">T95+U91</f>
        <v>907.229374845944</v>
      </c>
      <c r="V95" s="44" t="n">
        <f aca="false">U95+V91</f>
        <v>985.283843950933</v>
      </c>
      <c r="W95" s="44" t="n">
        <f aca="false">V95+W91</f>
        <v>1071.08508177484</v>
      </c>
      <c r="X95" s="44" t="n">
        <f aca="false">W95+X91</f>
        <v>1187.02157115952</v>
      </c>
      <c r="Y95" s="44" t="n">
        <f aca="false">X95+Y91</f>
        <v>1294.59451345741</v>
      </c>
      <c r="Z95" s="44" t="n">
        <f aca="false">Y95+Z91</f>
        <v>1389.73502526707</v>
      </c>
      <c r="AA95" s="44" t="n">
        <f aca="false">Z95+AA91</f>
        <v>3945.11815497341</v>
      </c>
      <c r="AB95" s="44" t="n">
        <f aca="false">AA95+AB91</f>
        <v>7681.07398230715</v>
      </c>
      <c r="AC95" s="44" t="n">
        <f aca="false">AB95+AC91</f>
        <v>12812.5549390718</v>
      </c>
      <c r="AD95" s="44" t="n">
        <f aca="false">AC95+AD91</f>
        <v>18360.4548807278</v>
      </c>
      <c r="AE95" s="44" t="n">
        <f aca="false">AD95+AE91</f>
        <v>23909.4005994713</v>
      </c>
    </row>
    <row r="96" customFormat="false" ht="15" hidden="false" customHeight="false" outlineLevel="0" collapsed="false">
      <c r="A96" s="6" t="s">
        <v>430</v>
      </c>
      <c r="B96" s="23" t="s">
        <v>110</v>
      </c>
      <c r="C96" s="54" t="n">
        <f aca="false">IF(C2&gt;=Assumptions!$B$45,C92*Assumptions!$B$159*C7,0)</f>
        <v>738.58262336936</v>
      </c>
      <c r="D96" s="54" t="n">
        <f aca="false">IF(D2&gt;=Assumptions!$B$45,D92*Assumptions!$B$159*D7,0)</f>
        <v>1404.30228790791</v>
      </c>
      <c r="E96" s="54" t="n">
        <f aca="false">IF(E2&gt;=Assumptions!$B$45,E92*Assumptions!$B$159*E7,0)</f>
        <v>2008.06594555376</v>
      </c>
      <c r="F96" s="54" t="n">
        <f aca="false">IF(F2&gt;=Assumptions!$B$45,F92*Assumptions!$B$159*F7,0)</f>
        <v>2750.04866434763</v>
      </c>
      <c r="G96" s="54" t="n">
        <f aca="false">IF(G2&gt;=Assumptions!$B$45,G92*Assumptions!$B$159*G7,0)</f>
        <v>3375.16595895068</v>
      </c>
      <c r="H96" s="54" t="n">
        <f aca="false">IF(H2&gt;=Assumptions!$B$45,H92*Assumptions!$B$159*H7,0)</f>
        <v>3852.78829529298</v>
      </c>
      <c r="I96" s="54" t="n">
        <f aca="false">IF(I2&gt;=Assumptions!$B$45,I92*Assumptions!$B$159*I7,0)</f>
        <v>4285.01256183685</v>
      </c>
      <c r="J96" s="54" t="n">
        <f aca="false">IF(J2&gt;=Assumptions!$B$45,J92*Assumptions!$B$159*J7,0)</f>
        <v>4695.93034847788</v>
      </c>
      <c r="K96" s="54" t="n">
        <f aca="false">IF(K2&gt;=Assumptions!$B$45,K92*Assumptions!$B$159*K7,0)</f>
        <v>5144.82338730813</v>
      </c>
      <c r="L96" s="54" t="n">
        <f aca="false">IF(L2&gt;=Assumptions!$B$45,L92*Assumptions!$B$159*L7,0)</f>
        <v>5804.40160251648</v>
      </c>
      <c r="M96" s="54" t="n">
        <f aca="false">IF(M2&gt;=Assumptions!$B$45,M92*Assumptions!$B$159*M7,0)</f>
        <v>6358.55843137113</v>
      </c>
      <c r="N96" s="54" t="n">
        <f aca="false">IF(N2&gt;=Assumptions!$B$45,N92*Assumptions!$B$159*N7,0)</f>
        <v>6783.49748361232</v>
      </c>
      <c r="O96" s="54" t="n">
        <f aca="false">IF(O2&gt;=Assumptions!$B$45,O92*Assumptions!$B$159*O7,0)</f>
        <v>9030.83414958863</v>
      </c>
      <c r="P96" s="54" t="n">
        <f aca="false">IF(P2&gt;=Assumptions!$B$45,P92*Assumptions!$B$159*P7,0)</f>
        <v>11063.5517880968</v>
      </c>
      <c r="Q96" s="54" t="n">
        <f aca="false">IF(Q2&gt;=Assumptions!$B$45,Q92*Assumptions!$B$159*Q7,0)</f>
        <v>12913.627212625</v>
      </c>
      <c r="R96" s="54" t="n">
        <f aca="false">IF(R2&gt;=Assumptions!$B$45,R92*Assumptions!$B$159*R7,0)</f>
        <v>15292.353945543</v>
      </c>
      <c r="S96" s="54" t="n">
        <f aca="false">IF(S2&gt;=Assumptions!$B$45,S92*Assumptions!$B$159*S7,0)</f>
        <v>17293.3412422133</v>
      </c>
      <c r="T96" s="54" t="n">
        <f aca="false">IF(T2&gt;=Assumptions!$B$45,T92*Assumptions!$B$159*T7,0)</f>
        <v>18792.8032086283</v>
      </c>
      <c r="U96" s="54" t="n">
        <f aca="false">IF(U2&gt;=Assumptions!$B$45,U92*Assumptions!$B$159*U7,0)</f>
        <v>20152.2431236978</v>
      </c>
      <c r="V96" s="54" t="n">
        <f aca="false">IF(V2&gt;=Assumptions!$B$45,V92*Assumptions!$B$159*V7,0)</f>
        <v>21456.8869849875</v>
      </c>
      <c r="W96" s="54" t="n">
        <f aca="false">IF(W2&gt;=Assumptions!$B$45,W92*Assumptions!$B$159*W7,0)</f>
        <v>22924.8117661209</v>
      </c>
      <c r="X96" s="54" t="n">
        <f aca="false">IF(X2&gt;=Assumptions!$B$45,X92*Assumptions!$B$159*X7,0)</f>
        <v>25203.21247905</v>
      </c>
      <c r="Y96" s="54" t="n">
        <f aca="false">IF(Y2&gt;=Assumptions!$B$45,Y92*Assumptions!$B$159*Y7,0)</f>
        <v>27126.1513987939</v>
      </c>
      <c r="Z96" s="54" t="n">
        <f aca="false">IF(Z2&gt;=Assumptions!$B$45,Z92*Assumptions!$B$159*Z7,0)</f>
        <v>28591.8402494713</v>
      </c>
      <c r="AA96" s="54" t="n">
        <f aca="false">IF(AA2&gt;=Assumptions!$B$45,AA92*Assumptions!$B$159*AA7,0)</f>
        <v>870950.371663717</v>
      </c>
      <c r="AB96" s="54" t="n">
        <f aca="false">IF(AB2&gt;=Assumptions!$B$45,AB92*Assumptions!$B$159*AB7,0)</f>
        <v>1476459.94277808</v>
      </c>
      <c r="AC96" s="54" t="n">
        <f aca="false">IF(AC2&gt;=Assumptions!$B$45,AC92*Assumptions!$B$159*AC7,0)</f>
        <v>2182071.89562021</v>
      </c>
      <c r="AD96" s="54" t="n">
        <f aca="false">IF(AD2&gt;=Assumptions!$B$45,AD92*Assumptions!$B$159*AD7,0)</f>
        <v>2681335.32013034</v>
      </c>
      <c r="AE96" s="54" t="n">
        <f aca="false">IF(AE2&gt;=Assumptions!$B$45,AE92*Assumptions!$B$159*AE7,0)</f>
        <v>2956209.40846726</v>
      </c>
    </row>
    <row r="97" customFormat="false" ht="15" hidden="false" customHeight="false" outlineLevel="0" collapsed="false">
      <c r="A97" s="6" t="s">
        <v>431</v>
      </c>
      <c r="B97" s="23" t="s">
        <v>110</v>
      </c>
      <c r="C97" s="54" t="n">
        <f aca="false">IF(C2&gt;=Assumptions!$B$46,C92*Assumptions!$B$35*Assumptions!$B$126*Assumptions!$B$128*Assumptions!$B$127/12*C7,0)</f>
        <v>139.161275953177</v>
      </c>
      <c r="D97" s="54" t="n">
        <f aca="false">IF(D2&gt;=Assumptions!$B$46,D92*Assumptions!$B$35*Assumptions!$B$126*Assumptions!$B$128*Assumptions!$B$127/12*D7,0)</f>
        <v>264.593956079982</v>
      </c>
      <c r="E97" s="54" t="n">
        <f aca="false">IF(E2&gt;=Assumptions!$B$46,E92*Assumptions!$B$35*Assumptions!$B$126*Assumptions!$B$128*Assumptions!$B$127/12*E7,0)</f>
        <v>378.353091908087</v>
      </c>
      <c r="F97" s="54" t="n">
        <f aca="false">IF(F2&gt;=Assumptions!$B$46,F92*Assumptions!$B$35*Assumptions!$B$126*Assumptions!$B$128*Assumptions!$B$127/12*F7,0)</f>
        <v>518.155002507499</v>
      </c>
      <c r="G97" s="54" t="n">
        <f aca="false">IF(G2&gt;=Assumptions!$B$46,G92*Assumptions!$B$35*Assumptions!$B$126*Assumptions!$B$128*Assumptions!$B$127/12*G7,0)</f>
        <v>635.937519432291</v>
      </c>
      <c r="H97" s="54" t="n">
        <f aca="false">IF(H2&gt;=Assumptions!$B$46,H92*Assumptions!$B$35*Assumptions!$B$126*Assumptions!$B$128*Assumptions!$B$127/12*H7,0)</f>
        <v>725.929527971452</v>
      </c>
      <c r="I97" s="54" t="n">
        <f aca="false">IF(I2&gt;=Assumptions!$B$46,I92*Assumptions!$B$35*Assumptions!$B$126*Assumptions!$B$128*Assumptions!$B$127/12*I7,0)</f>
        <v>807.367783526092</v>
      </c>
      <c r="J97" s="54" t="n">
        <f aca="false">IF(J2&gt;=Assumptions!$B$46,J92*Assumptions!$B$35*Assumptions!$B$126*Assumptions!$B$128*Assumptions!$B$127/12*J7,0)</f>
        <v>884.79154315904</v>
      </c>
      <c r="K97" s="54" t="n">
        <f aca="false">IF(K2&gt;=Assumptions!$B$46,K92*Assumptions!$B$35*Assumptions!$B$126*Assumptions!$B$128*Assumptions!$B$127/12*K7,0)</f>
        <v>969.370473225308</v>
      </c>
      <c r="L97" s="54" t="n">
        <f aca="false">IF(L2&gt;=Assumptions!$B$46,L92*Assumptions!$B$35*Assumptions!$B$126*Assumptions!$B$128*Assumptions!$B$127/12*L7,0)</f>
        <v>1093.64600194081</v>
      </c>
      <c r="M97" s="54" t="n">
        <f aca="false">IF(M2&gt;=Assumptions!$B$46,M92*Assumptions!$B$35*Assumptions!$B$126*Assumptions!$B$128*Assumptions!$B$127/12*M7,0)</f>
        <v>1198.05838444418</v>
      </c>
      <c r="N97" s="54" t="n">
        <f aca="false">IF(N2&gt;=Assumptions!$B$46,N92*Assumptions!$B$35*Assumptions!$B$126*Assumptions!$B$128*Assumptions!$B$127/12*N7,0)</f>
        <v>1278.12398420395</v>
      </c>
      <c r="O97" s="54" t="n">
        <f aca="false">IF(O2&gt;=Assumptions!$B$46,O92*Assumptions!$B$35*Assumptions!$B$126*Assumptions!$B$128*Assumptions!$B$127/12*O7,0)</f>
        <v>1701.55966768499</v>
      </c>
      <c r="P97" s="54" t="n">
        <f aca="false">IF(P2&gt;=Assumptions!$B$46,P92*Assumptions!$B$35*Assumptions!$B$126*Assumptions!$B$128*Assumptions!$B$127/12*P7,0)</f>
        <v>2084.55754940723</v>
      </c>
      <c r="Q97" s="54" t="n">
        <f aca="false">IF(Q2&gt;=Assumptions!$B$46,Q92*Assumptions!$B$35*Assumptions!$B$126*Assumptions!$B$128*Assumptions!$B$127/12*Q7,0)</f>
        <v>2433.14259397877</v>
      </c>
      <c r="R97" s="54" t="n">
        <f aca="false">IF(R2&gt;=Assumptions!$B$46,R92*Assumptions!$B$35*Assumptions!$B$126*Assumptions!$B$128*Assumptions!$B$127/12*R7,0)</f>
        <v>2881.33435590607</v>
      </c>
      <c r="S97" s="54" t="n">
        <f aca="false">IF(S2&gt;=Assumptions!$B$46,S92*Assumptions!$B$35*Assumptions!$B$126*Assumptions!$B$128*Assumptions!$B$127/12*S7,0)</f>
        <v>3258.35371238702</v>
      </c>
      <c r="T97" s="54" t="n">
        <f aca="false">IF(T2&gt;=Assumptions!$B$46,T92*Assumptions!$B$35*Assumptions!$B$126*Assumptions!$B$128*Assumptions!$B$127/12*T7,0)</f>
        <v>3540.87733789238</v>
      </c>
      <c r="U97" s="54" t="n">
        <f aca="false">IF(U2&gt;=Assumptions!$B$46,U92*Assumptions!$B$35*Assumptions!$B$126*Assumptions!$B$128*Assumptions!$B$127/12*U7,0)</f>
        <v>3797.0184752234</v>
      </c>
      <c r="V97" s="54" t="n">
        <f aca="false">IF(V2&gt;=Assumptions!$B$46,V92*Assumptions!$B$35*Assumptions!$B$126*Assumptions!$B$128*Assumptions!$B$127/12*V7,0)</f>
        <v>4042.83512275473</v>
      </c>
      <c r="W97" s="54" t="n">
        <f aca="false">IF(W2&gt;=Assumptions!$B$46,W92*Assumptions!$B$35*Assumptions!$B$126*Assumptions!$B$128*Assumptions!$B$127/12*W7,0)</f>
        <v>4319.41661693329</v>
      </c>
      <c r="X97" s="54" t="n">
        <f aca="false">IF(X2&gt;=Assumptions!$B$46,X92*Assumptions!$B$35*Assumptions!$B$126*Assumptions!$B$128*Assumptions!$B$127/12*X7,0)</f>
        <v>4748.70528459434</v>
      </c>
      <c r="Y97" s="54" t="n">
        <f aca="false">IF(Y2&gt;=Assumptions!$B$46,Y92*Assumptions!$B$35*Assumptions!$B$126*Assumptions!$B$128*Assumptions!$B$127/12*Y7,0)</f>
        <v>5111.01902605608</v>
      </c>
      <c r="Z97" s="54" t="n">
        <f aca="false">IF(Z2&gt;=Assumptions!$B$46,Z92*Assumptions!$B$35*Assumptions!$B$126*Assumptions!$B$128*Assumptions!$B$127/12*Z7,0)</f>
        <v>5387.17923367122</v>
      </c>
      <c r="AA97" s="54" t="n">
        <f aca="false">IF(AA2&gt;=Assumptions!$B$46,AA92*Assumptions!$B$35*Assumptions!$B$126*Assumptions!$B$128*Assumptions!$B$127/12*AA7,0)</f>
        <v>164101.565860972</v>
      </c>
      <c r="AB97" s="54" t="n">
        <f aca="false">IF(AB2&gt;=Assumptions!$B$46,AB92*Assumptions!$B$35*Assumptions!$B$126*Assumptions!$B$128*Assumptions!$B$127/12*AB7,0)</f>
        <v>278189.660885103</v>
      </c>
      <c r="AC97" s="54" t="n">
        <f aca="false">IF(AC2&gt;=Assumptions!$B$46,AC92*Assumptions!$B$35*Assumptions!$B$126*Assumptions!$B$128*Assumptions!$B$127/12*AC7,0)</f>
        <v>411138.712999775</v>
      </c>
      <c r="AD97" s="54" t="n">
        <f aca="false">IF(AD2&gt;=Assumptions!$B$46,AD92*Assumptions!$B$35*Assumptions!$B$126*Assumptions!$B$128*Assumptions!$B$127/12*AD7,0)</f>
        <v>505208.263234558</v>
      </c>
      <c r="AE97" s="54" t="n">
        <f aca="false">IF(AE2&gt;=Assumptions!$B$46,AE92*Assumptions!$B$35*Assumptions!$B$126*Assumptions!$B$128*Assumptions!$B$127/12*AE7,0)</f>
        <v>556999.122712039</v>
      </c>
    </row>
    <row r="98" customFormat="false" ht="15" hidden="false" customHeight="false" outlineLevel="0" collapsed="false">
      <c r="A98" s="6" t="s">
        <v>432</v>
      </c>
      <c r="B98" s="23" t="s">
        <v>47</v>
      </c>
      <c r="C98" s="53" t="n">
        <f aca="false">(C96+C97)*(1-Assumptions!$B$8)/Assumptions!$B$6/(1+Assumptions!$B$9)</f>
        <v>5.80753357043199</v>
      </c>
      <c r="D98" s="53" t="n">
        <f aca="false">(D96+D97)*(1-Assumptions!$B$8)/Assumptions!$B$6/(1+Assumptions!$B$9)</f>
        <v>11.0421399339923</v>
      </c>
      <c r="E98" s="53" t="n">
        <f aca="false">(E96+E97)*(1-Assumptions!$B$8)/Assumptions!$B$6/(1+Assumptions!$B$9)</f>
        <v>15.7895813162297</v>
      </c>
      <c r="F98" s="53" t="n">
        <f aca="false">(F96+F97)*(1-Assumptions!$B$8)/Assumptions!$B$6/(1+Assumptions!$B$9)</f>
        <v>21.6238501058446</v>
      </c>
      <c r="G98" s="53" t="n">
        <f aca="false">(G96+G97)*(1-Assumptions!$B$8)/Assumptions!$B$6/(1+Assumptions!$B$9)</f>
        <v>26.5391968239996</v>
      </c>
      <c r="H98" s="53" t="n">
        <f aca="false">(H96+H97)*(1-Assumptions!$B$8)/Assumptions!$B$6/(1+Assumptions!$B$9)</f>
        <v>30.2947790222946</v>
      </c>
      <c r="I98" s="53" t="n">
        <f aca="false">(I96+I97)*(1-Assumptions!$B$8)/Assumptions!$B$6/(1+Assumptions!$B$9)</f>
        <v>33.6933926079456</v>
      </c>
      <c r="J98" s="53" t="n">
        <f aca="false">(J96+J97)*(1-Assumptions!$B$8)/Assumptions!$B$6/(1+Assumptions!$B$9)</f>
        <v>36.9244716573264</v>
      </c>
      <c r="K98" s="53" t="n">
        <f aca="false">(K96+K97)*(1-Assumptions!$B$8)/Assumptions!$B$6/(1+Assumptions!$B$9)</f>
        <v>40.4541531175362</v>
      </c>
      <c r="L98" s="53" t="n">
        <f aca="false">(L96+L97)*(1-Assumptions!$B$8)/Assumptions!$B$6/(1+Assumptions!$B$9)</f>
        <v>45.6404687793826</v>
      </c>
      <c r="M98" s="53" t="n">
        <f aca="false">(M96+M97)*(1-Assumptions!$B$8)/Assumptions!$B$6/(1+Assumptions!$B$9)</f>
        <v>49.9978477442111</v>
      </c>
      <c r="N98" s="53" t="n">
        <f aca="false">(N96+N97)*(1-Assumptions!$B$8)/Assumptions!$B$6/(1+Assumptions!$B$9)</f>
        <v>53.3391771137271</v>
      </c>
      <c r="O98" s="53" t="n">
        <f aca="false">(O96+O97)*(1-Assumptions!$B$8)/Assumptions!$B$6/(1+Assumptions!$B$9)</f>
        <v>71.0101630247959</v>
      </c>
      <c r="P98" s="53" t="n">
        <f aca="false">(P96+P97)*(1-Assumptions!$B$8)/Assumptions!$B$6/(1+Assumptions!$B$9)</f>
        <v>86.9935825520403</v>
      </c>
      <c r="Q98" s="53" t="n">
        <f aca="false">(Q96+Q97)*(1-Assumptions!$B$8)/Assumptions!$B$6/(1+Assumptions!$B$9)</f>
        <v>101.540871908462</v>
      </c>
      <c r="R98" s="53" t="n">
        <f aca="false">(R96+R97)*(1-Assumptions!$B$8)/Assumptions!$B$6/(1+Assumptions!$B$9)</f>
        <v>120.244988305466</v>
      </c>
      <c r="S98" s="53" t="n">
        <f aca="false">(S96+S97)*(1-Assumptions!$B$8)/Assumptions!$B$6/(1+Assumptions!$B$9)</f>
        <v>135.978909645786</v>
      </c>
      <c r="T98" s="53" t="n">
        <f aca="false">(T96+T97)*(1-Assumptions!$B$8)/Assumptions!$B$6/(1+Assumptions!$B$9)</f>
        <v>147.769297656562</v>
      </c>
      <c r="U98" s="53" t="n">
        <f aca="false">(U96+U97)*(1-Assumptions!$B$8)/Assumptions!$B$6/(1+Assumptions!$B$9)</f>
        <v>158.458681205466</v>
      </c>
      <c r="V98" s="53" t="n">
        <f aca="false">(V96+V97)*(1-Assumptions!$B$8)/Assumptions!$B$6/(1+Assumptions!$B$9)</f>
        <v>168.717199050543</v>
      </c>
      <c r="W98" s="53" t="n">
        <f aca="false">(W96+W97)*(1-Assumptions!$B$8)/Assumptions!$B$6/(1+Assumptions!$B$9)</f>
        <v>180.259607679669</v>
      </c>
      <c r="X98" s="53" t="n">
        <f aca="false">(X96+X97)*(1-Assumptions!$B$8)/Assumptions!$B$6/(1+Assumptions!$B$9)</f>
        <v>198.174852648294</v>
      </c>
      <c r="Y98" s="53" t="n">
        <f aca="false">(Y96+Y97)*(1-Assumptions!$B$8)/Assumptions!$B$6/(1+Assumptions!$B$9)</f>
        <v>213.295073429224</v>
      </c>
      <c r="Z98" s="53" t="n">
        <f aca="false">(Z96+Z97)*(1-Assumptions!$B$8)/Assumptions!$B$6/(1+Assumptions!$B$9)</f>
        <v>224.81990076037</v>
      </c>
      <c r="AA98" s="53" t="n">
        <f aca="false">(AA96+AA97)*(1-Assumptions!$B$8)/Assumptions!$B$6/(1+Assumptions!$B$9)</f>
        <v>6848.35164215304</v>
      </c>
      <c r="AB98" s="53" t="n">
        <f aca="false">(AB96+AB97)*(1-Assumptions!$B$8)/Assumptions!$B$6/(1+Assumptions!$B$9)</f>
        <v>11609.5212800501</v>
      </c>
      <c r="AC98" s="53" t="n">
        <f aca="false">(AC96+AC97)*(1-Assumptions!$B$8)/Assumptions!$B$6/(1+Assumptions!$B$9)</f>
        <v>17157.8038609949</v>
      </c>
      <c r="AD98" s="53" t="n">
        <f aca="false">(AD96+AD97)*(1-Assumptions!$B$8)/Assumptions!$B$6/(1+Assumptions!$B$9)</f>
        <v>21083.5516468068</v>
      </c>
      <c r="AE98" s="53" t="n">
        <f aca="false">(AE96+AE97)*(1-Assumptions!$B$8)/Assumptions!$B$6/(1+Assumptions!$B$9)</f>
        <v>23244.9083388667</v>
      </c>
    </row>
    <row r="99" customFormat="false" ht="15" hidden="false" customHeight="false" outlineLevel="0" collapsed="false">
      <c r="A99" s="6" t="s">
        <v>433</v>
      </c>
      <c r="B99" s="23" t="s">
        <v>434</v>
      </c>
      <c r="C99" s="55" t="n">
        <f aca="false">(Assumptions!$B$123+Assumptions!$B$124*IF(C92+C94=0,1,(C92+C94*Assumptions!$B$125)/(C92+C94)))*C7/12</f>
        <v>0.0168634841405503</v>
      </c>
      <c r="D99" s="55" t="n">
        <f aca="false">(Assumptions!$B$123+Assumptions!$B$124*IF(D92+D94=0,1,(D92+D94*Assumptions!$B$125)/(D92+D94)))*D7/12</f>
        <v>0.0170579651785578</v>
      </c>
      <c r="E99" s="55" t="n">
        <f aca="false">(Assumptions!$B$123+Assumptions!$B$124*IF(E92+E94=0,1,(E92+E94*Assumptions!$B$125)/(E92+E94)))*E7/12</f>
        <v>0.0172482195143937</v>
      </c>
      <c r="F99" s="55" t="n">
        <f aca="false">(Assumptions!$B$123+Assumptions!$B$124*IF(F92+F94=0,1,(F92+F94*Assumptions!$B$125)/(F92+F94)))*F7/12</f>
        <v>0.0173967741391995</v>
      </c>
      <c r="G99" s="55" t="n">
        <f aca="false">(Assumptions!$B$123+Assumptions!$B$124*IF(G92+G94=0,1,(G92+G94*Assumptions!$B$125)/(G92+G94)))*G7/12</f>
        <v>0.0175687841761813</v>
      </c>
      <c r="H99" s="55" t="n">
        <f aca="false">(Assumptions!$B$123+Assumptions!$B$124*IF(H92+H94=0,1,(H92+H94*Assumptions!$B$125)/(H92+H94)))*H7/12</f>
        <v>0.0177588946268821</v>
      </c>
      <c r="I99" s="55" t="n">
        <f aca="false">(Assumptions!$B$123+Assumptions!$B$124*IF(I92+I94=0,1,(I92+I94*Assumptions!$B$125)/(I92+I94)))*I7/12</f>
        <v>0.0179412091779662</v>
      </c>
      <c r="J99" s="55" t="n">
        <f aca="false">(Assumptions!$B$123+Assumptions!$B$124*IF(J92+J94=0,1,(J92+J94*Assumptions!$B$125)/(J92+J94)))*J7/12</f>
        <v>0.0181125083625681</v>
      </c>
      <c r="K99" s="55" t="n">
        <f aca="false">(Assumptions!$B$123+Assumptions!$B$124*IF(K92+K94=0,1,(K92+K94*Assumptions!$B$125)/(K92+K94)))*K7/12</f>
        <v>0.0182616958215582</v>
      </c>
      <c r="L99" s="55" t="n">
        <f aca="false">(Assumptions!$B$123+Assumptions!$B$124*IF(L92+L94=0,1,(L92+L94*Assumptions!$B$125)/(L92+L94)))*L7/12</f>
        <v>0.0183563282030431</v>
      </c>
      <c r="M99" s="55" t="n">
        <f aca="false">(Assumptions!$B$123+Assumptions!$B$124*IF(M92+M94=0,1,(M92+M94*Assumptions!$B$125)/(M92+M94)))*M7/12</f>
        <v>0.0184752237715133</v>
      </c>
      <c r="N99" s="55" t="n">
        <f aca="false">(Assumptions!$B$123+Assumptions!$B$124*IF(N92+N94=0,1,(N92+N94*Assumptions!$B$125)/(N92+N94)))*N7/12</f>
        <v>0.0186156471369486</v>
      </c>
      <c r="O99" s="55" t="n">
        <f aca="false">(Assumptions!$B$123+Assumptions!$B$124*IF(O92+O94=0,1,(O92+O94*Assumptions!$B$125)/(O92+O94)))*O7/12</f>
        <v>0.0184440896265603</v>
      </c>
      <c r="P99" s="55" t="n">
        <f aca="false">(Assumptions!$B$123+Assumptions!$B$124*IF(P92+P94=0,1,(P92+P94*Assumptions!$B$125)/(P92+P94)))*P7/12</f>
        <v>0.0184091605148019</v>
      </c>
      <c r="Q99" s="55" t="n">
        <f aca="false">(Assumptions!$B$123+Assumptions!$B$124*IF(Q92+Q94=0,1,(Q92+Q94*Assumptions!$B$125)/(Q92+Q94)))*Q7/12</f>
        <v>0.0184403583414098</v>
      </c>
      <c r="R99" s="55" t="n">
        <f aca="false">(Assumptions!$B$123+Assumptions!$B$124*IF(R92+R94=0,1,(R92+R94*Assumptions!$B$125)/(R92+R94)))*R7/12</f>
        <v>0.0184485197044617</v>
      </c>
      <c r="S99" s="55" t="n">
        <f aca="false">(Assumptions!$B$123+Assumptions!$B$124*IF(S92+S94=0,1,(S92+S94*Assumptions!$B$125)/(S92+S94)))*S7/12</f>
        <v>0.0185146096052882</v>
      </c>
      <c r="T99" s="55" t="n">
        <f aca="false">(Assumptions!$B$123+Assumptions!$B$124*IF(T92+T94=0,1,(T92+T94*Assumptions!$B$125)/(T92+T94)))*T7/12</f>
        <v>0.0186256164833564</v>
      </c>
      <c r="U99" s="55" t="n">
        <f aca="false">(Assumptions!$B$123+Assumptions!$B$124*IF(U92+U94=0,1,(U92+U94*Assumptions!$B$125)/(U92+U94)))*U7/12</f>
        <v>0.0187432126332638</v>
      </c>
      <c r="V99" s="55" t="n">
        <f aca="false">(Assumptions!$B$123+Assumptions!$B$124*IF(V92+V94=0,1,(V92+V94*Assumptions!$B$125)/(V92+V94)))*V7/12</f>
        <v>0.0188593690392279</v>
      </c>
      <c r="W99" s="55" t="n">
        <f aca="false">(Assumptions!$B$123+Assumptions!$B$124*IF(W92+W94=0,1,(W92+W94*Assumptions!$B$125)/(W92+W94)))*W7/12</f>
        <v>0.0189591059493591</v>
      </c>
      <c r="X99" s="55" t="n">
        <f aca="false">(Assumptions!$B$123+Assumptions!$B$124*IF(X92+X94=0,1,(X92+X94*Assumptions!$B$125)/(X92+X94)))*X7/12</f>
        <v>0.0190047167709164</v>
      </c>
      <c r="Y99" s="55" t="n">
        <f aca="false">(Assumptions!$B$123+Assumptions!$B$124*IF(Y92+Y94=0,1,(Y92+Y94*Assumptions!$B$125)/(Y92+Y94)))*Y7/12</f>
        <v>0.0190790944208264</v>
      </c>
      <c r="Z99" s="55" t="n">
        <f aca="false">(Assumptions!$B$123+Assumptions!$B$124*IF(Z92+Z94=0,1,(Z92+Z94*Assumptions!$B$125)/(Z92+Z94)))*Z7/12</f>
        <v>0.0191803756870412</v>
      </c>
      <c r="AA99" s="55" t="n">
        <f aca="false">(Assumptions!$B$123+Assumptions!$B$124*IF(AA92+AA94=0,1,(AA92+AA94*Assumptions!$B$125)/(AA92+AA94)))*AA7/12</f>
        <v>0.237128903287505</v>
      </c>
      <c r="AB99" s="55" t="n">
        <f aca="false">(Assumptions!$B$123+Assumptions!$B$124*IF(AB92+AB94=0,1,(AB92+AB94*Assumptions!$B$125)/(AB92+AB94)))*AB7/12</f>
        <v>0.244741197869673</v>
      </c>
      <c r="AC99" s="55" t="n">
        <f aca="false">(Assumptions!$B$123+Assumptions!$B$124*IF(AC92+AC94=0,1,(AC92+AC94*Assumptions!$B$125)/(AC92+AC94)))*AC7/12</f>
        <v>0.250584714633488</v>
      </c>
      <c r="AD99" s="55" t="n">
        <f aca="false">(Assumptions!$B$123+Assumptions!$B$124*IF(AD92+AD94=0,1,(AD92+AD94*Assumptions!$B$125)/(AD92+AD94)))*AD7/12</f>
        <v>0.257056370515892</v>
      </c>
      <c r="AE99" s="55" t="n">
        <f aca="false">(Assumptions!$B$123+Assumptions!$B$124*IF(AE92+AE94=0,1,(AE92+AE94*Assumptions!$B$125)/(AE92+AE94)))*AE7/12</f>
        <v>0.263028763199441</v>
      </c>
    </row>
    <row r="100" customFormat="false" ht="15" hidden="false" customHeight="false" outlineLevel="0" collapsed="false">
      <c r="A100" s="6" t="s">
        <v>435</v>
      </c>
      <c r="B100" s="23" t="s">
        <v>47</v>
      </c>
      <c r="C100" s="44" t="n">
        <f aca="false">C98</f>
        <v>5.80753357043199</v>
      </c>
      <c r="D100" s="44" t="n">
        <f aca="false">C100*(1-D99)+D98</f>
        <v>16.7506087990066</v>
      </c>
      <c r="E100" s="44" t="n">
        <f aca="false">D100*(1-E99)+E98</f>
        <v>32.2512719376713</v>
      </c>
      <c r="F100" s="44" t="n">
        <f aca="false">E100*(1-F99)+F98</f>
        <v>53.3140539499143</v>
      </c>
      <c r="G100" s="44" t="n">
        <f aca="false">F100*(1-G99)+G98</f>
        <v>78.9165876665105</v>
      </c>
      <c r="H100" s="44" t="n">
        <f aca="false">G100*(1-H99)+H98</f>
        <v>107.809895324123</v>
      </c>
      <c r="I100" s="44" t="n">
        <f aca="false">H100*(1-I99)+I98</f>
        <v>139.569048048603</v>
      </c>
      <c r="J100" s="44" t="n">
        <f aca="false">I100*(1-J99)+J98</f>
        <v>173.965574155994</v>
      </c>
      <c r="K100" s="44" t="n">
        <f aca="false">J100*(1-K99)+K98</f>
        <v>211.242820874871</v>
      </c>
      <c r="L100" s="44" t="n">
        <f aca="false">K100*(1-L99)+L98</f>
        <v>253.005647103737</v>
      </c>
      <c r="M100" s="44" t="n">
        <f aca="false">L100*(1-M99)+M98</f>
        <v>298.32915890225</v>
      </c>
      <c r="N100" s="44" t="n">
        <f aca="false">M100*(1-N99)+N98</f>
        <v>346.114745663191</v>
      </c>
      <c r="O100" s="44" t="n">
        <f aca="false">N100*(1-O99)+O98</f>
        <v>410.7411372979</v>
      </c>
      <c r="P100" s="44" t="n">
        <f aca="false">O100*(1-P99)+P98</f>
        <v>490.173320323391</v>
      </c>
      <c r="Q100" s="44" t="n">
        <f aca="false">P100*(1-Q99)+Q98</f>
        <v>582.675220555692</v>
      </c>
      <c r="R100" s="44" t="n">
        <f aca="false">Q100*(1-R99)+R98</f>
        <v>692.170713573435</v>
      </c>
      <c r="S100" s="44" t="n">
        <f aca="false">R100*(1-S99)+S98</f>
        <v>815.334352677195</v>
      </c>
      <c r="T100" s="44" t="n">
        <f aca="false">S100*(1-T99)+T98</f>
        <v>947.917545375086</v>
      </c>
      <c r="U100" s="44" t="n">
        <f aca="false">T100*(1-U99)+U98</f>
        <v>1088.60920646879</v>
      </c>
      <c r="V100" s="44" t="n">
        <f aca="false">U100*(1-V99)+V98</f>
        <v>1236.79592275503</v>
      </c>
      <c r="W100" s="44" t="n">
        <f aca="false">V100*(1-W99)+W98</f>
        <v>1393.60698549745</v>
      </c>
      <c r="X100" s="44" t="n">
        <f aca="false">W100*(1-X99)+X98</f>
        <v>1565.2967320964</v>
      </c>
      <c r="Y100" s="44" t="n">
        <f aca="false">X100*(1-Y99)+Y98</f>
        <v>1748.72736137734</v>
      </c>
      <c r="Z100" s="44" t="n">
        <f aca="false">Y100*(1-Z99)+Z98</f>
        <v>1940.00601437229</v>
      </c>
      <c r="AA100" s="44" t="n">
        <f aca="false">Z100*(1-AA99)+AA98</f>
        <v>8328.32615796607</v>
      </c>
      <c r="AB100" s="44" t="n">
        <f aca="false">AA100*(1-AB99)+AB98</f>
        <v>17899.5629178662</v>
      </c>
      <c r="AC100" s="44" t="n">
        <f aca="false">AB100*(1-AC99)+AC98</f>
        <v>30572.0099130234</v>
      </c>
      <c r="AD100" s="44" t="n">
        <f aca="false">AC100*(1-AD99)+AD98</f>
        <v>43796.8316522126</v>
      </c>
      <c r="AE100" s="44" t="n">
        <f aca="false">AD100*(1-AE99)+AE98</f>
        <v>55521.9135295437</v>
      </c>
    </row>
    <row r="101" customFormat="false" ht="15" hidden="false" customHeight="false" outlineLevel="0" collapsed="false">
      <c r="A101" s="6" t="s">
        <v>436</v>
      </c>
      <c r="B101" s="23" t="s">
        <v>110</v>
      </c>
      <c r="C101" s="56" t="n">
        <f aca="false">C100*Assumptions!$B$6</f>
        <v>821.53369887331</v>
      </c>
      <c r="D101" s="56" t="n">
        <f aca="false">D100*Assumptions!$B$6</f>
        <v>2369.54112070748</v>
      </c>
      <c r="E101" s="56" t="n">
        <f aca="false">E100*Assumptions!$B$6</f>
        <v>4562.26492830298</v>
      </c>
      <c r="F101" s="56" t="n">
        <f aca="false">F100*Assumptions!$B$6</f>
        <v>7541.80607175488</v>
      </c>
      <c r="G101" s="56" t="n">
        <f aca="false">G100*Assumptions!$B$6</f>
        <v>11163.5404913046</v>
      </c>
      <c r="H101" s="56" t="n">
        <f aca="false">H100*Assumptions!$B$6</f>
        <v>15250.7877925504</v>
      </c>
      <c r="I101" s="56" t="n">
        <f aca="false">I100*Assumptions!$B$6</f>
        <v>19743.4375369554</v>
      </c>
      <c r="J101" s="56" t="n">
        <f aca="false">J100*Assumptions!$B$6</f>
        <v>24609.1701201069</v>
      </c>
      <c r="K101" s="56" t="n">
        <f aca="false">K100*Assumptions!$B$6</f>
        <v>29882.4094409592</v>
      </c>
      <c r="L101" s="56" t="n">
        <f aca="false">L100*Assumptions!$B$6</f>
        <v>35790.1788392947</v>
      </c>
      <c r="M101" s="56" t="n">
        <f aca="false">M100*Assumptions!$B$6</f>
        <v>42201.6428183123</v>
      </c>
      <c r="N101" s="56" t="n">
        <f aca="false">N100*Assumptions!$B$6</f>
        <v>48961.3919215149</v>
      </c>
      <c r="O101" s="56" t="n">
        <f aca="false">O100*Assumptions!$B$6</f>
        <v>58103.441282161</v>
      </c>
      <c r="P101" s="56" t="n">
        <f aca="false">P100*Assumptions!$B$6</f>
        <v>69339.917892947</v>
      </c>
      <c r="Q101" s="56" t="n">
        <f aca="false">Q100*Assumptions!$B$6</f>
        <v>82425.2366998081</v>
      </c>
      <c r="R101" s="56" t="n">
        <f aca="false">R100*Assumptions!$B$6</f>
        <v>97914.4691420981</v>
      </c>
      <c r="S101" s="56" t="n">
        <f aca="false">S100*Assumptions!$B$6</f>
        <v>115337.197529716</v>
      </c>
      <c r="T101" s="56" t="n">
        <f aca="false">T100*Assumptions!$B$6</f>
        <v>134092.41596876</v>
      </c>
      <c r="U101" s="56" t="n">
        <f aca="false">U100*Assumptions!$B$6</f>
        <v>153994.658347074</v>
      </c>
      <c r="V101" s="56" t="n">
        <f aca="false">V100*Assumptions!$B$6</f>
        <v>174957.151232927</v>
      </c>
      <c r="W101" s="56" t="n">
        <f aca="false">W100*Assumptions!$B$6</f>
        <v>197139.64416847</v>
      </c>
      <c r="X101" s="56" t="n">
        <f aca="false">X100*Assumptions!$B$6</f>
        <v>221426.875722356</v>
      </c>
      <c r="Y101" s="56" t="n">
        <f aca="false">Y100*Assumptions!$B$6</f>
        <v>247374.972540439</v>
      </c>
      <c r="Z101" s="56" t="n">
        <f aca="false">Z100*Assumptions!$B$6</f>
        <v>274433.250793104</v>
      </c>
      <c r="AA101" s="56" t="n">
        <f aca="false">AA100*Assumptions!$B$6</f>
        <v>1178125.01830588</v>
      </c>
      <c r="AB101" s="56" t="n">
        <f aca="false">AB100*Assumptions!$B$6</f>
        <v>2532072.17036135</v>
      </c>
      <c r="AC101" s="56" t="n">
        <f aca="false">AC100*Assumptions!$B$6</f>
        <v>4324716.5222963</v>
      </c>
      <c r="AD101" s="56" t="n">
        <f aca="false">AD100*Assumptions!$B$6</f>
        <v>6195499.80552199</v>
      </c>
      <c r="AE101" s="56" t="n">
        <f aca="false">AE100*Assumptions!$B$6</f>
        <v>7854129.88788926</v>
      </c>
    </row>
    <row r="102" customFormat="false" ht="15" hidden="false" customHeight="false" outlineLevel="0" collapsed="false">
      <c r="A102" s="6" t="s">
        <v>437</v>
      </c>
      <c r="B102" s="23" t="s">
        <v>186</v>
      </c>
      <c r="C102" s="53" t="n">
        <f aca="false">C92+C94*Assumptions!$B$164</f>
        <v>25.2403894914211</v>
      </c>
      <c r="D102" s="53" t="n">
        <f aca="false">D92+D94*Assumptions!$B$164</f>
        <v>49.2174138641165</v>
      </c>
      <c r="E102" s="53" t="n">
        <f aca="false">E92+E94*Assumptions!$B$164</f>
        <v>72.1827952880411</v>
      </c>
      <c r="F102" s="53" t="n">
        <f aca="false">F92+F94*Assumptions!$B$164</f>
        <v>100.874436275636</v>
      </c>
      <c r="G102" s="53" t="n">
        <f aca="false">G92+G94*Assumptions!$B$164</f>
        <v>126.804614887141</v>
      </c>
      <c r="H102" s="53" t="n">
        <f aca="false">H92+H94*Assumptions!$B$164</f>
        <v>148.732501038087</v>
      </c>
      <c r="I102" s="53" t="n">
        <f aca="false">I92+I94*Assumptions!$B$164</f>
        <v>169.902198981949</v>
      </c>
      <c r="J102" s="53" t="n">
        <f aca="false">J92+J94*Assumptions!$B$164</f>
        <v>191.061618414733</v>
      </c>
      <c r="K102" s="53" t="n">
        <f aca="false">K92+K94*Assumptions!$B$164</f>
        <v>214.20127217752</v>
      </c>
      <c r="L102" s="53" t="n">
        <f aca="false">L92+L94*Assumptions!$B$164</f>
        <v>245.286435309355</v>
      </c>
      <c r="M102" s="53" t="n">
        <f aca="false">M92+M94*Assumptions!$B$164</f>
        <v>273.864365772683</v>
      </c>
      <c r="N102" s="53" t="n">
        <f aca="false">N92+N94*Assumptions!$B$164</f>
        <v>298.946756561021</v>
      </c>
      <c r="O102" s="53" t="n">
        <f aca="false">O92+O94*Assumptions!$B$164</f>
        <v>387.013680082803</v>
      </c>
      <c r="P102" s="53" t="n">
        <f aca="false">P92+P94*Assumptions!$B$164</f>
        <v>471.478637851058</v>
      </c>
      <c r="Q102" s="53" t="n">
        <f aca="false">Q92+Q94*Assumptions!$B$164</f>
        <v>553.077962650463</v>
      </c>
      <c r="R102" s="53" t="n">
        <f aca="false">R92+R94*Assumptions!$B$164</f>
        <v>655.816126079259</v>
      </c>
      <c r="S102" s="53" t="n">
        <f aca="false">S92+S94*Assumptions!$B$164</f>
        <v>749.59604870065</v>
      </c>
      <c r="T102" s="53" t="n">
        <f aca="false">T92+T94*Assumptions!$B$164</f>
        <v>829.560099138502</v>
      </c>
      <c r="U102" s="53" t="n">
        <f aca="false">U92+U94*Assumptions!$B$164</f>
        <v>907.229374845945</v>
      </c>
      <c r="V102" s="53" t="n">
        <f aca="false">V92+V94*Assumptions!$B$164</f>
        <v>985.283843950934</v>
      </c>
      <c r="W102" s="53" t="n">
        <f aca="false">W92+W94*Assumptions!$B$164</f>
        <v>1071.08508177484</v>
      </c>
      <c r="X102" s="53" t="n">
        <f aca="false">X92+X94*Assumptions!$B$164</f>
        <v>1187.02157115952</v>
      </c>
      <c r="Y102" s="53" t="n">
        <f aca="false">Y92+Y94*Assumptions!$B$164</f>
        <v>1294.59451345741</v>
      </c>
      <c r="Z102" s="53" t="n">
        <f aca="false">Z92+Z94*Assumptions!$B$164</f>
        <v>1389.73502526707</v>
      </c>
      <c r="AA102" s="53" t="n">
        <f aca="false">AA92+AA94*Assumptions!$B$164</f>
        <v>3945.11815497341</v>
      </c>
      <c r="AB102" s="53" t="n">
        <f aca="false">AB92+AB94*Assumptions!$B$164</f>
        <v>7681.07398230715</v>
      </c>
      <c r="AC102" s="53" t="n">
        <f aca="false">AC92+AC94*Assumptions!$B$164</f>
        <v>12812.5549390718</v>
      </c>
      <c r="AD102" s="53" t="n">
        <f aca="false">AD92+AD94*Assumptions!$B$164</f>
        <v>18360.4548807278</v>
      </c>
      <c r="AE102" s="53" t="n">
        <f aca="false">AE92+AE94*Assumptions!$B$164</f>
        <v>23909.4005994713</v>
      </c>
    </row>
    <row r="103" customFormat="false" ht="15" hidden="false" customHeight="false" outlineLevel="0" collapsed="false">
      <c r="A103" s="6" t="s">
        <v>438</v>
      </c>
      <c r="B103" s="23" t="s">
        <v>186</v>
      </c>
      <c r="C103" s="44" t="n">
        <f aca="false">IF(C7&gt;1,C102*Assumptions!$B$121,IF(C2&gt;Assumptions!$B$122,INDEX($C$102:$AE$102,1,C2-Assumptions!$B$122)*Assumptions!$B$121,0))</f>
        <v>0</v>
      </c>
      <c r="D103" s="44" t="n">
        <f aca="false">IF(D7&gt;1,D102*Assumptions!$B$121,IF(D2&gt;Assumptions!$B$122,INDEX($C$102:$AE$102,1,D2-Assumptions!$B$122)*Assumptions!$B$121,0))</f>
        <v>0</v>
      </c>
      <c r="E103" s="44" t="n">
        <f aca="false">IF(E7&gt;1,E102*Assumptions!$B$121,IF(E2&gt;Assumptions!$B$122,INDEX($C$102:$AE$102,1,E2-Assumptions!$B$122)*Assumptions!$B$121,0))</f>
        <v>0</v>
      </c>
      <c r="F103" s="44" t="n">
        <f aca="false">IF(F7&gt;1,F102*Assumptions!$B$121,IF(F2&gt;Assumptions!$B$122,INDEX($C$102:$AE$102,1,F2-Assumptions!$B$122)*Assumptions!$B$121,0))</f>
        <v>0</v>
      </c>
      <c r="G103" s="44" t="n">
        <f aca="false">IF(G7&gt;1,G102*Assumptions!$B$121,IF(G2&gt;Assumptions!$B$122,INDEX($C$102:$AE$102,1,G2-Assumptions!$B$122)*Assumptions!$B$121,0))</f>
        <v>0</v>
      </c>
      <c r="H103" s="44" t="n">
        <f aca="false">IF(H7&gt;1,H102*Assumptions!$B$121,IF(H2&gt;Assumptions!$B$122,INDEX($C$102:$AE$102,1,H2-Assumptions!$B$122)*Assumptions!$B$121,0))</f>
        <v>0</v>
      </c>
      <c r="I103" s="44" t="n">
        <f aca="false">IF(I7&gt;1,I102*Assumptions!$B$121,IF(I2&gt;Assumptions!$B$122,INDEX($C$102:$AE$102,1,I2-Assumptions!$B$122)*Assumptions!$B$121,0))</f>
        <v>0</v>
      </c>
      <c r="J103" s="44" t="n">
        <f aca="false">IF(J7&gt;1,J102*Assumptions!$B$121,IF(J2&gt;Assumptions!$B$122,INDEX($C$102:$AE$102,1,J2-Assumptions!$B$122)*Assumptions!$B$121,0))</f>
        <v>0</v>
      </c>
      <c r="K103" s="44" t="n">
        <f aca="false">IF(K7&gt;1,K102*Assumptions!$B$121,IF(K2&gt;Assumptions!$B$122,INDEX($C$102:$AE$102,1,K2-Assumptions!$B$122)*Assumptions!$B$121,0))</f>
        <v>13.8822142202816</v>
      </c>
      <c r="L103" s="44" t="n">
        <f aca="false">IF(L7&gt;1,L102*Assumptions!$B$121,IF(L2&gt;Assumptions!$B$122,INDEX($C$102:$AE$102,1,L2-Assumptions!$B$122)*Assumptions!$B$121,0))</f>
        <v>27.0695776252641</v>
      </c>
      <c r="M103" s="44" t="n">
        <f aca="false">IF(M7&gt;1,M102*Assumptions!$B$121,IF(M2&gt;Assumptions!$B$122,INDEX($C$102:$AE$102,1,M2-Assumptions!$B$122)*Assumptions!$B$121,0))</f>
        <v>39.7005374084226</v>
      </c>
      <c r="N103" s="44" t="n">
        <f aca="false">IF(N7&gt;1,N102*Assumptions!$B$121,IF(N2&gt;Assumptions!$B$122,INDEX($C$102:$AE$102,1,N2-Assumptions!$B$122)*Assumptions!$B$121,0))</f>
        <v>55.4809399515995</v>
      </c>
      <c r="O103" s="44" t="n">
        <f aca="false">IF(O7&gt;1,O102*Assumptions!$B$121,IF(O2&gt;Assumptions!$B$122,INDEX($C$102:$AE$102,1,O2-Assumptions!$B$122)*Assumptions!$B$121,0))</f>
        <v>69.7425381879274</v>
      </c>
      <c r="P103" s="44" t="n">
        <f aca="false">IF(P7&gt;1,P102*Assumptions!$B$121,IF(P2&gt;Assumptions!$B$122,INDEX($C$102:$AE$102,1,P2-Assumptions!$B$122)*Assumptions!$B$121,0))</f>
        <v>81.8028755709479</v>
      </c>
      <c r="Q103" s="44" t="n">
        <f aca="false">IF(Q7&gt;1,Q102*Assumptions!$B$121,IF(Q2&gt;Assumptions!$B$122,INDEX($C$102:$AE$102,1,Q2-Assumptions!$B$122)*Assumptions!$B$121,0))</f>
        <v>93.4462094400722</v>
      </c>
      <c r="R103" s="44" t="n">
        <f aca="false">IF(R7&gt;1,R102*Assumptions!$B$121,IF(R2&gt;Assumptions!$B$122,INDEX($C$102:$AE$102,1,R2-Assumptions!$B$122)*Assumptions!$B$121,0))</f>
        <v>105.083890128103</v>
      </c>
      <c r="S103" s="44" t="n">
        <f aca="false">IF(S7&gt;1,S102*Assumptions!$B$121,IF(S2&gt;Assumptions!$B$122,INDEX($C$102:$AE$102,1,S2-Assumptions!$B$122)*Assumptions!$B$121,0))</f>
        <v>117.810699697636</v>
      </c>
      <c r="T103" s="44" t="n">
        <f aca="false">IF(T7&gt;1,T102*Assumptions!$B$121,IF(T2&gt;Assumptions!$B$122,INDEX($C$102:$AE$102,1,T2-Assumptions!$B$122)*Assumptions!$B$121,0))</f>
        <v>134.907539420145</v>
      </c>
      <c r="U103" s="44" t="n">
        <f aca="false">IF(U7&gt;1,U102*Assumptions!$B$121,IF(U2&gt;Assumptions!$B$122,INDEX($C$102:$AE$102,1,U2-Assumptions!$B$122)*Assumptions!$B$121,0))</f>
        <v>150.625401174976</v>
      </c>
      <c r="V103" s="44" t="n">
        <f aca="false">IF(V7&gt;1,V102*Assumptions!$B$121,IF(V2&gt;Assumptions!$B$122,INDEX($C$102:$AE$102,1,V2-Assumptions!$B$122)*Assumptions!$B$121,0))</f>
        <v>164.420716108561</v>
      </c>
      <c r="W103" s="44" t="n">
        <f aca="false">IF(W7&gt;1,W102*Assumptions!$B$121,IF(W2&gt;Assumptions!$B$122,INDEX($C$102:$AE$102,1,W2-Assumptions!$B$122)*Assumptions!$B$121,0))</f>
        <v>212.857524045541</v>
      </c>
      <c r="X103" s="44" t="n">
        <f aca="false">IF(X7&gt;1,X102*Assumptions!$B$121,IF(X2&gt;Assumptions!$B$122,INDEX($C$102:$AE$102,1,X2-Assumptions!$B$122)*Assumptions!$B$121,0))</f>
        <v>259.313250818082</v>
      </c>
      <c r="Y103" s="44" t="n">
        <f aca="false">IF(Y7&gt;1,Y102*Assumptions!$B$121,IF(Y2&gt;Assumptions!$B$122,INDEX($C$102:$AE$102,1,Y2-Assumptions!$B$122)*Assumptions!$B$121,0))</f>
        <v>304.192879457755</v>
      </c>
      <c r="Z103" s="44" t="n">
        <f aca="false">IF(Z7&gt;1,Z102*Assumptions!$B$121,IF(Z2&gt;Assumptions!$B$122,INDEX($C$102:$AE$102,1,Z2-Assumptions!$B$122)*Assumptions!$B$121,0))</f>
        <v>360.698869343593</v>
      </c>
      <c r="AA103" s="44" t="n">
        <f aca="false">IF(AA7&gt;1,AA102*Assumptions!$B$121,IF(AA2&gt;Assumptions!$B$122,INDEX($C$102:$AE$102,1,AA2-Assumptions!$B$122)*Assumptions!$B$121,0))</f>
        <v>2169.81498523538</v>
      </c>
      <c r="AB103" s="44" t="n">
        <f aca="false">IF(AB7&gt;1,AB102*Assumptions!$B$121,IF(AB2&gt;Assumptions!$B$122,INDEX($C$102:$AE$102,1,AB2-Assumptions!$B$122)*Assumptions!$B$121,0))</f>
        <v>4224.59069026893</v>
      </c>
      <c r="AC103" s="44" t="n">
        <f aca="false">IF(AC7&gt;1,AC102*Assumptions!$B$121,IF(AC2&gt;Assumptions!$B$122,INDEX($C$102:$AE$102,1,AC2-Assumptions!$B$122)*Assumptions!$B$121,0))</f>
        <v>7046.90521648952</v>
      </c>
      <c r="AD103" s="44" t="n">
        <f aca="false">IF(AD7&gt;1,AD102*Assumptions!$B$121,IF(AD2&gt;Assumptions!$B$122,INDEX($C$102:$AE$102,1,AD2-Assumptions!$B$122)*Assumptions!$B$121,0))</f>
        <v>10098.2501844003</v>
      </c>
      <c r="AE103" s="44" t="n">
        <f aca="false">IF(AE7&gt;1,AE102*Assumptions!$B$121,IF(AE2&gt;Assumptions!$B$122,INDEX($C$102:$AE$102,1,AE2-Assumptions!$B$122)*Assumptions!$B$121,0))</f>
        <v>13150.1703297092</v>
      </c>
    </row>
    <row r="104" customFormat="false" ht="15" hidden="false" customHeight="false" outlineLevel="0" collapsed="false">
      <c r="A104" s="6" t="s">
        <v>439</v>
      </c>
      <c r="B104" s="23" t="s">
        <v>440</v>
      </c>
      <c r="C104" s="28" t="n">
        <f aca="false">IF(C2&gt;=Assumptions!$B$49,C103*Assumptions!$B$132,0)</f>
        <v>0</v>
      </c>
      <c r="D104" s="28" t="n">
        <f aca="false">IF(D2&gt;=Assumptions!$B$49,D103*Assumptions!$B$132,0)</f>
        <v>0</v>
      </c>
      <c r="E104" s="28" t="n">
        <f aca="false">IF(E2&gt;=Assumptions!$B$49,E103*Assumptions!$B$132,0)</f>
        <v>0</v>
      </c>
      <c r="F104" s="28" t="n">
        <f aca="false">IF(F2&gt;=Assumptions!$B$49,F103*Assumptions!$B$132,0)</f>
        <v>0</v>
      </c>
      <c r="G104" s="28" t="n">
        <f aca="false">IF(G2&gt;=Assumptions!$B$49,G103*Assumptions!$B$132,0)</f>
        <v>0</v>
      </c>
      <c r="H104" s="28" t="n">
        <f aca="false">IF(H2&gt;=Assumptions!$B$49,H103*Assumptions!$B$132,0)</f>
        <v>0</v>
      </c>
      <c r="I104" s="28" t="n">
        <f aca="false">IF(I2&gt;=Assumptions!$B$49,I103*Assumptions!$B$132,0)</f>
        <v>0</v>
      </c>
      <c r="J104" s="28" t="n">
        <f aca="false">IF(J2&gt;=Assumptions!$B$49,J103*Assumptions!$B$132,0)</f>
        <v>0</v>
      </c>
      <c r="K104" s="28" t="n">
        <f aca="false">IF(K2&gt;=Assumptions!$B$49,K103*Assumptions!$B$132,0)</f>
        <v>0</v>
      </c>
      <c r="L104" s="28" t="n">
        <f aca="false">IF(L2&gt;=Assumptions!$B$49,L103*Assumptions!$B$132,0)</f>
        <v>0</v>
      </c>
      <c r="M104" s="28" t="n">
        <f aca="false">IF(M2&gt;=Assumptions!$B$49,M103*Assumptions!$B$132,0)</f>
        <v>0</v>
      </c>
      <c r="N104" s="28" t="n">
        <f aca="false">IF(N2&gt;=Assumptions!$B$49,N103*Assumptions!$B$132,0)</f>
        <v>0</v>
      </c>
      <c r="O104" s="28" t="n">
        <f aca="false">IF(O2&gt;=Assumptions!$B$49,O103*Assumptions!$B$132,0)</f>
        <v>34.8712690939637</v>
      </c>
      <c r="P104" s="28" t="n">
        <f aca="false">IF(P2&gt;=Assumptions!$B$49,P103*Assumptions!$B$132,0)</f>
        <v>40.9014377854739</v>
      </c>
      <c r="Q104" s="28" t="n">
        <f aca="false">IF(Q2&gt;=Assumptions!$B$49,Q103*Assumptions!$B$132,0)</f>
        <v>46.7231047200361</v>
      </c>
      <c r="R104" s="28" t="n">
        <f aca="false">IF(R2&gt;=Assumptions!$B$49,R103*Assumptions!$B$132,0)</f>
        <v>52.5419450640517</v>
      </c>
      <c r="S104" s="28" t="n">
        <f aca="false">IF(S2&gt;=Assumptions!$B$49,S103*Assumptions!$B$132,0)</f>
        <v>58.905349848818</v>
      </c>
      <c r="T104" s="28" t="n">
        <f aca="false">IF(T2&gt;=Assumptions!$B$49,T103*Assumptions!$B$132,0)</f>
        <v>67.4537697100726</v>
      </c>
      <c r="U104" s="28" t="n">
        <f aca="false">IF(U2&gt;=Assumptions!$B$49,U103*Assumptions!$B$132,0)</f>
        <v>75.3127005874879</v>
      </c>
      <c r="V104" s="28" t="n">
        <f aca="false">IF(V2&gt;=Assumptions!$B$49,V103*Assumptions!$B$132,0)</f>
        <v>82.2103580542807</v>
      </c>
      <c r="W104" s="28" t="n">
        <f aca="false">IF(W2&gt;=Assumptions!$B$49,W103*Assumptions!$B$132,0)</f>
        <v>106.428762022771</v>
      </c>
      <c r="X104" s="28" t="n">
        <f aca="false">IF(X2&gt;=Assumptions!$B$49,X103*Assumptions!$B$132,0)</f>
        <v>129.656625409041</v>
      </c>
      <c r="Y104" s="28" t="n">
        <f aca="false">IF(Y2&gt;=Assumptions!$B$49,Y103*Assumptions!$B$132,0)</f>
        <v>152.096439728877</v>
      </c>
      <c r="Z104" s="28" t="n">
        <f aca="false">IF(Z2&gt;=Assumptions!$B$49,Z103*Assumptions!$B$132,0)</f>
        <v>180.349434671796</v>
      </c>
      <c r="AA104" s="28" t="n">
        <f aca="false">IF(AA2&gt;=Assumptions!$B$49,AA103*Assumptions!$B$132,0)</f>
        <v>1084.90749261769</v>
      </c>
      <c r="AB104" s="28" t="n">
        <f aca="false">IF(AB2&gt;=Assumptions!$B$49,AB103*Assumptions!$B$132,0)</f>
        <v>2112.29534513447</v>
      </c>
      <c r="AC104" s="28" t="n">
        <f aca="false">IF(AC2&gt;=Assumptions!$B$49,AC103*Assumptions!$B$132,0)</f>
        <v>3523.45260824476</v>
      </c>
      <c r="AD104" s="28" t="n">
        <f aca="false">IF(AD2&gt;=Assumptions!$B$49,AD103*Assumptions!$B$132,0)</f>
        <v>5049.12509220016</v>
      </c>
      <c r="AE104" s="28" t="n">
        <f aca="false">IF(AE2&gt;=Assumptions!$B$49,AE103*Assumptions!$B$132,0)</f>
        <v>6575.08516485462</v>
      </c>
    </row>
    <row r="105" customFormat="false" ht="15" hidden="false" customHeight="false" outlineLevel="0" collapsed="false">
      <c r="A105" s="6" t="s">
        <v>441</v>
      </c>
      <c r="B105" s="23" t="s">
        <v>110</v>
      </c>
      <c r="C105" s="54" t="n">
        <f aca="false">IF(C92=0,0,C101/C92*Assumptions!$B$32)</f>
        <v>16.6846674876847</v>
      </c>
      <c r="D105" s="54" t="n">
        <f aca="false">IF(D92=0,0,D101/D92*Assumptions!$B$32)</f>
        <v>25.3101608654098</v>
      </c>
      <c r="E105" s="54" t="n">
        <f aca="false">IF(E92=0,0,E101/E92*Assumptions!$B$32)</f>
        <v>34.0795450846973</v>
      </c>
      <c r="F105" s="54" t="n">
        <f aca="false">IF(F92=0,0,F101/F92*Assumptions!$B$32)</f>
        <v>41.1363960728889</v>
      </c>
      <c r="G105" s="54" t="n">
        <f aca="false">IF(G92=0,0,G101/G92*Assumptions!$B$32)</f>
        <v>49.6132958811984</v>
      </c>
      <c r="H105" s="54" t="n">
        <f aca="false">IF(H92=0,0,H101/H92*Assumptions!$B$32)</f>
        <v>59.3756519577622</v>
      </c>
      <c r="I105" s="54" t="n">
        <f aca="false">IF(I92=0,0,I101/I92*Assumptions!$B$32)</f>
        <v>69.1133476928201</v>
      </c>
      <c r="J105" s="54" t="n">
        <f aca="false">IF(J92=0,0,J101/J92*Assumptions!$B$32)</f>
        <v>78.6079699672833</v>
      </c>
      <c r="K105" s="54" t="n">
        <f aca="false">IF(K92=0,0,K101/K92*Assumptions!$B$32)</f>
        <v>87.123717933671</v>
      </c>
      <c r="L105" s="54" t="n">
        <f aca="false">IF(L92=0,0,L101/L92*Assumptions!$B$32)</f>
        <v>92.4906164929507</v>
      </c>
      <c r="M105" s="54" t="n">
        <f aca="false">IF(M92=0,0,M101/M92*Assumptions!$B$32)</f>
        <v>99.5547417086773</v>
      </c>
      <c r="N105" s="54" t="n">
        <f aca="false">IF(N92=0,0,N101/N92*Assumptions!$B$32)</f>
        <v>108.265814293725</v>
      </c>
      <c r="O105" s="54" t="n">
        <f aca="false">IF(O92=0,0,O101/O92*Assumptions!$B$32)</f>
        <v>96.5084293206863</v>
      </c>
      <c r="P105" s="54" t="n">
        <f aca="false">IF(P92=0,0,P101/P92*Assumptions!$B$32)</f>
        <v>94.0112893504275</v>
      </c>
      <c r="Q105" s="54" t="n">
        <f aca="false">IF(Q92=0,0,Q101/Q92*Assumptions!$B$32)</f>
        <v>95.7421590495018</v>
      </c>
      <c r="R105" s="54" t="n">
        <f aca="false">IF(R92=0,0,R101/R92*Assumptions!$B$32)</f>
        <v>96.0425741100198</v>
      </c>
      <c r="S105" s="54" t="n">
        <f aca="false">IF(S92=0,0,S101/S92*Assumptions!$B$32)</f>
        <v>100.041856499231</v>
      </c>
      <c r="T105" s="54" t="n">
        <f aca="false">IF(T92=0,0,T101/T92*Assumptions!$B$32)</f>
        <v>107.029601555552</v>
      </c>
      <c r="U105" s="54" t="n">
        <f aca="false">IF(U92=0,0,U101/U92*Assumptions!$B$32)</f>
        <v>114.623462064617</v>
      </c>
      <c r="V105" s="54" t="n">
        <f aca="false">IF(V92=0,0,V101/V92*Assumptions!$B$32)</f>
        <v>122.308388459615</v>
      </c>
      <c r="W105" s="54" t="n">
        <f aca="false">IF(W92=0,0,W101/W92*Assumptions!$B$32)</f>
        <v>128.991011690536</v>
      </c>
      <c r="X105" s="54" t="n">
        <f aca="false">IF(X92=0,0,X101/X92*Assumptions!$B$32)</f>
        <v>131.784911887572</v>
      </c>
      <c r="Y105" s="54" t="n">
        <f aca="false">IF(Y92=0,0,Y101/Y92*Assumptions!$B$32)</f>
        <v>136.791413332286</v>
      </c>
      <c r="Z105" s="54" t="n">
        <f aca="false">IF(Z92=0,0,Z101/Z92*Assumptions!$B$32)</f>
        <v>143.974599955058</v>
      </c>
      <c r="AA105" s="54" t="n">
        <f aca="false">IF(AA92=0,0,AA101/AA92*Assumptions!$B$32)</f>
        <v>243.484026408956</v>
      </c>
      <c r="AB105" s="54" t="n">
        <f aca="false">IF(AB92=0,0,AB101/AB92*Assumptions!$B$32)</f>
        <v>308.693095870566</v>
      </c>
      <c r="AC105" s="54" t="n">
        <f aca="false">IF(AC92=0,0,AC101/AC92*Assumptions!$B$32)</f>
        <v>356.74762851573</v>
      </c>
      <c r="AD105" s="54" t="n">
        <f aca="false">IF(AD92=0,0,AD101/AD92*Assumptions!$B$32)</f>
        <v>415.908430632148</v>
      </c>
      <c r="AE105" s="54" t="n">
        <f aca="false">IF(AE92=0,0,AE101/AE92*Assumptions!$B$32)</f>
        <v>478.228428531072</v>
      </c>
    </row>
    <row r="106" customFormat="false" ht="15" hidden="false" customHeight="false" outlineLevel="0" collapsed="false">
      <c r="A106" s="6" t="s">
        <v>442</v>
      </c>
      <c r="B106" s="23" t="s">
        <v>110</v>
      </c>
      <c r="C106" s="54" t="n">
        <f aca="false">IF(Assumptions!$B$163=1,Assumptions!$B$159*Assumptions!$B$131*C16,MIN(Assumptions!$B$159*Assumptions!$B$131*C16,C105))</f>
        <v>16.6846674876847</v>
      </c>
      <c r="D106" s="54" t="n">
        <f aca="false">IF(Assumptions!$B$163=1,Assumptions!$B$159*Assumptions!$B$131*D16,MIN(Assumptions!$B$159*Assumptions!$B$131*D16,D105))</f>
        <v>25.3101608654098</v>
      </c>
      <c r="E106" s="54" t="n">
        <f aca="false">IF(Assumptions!$B$163=1,Assumptions!$B$159*Assumptions!$B$131*E16,MIN(Assumptions!$B$159*Assumptions!$B$131*E16,E105))</f>
        <v>34.0795450846973</v>
      </c>
      <c r="F106" s="54" t="n">
        <f aca="false">IF(Assumptions!$B$163=1,Assumptions!$B$159*Assumptions!$B$131*F16,MIN(Assumptions!$B$159*Assumptions!$B$131*F16,F105))</f>
        <v>41.1363960728889</v>
      </c>
      <c r="G106" s="54" t="n">
        <f aca="false">IF(Assumptions!$B$163=1,Assumptions!$B$159*Assumptions!$B$131*G16,MIN(Assumptions!$B$159*Assumptions!$B$131*G16,G105))</f>
        <v>49.6132958811984</v>
      </c>
      <c r="H106" s="54" t="n">
        <f aca="false">IF(Assumptions!$B$163=1,Assumptions!$B$159*Assumptions!$B$131*H16,MIN(Assumptions!$B$159*Assumptions!$B$131*H16,H105))</f>
        <v>59.3756519577622</v>
      </c>
      <c r="I106" s="54" t="n">
        <f aca="false">IF(Assumptions!$B$163=1,Assumptions!$B$159*Assumptions!$B$131*I16,MIN(Assumptions!$B$159*Assumptions!$B$131*I16,I105))</f>
        <v>69.1133476928201</v>
      </c>
      <c r="J106" s="54" t="n">
        <f aca="false">IF(Assumptions!$B$163=1,Assumptions!$B$159*Assumptions!$B$131*J16,MIN(Assumptions!$B$159*Assumptions!$B$131*J16,J105))</f>
        <v>78.6079699672833</v>
      </c>
      <c r="K106" s="54" t="n">
        <f aca="false">IF(Assumptions!$B$163=1,Assumptions!$B$159*Assumptions!$B$131*K16,MIN(Assumptions!$B$159*Assumptions!$B$131*K16,K105))</f>
        <v>87.123717933671</v>
      </c>
      <c r="L106" s="54" t="n">
        <f aca="false">IF(Assumptions!$B$163=1,Assumptions!$B$159*Assumptions!$B$131*L16,MIN(Assumptions!$B$159*Assumptions!$B$131*L16,L105))</f>
        <v>92.4906164929507</v>
      </c>
      <c r="M106" s="54" t="n">
        <f aca="false">IF(Assumptions!$B$163=1,Assumptions!$B$159*Assumptions!$B$131*M16,MIN(Assumptions!$B$159*Assumptions!$B$131*M16,M105))</f>
        <v>99.5547417086773</v>
      </c>
      <c r="N106" s="54" t="n">
        <f aca="false">IF(Assumptions!$B$163=1,Assumptions!$B$159*Assumptions!$B$131*N16,MIN(Assumptions!$B$159*Assumptions!$B$131*N16,N105))</f>
        <v>108.265814293725</v>
      </c>
      <c r="O106" s="54" t="n">
        <f aca="false">IF(Assumptions!$B$163=1,Assumptions!$B$159*Assumptions!$B$131*O16,MIN(Assumptions!$B$159*Assumptions!$B$131*O16,O105))</f>
        <v>96.5084293206863</v>
      </c>
      <c r="P106" s="54" t="n">
        <f aca="false">IF(Assumptions!$B$163=1,Assumptions!$B$159*Assumptions!$B$131*P16,MIN(Assumptions!$B$159*Assumptions!$B$131*P16,P105))</f>
        <v>94.0112893504275</v>
      </c>
      <c r="Q106" s="54" t="n">
        <f aca="false">IF(Assumptions!$B$163=1,Assumptions!$B$159*Assumptions!$B$131*Q16,MIN(Assumptions!$B$159*Assumptions!$B$131*Q16,Q105))</f>
        <v>95.7421590495018</v>
      </c>
      <c r="R106" s="54" t="n">
        <f aca="false">IF(Assumptions!$B$163=1,Assumptions!$B$159*Assumptions!$B$131*R16,MIN(Assumptions!$B$159*Assumptions!$B$131*R16,R105))</f>
        <v>96.0425741100198</v>
      </c>
      <c r="S106" s="54" t="n">
        <f aca="false">IF(Assumptions!$B$163=1,Assumptions!$B$159*Assumptions!$B$131*S16,MIN(Assumptions!$B$159*Assumptions!$B$131*S16,S105))</f>
        <v>100.041856499231</v>
      </c>
      <c r="T106" s="54" t="n">
        <f aca="false">IF(Assumptions!$B$163=1,Assumptions!$B$159*Assumptions!$B$131*T16,MIN(Assumptions!$B$159*Assumptions!$B$131*T16,T105))</f>
        <v>107.029601555552</v>
      </c>
      <c r="U106" s="54" t="n">
        <f aca="false">IF(Assumptions!$B$163=1,Assumptions!$B$159*Assumptions!$B$131*U16,MIN(Assumptions!$B$159*Assumptions!$B$131*U16,U105))</f>
        <v>114.623462064617</v>
      </c>
      <c r="V106" s="54" t="n">
        <f aca="false">IF(Assumptions!$B$163=1,Assumptions!$B$159*Assumptions!$B$131*V16,MIN(Assumptions!$B$159*Assumptions!$B$131*V16,V105))</f>
        <v>122.308388459615</v>
      </c>
      <c r="W106" s="54" t="n">
        <f aca="false">IF(Assumptions!$B$163=1,Assumptions!$B$159*Assumptions!$B$131*W16,MIN(Assumptions!$B$159*Assumptions!$B$131*W16,W105))</f>
        <v>128.991011690536</v>
      </c>
      <c r="X106" s="54" t="n">
        <f aca="false">IF(Assumptions!$B$163=1,Assumptions!$B$159*Assumptions!$B$131*X16,MIN(Assumptions!$B$159*Assumptions!$B$131*X16,X105))</f>
        <v>131.784911887572</v>
      </c>
      <c r="Y106" s="54" t="n">
        <f aca="false">IF(Assumptions!$B$163=1,Assumptions!$B$159*Assumptions!$B$131*Y16,MIN(Assumptions!$B$159*Assumptions!$B$131*Y16,Y105))</f>
        <v>136.791413332286</v>
      </c>
      <c r="Z106" s="54" t="n">
        <f aca="false">IF(Assumptions!$B$163=1,Assumptions!$B$159*Assumptions!$B$131*Z16,MIN(Assumptions!$B$159*Assumptions!$B$131*Z16,Z105))</f>
        <v>143.974599955058</v>
      </c>
      <c r="AA106" s="54" t="n">
        <f aca="false">IF(Assumptions!$B$163=1,Assumptions!$B$159*Assumptions!$B$131*AA16,MIN(Assumptions!$B$159*Assumptions!$B$131*AA16,AA105))</f>
        <v>240</v>
      </c>
      <c r="AB106" s="54" t="n">
        <f aca="false">IF(Assumptions!$B$163=1,Assumptions!$B$159*Assumptions!$B$131*AB16,MIN(Assumptions!$B$159*Assumptions!$B$131*AB16,AB105))</f>
        <v>240</v>
      </c>
      <c r="AC106" s="54" t="n">
        <f aca="false">IF(Assumptions!$B$163=1,Assumptions!$B$159*Assumptions!$B$131*AC16,MIN(Assumptions!$B$159*Assumptions!$B$131*AC16,AC105))</f>
        <v>240</v>
      </c>
      <c r="AD106" s="54" t="n">
        <f aca="false">IF(Assumptions!$B$163=1,Assumptions!$B$159*Assumptions!$B$131*AD16,MIN(Assumptions!$B$159*Assumptions!$B$131*AD16,AD105))</f>
        <v>240</v>
      </c>
      <c r="AE106" s="54" t="n">
        <f aca="false">IF(Assumptions!$B$163=1,Assumptions!$B$159*Assumptions!$B$131*AE16,MIN(Assumptions!$B$159*Assumptions!$B$131*AE16,AE105))</f>
        <v>240</v>
      </c>
    </row>
    <row r="107" customFormat="false" ht="15" hidden="false" customHeight="false" outlineLevel="0" collapsed="false">
      <c r="A107" s="6" t="s">
        <v>443</v>
      </c>
      <c r="B107" s="23" t="s">
        <v>60</v>
      </c>
      <c r="C107" s="44" t="n">
        <f aca="false">C104*C106*Assumptions!$B$7*C7</f>
        <v>0</v>
      </c>
      <c r="D107" s="44" t="n">
        <f aca="false">D104*D106*Assumptions!$B$7*D7</f>
        <v>0</v>
      </c>
      <c r="E107" s="44" t="n">
        <f aca="false">E104*E106*Assumptions!$B$7*E7</f>
        <v>0</v>
      </c>
      <c r="F107" s="44" t="n">
        <f aca="false">F104*F106*Assumptions!$B$7*F7</f>
        <v>0</v>
      </c>
      <c r="G107" s="44" t="n">
        <f aca="false">G104*G106*Assumptions!$B$7*G7</f>
        <v>0</v>
      </c>
      <c r="H107" s="44" t="n">
        <f aca="false">H104*H106*Assumptions!$B$7*H7</f>
        <v>0</v>
      </c>
      <c r="I107" s="44" t="n">
        <f aca="false">I104*I106*Assumptions!$B$7*I7</f>
        <v>0</v>
      </c>
      <c r="J107" s="44" t="n">
        <f aca="false">J104*J106*Assumptions!$B$7*J7</f>
        <v>0</v>
      </c>
      <c r="K107" s="44" t="n">
        <f aca="false">K104*K106*Assumptions!$B$7*K7</f>
        <v>0</v>
      </c>
      <c r="L107" s="44" t="n">
        <f aca="false">L104*L106*Assumptions!$B$7*L7</f>
        <v>0</v>
      </c>
      <c r="M107" s="44" t="n">
        <f aca="false">M104*M106*Assumptions!$B$7*M7</f>
        <v>0</v>
      </c>
      <c r="N107" s="44" t="n">
        <f aca="false">N104*N106*Assumptions!$B$7*N7</f>
        <v>0</v>
      </c>
      <c r="O107" s="44" t="n">
        <f aca="false">O104*O106*Assumptions!$B$7*O7</f>
        <v>12359.3264983679</v>
      </c>
      <c r="P107" s="44" t="n">
        <f aca="false">P104*P106*Assumptions!$B$7*P7</f>
        <v>14121.4856244265</v>
      </c>
      <c r="Q107" s="44" t="n">
        <f aca="false">Q104*Q106*Assumptions!$B$7*Q7</f>
        <v>16428.4547161579</v>
      </c>
      <c r="R107" s="44" t="n">
        <f aca="false">R104*R106*Assumptions!$B$7*R7</f>
        <v>18532.4032645362</v>
      </c>
      <c r="S107" s="44" t="n">
        <f aca="false">S104*S106*Assumptions!$B$7*S7</f>
        <v>21642.0445441593</v>
      </c>
      <c r="T107" s="44" t="n">
        <f aca="false">T104*T106*Assumptions!$B$7*T7</f>
        <v>26513.7977256836</v>
      </c>
      <c r="U107" s="44" t="n">
        <f aca="false">U104*U106*Assumptions!$B$7*U7</f>
        <v>31703.2326032967</v>
      </c>
      <c r="V107" s="44" t="n">
        <f aca="false">V104*V106*Assumptions!$B$7*V7</f>
        <v>36927.0477595074</v>
      </c>
      <c r="W107" s="44" t="n">
        <f aca="false">W104*W106*Assumptions!$B$7*W7</f>
        <v>50417.3789128945</v>
      </c>
      <c r="X107" s="44" t="n">
        <f aca="false">X104*X106*Assumptions!$B$7*X7</f>
        <v>62751.225092863</v>
      </c>
      <c r="Y107" s="44" t="n">
        <f aca="false">Y104*Y106*Assumptions!$B$7*Y7</f>
        <v>76408.150836075</v>
      </c>
      <c r="Z107" s="44" t="n">
        <f aca="false">Z104*Z106*Assumptions!$B$7*Z7</f>
        <v>95359.1717362759</v>
      </c>
      <c r="AA107" s="44" t="n">
        <f aca="false">AA104*AA106*Assumptions!$B$7*AA7</f>
        <v>11474849.5679188</v>
      </c>
      <c r="AB107" s="44" t="n">
        <f aca="false">AB104*AB106*Assumptions!$B$7*AB7</f>
        <v>22341325.4064182</v>
      </c>
      <c r="AC107" s="44" t="n">
        <f aca="false">AC104*AC106*Assumptions!$B$7*AC7</f>
        <v>37266853.5468832</v>
      </c>
      <c r="AD107" s="44" t="n">
        <f aca="false">AD104*AD106*Assumptions!$B$7*AD7</f>
        <v>53403586.2751826</v>
      </c>
      <c r="AE107" s="44" t="n">
        <f aca="false">AE104*AE106*Assumptions!$B$7*AE7</f>
        <v>69543360.7716343</v>
      </c>
    </row>
    <row r="108" customFormat="false" ht="15" hidden="false" customHeight="false" outlineLevel="0" collapsed="false">
      <c r="A108" s="6" t="s">
        <v>443</v>
      </c>
      <c r="B108" s="23" t="s">
        <v>110</v>
      </c>
      <c r="C108" s="54" t="n">
        <f aca="false">C107/Assumptions!$B$7</f>
        <v>0</v>
      </c>
      <c r="D108" s="54" t="n">
        <f aca="false">D107/Assumptions!$B$7</f>
        <v>0</v>
      </c>
      <c r="E108" s="54" t="n">
        <f aca="false">E107/Assumptions!$B$7</f>
        <v>0</v>
      </c>
      <c r="F108" s="54" t="n">
        <f aca="false">F107/Assumptions!$B$7</f>
        <v>0</v>
      </c>
      <c r="G108" s="54" t="n">
        <f aca="false">G107/Assumptions!$B$7</f>
        <v>0</v>
      </c>
      <c r="H108" s="54" t="n">
        <f aca="false">H107/Assumptions!$B$7</f>
        <v>0</v>
      </c>
      <c r="I108" s="54" t="n">
        <f aca="false">I107/Assumptions!$B$7</f>
        <v>0</v>
      </c>
      <c r="J108" s="54" t="n">
        <f aca="false">J107/Assumptions!$B$7</f>
        <v>0</v>
      </c>
      <c r="K108" s="54" t="n">
        <f aca="false">K107/Assumptions!$B$7</f>
        <v>0</v>
      </c>
      <c r="L108" s="54" t="n">
        <f aca="false">L107/Assumptions!$B$7</f>
        <v>0</v>
      </c>
      <c r="M108" s="54" t="n">
        <f aca="false">M107/Assumptions!$B$7</f>
        <v>0</v>
      </c>
      <c r="N108" s="54" t="n">
        <f aca="false">N107/Assumptions!$B$7</f>
        <v>0</v>
      </c>
      <c r="O108" s="54" t="n">
        <f aca="false">O107/Assumptions!$B$7</f>
        <v>3365.37140867743</v>
      </c>
      <c r="P108" s="54" t="n">
        <f aca="false">P107/Assumptions!$B$7</f>
        <v>3845.1969024987</v>
      </c>
      <c r="Q108" s="54" t="n">
        <f aca="false">Q107/Assumptions!$B$7</f>
        <v>4473.37092339223</v>
      </c>
      <c r="R108" s="54" t="n">
        <f aca="false">R107/Assumptions!$B$7</f>
        <v>5046.26365269877</v>
      </c>
      <c r="S108" s="54" t="n">
        <f aca="false">S107/Assumptions!$B$7</f>
        <v>5893.00055661247</v>
      </c>
      <c r="T108" s="54" t="n">
        <f aca="false">T107/Assumptions!$B$7</f>
        <v>7219.55009548906</v>
      </c>
      <c r="U108" s="54" t="n">
        <f aca="false">U107/Assumptions!$B$7</f>
        <v>8632.60247877378</v>
      </c>
      <c r="V108" s="54" t="n">
        <f aca="false">V107/Assumptions!$B$7</f>
        <v>10055.016408307</v>
      </c>
      <c r="W108" s="54" t="n">
        <f aca="false">W107/Assumptions!$B$7</f>
        <v>13728.3536862885</v>
      </c>
      <c r="X108" s="54" t="n">
        <f aca="false">X107/Assumptions!$B$7</f>
        <v>17086.7869551703</v>
      </c>
      <c r="Y108" s="54" t="n">
        <f aca="false">Y107/Assumptions!$B$7</f>
        <v>20805.486953322</v>
      </c>
      <c r="Z108" s="54" t="n">
        <f aca="false">Z107/Assumptions!$B$7</f>
        <v>25965.7377089928</v>
      </c>
      <c r="AA108" s="54" t="n">
        <f aca="false">AA107/Assumptions!$B$7</f>
        <v>3124533.57873894</v>
      </c>
      <c r="AB108" s="54" t="n">
        <f aca="false">AB107/Assumptions!$B$7</f>
        <v>6083410.59398726</v>
      </c>
      <c r="AC108" s="54" t="n">
        <f aca="false">AC107/Assumptions!$B$7</f>
        <v>10147543.5117449</v>
      </c>
      <c r="AD108" s="54" t="n">
        <f aca="false">AD107/Assumptions!$B$7</f>
        <v>14541480.2655365</v>
      </c>
      <c r="AE108" s="54" t="n">
        <f aca="false">AE107/Assumptions!$B$7</f>
        <v>18936245.2747813</v>
      </c>
    </row>
    <row r="109" customFormat="false" ht="15" hidden="false" customHeight="false" outlineLevel="0" collapsed="false">
      <c r="A109" s="6" t="s">
        <v>444</v>
      </c>
      <c r="B109" s="23" t="s">
        <v>110</v>
      </c>
      <c r="C109" s="54" t="n">
        <f aca="false">C96*(Assumptions!$B$8-(1-Assumptions!$B$8)*Assumptions!$B$9)</f>
        <v>26.4043287854546</v>
      </c>
      <c r="D109" s="54" t="n">
        <f aca="false">D96*(Assumptions!$B$8-(1-Assumptions!$B$8)*Assumptions!$B$9)</f>
        <v>50.2038067927077</v>
      </c>
      <c r="E109" s="54" t="n">
        <f aca="false">E96*(Assumptions!$B$8-(1-Assumptions!$B$8)*Assumptions!$B$9)</f>
        <v>71.7883575535469</v>
      </c>
      <c r="F109" s="54" t="n">
        <f aca="false">F96*(Assumptions!$B$8-(1-Assumptions!$B$8)*Assumptions!$B$9)</f>
        <v>98.3142397504277</v>
      </c>
      <c r="G109" s="54" t="n">
        <f aca="false">G96*(Assumptions!$B$8-(1-Assumptions!$B$8)*Assumptions!$B$9)</f>
        <v>120.662183032487</v>
      </c>
      <c r="H109" s="54" t="n">
        <f aca="false">H96*(Assumptions!$B$8-(1-Assumptions!$B$8)*Assumptions!$B$9)</f>
        <v>137.737181556724</v>
      </c>
      <c r="I109" s="54" t="n">
        <f aca="false">I96*(Assumptions!$B$8-(1-Assumptions!$B$8)*Assumptions!$B$9)</f>
        <v>153.189199085667</v>
      </c>
      <c r="J109" s="54" t="n">
        <f aca="false">J96*(Assumptions!$B$8-(1-Assumptions!$B$8)*Assumptions!$B$9)</f>
        <v>167.879509958084</v>
      </c>
      <c r="K109" s="54" t="n">
        <f aca="false">K96*(Assumptions!$B$8-(1-Assumptions!$B$8)*Assumptions!$B$9)</f>
        <v>183.927436096266</v>
      </c>
      <c r="L109" s="54" t="n">
        <f aca="false">L96*(Assumptions!$B$8-(1-Assumptions!$B$8)*Assumptions!$B$9)</f>
        <v>207.507357289964</v>
      </c>
      <c r="M109" s="54" t="n">
        <f aca="false">M96*(Assumptions!$B$8-(1-Assumptions!$B$8)*Assumptions!$B$9)</f>
        <v>227.318463921518</v>
      </c>
      <c r="N109" s="54" t="n">
        <f aca="false">N96*(Assumptions!$B$8-(1-Assumptions!$B$8)*Assumptions!$B$9)</f>
        <v>242.51003503914</v>
      </c>
      <c r="O109" s="54" t="n">
        <f aca="false">O96*(Assumptions!$B$8-(1-Assumptions!$B$8)*Assumptions!$B$9)</f>
        <v>322.852320847794</v>
      </c>
      <c r="P109" s="54" t="n">
        <f aca="false">P96*(Assumptions!$B$8-(1-Assumptions!$B$8)*Assumptions!$B$9)</f>
        <v>395.521976424459</v>
      </c>
      <c r="Q109" s="54" t="n">
        <f aca="false">Q96*(Assumptions!$B$8-(1-Assumptions!$B$8)*Assumptions!$B$9)</f>
        <v>461.662172851346</v>
      </c>
      <c r="R109" s="54" t="n">
        <f aca="false">R96*(Assumptions!$B$8-(1-Assumptions!$B$8)*Assumptions!$B$9)</f>
        <v>546.701653553164</v>
      </c>
      <c r="S109" s="54" t="n">
        <f aca="false">S96*(Assumptions!$B$8-(1-Assumptions!$B$8)*Assumptions!$B$9)</f>
        <v>618.236949409125</v>
      </c>
      <c r="T109" s="54" t="n">
        <f aca="false">T96*(Assumptions!$B$8-(1-Assumptions!$B$8)*Assumptions!$B$9)</f>
        <v>671.842714708462</v>
      </c>
      <c r="U109" s="54" t="n">
        <f aca="false">U96*(Assumptions!$B$8-(1-Assumptions!$B$8)*Assumptions!$B$9)</f>
        <v>720.442691672197</v>
      </c>
      <c r="V109" s="54" t="n">
        <f aca="false">V96*(Assumptions!$B$8-(1-Assumptions!$B$8)*Assumptions!$B$9)</f>
        <v>767.083709713303</v>
      </c>
      <c r="W109" s="54" t="n">
        <f aca="false">W96*(Assumptions!$B$8-(1-Assumptions!$B$8)*Assumptions!$B$9)</f>
        <v>819.562020638823</v>
      </c>
      <c r="X109" s="54" t="n">
        <f aca="false">X96*(Assumptions!$B$8-(1-Assumptions!$B$8)*Assumptions!$B$9)</f>
        <v>901.014846126037</v>
      </c>
      <c r="Y109" s="54" t="n">
        <f aca="false">Y96*(Assumptions!$B$8-(1-Assumptions!$B$8)*Assumptions!$B$9)</f>
        <v>969.759912506882</v>
      </c>
      <c r="Z109" s="54" t="n">
        <f aca="false">Z96*(Assumptions!$B$8-(1-Assumptions!$B$8)*Assumptions!$B$9)</f>
        <v>1022.1582889186</v>
      </c>
      <c r="AA109" s="54" t="n">
        <f aca="false">AA96*(Assumptions!$B$8-(1-Assumptions!$B$8)*Assumptions!$B$9)</f>
        <v>31136.4757869779</v>
      </c>
      <c r="AB109" s="54" t="n">
        <f aca="false">AB96*(Assumptions!$B$8-(1-Assumptions!$B$8)*Assumptions!$B$9)</f>
        <v>52783.4429543162</v>
      </c>
      <c r="AC109" s="54" t="n">
        <f aca="false">AC96*(Assumptions!$B$8-(1-Assumptions!$B$8)*Assumptions!$B$9)</f>
        <v>78009.0702684225</v>
      </c>
      <c r="AD109" s="54" t="n">
        <f aca="false">AD96*(Assumptions!$B$8-(1-Assumptions!$B$8)*Assumptions!$B$9)</f>
        <v>95857.7376946597</v>
      </c>
      <c r="AE109" s="54" t="n">
        <f aca="false">AE96*(Assumptions!$B$8-(1-Assumptions!$B$8)*Assumptions!$B$9)</f>
        <v>105684.486352704</v>
      </c>
    </row>
    <row r="110" customFormat="false" ht="15" hidden="false" customHeight="false" outlineLevel="0" collapsed="false">
      <c r="A110" s="6" t="s">
        <v>445</v>
      </c>
      <c r="B110" s="23" t="s">
        <v>110</v>
      </c>
      <c r="C110" s="54" t="n">
        <f aca="false">C97*(Assumptions!$B$8-(1-Assumptions!$B$8)*Assumptions!$B$9)</f>
        <v>4.97501561532607</v>
      </c>
      <c r="D110" s="54" t="n">
        <f aca="false">D97*(Assumptions!$B$8-(1-Assumptions!$B$8)*Assumptions!$B$9)</f>
        <v>9.45923392985935</v>
      </c>
      <c r="E110" s="54" t="n">
        <f aca="false">E97*(Assumptions!$B$8-(1-Assumptions!$B$8)*Assumptions!$B$9)</f>
        <v>13.5261230357141</v>
      </c>
      <c r="F110" s="54" t="n">
        <f aca="false">F97*(Assumptions!$B$8-(1-Assumptions!$B$8)*Assumptions!$B$9)</f>
        <v>18.5240413396431</v>
      </c>
      <c r="G110" s="54" t="n">
        <f aca="false">G97*(Assumptions!$B$8-(1-Assumptions!$B$8)*Assumptions!$B$9)</f>
        <v>22.7347663197044</v>
      </c>
      <c r="H110" s="54" t="n">
        <f aca="false">H97*(Assumptions!$B$8-(1-Assumptions!$B$8)*Assumptions!$B$9)</f>
        <v>25.9519806249794</v>
      </c>
      <c r="I110" s="54" t="n">
        <f aca="false">I97*(Assumptions!$B$8-(1-Assumptions!$B$8)*Assumptions!$B$9)</f>
        <v>28.8633982610578</v>
      </c>
      <c r="J110" s="54" t="n">
        <f aca="false">J97*(Assumptions!$B$8-(1-Assumptions!$B$8)*Assumptions!$B$9)</f>
        <v>31.6312976679357</v>
      </c>
      <c r="K110" s="54" t="n">
        <f aca="false">K97*(Assumptions!$B$8-(1-Assumptions!$B$8)*Assumptions!$B$9)</f>
        <v>34.6549944178048</v>
      </c>
      <c r="L110" s="54" t="n">
        <f aca="false">L97*(Assumptions!$B$8-(1-Assumptions!$B$8)*Assumptions!$B$9)</f>
        <v>39.0978445693841</v>
      </c>
      <c r="M110" s="54" t="n">
        <f aca="false">M97*(Assumptions!$B$8-(1-Assumptions!$B$8)*Assumptions!$B$9)</f>
        <v>42.8305872438793</v>
      </c>
      <c r="N110" s="54" t="n">
        <f aca="false">N97*(Assumptions!$B$8-(1-Assumptions!$B$8)*Assumptions!$B$9)</f>
        <v>45.6929324352914</v>
      </c>
      <c r="O110" s="54" t="n">
        <f aca="false">O97*(Assumptions!$B$8-(1-Assumptions!$B$8)*Assumptions!$B$9)</f>
        <v>60.8307581197385</v>
      </c>
      <c r="P110" s="54" t="n">
        <f aca="false">P97*(Assumptions!$B$8-(1-Assumptions!$B$8)*Assumptions!$B$9)</f>
        <v>74.5229323913086</v>
      </c>
      <c r="Q110" s="54" t="n">
        <f aca="false">Q97*(Assumptions!$B$8-(1-Assumptions!$B$8)*Assumptions!$B$9)</f>
        <v>86.984847734741</v>
      </c>
      <c r="R110" s="54" t="n">
        <f aca="false">R97*(Assumptions!$B$8-(1-Assumptions!$B$8)*Assumptions!$B$9)</f>
        <v>103.007703223642</v>
      </c>
      <c r="S110" s="54" t="n">
        <f aca="false">S97*(Assumptions!$B$8-(1-Assumptions!$B$8)*Assumptions!$B$9)</f>
        <v>116.486145217836</v>
      </c>
      <c r="T110" s="54" t="n">
        <f aca="false">T97*(Assumptions!$B$8-(1-Assumptions!$B$8)*Assumptions!$B$9)</f>
        <v>126.586364829653</v>
      </c>
      <c r="U110" s="54" t="n">
        <f aca="false">U97*(Assumptions!$B$8-(1-Assumptions!$B$8)*Assumptions!$B$9)</f>
        <v>135.743410489237</v>
      </c>
      <c r="V110" s="54" t="n">
        <f aca="false">V97*(Assumptions!$B$8-(1-Assumptions!$B$8)*Assumptions!$B$9)</f>
        <v>144.531355638482</v>
      </c>
      <c r="W110" s="54" t="n">
        <f aca="false">W97*(Assumptions!$B$8-(1-Assumptions!$B$8)*Assumptions!$B$9)</f>
        <v>154.419144055365</v>
      </c>
      <c r="X110" s="54" t="n">
        <f aca="false">X97*(Assumptions!$B$8-(1-Assumptions!$B$8)*Assumptions!$B$9)</f>
        <v>169.766213924248</v>
      </c>
      <c r="Y110" s="54" t="n">
        <f aca="false">Y97*(Assumptions!$B$8-(1-Assumptions!$B$8)*Assumptions!$B$9)</f>
        <v>182.718930181505</v>
      </c>
      <c r="Z110" s="54" t="n">
        <f aca="false">Z97*(Assumptions!$B$8-(1-Assumptions!$B$8)*Assumptions!$B$9)</f>
        <v>192.591657603746</v>
      </c>
      <c r="AA110" s="54" t="n">
        <f aca="false">AA97*(Assumptions!$B$8-(1-Assumptions!$B$8)*Assumptions!$B$9)</f>
        <v>5866.63097952975</v>
      </c>
      <c r="AB110" s="54" t="n">
        <f aca="false">AB97*(Assumptions!$B$8-(1-Assumptions!$B$8)*Assumptions!$B$9)</f>
        <v>9945.28037664242</v>
      </c>
      <c r="AC110" s="54" t="n">
        <f aca="false">AC97*(Assumptions!$B$8-(1-Assumptions!$B$8)*Assumptions!$B$9)</f>
        <v>14698.2089897419</v>
      </c>
      <c r="AD110" s="54" t="n">
        <f aca="false">AD97*(Assumptions!$B$8-(1-Assumptions!$B$8)*Assumptions!$B$9)</f>
        <v>18061.1954106355</v>
      </c>
      <c r="AE110" s="54" t="n">
        <f aca="false">AE97*(Assumptions!$B$8-(1-Assumptions!$B$8)*Assumptions!$B$9)</f>
        <v>19912.7186369554</v>
      </c>
    </row>
    <row r="111" customFormat="false" ht="15" hidden="false" customHeight="false" outlineLevel="0" collapsed="false">
      <c r="A111" s="6" t="s">
        <v>446</v>
      </c>
      <c r="B111" s="23" t="s">
        <v>110</v>
      </c>
      <c r="C111" s="54" t="n">
        <f aca="false">C108*IF(Assumptions!$B$163=1,MIN(Assumptions!$B$14,1%),Assumptions!$B$14)*(1-Assumptions!$B$130)</f>
        <v>0</v>
      </c>
      <c r="D111" s="54" t="n">
        <f aca="false">D108*IF(Assumptions!$B$163=1,MIN(Assumptions!$B$14,1%),Assumptions!$B$14)*(1-Assumptions!$B$130)</f>
        <v>0</v>
      </c>
      <c r="E111" s="54" t="n">
        <f aca="false">E108*IF(Assumptions!$B$163=1,MIN(Assumptions!$B$14,1%),Assumptions!$B$14)*(1-Assumptions!$B$130)</f>
        <v>0</v>
      </c>
      <c r="F111" s="54" t="n">
        <f aca="false">F108*IF(Assumptions!$B$163=1,MIN(Assumptions!$B$14,1%),Assumptions!$B$14)*(1-Assumptions!$B$130)</f>
        <v>0</v>
      </c>
      <c r="G111" s="54" t="n">
        <f aca="false">G108*IF(Assumptions!$B$163=1,MIN(Assumptions!$B$14,1%),Assumptions!$B$14)*(1-Assumptions!$B$130)</f>
        <v>0</v>
      </c>
      <c r="H111" s="54" t="n">
        <f aca="false">H108*IF(Assumptions!$B$163=1,MIN(Assumptions!$B$14,1%),Assumptions!$B$14)*(1-Assumptions!$B$130)</f>
        <v>0</v>
      </c>
      <c r="I111" s="54" t="n">
        <f aca="false">I108*IF(Assumptions!$B$163=1,MIN(Assumptions!$B$14,1%),Assumptions!$B$14)*(1-Assumptions!$B$130)</f>
        <v>0</v>
      </c>
      <c r="J111" s="54" t="n">
        <f aca="false">J108*IF(Assumptions!$B$163=1,MIN(Assumptions!$B$14,1%),Assumptions!$B$14)*(1-Assumptions!$B$130)</f>
        <v>0</v>
      </c>
      <c r="K111" s="54" t="n">
        <f aca="false">K108*IF(Assumptions!$B$163=1,MIN(Assumptions!$B$14,1%),Assumptions!$B$14)*(1-Assumptions!$B$130)</f>
        <v>0</v>
      </c>
      <c r="L111" s="54" t="n">
        <f aca="false">L108*IF(Assumptions!$B$163=1,MIN(Assumptions!$B$14,1%),Assumptions!$B$14)*(1-Assumptions!$B$130)</f>
        <v>0</v>
      </c>
      <c r="M111" s="54" t="n">
        <f aca="false">M108*IF(Assumptions!$B$163=1,MIN(Assumptions!$B$14,1%),Assumptions!$B$14)*(1-Assumptions!$B$130)</f>
        <v>0</v>
      </c>
      <c r="N111" s="54" t="n">
        <f aca="false">N108*IF(Assumptions!$B$163=1,MIN(Assumptions!$B$14,1%),Assumptions!$B$14)*(1-Assumptions!$B$130)</f>
        <v>0</v>
      </c>
      <c r="O111" s="54" t="n">
        <f aca="false">O108*IF(Assumptions!$B$163=1,MIN(Assumptions!$B$14,1%),Assumptions!$B$14)*(1-Assumptions!$B$130)</f>
        <v>16.9614718997342</v>
      </c>
      <c r="P111" s="54" t="n">
        <f aca="false">P108*IF(Assumptions!$B$163=1,MIN(Assumptions!$B$14,1%),Assumptions!$B$14)*(1-Assumptions!$B$130)</f>
        <v>19.3797923885934</v>
      </c>
      <c r="Q111" s="54" t="n">
        <f aca="false">Q108*IF(Assumptions!$B$163=1,MIN(Assumptions!$B$14,1%),Assumptions!$B$14)*(1-Assumptions!$B$130)</f>
        <v>22.5457894538968</v>
      </c>
      <c r="R111" s="54" t="n">
        <f aca="false">R108*IF(Assumptions!$B$163=1,MIN(Assumptions!$B$14,1%),Assumptions!$B$14)*(1-Assumptions!$B$130)</f>
        <v>25.4331688096018</v>
      </c>
      <c r="S111" s="54" t="n">
        <f aca="false">S108*IF(Assumptions!$B$163=1,MIN(Assumptions!$B$14,1%),Assumptions!$B$14)*(1-Assumptions!$B$130)</f>
        <v>29.7007228053268</v>
      </c>
      <c r="T111" s="54" t="n">
        <f aca="false">T108*IF(Assumptions!$B$163=1,MIN(Assumptions!$B$14,1%),Assumptions!$B$14)*(1-Assumptions!$B$130)</f>
        <v>36.3865324812648</v>
      </c>
      <c r="U111" s="54" t="n">
        <f aca="false">U108*IF(Assumptions!$B$163=1,MIN(Assumptions!$B$14,1%),Assumptions!$B$14)*(1-Assumptions!$B$130)</f>
        <v>43.5083164930198</v>
      </c>
      <c r="V111" s="54" t="n">
        <f aca="false">V108*IF(Assumptions!$B$163=1,MIN(Assumptions!$B$14,1%),Assumptions!$B$14)*(1-Assumptions!$B$130)</f>
        <v>50.6772826978672</v>
      </c>
      <c r="W111" s="54" t="n">
        <f aca="false">W108*IF(Assumptions!$B$163=1,MIN(Assumptions!$B$14,1%),Assumptions!$B$14)*(1-Assumptions!$B$130)</f>
        <v>69.1909025788941</v>
      </c>
      <c r="X111" s="54" t="n">
        <f aca="false">X108*IF(Assumptions!$B$163=1,MIN(Assumptions!$B$14,1%),Assumptions!$B$14)*(1-Assumptions!$B$130)</f>
        <v>86.1174062540584</v>
      </c>
      <c r="Y111" s="54" t="n">
        <f aca="false">Y108*IF(Assumptions!$B$163=1,MIN(Assumptions!$B$14,1%),Assumptions!$B$14)*(1-Assumptions!$B$130)</f>
        <v>104.859654244743</v>
      </c>
      <c r="Z111" s="54" t="n">
        <f aca="false">Z108*IF(Assumptions!$B$163=1,MIN(Assumptions!$B$14,1%),Assumptions!$B$14)*(1-Assumptions!$B$130)</f>
        <v>130.867318053323</v>
      </c>
      <c r="AA111" s="54" t="n">
        <f aca="false">AA108*IF(Assumptions!$B$163=1,MIN(Assumptions!$B$14,1%),Assumptions!$B$14)*(1-Assumptions!$B$130)</f>
        <v>15747.6492368443</v>
      </c>
      <c r="AB111" s="54" t="n">
        <f aca="false">AB108*IF(Assumptions!$B$163=1,MIN(Assumptions!$B$14,1%),Assumptions!$B$14)*(1-Assumptions!$B$130)</f>
        <v>30660.3893936958</v>
      </c>
      <c r="AC111" s="54" t="n">
        <f aca="false">AC108*IF(Assumptions!$B$163=1,MIN(Assumptions!$B$14,1%),Assumptions!$B$14)*(1-Assumptions!$B$130)</f>
        <v>51143.6192991943</v>
      </c>
      <c r="AD111" s="54" t="n">
        <f aca="false">AD108*IF(Assumptions!$B$163=1,MIN(Assumptions!$B$14,1%),Assumptions!$B$14)*(1-Assumptions!$B$130)</f>
        <v>73289.0605383037</v>
      </c>
      <c r="AE111" s="54" t="n">
        <f aca="false">AE108*IF(Assumptions!$B$163=1,MIN(Assumptions!$B$14,1%),Assumptions!$B$14)*(1-Assumptions!$B$130)</f>
        <v>95438.6761848977</v>
      </c>
    </row>
    <row r="112" customFormat="false" ht="15" hidden="false" customHeight="false" outlineLevel="0" collapsed="false">
      <c r="A112" s="6" t="s">
        <v>447</v>
      </c>
      <c r="B112" s="23" t="s">
        <v>110</v>
      </c>
      <c r="C112" s="54" t="n">
        <f aca="false">IF(C2&gt;=Assumptions!$B$48,C92*Assumptions!$B$148*Assumptions!$B$26/12*C7,0)</f>
        <v>0</v>
      </c>
      <c r="D112" s="54" t="n">
        <f aca="false">IF(D2&gt;=Assumptions!$B$48,D92*Assumptions!$B$148*Assumptions!$B$26/12*D7,0)</f>
        <v>0</v>
      </c>
      <c r="E112" s="54" t="n">
        <f aca="false">IF(E2&gt;=Assumptions!$B$48,E92*Assumptions!$B$148*Assumptions!$B$26/12*E7,0)</f>
        <v>0</v>
      </c>
      <c r="F112" s="54" t="n">
        <f aca="false">IF(F2&gt;=Assumptions!$B$48,F92*Assumptions!$B$148*Assumptions!$B$26/12*F7,0)</f>
        <v>0</v>
      </c>
      <c r="G112" s="54" t="n">
        <f aca="false">IF(G2&gt;=Assumptions!$B$48,G92*Assumptions!$B$148*Assumptions!$B$26/12*G7,0)</f>
        <v>0</v>
      </c>
      <c r="H112" s="54" t="n">
        <f aca="false">IF(H2&gt;=Assumptions!$B$48,H92*Assumptions!$B$148*Assumptions!$B$26/12*H7,0)</f>
        <v>0</v>
      </c>
      <c r="I112" s="54" t="n">
        <f aca="false">IF(I2&gt;=Assumptions!$B$48,I92*Assumptions!$B$148*Assumptions!$B$26/12*I7,0)</f>
        <v>285.667504122456</v>
      </c>
      <c r="J112" s="54" t="n">
        <f aca="false">IF(J2&gt;=Assumptions!$B$48,J92*Assumptions!$B$148*Assumptions!$B$26/12*J7,0)</f>
        <v>313.062023231858</v>
      </c>
      <c r="K112" s="54" t="n">
        <f aca="false">IF(K2&gt;=Assumptions!$B$48,K92*Assumptions!$B$148*Assumptions!$B$26/12*K7,0)</f>
        <v>342.988225820542</v>
      </c>
      <c r="L112" s="54" t="n">
        <f aca="false">IF(L2&gt;=Assumptions!$B$48,L92*Assumptions!$B$148*Assumptions!$B$26/12*L7,0)</f>
        <v>386.960106834432</v>
      </c>
      <c r="M112" s="54" t="n">
        <f aca="false">IF(M2&gt;=Assumptions!$B$48,M92*Assumptions!$B$148*Assumptions!$B$26/12*M7,0)</f>
        <v>423.903895424742</v>
      </c>
      <c r="N112" s="54" t="n">
        <f aca="false">IF(N2&gt;=Assumptions!$B$48,N92*Assumptions!$B$148*Assumptions!$B$26/12*N7,0)</f>
        <v>452.233165574155</v>
      </c>
      <c r="O112" s="54" t="n">
        <f aca="false">IF(O2&gt;=Assumptions!$B$48,O92*Assumptions!$B$148*Assumptions!$B$26/12*O7,0)</f>
        <v>602.055609972576</v>
      </c>
      <c r="P112" s="54" t="n">
        <f aca="false">IF(P2&gt;=Assumptions!$B$48,P92*Assumptions!$B$148*Assumptions!$B$26/12*P7,0)</f>
        <v>737.570119206451</v>
      </c>
      <c r="Q112" s="54" t="n">
        <f aca="false">IF(Q2&gt;=Assumptions!$B$48,Q92*Assumptions!$B$148*Assumptions!$B$26/12*Q7,0)</f>
        <v>860.90848084167</v>
      </c>
      <c r="R112" s="54" t="n">
        <f aca="false">IF(R2&gt;=Assumptions!$B$48,R92*Assumptions!$B$148*Assumptions!$B$26/12*R7,0)</f>
        <v>1019.4902630362</v>
      </c>
      <c r="S112" s="54" t="n">
        <f aca="false">IF(S2&gt;=Assumptions!$B$48,S92*Assumptions!$B$148*Assumptions!$B$26/12*S7,0)</f>
        <v>1152.88941614755</v>
      </c>
      <c r="T112" s="54" t="n">
        <f aca="false">IF(T2&gt;=Assumptions!$B$48,T92*Assumptions!$B$148*Assumptions!$B$26/12*T7,0)</f>
        <v>1252.85354724189</v>
      </c>
      <c r="U112" s="54" t="n">
        <f aca="false">IF(U2&gt;=Assumptions!$B$48,U92*Assumptions!$B$148*Assumptions!$B$26/12*U7,0)</f>
        <v>1343.48287491319</v>
      </c>
      <c r="V112" s="54" t="n">
        <f aca="false">IF(V2&gt;=Assumptions!$B$48,V92*Assumptions!$B$148*Assumptions!$B$26/12*V7,0)</f>
        <v>1430.4591323325</v>
      </c>
      <c r="W112" s="54" t="n">
        <f aca="false">IF(W2&gt;=Assumptions!$B$48,W92*Assumptions!$B$148*Assumptions!$B$26/12*W7,0)</f>
        <v>1528.32078440806</v>
      </c>
      <c r="X112" s="54" t="n">
        <f aca="false">IF(X2&gt;=Assumptions!$B$48,X92*Assumptions!$B$148*Assumptions!$B$26/12*X7,0)</f>
        <v>1680.21416527</v>
      </c>
      <c r="Y112" s="54" t="n">
        <f aca="false">IF(Y2&gt;=Assumptions!$B$48,Y92*Assumptions!$B$148*Assumptions!$B$26/12*Y7,0)</f>
        <v>1808.41009325293</v>
      </c>
      <c r="Z112" s="54" t="n">
        <f aca="false">IF(Z2&gt;=Assumptions!$B$48,Z92*Assumptions!$B$148*Assumptions!$B$26/12*Z7,0)</f>
        <v>1906.12268329809</v>
      </c>
      <c r="AA112" s="54" t="n">
        <f aca="false">IF(AA2&gt;=Assumptions!$B$48,AA92*Assumptions!$B$148*Assumptions!$B$26/12*AA7,0)</f>
        <v>58063.3581109144</v>
      </c>
      <c r="AB112" s="54" t="n">
        <f aca="false">IF(AB2&gt;=Assumptions!$B$48,AB92*Assumptions!$B$148*Assumptions!$B$26/12*AB7,0)</f>
        <v>98430.6628518718</v>
      </c>
      <c r="AC112" s="54" t="n">
        <f aca="false">IF(AC2&gt;=Assumptions!$B$48,AC92*Assumptions!$B$148*Assumptions!$B$26/12*AC7,0)</f>
        <v>145471.459708014</v>
      </c>
      <c r="AD112" s="54" t="n">
        <f aca="false">IF(AD2&gt;=Assumptions!$B$48,AD92*Assumptions!$B$148*Assumptions!$B$26/12*AD7,0)</f>
        <v>178755.688008689</v>
      </c>
      <c r="AE112" s="54" t="n">
        <f aca="false">IF(AE2&gt;=Assumptions!$B$48,AE92*Assumptions!$B$148*Assumptions!$B$26/12*AE7,0)</f>
        <v>197080.62723115</v>
      </c>
    </row>
    <row r="113" customFormat="false" ht="15" hidden="false" customHeight="false" outlineLevel="0" collapsed="false">
      <c r="A113" s="6" t="s">
        <v>448</v>
      </c>
      <c r="B113" s="23" t="s">
        <v>110</v>
      </c>
      <c r="C113" s="54" t="n">
        <f aca="false">IF(C2&gt;=Assumptions!$B$50,C108*C17*Assumptions!$B$18+C104*(Assumptions!$B$136*MAX(0,Assumptions!$B$140-Assumptions!$B$19)+Assumptions!$B$137*MAX(0,Assumptions!$B$141-Assumptions!$B$19)+Assumptions!$B$138*MAX(0,Assumptions!$B$142-Assumptions!$B$19)+Assumptions!$B$139*MAX(0,Assumptions!$B$143-Assumptions!$B$19))*Assumptions!$B$20/Assumptions!$B$7*C7+C104*(Assumptions!$B$134*Assumptions!$B$21+Assumptions!$B$135*Assumptions!$B$22)/12/Assumptions!$B$7*C7,0)</f>
        <v>0</v>
      </c>
      <c r="D113" s="54" t="n">
        <f aca="false">IF(D2&gt;=Assumptions!$B$50,D108*D17*Assumptions!$B$18+D104*(Assumptions!$B$136*MAX(0,Assumptions!$B$140-Assumptions!$B$19)+Assumptions!$B$137*MAX(0,Assumptions!$B$141-Assumptions!$B$19)+Assumptions!$B$138*MAX(0,Assumptions!$B$142-Assumptions!$B$19)+Assumptions!$B$139*MAX(0,Assumptions!$B$143-Assumptions!$B$19))*Assumptions!$B$20/Assumptions!$B$7*D7+D104*(Assumptions!$B$134*Assumptions!$B$21+Assumptions!$B$135*Assumptions!$B$22)/12/Assumptions!$B$7*D7,0)</f>
        <v>0</v>
      </c>
      <c r="E113" s="54" t="n">
        <f aca="false">IF(E2&gt;=Assumptions!$B$50,E108*E17*Assumptions!$B$18+E104*(Assumptions!$B$136*MAX(0,Assumptions!$B$140-Assumptions!$B$19)+Assumptions!$B$137*MAX(0,Assumptions!$B$141-Assumptions!$B$19)+Assumptions!$B$138*MAX(0,Assumptions!$B$142-Assumptions!$B$19)+Assumptions!$B$139*MAX(0,Assumptions!$B$143-Assumptions!$B$19))*Assumptions!$B$20/Assumptions!$B$7*E7+E104*(Assumptions!$B$134*Assumptions!$B$21+Assumptions!$B$135*Assumptions!$B$22)/12/Assumptions!$B$7*E7,0)</f>
        <v>0</v>
      </c>
      <c r="F113" s="54" t="n">
        <f aca="false">IF(F2&gt;=Assumptions!$B$50,F108*F17*Assumptions!$B$18+F104*(Assumptions!$B$136*MAX(0,Assumptions!$B$140-Assumptions!$B$19)+Assumptions!$B$137*MAX(0,Assumptions!$B$141-Assumptions!$B$19)+Assumptions!$B$138*MAX(0,Assumptions!$B$142-Assumptions!$B$19)+Assumptions!$B$139*MAX(0,Assumptions!$B$143-Assumptions!$B$19))*Assumptions!$B$20/Assumptions!$B$7*F7+F104*(Assumptions!$B$134*Assumptions!$B$21+Assumptions!$B$135*Assumptions!$B$22)/12/Assumptions!$B$7*F7,0)</f>
        <v>0</v>
      </c>
      <c r="G113" s="54" t="n">
        <f aca="false">IF(G2&gt;=Assumptions!$B$50,G108*G17*Assumptions!$B$18+G104*(Assumptions!$B$136*MAX(0,Assumptions!$B$140-Assumptions!$B$19)+Assumptions!$B$137*MAX(0,Assumptions!$B$141-Assumptions!$B$19)+Assumptions!$B$138*MAX(0,Assumptions!$B$142-Assumptions!$B$19)+Assumptions!$B$139*MAX(0,Assumptions!$B$143-Assumptions!$B$19))*Assumptions!$B$20/Assumptions!$B$7*G7+G104*(Assumptions!$B$134*Assumptions!$B$21+Assumptions!$B$135*Assumptions!$B$22)/12/Assumptions!$B$7*G7,0)</f>
        <v>0</v>
      </c>
      <c r="H113" s="54" t="n">
        <f aca="false">IF(H2&gt;=Assumptions!$B$50,H108*H17*Assumptions!$B$18+H104*(Assumptions!$B$136*MAX(0,Assumptions!$B$140-Assumptions!$B$19)+Assumptions!$B$137*MAX(0,Assumptions!$B$141-Assumptions!$B$19)+Assumptions!$B$138*MAX(0,Assumptions!$B$142-Assumptions!$B$19)+Assumptions!$B$139*MAX(0,Assumptions!$B$143-Assumptions!$B$19))*Assumptions!$B$20/Assumptions!$B$7*H7+H104*(Assumptions!$B$134*Assumptions!$B$21+Assumptions!$B$135*Assumptions!$B$22)/12/Assumptions!$B$7*H7,0)</f>
        <v>0</v>
      </c>
      <c r="I113" s="54" t="n">
        <f aca="false">IF(I2&gt;=Assumptions!$B$50,I108*I17*Assumptions!$B$18+I104*(Assumptions!$B$136*MAX(0,Assumptions!$B$140-Assumptions!$B$19)+Assumptions!$B$137*MAX(0,Assumptions!$B$141-Assumptions!$B$19)+Assumptions!$B$138*MAX(0,Assumptions!$B$142-Assumptions!$B$19)+Assumptions!$B$139*MAX(0,Assumptions!$B$143-Assumptions!$B$19))*Assumptions!$B$20/Assumptions!$B$7*I7+I104*(Assumptions!$B$134*Assumptions!$B$21+Assumptions!$B$135*Assumptions!$B$22)/12/Assumptions!$B$7*I7,0)</f>
        <v>0</v>
      </c>
      <c r="J113" s="54" t="n">
        <f aca="false">IF(J2&gt;=Assumptions!$B$50,J108*J17*Assumptions!$B$18+J104*(Assumptions!$B$136*MAX(0,Assumptions!$B$140-Assumptions!$B$19)+Assumptions!$B$137*MAX(0,Assumptions!$B$141-Assumptions!$B$19)+Assumptions!$B$138*MAX(0,Assumptions!$B$142-Assumptions!$B$19)+Assumptions!$B$139*MAX(0,Assumptions!$B$143-Assumptions!$B$19))*Assumptions!$B$20/Assumptions!$B$7*J7+J104*(Assumptions!$B$134*Assumptions!$B$21+Assumptions!$B$135*Assumptions!$B$22)/12/Assumptions!$B$7*J7,0)</f>
        <v>0</v>
      </c>
      <c r="K113" s="54" t="n">
        <f aca="false">IF(K2&gt;=Assumptions!$B$50,K108*K17*Assumptions!$B$18+K104*(Assumptions!$B$136*MAX(0,Assumptions!$B$140-Assumptions!$B$19)+Assumptions!$B$137*MAX(0,Assumptions!$B$141-Assumptions!$B$19)+Assumptions!$B$138*MAX(0,Assumptions!$B$142-Assumptions!$B$19)+Assumptions!$B$139*MAX(0,Assumptions!$B$143-Assumptions!$B$19))*Assumptions!$B$20/Assumptions!$B$7*K7+K104*(Assumptions!$B$134*Assumptions!$B$21+Assumptions!$B$135*Assumptions!$B$22)/12/Assumptions!$B$7*K7,0)</f>
        <v>0</v>
      </c>
      <c r="L113" s="54" t="n">
        <f aca="false">IF(L2&gt;=Assumptions!$B$50,L108*L17*Assumptions!$B$18+L104*(Assumptions!$B$136*MAX(0,Assumptions!$B$140-Assumptions!$B$19)+Assumptions!$B$137*MAX(0,Assumptions!$B$141-Assumptions!$B$19)+Assumptions!$B$138*MAX(0,Assumptions!$B$142-Assumptions!$B$19)+Assumptions!$B$139*MAX(0,Assumptions!$B$143-Assumptions!$B$19))*Assumptions!$B$20/Assumptions!$B$7*L7+L104*(Assumptions!$B$134*Assumptions!$B$21+Assumptions!$B$135*Assumptions!$B$22)/12/Assumptions!$B$7*L7,0)</f>
        <v>0</v>
      </c>
      <c r="M113" s="54" t="n">
        <f aca="false">IF(M2&gt;=Assumptions!$B$50,M108*M17*Assumptions!$B$18+M104*(Assumptions!$B$136*MAX(0,Assumptions!$B$140-Assumptions!$B$19)+Assumptions!$B$137*MAX(0,Assumptions!$B$141-Assumptions!$B$19)+Assumptions!$B$138*MAX(0,Assumptions!$B$142-Assumptions!$B$19)+Assumptions!$B$139*MAX(0,Assumptions!$B$143-Assumptions!$B$19))*Assumptions!$B$20/Assumptions!$B$7*M7+M104*(Assumptions!$B$134*Assumptions!$B$21+Assumptions!$B$135*Assumptions!$B$22)/12/Assumptions!$B$7*M7,0)</f>
        <v>0</v>
      </c>
      <c r="N113" s="54" t="n">
        <f aca="false">IF(N2&gt;=Assumptions!$B$50,N108*N17*Assumptions!$B$18+N104*(Assumptions!$B$136*MAX(0,Assumptions!$B$140-Assumptions!$B$19)+Assumptions!$B$137*MAX(0,Assumptions!$B$141-Assumptions!$B$19)+Assumptions!$B$138*MAX(0,Assumptions!$B$142-Assumptions!$B$19)+Assumptions!$B$139*MAX(0,Assumptions!$B$143-Assumptions!$B$19))*Assumptions!$B$20/Assumptions!$B$7*N7+N104*(Assumptions!$B$134*Assumptions!$B$21+Assumptions!$B$135*Assumptions!$B$22)/12/Assumptions!$B$7*N7,0)</f>
        <v>0</v>
      </c>
      <c r="O113" s="54" t="n">
        <f aca="false">IF(O2&gt;=Assumptions!$B$50,O108*O17*Assumptions!$B$18+O104*(Assumptions!$B$136*MAX(0,Assumptions!$B$140-Assumptions!$B$19)+Assumptions!$B$137*MAX(0,Assumptions!$B$141-Assumptions!$B$19)+Assumptions!$B$138*MAX(0,Assumptions!$B$142-Assumptions!$B$19)+Assumptions!$B$139*MAX(0,Assumptions!$B$143-Assumptions!$B$19))*Assumptions!$B$20/Assumptions!$B$7*O7+O104*(Assumptions!$B$134*Assumptions!$B$21+Assumptions!$B$135*Assumptions!$B$22)/12/Assumptions!$B$7*O7,0)</f>
        <v>134.458427711455</v>
      </c>
      <c r="P113" s="54" t="n">
        <f aca="false">IF(P2&gt;=Assumptions!$B$50,P108*P17*Assumptions!$B$18+P104*(Assumptions!$B$136*MAX(0,Assumptions!$B$140-Assumptions!$B$19)+Assumptions!$B$137*MAX(0,Assumptions!$B$141-Assumptions!$B$19)+Assumptions!$B$138*MAX(0,Assumptions!$B$142-Assumptions!$B$19)+Assumptions!$B$139*MAX(0,Assumptions!$B$143-Assumptions!$B$19))*Assumptions!$B$20/Assumptions!$B$7*P7+P104*(Assumptions!$B$134*Assumptions!$B$21+Assumptions!$B$135*Assumptions!$B$22)/12/Assumptions!$B$7*P7,0)</f>
        <v>157.185688586189</v>
      </c>
      <c r="Q113" s="54" t="n">
        <f aca="false">IF(Q2&gt;=Assumptions!$B$50,Q108*Q17*Assumptions!$B$18+Q104*(Assumptions!$B$136*MAX(0,Assumptions!$B$140-Assumptions!$B$19)+Assumptions!$B$137*MAX(0,Assumptions!$B$141-Assumptions!$B$19)+Assumptions!$B$138*MAX(0,Assumptions!$B$142-Assumptions!$B$19)+Assumptions!$B$139*MAX(0,Assumptions!$B$143-Assumptions!$B$19))*Assumptions!$B$20/Assumptions!$B$7*Q7+Q104*(Assumptions!$B$134*Assumptions!$B$21+Assumptions!$B$135*Assumptions!$B$22)/12/Assumptions!$B$7*Q7,0)</f>
        <v>179.973602062122</v>
      </c>
      <c r="R113" s="54" t="n">
        <f aca="false">IF(R2&gt;=Assumptions!$B$50,R108*R17*Assumptions!$B$18+R104*(Assumptions!$B$136*MAX(0,Assumptions!$B$140-Assumptions!$B$19)+Assumptions!$B$137*MAX(0,Assumptions!$B$141-Assumptions!$B$19)+Assumptions!$B$138*MAX(0,Assumptions!$B$142-Assumptions!$B$19)+Assumptions!$B$139*MAX(0,Assumptions!$B$143-Assumptions!$B$19))*Assumptions!$B$20/Assumptions!$B$7*R7+R104*(Assumptions!$B$134*Assumptions!$B$21+Assumptions!$B$135*Assumptions!$B$22)/12/Assumptions!$B$7*R7,0)</f>
        <v>204.194829236964</v>
      </c>
      <c r="S113" s="54" t="n">
        <f aca="false">IF(S2&gt;=Assumptions!$B$50,S108*S17*Assumptions!$B$18+S104*(Assumptions!$B$136*MAX(0,Assumptions!$B$140-Assumptions!$B$19)+Assumptions!$B$137*MAX(0,Assumptions!$B$141-Assumptions!$B$19)+Assumptions!$B$138*MAX(0,Assumptions!$B$142-Assumptions!$B$19)+Assumptions!$B$139*MAX(0,Assumptions!$B$143-Assumptions!$B$19))*Assumptions!$B$20/Assumptions!$B$7*S7+S104*(Assumptions!$B$134*Assumptions!$B$21+Assumptions!$B$135*Assumptions!$B$22)/12/Assumptions!$B$7*S7,0)</f>
        <v>232.230890712495</v>
      </c>
      <c r="T113" s="54" t="n">
        <f aca="false">IF(T2&gt;=Assumptions!$B$50,T108*T17*Assumptions!$B$18+T104*(Assumptions!$B$136*MAX(0,Assumptions!$B$140-Assumptions!$B$19)+Assumptions!$B$137*MAX(0,Assumptions!$B$141-Assumptions!$B$19)+Assumptions!$B$138*MAX(0,Assumptions!$B$142-Assumptions!$B$19)+Assumptions!$B$139*MAX(0,Assumptions!$B$143-Assumptions!$B$19))*Assumptions!$B$20/Assumptions!$B$7*T7+T104*(Assumptions!$B$134*Assumptions!$B$21+Assumptions!$B$135*Assumptions!$B$22)/12/Assumptions!$B$7*T7,0)</f>
        <v>294.609964497203</v>
      </c>
      <c r="U113" s="54" t="n">
        <f aca="false">IF(U2&gt;=Assumptions!$B$50,U108*U17*Assumptions!$B$18+U104*(Assumptions!$B$136*MAX(0,Assumptions!$B$140-Assumptions!$B$19)+Assumptions!$B$137*MAX(0,Assumptions!$B$141-Assumptions!$B$19)+Assumptions!$B$138*MAX(0,Assumptions!$B$142-Assumptions!$B$19)+Assumptions!$B$139*MAX(0,Assumptions!$B$143-Assumptions!$B$19))*Assumptions!$B$20/Assumptions!$B$7*U7+U104*(Assumptions!$B$134*Assumptions!$B$21+Assumptions!$B$135*Assumptions!$B$22)/12/Assumptions!$B$7*U7,0)</f>
        <v>341.699390401929</v>
      </c>
      <c r="V113" s="54" t="n">
        <f aca="false">IF(V2&gt;=Assumptions!$B$50,V108*V17*Assumptions!$B$18+V104*(Assumptions!$B$136*MAX(0,Assumptions!$B$140-Assumptions!$B$19)+Assumptions!$B$137*MAX(0,Assumptions!$B$141-Assumptions!$B$19)+Assumptions!$B$138*MAX(0,Assumptions!$B$142-Assumptions!$B$19)+Assumptions!$B$139*MAX(0,Assumptions!$B$143-Assumptions!$B$19))*Assumptions!$B$20/Assumptions!$B$7*V7+V104*(Assumptions!$B$134*Assumptions!$B$21+Assumptions!$B$135*Assumptions!$B$22)/12/Assumptions!$B$7*V7,0)</f>
        <v>372.598858618832</v>
      </c>
      <c r="W113" s="54" t="n">
        <f aca="false">IF(W2&gt;=Assumptions!$B$50,W108*W17*Assumptions!$B$18+W104*(Assumptions!$B$136*MAX(0,Assumptions!$B$140-Assumptions!$B$19)+Assumptions!$B$137*MAX(0,Assumptions!$B$141-Assumptions!$B$19)+Assumptions!$B$138*MAX(0,Assumptions!$B$142-Assumptions!$B$19)+Assumptions!$B$139*MAX(0,Assumptions!$B$143-Assumptions!$B$19))*Assumptions!$B$20/Assumptions!$B$7*W7+W104*(Assumptions!$B$134*Assumptions!$B$21+Assumptions!$B$135*Assumptions!$B$22)/12/Assumptions!$B$7*W7,0)</f>
        <v>442.20646889869</v>
      </c>
      <c r="X113" s="54" t="n">
        <f aca="false">IF(X2&gt;=Assumptions!$B$50,X108*X17*Assumptions!$B$18+X104*(Assumptions!$B$136*MAX(0,Assumptions!$B$140-Assumptions!$B$19)+Assumptions!$B$137*MAX(0,Assumptions!$B$141-Assumptions!$B$19)+Assumptions!$B$138*MAX(0,Assumptions!$B$142-Assumptions!$B$19)+Assumptions!$B$139*MAX(0,Assumptions!$B$143-Assumptions!$B$19))*Assumptions!$B$20/Assumptions!$B$7*X7+X104*(Assumptions!$B$134*Assumptions!$B$21+Assumptions!$B$135*Assumptions!$B$22)/12/Assumptions!$B$7*X7,0)</f>
        <v>558.486176797433</v>
      </c>
      <c r="Y113" s="54" t="n">
        <f aca="false">IF(Y2&gt;=Assumptions!$B$50,Y108*Y17*Assumptions!$B$18+Y104*(Assumptions!$B$136*MAX(0,Assumptions!$B$140-Assumptions!$B$19)+Assumptions!$B$137*MAX(0,Assumptions!$B$141-Assumptions!$B$19)+Assumptions!$B$138*MAX(0,Assumptions!$B$142-Assumptions!$B$19)+Assumptions!$B$139*MAX(0,Assumptions!$B$143-Assumptions!$B$19))*Assumptions!$B$20/Assumptions!$B$7*Y7+Y104*(Assumptions!$B$134*Assumptions!$B$21+Assumptions!$B$135*Assumptions!$B$22)/12/Assumptions!$B$7*Y7,0)</f>
        <v>653.496734099043</v>
      </c>
      <c r="Z113" s="54" t="n">
        <f aca="false">IF(Z2&gt;=Assumptions!$B$50,Z108*Z17*Assumptions!$B$18+Z104*(Assumptions!$B$136*MAX(0,Assumptions!$B$140-Assumptions!$B$19)+Assumptions!$B$137*MAX(0,Assumptions!$B$141-Assumptions!$B$19)+Assumptions!$B$138*MAX(0,Assumptions!$B$142-Assumptions!$B$19)+Assumptions!$B$139*MAX(0,Assumptions!$B$143-Assumptions!$B$19))*Assumptions!$B$20/Assumptions!$B$7*Z7+Z104*(Assumptions!$B$134*Assumptions!$B$21+Assumptions!$B$135*Assumptions!$B$22)/12/Assumptions!$B$7*Z7,0)</f>
        <v>748.21759117628</v>
      </c>
      <c r="AA113" s="54" t="n">
        <f aca="false">IF(AA2&gt;=Assumptions!$B$50,AA108*AA17*Assumptions!$B$18+AA104*(Assumptions!$B$136*MAX(0,Assumptions!$B$140-Assumptions!$B$19)+Assumptions!$B$137*MAX(0,Assumptions!$B$141-Assumptions!$B$19)+Assumptions!$B$138*MAX(0,Assumptions!$B$142-Assumptions!$B$19)+Assumptions!$B$139*MAX(0,Assumptions!$B$143-Assumptions!$B$19))*Assumptions!$B$20/Assumptions!$B$7*AA7+AA104*(Assumptions!$B$134*Assumptions!$B$21+Assumptions!$B$135*Assumptions!$B$22)/12/Assumptions!$B$7*AA7,0)</f>
        <v>64997.6247021177</v>
      </c>
      <c r="AB113" s="54" t="n">
        <f aca="false">IF(AB2&gt;=Assumptions!$B$50,AB108*AB17*Assumptions!$B$18+AB104*(Assumptions!$B$136*MAX(0,Assumptions!$B$140-Assumptions!$B$19)+Assumptions!$B$137*MAX(0,Assumptions!$B$141-Assumptions!$B$19)+Assumptions!$B$138*MAX(0,Assumptions!$B$142-Assumptions!$B$19)+Assumptions!$B$139*MAX(0,Assumptions!$B$143-Assumptions!$B$19))*Assumptions!$B$20/Assumptions!$B$7*AB7+AB104*(Assumptions!$B$134*Assumptions!$B$21+Assumptions!$B$135*Assumptions!$B$22)/12/Assumptions!$B$7*AB7,0)</f>
        <v>126549.204459648</v>
      </c>
      <c r="AC113" s="54" t="n">
        <f aca="false">IF(AC2&gt;=Assumptions!$B$50,AC108*AC17*Assumptions!$B$18+AC104*(Assumptions!$B$136*MAX(0,Assumptions!$B$140-Assumptions!$B$19)+Assumptions!$B$137*MAX(0,Assumptions!$B$141-Assumptions!$B$19)+Assumptions!$B$138*MAX(0,Assumptions!$B$142-Assumptions!$B$19)+Assumptions!$B$139*MAX(0,Assumptions!$B$143-Assumptions!$B$19))*Assumptions!$B$20/Assumptions!$B$7*AC7+AC104*(Assumptions!$B$134*Assumptions!$B$21+Assumptions!$B$135*Assumptions!$B$22)/12/Assumptions!$B$7*AC7,0)</f>
        <v>211092.698543187</v>
      </c>
      <c r="AD113" s="54" t="n">
        <f aca="false">IF(AD2&gt;=Assumptions!$B$50,AD108*AD17*Assumptions!$B$18+AD104*(Assumptions!$B$136*MAX(0,Assumptions!$B$140-Assumptions!$B$19)+Assumptions!$B$137*MAX(0,Assumptions!$B$141-Assumptions!$B$19)+Assumptions!$B$138*MAX(0,Assumptions!$B$142-Assumptions!$B$19)+Assumptions!$B$139*MAX(0,Assumptions!$B$143-Assumptions!$B$19))*Assumptions!$B$20/Assumptions!$B$7*AD7+AD104*(Assumptions!$B$134*Assumptions!$B$21+Assumptions!$B$135*Assumptions!$B$22)/12/Assumptions!$B$7*AD7,0)</f>
        <v>302496.885725279</v>
      </c>
      <c r="AE113" s="54" t="n">
        <f aca="false">IF(AE2&gt;=Assumptions!$B$50,AE108*AE17*Assumptions!$B$18+AE104*(Assumptions!$B$136*MAX(0,Assumptions!$B$140-Assumptions!$B$19)+Assumptions!$B$137*MAX(0,Assumptions!$B$141-Assumptions!$B$19)+Assumptions!$B$138*MAX(0,Assumptions!$B$142-Assumptions!$B$19)+Assumptions!$B$139*MAX(0,Assumptions!$B$143-Assumptions!$B$19))*Assumptions!$B$20/Assumptions!$B$7*AE7+AE104*(Assumptions!$B$134*Assumptions!$B$21+Assumptions!$B$135*Assumptions!$B$22)/12/Assumptions!$B$7*AE7,0)</f>
        <v>393918.302562854</v>
      </c>
    </row>
    <row r="114" customFormat="false" ht="15" hidden="false" customHeight="false" outlineLevel="0" collapsed="false">
      <c r="A114" s="6" t="s">
        <v>449</v>
      </c>
      <c r="B114" s="23" t="s">
        <v>110</v>
      </c>
      <c r="C114" s="54" t="n">
        <f aca="false">IF(C2&gt;=Assumptions!$B$51,C103*Assumptions!$B$144*(1-Assumptions!$B$163)*IF(C95=0,0,C101/C95)*Assumptions!$B$32*Assumptions!$B$145*Assumptions!$B$146,0)</f>
        <v>0</v>
      </c>
      <c r="D114" s="54" t="n">
        <f aca="false">IF(D2&gt;=Assumptions!$B$51,D103*Assumptions!$B$144*(1-Assumptions!$B$163)*IF(D95=0,0,D101/D95)*Assumptions!$B$32*Assumptions!$B$145*Assumptions!$B$146,0)</f>
        <v>0</v>
      </c>
      <c r="E114" s="54" t="n">
        <f aca="false">IF(E2&gt;=Assumptions!$B$51,E103*Assumptions!$B$144*(1-Assumptions!$B$163)*IF(E95=0,0,E101/E95)*Assumptions!$B$32*Assumptions!$B$145*Assumptions!$B$146,0)</f>
        <v>0</v>
      </c>
      <c r="F114" s="54" t="n">
        <f aca="false">IF(F2&gt;=Assumptions!$B$51,F103*Assumptions!$B$144*(1-Assumptions!$B$163)*IF(F95=0,0,F101/F95)*Assumptions!$B$32*Assumptions!$B$145*Assumptions!$B$146,0)</f>
        <v>0</v>
      </c>
      <c r="G114" s="54" t="n">
        <f aca="false">IF(G2&gt;=Assumptions!$B$51,G103*Assumptions!$B$144*(1-Assumptions!$B$163)*IF(G95=0,0,G101/G95)*Assumptions!$B$32*Assumptions!$B$145*Assumptions!$B$146,0)</f>
        <v>0</v>
      </c>
      <c r="H114" s="54" t="n">
        <f aca="false">IF(H2&gt;=Assumptions!$B$51,H103*Assumptions!$B$144*(1-Assumptions!$B$163)*IF(H95=0,0,H101/H95)*Assumptions!$B$32*Assumptions!$B$145*Assumptions!$B$146,0)</f>
        <v>0</v>
      </c>
      <c r="I114" s="54" t="n">
        <f aca="false">IF(I2&gt;=Assumptions!$B$51,I103*Assumptions!$B$144*(1-Assumptions!$B$163)*IF(I95=0,0,I101/I95)*Assumptions!$B$32*Assumptions!$B$145*Assumptions!$B$146,0)</f>
        <v>0</v>
      </c>
      <c r="J114" s="54" t="n">
        <f aca="false">IF(J2&gt;=Assumptions!$B$51,J103*Assumptions!$B$144*(1-Assumptions!$B$163)*IF(J95=0,0,J101/J95)*Assumptions!$B$32*Assumptions!$B$145*Assumptions!$B$146,0)</f>
        <v>0</v>
      </c>
      <c r="K114" s="54" t="n">
        <f aca="false">IF(K2&gt;=Assumptions!$B$51,K103*Assumptions!$B$144*(1-Assumptions!$B$163)*IF(K95=0,0,K101/K95)*Assumptions!$B$32*Assumptions!$B$145*Assumptions!$B$146,0)</f>
        <v>0</v>
      </c>
      <c r="L114" s="54" t="n">
        <f aca="false">IF(L2&gt;=Assumptions!$B$51,L103*Assumptions!$B$144*(1-Assumptions!$B$163)*IF(L95=0,0,L101/L95)*Assumptions!$B$32*Assumptions!$B$145*Assumptions!$B$146,0)</f>
        <v>0</v>
      </c>
      <c r="M114" s="54" t="n">
        <f aca="false">IF(M2&gt;=Assumptions!$B$51,M103*Assumptions!$B$144*(1-Assumptions!$B$163)*IF(M95=0,0,M101/M95)*Assumptions!$B$32*Assumptions!$B$145*Assumptions!$B$146,0)</f>
        <v>0</v>
      </c>
      <c r="N114" s="54" t="n">
        <f aca="false">IF(N2&gt;=Assumptions!$B$51,N103*Assumptions!$B$144*(1-Assumptions!$B$163)*IF(N95=0,0,N101/N95)*Assumptions!$B$32*Assumptions!$B$145*Assumptions!$B$146,0)</f>
        <v>0</v>
      </c>
      <c r="O114" s="54" t="n">
        <f aca="false">IF(O2&gt;=Assumptions!$B$51,O103*Assumptions!$B$144*(1-Assumptions!$B$163)*IF(O95=0,0,O101/O95)*Assumptions!$B$32*Assumptions!$B$145*Assumptions!$B$146,0)</f>
        <v>197.895123018178</v>
      </c>
      <c r="P114" s="54" t="n">
        <f aca="false">IF(P2&gt;=Assumptions!$B$51,P103*Assumptions!$B$144*(1-Assumptions!$B$163)*IF(P95=0,0,P101/P95)*Assumptions!$B$32*Assumptions!$B$145*Assumptions!$B$146,0)</f>
        <v>227.379693925284</v>
      </c>
      <c r="Q114" s="54" t="n">
        <f aca="false">IF(Q2&gt;=Assumptions!$B$51,Q103*Assumptions!$B$144*(1-Assumptions!$B$163)*IF(Q95=0,0,Q101/Q95)*Assumptions!$B$32*Assumptions!$B$145*Assumptions!$B$146,0)</f>
        <v>263.206943580536</v>
      </c>
      <c r="R114" s="54" t="n">
        <f aca="false">IF(R2&gt;=Assumptions!$B$51,R103*Assumptions!$B$144*(1-Assumptions!$B$163)*IF(R95=0,0,R101/R95)*Assumptions!$B$32*Assumptions!$B$145*Assumptions!$B$146,0)</f>
        <v>296.525965073762</v>
      </c>
      <c r="S114" s="54" t="n">
        <f aca="false">IF(S2&gt;=Assumptions!$B$51,S103*Assumptions!$B$144*(1-Assumptions!$B$163)*IF(S95=0,0,S101/S95)*Assumptions!$B$32*Assumptions!$B$145*Assumptions!$B$146,0)</f>
        <v>342.60101524229</v>
      </c>
      <c r="T114" s="54" t="n">
        <f aca="false">IF(T2&gt;=Assumptions!$B$51,T103*Assumptions!$B$144*(1-Assumptions!$B$163)*IF(T95=0,0,T101/T95)*Assumptions!$B$32*Assumptions!$B$145*Assumptions!$B$146,0)</f>
        <v>412.149128842445</v>
      </c>
      <c r="U114" s="54" t="n">
        <f aca="false">IF(U2&gt;=Assumptions!$B$51,U103*Assumptions!$B$144*(1-Assumptions!$B$163)*IF(U95=0,0,U101/U95)*Assumptions!$B$32*Assumptions!$B$145*Assumptions!$B$146,0)</f>
        <v>483.224086532149</v>
      </c>
      <c r="V114" s="54" t="n">
        <f aca="false">IF(V2&gt;=Assumptions!$B$51,V103*Assumptions!$B$144*(1-Assumptions!$B$163)*IF(V95=0,0,V101/V95)*Assumptions!$B$32*Assumptions!$B$145*Assumptions!$B$146,0)</f>
        <v>551.808869205689</v>
      </c>
      <c r="W114" s="54" t="n">
        <f aca="false">IF(W2&gt;=Assumptions!$B$51,W103*Assumptions!$B$144*(1-Assumptions!$B$163)*IF(W95=0,0,W101/W95)*Assumptions!$B$32*Assumptions!$B$145*Assumptions!$B$146,0)</f>
        <v>740.45864541441</v>
      </c>
      <c r="X114" s="54" t="n">
        <f aca="false">IF(X2&gt;=Assumptions!$B$51,X103*Assumptions!$B$144*(1-Assumptions!$B$163)*IF(X95=0,0,X101/X95)*Assumptions!$B$32*Assumptions!$B$145*Assumptions!$B$146,0)</f>
        <v>914.235823804598</v>
      </c>
      <c r="Y114" s="54" t="n">
        <f aca="false">IF(Y2&gt;=Assumptions!$B$51,Y103*Assumptions!$B$144*(1-Assumptions!$B$163)*IF(Y95=0,0,Y101/Y95)*Assumptions!$B$32*Assumptions!$B$145*Assumptions!$B$146,0)</f>
        <v>1098.58292581187</v>
      </c>
      <c r="Z114" s="54" t="n">
        <f aca="false">IF(Z2&gt;=Assumptions!$B$51,Z103*Assumptions!$B$144*(1-Assumptions!$B$163)*IF(Z95=0,0,Z101/Z95)*Assumptions!$B$32*Assumptions!$B$145*Assumptions!$B$146,0)</f>
        <v>1346.20534980699</v>
      </c>
      <c r="AA114" s="54" t="n">
        <f aca="false">IF(AA2&gt;=Assumptions!$B$51,AA103*Assumptions!$B$144*(1-Assumptions!$B$163)*IF(AA95=0,0,AA101/AA95)*Assumptions!$B$32*Assumptions!$B$145*Assumptions!$B$146,0)</f>
        <v>12246.6095652896</v>
      </c>
      <c r="AB114" s="54" t="n">
        <f aca="false">IF(AB2&gt;=Assumptions!$B$51,AB103*Assumptions!$B$144*(1-Assumptions!$B$163)*IF(AB95=0,0,AB101/AB95)*Assumptions!$B$32*Assumptions!$B$145*Assumptions!$B$146,0)</f>
        <v>26320.8902109062</v>
      </c>
      <c r="AC114" s="54" t="n">
        <f aca="false">IF(AC2&gt;=Assumptions!$B$51,AC103*Assumptions!$B$144*(1-Assumptions!$B$163)*IF(AC95=0,0,AC101/AC95)*Assumptions!$B$32*Assumptions!$B$145*Assumptions!$B$146,0)</f>
        <v>44955.42824927</v>
      </c>
      <c r="AD114" s="54" t="n">
        <f aca="false">IF(AD2&gt;=Assumptions!$B$51,AD103*Assumptions!$B$144*(1-Assumptions!$B$163)*IF(AD95=0,0,AD101/AD95)*Assumptions!$B$32*Assumptions!$B$145*Assumptions!$B$146,0)</f>
        <v>64402.2204784011</v>
      </c>
      <c r="AE114" s="54" t="n">
        <f aca="false">IF(AE2&gt;=Assumptions!$B$51,AE103*Assumptions!$B$144*(1-Assumptions!$B$163)*IF(AE95=0,0,AE101/AE95)*Assumptions!$B$32*Assumptions!$B$145*Assumptions!$B$146,0)</f>
        <v>81643.6801846088</v>
      </c>
    </row>
    <row r="115" customFormat="false" ht="15" hidden="false" customHeight="false" outlineLevel="0" collapsed="false">
      <c r="A115" s="6" t="s">
        <v>450</v>
      </c>
      <c r="B115" s="23" t="s">
        <v>110</v>
      </c>
      <c r="C115" s="54" t="n">
        <f aca="false">(C114*Assumptions!$B$30*Assumptions!$B$31+C114/Assumptions!$B$146*Assumptions!$B$147*Assumptions!$B$28*Assumptions!$B$29)*C7/12</f>
        <v>0</v>
      </c>
      <c r="D115" s="54" t="n">
        <f aca="false">(D114*Assumptions!$B$30*Assumptions!$B$31+D114/Assumptions!$B$146*Assumptions!$B$147*Assumptions!$B$28*Assumptions!$B$29)*D7/12</f>
        <v>0</v>
      </c>
      <c r="E115" s="54" t="n">
        <f aca="false">(E114*Assumptions!$B$30*Assumptions!$B$31+E114/Assumptions!$B$146*Assumptions!$B$147*Assumptions!$B$28*Assumptions!$B$29)*E7/12</f>
        <v>0</v>
      </c>
      <c r="F115" s="54" t="n">
        <f aca="false">(F114*Assumptions!$B$30*Assumptions!$B$31+F114/Assumptions!$B$146*Assumptions!$B$147*Assumptions!$B$28*Assumptions!$B$29)*F7/12</f>
        <v>0</v>
      </c>
      <c r="G115" s="54" t="n">
        <f aca="false">(G114*Assumptions!$B$30*Assumptions!$B$31+G114/Assumptions!$B$146*Assumptions!$B$147*Assumptions!$B$28*Assumptions!$B$29)*G7/12</f>
        <v>0</v>
      </c>
      <c r="H115" s="54" t="n">
        <f aca="false">(H114*Assumptions!$B$30*Assumptions!$B$31+H114/Assumptions!$B$146*Assumptions!$B$147*Assumptions!$B$28*Assumptions!$B$29)*H7/12</f>
        <v>0</v>
      </c>
      <c r="I115" s="54" t="n">
        <f aca="false">(I114*Assumptions!$B$30*Assumptions!$B$31+I114/Assumptions!$B$146*Assumptions!$B$147*Assumptions!$B$28*Assumptions!$B$29)*I7/12</f>
        <v>0</v>
      </c>
      <c r="J115" s="54" t="n">
        <f aca="false">(J114*Assumptions!$B$30*Assumptions!$B$31+J114/Assumptions!$B$146*Assumptions!$B$147*Assumptions!$B$28*Assumptions!$B$29)*J7/12</f>
        <v>0</v>
      </c>
      <c r="K115" s="54" t="n">
        <f aca="false">(K114*Assumptions!$B$30*Assumptions!$B$31+K114/Assumptions!$B$146*Assumptions!$B$147*Assumptions!$B$28*Assumptions!$B$29)*K7/12</f>
        <v>0</v>
      </c>
      <c r="L115" s="54" t="n">
        <f aca="false">(L114*Assumptions!$B$30*Assumptions!$B$31+L114/Assumptions!$B$146*Assumptions!$B$147*Assumptions!$B$28*Assumptions!$B$29)*L7/12</f>
        <v>0</v>
      </c>
      <c r="M115" s="54" t="n">
        <f aca="false">(M114*Assumptions!$B$30*Assumptions!$B$31+M114/Assumptions!$B$146*Assumptions!$B$147*Assumptions!$B$28*Assumptions!$B$29)*M7/12</f>
        <v>0</v>
      </c>
      <c r="N115" s="54" t="n">
        <f aca="false">(N114*Assumptions!$B$30*Assumptions!$B$31+N114/Assumptions!$B$146*Assumptions!$B$147*Assumptions!$B$28*Assumptions!$B$29)*N7/12</f>
        <v>0</v>
      </c>
      <c r="O115" s="54" t="n">
        <f aca="false">(O114*Assumptions!$B$30*Assumptions!$B$31+O114/Assumptions!$B$146*Assumptions!$B$147*Assumptions!$B$28*Assumptions!$B$29)*O7/12</f>
        <v>0.470000917168173</v>
      </c>
      <c r="P115" s="54" t="n">
        <f aca="false">(P114*Assumptions!$B$30*Assumptions!$B$31+P114/Assumptions!$B$146*Assumptions!$B$147*Assumptions!$B$28*Assumptions!$B$29)*P7/12</f>
        <v>0.54002677307255</v>
      </c>
      <c r="Q115" s="54" t="n">
        <f aca="false">(Q114*Assumptions!$B$30*Assumptions!$B$31+Q114/Assumptions!$B$146*Assumptions!$B$147*Assumptions!$B$28*Assumptions!$B$29)*Q7/12</f>
        <v>0.625116491003774</v>
      </c>
      <c r="R115" s="54" t="n">
        <f aca="false">(R114*Assumptions!$B$30*Assumptions!$B$31+R114/Assumptions!$B$146*Assumptions!$B$147*Assumptions!$B$28*Assumptions!$B$29)*R7/12</f>
        <v>0.704249167050185</v>
      </c>
      <c r="S115" s="54" t="n">
        <f aca="false">(S114*Assumptions!$B$30*Assumptions!$B$31+S114/Assumptions!$B$146*Assumptions!$B$147*Assumptions!$B$28*Assumptions!$B$29)*S7/12</f>
        <v>0.813677411200439</v>
      </c>
      <c r="T115" s="54" t="n">
        <f aca="false">(T114*Assumptions!$B$30*Assumptions!$B$31+T114/Assumptions!$B$146*Assumptions!$B$147*Assumptions!$B$28*Assumptions!$B$29)*T7/12</f>
        <v>0.978854181000807</v>
      </c>
      <c r="U115" s="54" t="n">
        <f aca="false">(U114*Assumptions!$B$30*Assumptions!$B$31+U114/Assumptions!$B$146*Assumptions!$B$147*Assumptions!$B$28*Assumptions!$B$29)*U7/12</f>
        <v>1.14765720551385</v>
      </c>
      <c r="V115" s="54" t="n">
        <f aca="false">(V114*Assumptions!$B$30*Assumptions!$B$31+V114/Assumptions!$B$146*Assumptions!$B$147*Assumptions!$B$28*Assumptions!$B$29)*V7/12</f>
        <v>1.31054606436351</v>
      </c>
      <c r="W115" s="54" t="n">
        <f aca="false">(W114*Assumptions!$B$30*Assumptions!$B$31+W114/Assumptions!$B$146*Assumptions!$B$147*Assumptions!$B$28*Assumptions!$B$29)*W7/12</f>
        <v>1.75858928285922</v>
      </c>
      <c r="X115" s="54" t="n">
        <f aca="false">(X114*Assumptions!$B$30*Assumptions!$B$31+X114/Assumptions!$B$146*Assumptions!$B$147*Assumptions!$B$28*Assumptions!$B$29)*X7/12</f>
        <v>2.17131008153592</v>
      </c>
      <c r="Y115" s="54" t="n">
        <f aca="false">(Y114*Assumptions!$B$30*Assumptions!$B$31+Y114/Assumptions!$B$146*Assumptions!$B$147*Assumptions!$B$28*Assumptions!$B$29)*Y7/12</f>
        <v>2.6091344488032</v>
      </c>
      <c r="Z115" s="54" t="n">
        <f aca="false">(Z114*Assumptions!$B$30*Assumptions!$B$31+Z114/Assumptions!$B$146*Assumptions!$B$147*Assumptions!$B$28*Assumptions!$B$29)*Z7/12</f>
        <v>3.1972377057916</v>
      </c>
      <c r="AA115" s="54" t="n">
        <f aca="false">(AA114*Assumptions!$B$30*Assumptions!$B$31+AA114/Assumptions!$B$146*Assumptions!$B$147*Assumptions!$B$28*Assumptions!$B$29)*AA7/12</f>
        <v>349.028372610754</v>
      </c>
      <c r="AB115" s="54" t="n">
        <f aca="false">(AB114*Assumptions!$B$30*Assumptions!$B$31+AB114/Assumptions!$B$146*Assumptions!$B$147*Assumptions!$B$28*Assumptions!$B$29)*AB7/12</f>
        <v>750.145371010828</v>
      </c>
      <c r="AC115" s="54" t="n">
        <f aca="false">(AC114*Assumptions!$B$30*Assumptions!$B$31+AC114/Assumptions!$B$146*Assumptions!$B$147*Assumptions!$B$28*Assumptions!$B$29)*AC7/12</f>
        <v>1281.22970510419</v>
      </c>
      <c r="AD115" s="54" t="n">
        <f aca="false">(AD114*Assumptions!$B$30*Assumptions!$B$31+AD114/Assumptions!$B$146*Assumptions!$B$147*Assumptions!$B$28*Assumptions!$B$29)*AD7/12</f>
        <v>1835.46328363443</v>
      </c>
      <c r="AE115" s="54" t="n">
        <f aca="false">(AE114*Assumptions!$B$30*Assumptions!$B$31+AE114/Assumptions!$B$146*Assumptions!$B$147*Assumptions!$B$28*Assumptions!$B$29)*AE7/12</f>
        <v>2326.84488526135</v>
      </c>
    </row>
    <row r="116" customFormat="false" ht="15" hidden="false" customHeight="false" outlineLevel="0" collapsed="false">
      <c r="A116" s="6" t="s">
        <v>451</v>
      </c>
      <c r="B116" s="23" t="s">
        <v>452</v>
      </c>
      <c r="C116" s="44" t="n">
        <f aca="false">IF(C2&gt;=Assumptions!$B$47,(C92+C94*Assumptions!$B$125)*Assumptions!$B$124*C7/12,0)</f>
        <v>0.173237012975681</v>
      </c>
      <c r="D116" s="44" t="n">
        <f aca="false">IF(D2&gt;=Assumptions!$B$47,(D92+D94*Assumptions!$B$125)*Assumptions!$B$124*D7/12,0)</f>
        <v>0.3473747932316</v>
      </c>
      <c r="E116" s="44" t="n">
        <f aca="false">IF(E2&gt;=Assumptions!$B$47,(E92+E94*Assumptions!$B$125)*Assumptions!$B$124*E7/12,0)</f>
        <v>0.523196745410267</v>
      </c>
      <c r="F116" s="44" t="n">
        <f aca="false">IF(F2&gt;=Assumptions!$B$47,(F92+F94*Assumptions!$B$125)*Assumptions!$B$124*F7/12,0)</f>
        <v>0.746145421549953</v>
      </c>
      <c r="G116" s="44" t="n">
        <f aca="false">IF(G2&gt;=Assumptions!$B$47,(G92+G94*Assumptions!$B$125)*Assumptions!$B$124*G7/12,0)</f>
        <v>0.959756762624549</v>
      </c>
      <c r="H116" s="44" t="n">
        <f aca="false">IF(H2&gt;=Assumptions!$B$47,(H92+H94*Assumptions!$B$125)*Assumptions!$B$124*H7/12,0)</f>
        <v>1.15399980314715</v>
      </c>
      <c r="I116" s="44" t="n">
        <f aca="false">IF(I2&gt;=Assumptions!$B$47,(I92+I94*Assumptions!$B$125)*Assumptions!$B$124*I7/12,0)</f>
        <v>1.3492289019121</v>
      </c>
      <c r="J116" s="44" t="n">
        <f aca="false">IF(J2&gt;=Assumptions!$B$47,(J92+J94*Assumptions!$B$125)*Assumptions!$B$124*J7/12,0)</f>
        <v>1.54998897715532</v>
      </c>
      <c r="K116" s="44" t="n">
        <f aca="false">IF(K2&gt;=Assumptions!$B$47,(K92+K94*Assumptions!$B$125)*Assumptions!$B$124*K7/12,0)</f>
        <v>1.76966575532146</v>
      </c>
      <c r="L116" s="44" t="n">
        <f aca="false">IF(L2&gt;=Assumptions!$B$47,(L92+L94*Assumptions!$B$125)*Assumptions!$B$124*L7/12,0)</f>
        <v>2.04969395719948</v>
      </c>
      <c r="M116" s="44" t="n">
        <f aca="false">IF(M2&gt;=Assumptions!$B$47,(M92+M94*Assumptions!$B$125)*Assumptions!$B$124*M7/12,0)</f>
        <v>2.32106178296705</v>
      </c>
      <c r="N116" s="44" t="n">
        <f aca="false">IF(N2&gt;=Assumptions!$B$47,(N92+N94*Assumptions!$B$125)*Assumptions!$B$124*N7/12,0)</f>
        <v>2.57561976726502</v>
      </c>
      <c r="O116" s="44" t="n">
        <f aca="false">IF(O2&gt;=Assumptions!$B$47,(O92+O94*Assumptions!$B$125)*Assumptions!$B$124*O7/12,0)</f>
        <v>3.26797820132414</v>
      </c>
      <c r="P116" s="44" t="n">
        <f aca="false">IF(P2&gt;=Assumptions!$B$47,(P92+P94*Assumptions!$B$125)*Assumptions!$B$124*P7/12,0)</f>
        <v>3.96473954498971</v>
      </c>
      <c r="Q116" s="44" t="n">
        <f aca="false">IF(Q2&gt;=Assumptions!$B$47,(Q92+Q94*Assumptions!$B$125)*Assumptions!$B$124*Q7/12,0)</f>
        <v>4.66817619550678</v>
      </c>
      <c r="R116" s="44" t="n">
        <f aca="false">IF(R2&gt;=Assumptions!$B$47,(R92+R94*Assumptions!$B$125)*Assumptions!$B$124*R7/12,0)</f>
        <v>5.54067546368433</v>
      </c>
      <c r="S116" s="44" t="n">
        <f aca="false">IF(S2&gt;=Assumptions!$B$47,(S92+S94*Assumptions!$B$125)*Assumptions!$B$124*S7/12,0)</f>
        <v>6.38251771635265</v>
      </c>
      <c r="T116" s="44" t="n">
        <f aca="false">IF(T2&gt;=Assumptions!$B$47,(T92+T94*Assumptions!$B$125)*Assumptions!$B$124*T7/12,0)</f>
        <v>7.15546726506382</v>
      </c>
      <c r="U116" s="44" t="n">
        <f aca="false">IF(U2&gt;=Assumptions!$B$47,(U92+U94*Assumptions!$B$125)*Assumptions!$B$124*U7/12,0)</f>
        <v>7.9320993314211</v>
      </c>
      <c r="V116" s="44" t="n">
        <f aca="false">IF(V2&gt;=Assumptions!$B$47,(V92+V94*Assumptions!$B$125)*Assumptions!$B$124*V7/12,0)</f>
        <v>8.72899318195036</v>
      </c>
      <c r="W116" s="44" t="n">
        <f aca="false">IF(W2&gt;=Assumptions!$B$47,(W92+W94*Assumptions!$B$125)*Assumptions!$B$124*W7/12,0)</f>
        <v>9.59596472839871</v>
      </c>
      <c r="X116" s="44" t="n">
        <f aca="false">IF(X2&gt;=Assumptions!$B$47,(X92+X94*Assumptions!$B$125)*Assumptions!$B$124*X7/12,0)</f>
        <v>10.6887930492596</v>
      </c>
      <c r="Y116" s="44" t="n">
        <f aca="false">IF(Y2&gt;=Assumptions!$B$47,(Y92+Y94*Assumptions!$B$125)*Assumptions!$B$124*Y7/12,0)</f>
        <v>11.7537458243636</v>
      </c>
      <c r="Z116" s="44" t="n">
        <f aca="false">IF(Z2&gt;=Assumptions!$B$47,(Z92+Z94*Assumptions!$B$125)*Assumptions!$B$124*Z7/12,0)</f>
        <v>12.7582896373914</v>
      </c>
      <c r="AA116" s="44" t="n">
        <f aca="false">IF(AA2&gt;=Assumptions!$B$47,(AA92+AA94*Assumptions!$B$125)*Assumptions!$B$124*AA7/12,0)</f>
        <v>462.087362831663</v>
      </c>
      <c r="AB116" s="44" t="n">
        <f aca="false">IF(AB2&gt;=Assumptions!$B$47,(AB92+AB94*Assumptions!$B$125)*Assumptions!$B$124*AB7/12,0)</f>
        <v>958.146369478571</v>
      </c>
      <c r="AC116" s="44" t="n">
        <f aca="false">IF(AC2&gt;=Assumptions!$B$47,(AC92+AC94*Assumptions!$B$125)*Assumptions!$B$124*AC7/12,0)</f>
        <v>1673.12383044459</v>
      </c>
      <c r="AD116" s="44" t="n">
        <f aca="false">IF(AD2&gt;=Assumptions!$B$47,(AD92+AD94*Assumptions!$B$125)*Assumptions!$B$124*AD7/12,0)</f>
        <v>2516.41730697334</v>
      </c>
      <c r="AE116" s="44" t="n">
        <f aca="false">IF(AE2&gt;=Assumptions!$B$47,(AE92+AE94*Assumptions!$B$125)*Assumptions!$B$124*AE7/12,0)</f>
        <v>3419.73199658235</v>
      </c>
    </row>
    <row r="117" customFormat="false" ht="15" hidden="false" customHeight="false" outlineLevel="0" collapsed="false">
      <c r="A117" s="3" t="s">
        <v>457</v>
      </c>
      <c r="B117" s="23" t="s">
        <v>110</v>
      </c>
      <c r="C117" s="56" t="n">
        <f aca="false">C109+C110+C111+C112+C113+C115</f>
        <v>31.3793444007807</v>
      </c>
      <c r="D117" s="56" t="n">
        <f aca="false">D109+D110+D111+D112+D113+D115</f>
        <v>59.6630407225671</v>
      </c>
      <c r="E117" s="56" t="n">
        <f aca="false">E109+E110+E111+E112+E113+E115</f>
        <v>85.314480589261</v>
      </c>
      <c r="F117" s="56" t="n">
        <f aca="false">F109+F110+F111+F112+F113+F115</f>
        <v>116.838281090071</v>
      </c>
      <c r="G117" s="56" t="n">
        <f aca="false">G109+G110+G111+G112+G113+G115</f>
        <v>143.396949352191</v>
      </c>
      <c r="H117" s="56" t="n">
        <f aca="false">H109+H110+H111+H112+H113+H115</f>
        <v>163.689162181703</v>
      </c>
      <c r="I117" s="56" t="n">
        <f aca="false">I109+I110+I111+I112+I113+I115</f>
        <v>467.720101469181</v>
      </c>
      <c r="J117" s="56" t="n">
        <f aca="false">J109+J110+J111+J112+J113+J115</f>
        <v>512.572830857878</v>
      </c>
      <c r="K117" s="56" t="n">
        <f aca="false">K109+K110+K111+K112+K113+K115</f>
        <v>561.570656334613</v>
      </c>
      <c r="L117" s="56" t="n">
        <f aca="false">L109+L110+L111+L112+L113+L115</f>
        <v>633.56530869378</v>
      </c>
      <c r="M117" s="56" t="n">
        <f aca="false">M109+M110+M111+M112+M113+M115</f>
        <v>694.052946590139</v>
      </c>
      <c r="N117" s="56" t="n">
        <f aca="false">N109+N110+N111+N112+N113+N115</f>
        <v>740.436133048586</v>
      </c>
      <c r="O117" s="56" t="n">
        <f aca="false">O109+O110+O111+O112+O113+O115</f>
        <v>1137.62858946847</v>
      </c>
      <c r="P117" s="56" t="n">
        <f aca="false">P109+P110+P111+P112+P113+P115</f>
        <v>1384.72053577007</v>
      </c>
      <c r="Q117" s="56" t="n">
        <f aca="false">Q109+Q110+Q111+Q112+Q113+Q115</f>
        <v>1612.70000943478</v>
      </c>
      <c r="R117" s="56" t="n">
        <f aca="false">R109+R110+R111+R112+R113+R115</f>
        <v>1899.53186702662</v>
      </c>
      <c r="S117" s="56" t="n">
        <f aca="false">S109+S110+S111+S112+S113+S115</f>
        <v>2150.35780170354</v>
      </c>
      <c r="T117" s="56" t="n">
        <f aca="false">T109+T110+T111+T112+T113+T115</f>
        <v>2383.25797793947</v>
      </c>
      <c r="U117" s="56" t="n">
        <f aca="false">U109+U110+U111+U112+U113+U115</f>
        <v>2586.02434117509</v>
      </c>
      <c r="V117" s="56" t="n">
        <f aca="false">V109+V110+V111+V112+V113+V115</f>
        <v>2766.66088506535</v>
      </c>
      <c r="W117" s="56" t="n">
        <f aca="false">W109+W110+W111+W112+W113+W115</f>
        <v>3015.45790986269</v>
      </c>
      <c r="X117" s="56" t="n">
        <f aca="false">X109+X110+X111+X112+X113+X115</f>
        <v>3397.77011845331</v>
      </c>
      <c r="Y117" s="56" t="n">
        <f aca="false">Y109+Y110+Y111+Y112+Y113+Y115</f>
        <v>3721.8544587339</v>
      </c>
      <c r="Z117" s="56" t="n">
        <f aca="false">Z109+Z110+Z111+Z112+Z113+Z115</f>
        <v>4003.15477675583</v>
      </c>
      <c r="AA117" s="56" t="n">
        <f aca="false">AA109+AA110+AA111+AA112+AA113+AA115</f>
        <v>176160.767188995</v>
      </c>
      <c r="AB117" s="56" t="n">
        <f aca="false">AB109+AB110+AB111+AB112+AB113+AB115</f>
        <v>319119.125407185</v>
      </c>
      <c r="AC117" s="56" t="n">
        <f aca="false">AC109+AC110+AC111+AC112+AC113+AC115</f>
        <v>501696.286513664</v>
      </c>
      <c r="AD117" s="56" t="n">
        <f aca="false">AD109+AD110+AD111+AD112+AD113+AD115</f>
        <v>670296.030661201</v>
      </c>
      <c r="AE117" s="56" t="n">
        <f aca="false">AE109+AE110+AE111+AE112+AE113+AE115</f>
        <v>814361.655853823</v>
      </c>
    </row>
    <row r="119" customFormat="false" ht="15" hidden="false" customHeight="false" outlineLevel="0" collapsed="false">
      <c r="A119" s="45" t="s">
        <v>458</v>
      </c>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row>
    <row r="120" customFormat="false" ht="15" hidden="false" customHeight="false" outlineLevel="0" collapsed="false">
      <c r="A120" s="6" t="s">
        <v>459</v>
      </c>
      <c r="B120" s="23" t="s">
        <v>110</v>
      </c>
      <c r="C120" s="57" t="n">
        <f aca="false">IF(C2&gt;=Assumptions!$B$52,INDEX(Assumptions!$B$149:$B$155,C5)*Assumptions!$B$156,0)</f>
        <v>0</v>
      </c>
      <c r="D120" s="57" t="n">
        <f aca="false">IF(D2&gt;=Assumptions!$B$52,INDEX(Assumptions!$B$149:$B$155,D5)*Assumptions!$B$156,0)</f>
        <v>0</v>
      </c>
      <c r="E120" s="57" t="n">
        <f aca="false">IF(E2&gt;=Assumptions!$B$52,INDEX(Assumptions!$B$149:$B$155,E5)*Assumptions!$B$156,0)</f>
        <v>0</v>
      </c>
      <c r="F120" s="57" t="n">
        <f aca="false">IF(F2&gt;=Assumptions!$B$52,INDEX(Assumptions!$B$149:$B$155,F5)*Assumptions!$B$156,0)</f>
        <v>0</v>
      </c>
      <c r="G120" s="57" t="n">
        <f aca="false">IF(G2&gt;=Assumptions!$B$52,INDEX(Assumptions!$B$149:$B$155,G5)*Assumptions!$B$156,0)</f>
        <v>0</v>
      </c>
      <c r="H120" s="57" t="n">
        <f aca="false">IF(H2&gt;=Assumptions!$B$52,INDEX(Assumptions!$B$149:$B$155,H5)*Assumptions!$B$156,0)</f>
        <v>0</v>
      </c>
      <c r="I120" s="57" t="n">
        <f aca="false">IF(I2&gt;=Assumptions!$B$52,INDEX(Assumptions!$B$149:$B$155,I5)*Assumptions!$B$156,0)</f>
        <v>0</v>
      </c>
      <c r="J120" s="57" t="n">
        <f aca="false">IF(J2&gt;=Assumptions!$B$52,INDEX(Assumptions!$B$149:$B$155,J5)*Assumptions!$B$156,0)</f>
        <v>0</v>
      </c>
      <c r="K120" s="57" t="n">
        <f aca="false">IF(K2&gt;=Assumptions!$B$52,INDEX(Assumptions!$B$149:$B$155,K5)*Assumptions!$B$156,0)</f>
        <v>0</v>
      </c>
      <c r="L120" s="57" t="n">
        <f aca="false">IF(L2&gt;=Assumptions!$B$52,INDEX(Assumptions!$B$149:$B$155,L5)*Assumptions!$B$156,0)</f>
        <v>0</v>
      </c>
      <c r="M120" s="57" t="n">
        <f aca="false">IF(M2&gt;=Assumptions!$B$52,INDEX(Assumptions!$B$149:$B$155,M5)*Assumptions!$B$156,0)</f>
        <v>0</v>
      </c>
      <c r="N120" s="57" t="n">
        <f aca="false">IF(N2&gt;=Assumptions!$B$52,INDEX(Assumptions!$B$149:$B$155,N5)*Assumptions!$B$156,0)</f>
        <v>0</v>
      </c>
      <c r="O120" s="57" t="n">
        <f aca="false">IF(O2&gt;=Assumptions!$B$52,INDEX(Assumptions!$B$149:$B$155,O5)*Assumptions!$B$156,0)</f>
        <v>32000000</v>
      </c>
      <c r="P120" s="57" t="n">
        <f aca="false">IF(P2&gt;=Assumptions!$B$52,INDEX(Assumptions!$B$149:$B$155,P5)*Assumptions!$B$156,0)</f>
        <v>32000000</v>
      </c>
      <c r="Q120" s="57" t="n">
        <f aca="false">IF(Q2&gt;=Assumptions!$B$52,INDEX(Assumptions!$B$149:$B$155,Q5)*Assumptions!$B$156,0)</f>
        <v>32000000</v>
      </c>
      <c r="R120" s="57" t="n">
        <f aca="false">IF(R2&gt;=Assumptions!$B$52,INDEX(Assumptions!$B$149:$B$155,R5)*Assumptions!$B$156,0)</f>
        <v>32000000</v>
      </c>
      <c r="S120" s="57" t="n">
        <f aca="false">IF(S2&gt;=Assumptions!$B$52,INDEX(Assumptions!$B$149:$B$155,S5)*Assumptions!$B$156,0)</f>
        <v>32000000</v>
      </c>
      <c r="T120" s="57" t="n">
        <f aca="false">IF(T2&gt;=Assumptions!$B$52,INDEX(Assumptions!$B$149:$B$155,T5)*Assumptions!$B$156,0)</f>
        <v>32000000</v>
      </c>
      <c r="U120" s="57" t="n">
        <f aca="false">IF(U2&gt;=Assumptions!$B$52,INDEX(Assumptions!$B$149:$B$155,U5)*Assumptions!$B$156,0)</f>
        <v>32000000</v>
      </c>
      <c r="V120" s="57" t="n">
        <f aca="false">IF(V2&gt;=Assumptions!$B$52,INDEX(Assumptions!$B$149:$B$155,V5)*Assumptions!$B$156,0)</f>
        <v>32000000</v>
      </c>
      <c r="W120" s="57" t="n">
        <f aca="false">IF(W2&gt;=Assumptions!$B$52,INDEX(Assumptions!$B$149:$B$155,W5)*Assumptions!$B$156,0)</f>
        <v>32000000</v>
      </c>
      <c r="X120" s="57" t="n">
        <f aca="false">IF(X2&gt;=Assumptions!$B$52,INDEX(Assumptions!$B$149:$B$155,X5)*Assumptions!$B$156,0)</f>
        <v>32000000</v>
      </c>
      <c r="Y120" s="57" t="n">
        <f aca="false">IF(Y2&gt;=Assumptions!$B$52,INDEX(Assumptions!$B$149:$B$155,Y5)*Assumptions!$B$156,0)</f>
        <v>32000000</v>
      </c>
      <c r="Z120" s="57" t="n">
        <f aca="false">IF(Z2&gt;=Assumptions!$B$52,INDEX(Assumptions!$B$149:$B$155,Z5)*Assumptions!$B$156,0)</f>
        <v>32000000</v>
      </c>
      <c r="AA120" s="57" t="n">
        <f aca="false">IF(AA2&gt;=Assumptions!$B$52,INDEX(Assumptions!$B$149:$B$155,AA5)*Assumptions!$B$156,0)</f>
        <v>64000000</v>
      </c>
      <c r="AB120" s="57" t="n">
        <f aca="false">IF(AB2&gt;=Assumptions!$B$52,INDEX(Assumptions!$B$149:$B$155,AB5)*Assumptions!$B$156,0)</f>
        <v>96000000</v>
      </c>
      <c r="AC120" s="57" t="n">
        <f aca="false">IF(AC2&gt;=Assumptions!$B$52,INDEX(Assumptions!$B$149:$B$155,AC5)*Assumptions!$B$156,0)</f>
        <v>128000000</v>
      </c>
      <c r="AD120" s="57" t="n">
        <f aca="false">IF(AD2&gt;=Assumptions!$B$52,INDEX(Assumptions!$B$149:$B$155,AD5)*Assumptions!$B$156,0)</f>
        <v>160000000</v>
      </c>
      <c r="AE120" s="57" t="n">
        <f aca="false">IF(AE2&gt;=Assumptions!$B$52,INDEX(Assumptions!$B$149:$B$155,AE5)*Assumptions!$B$156,0)</f>
        <v>192000000</v>
      </c>
    </row>
    <row r="121" customFormat="false" ht="15" hidden="false" customHeight="false" outlineLevel="0" collapsed="false">
      <c r="A121" s="6" t="s">
        <v>128</v>
      </c>
      <c r="B121" s="23" t="s">
        <v>110</v>
      </c>
      <c r="C121" s="56" t="n">
        <f aca="false">C120*Assumptions!$B$27*C7/12</f>
        <v>0</v>
      </c>
      <c r="D121" s="56" t="n">
        <f aca="false">D120*Assumptions!$B$27*D7/12</f>
        <v>0</v>
      </c>
      <c r="E121" s="56" t="n">
        <f aca="false">E120*Assumptions!$B$27*E7/12</f>
        <v>0</v>
      </c>
      <c r="F121" s="56" t="n">
        <f aca="false">F120*Assumptions!$B$27*F7/12</f>
        <v>0</v>
      </c>
      <c r="G121" s="56" t="n">
        <f aca="false">G120*Assumptions!$B$27*G7/12</f>
        <v>0</v>
      </c>
      <c r="H121" s="56" t="n">
        <f aca="false">H120*Assumptions!$B$27*H7/12</f>
        <v>0</v>
      </c>
      <c r="I121" s="56" t="n">
        <f aca="false">I120*Assumptions!$B$27*I7/12</f>
        <v>0</v>
      </c>
      <c r="J121" s="56" t="n">
        <f aca="false">J120*Assumptions!$B$27*J7/12</f>
        <v>0</v>
      </c>
      <c r="K121" s="56" t="n">
        <f aca="false">K120*Assumptions!$B$27*K7/12</f>
        <v>0</v>
      </c>
      <c r="L121" s="56" t="n">
        <f aca="false">L120*Assumptions!$B$27*L7/12</f>
        <v>0</v>
      </c>
      <c r="M121" s="56" t="n">
        <f aca="false">M120*Assumptions!$B$27*M7/12</f>
        <v>0</v>
      </c>
      <c r="N121" s="56" t="n">
        <f aca="false">N120*Assumptions!$B$27*N7/12</f>
        <v>0</v>
      </c>
      <c r="O121" s="56" t="n">
        <f aca="false">O120*Assumptions!$B$27*O7/12</f>
        <v>16666.6666666667</v>
      </c>
      <c r="P121" s="56" t="n">
        <f aca="false">P120*Assumptions!$B$27*P7/12</f>
        <v>16666.6666666667</v>
      </c>
      <c r="Q121" s="56" t="n">
        <f aca="false">Q120*Assumptions!$B$27*Q7/12</f>
        <v>16666.6666666667</v>
      </c>
      <c r="R121" s="56" t="n">
        <f aca="false">R120*Assumptions!$B$27*R7/12</f>
        <v>16666.6666666667</v>
      </c>
      <c r="S121" s="56" t="n">
        <f aca="false">S120*Assumptions!$B$27*S7/12</f>
        <v>16666.6666666667</v>
      </c>
      <c r="T121" s="56" t="n">
        <f aca="false">T120*Assumptions!$B$27*T7/12</f>
        <v>16666.6666666667</v>
      </c>
      <c r="U121" s="56" t="n">
        <f aca="false">U120*Assumptions!$B$27*U7/12</f>
        <v>16666.6666666667</v>
      </c>
      <c r="V121" s="56" t="n">
        <f aca="false">V120*Assumptions!$B$27*V7/12</f>
        <v>16666.6666666667</v>
      </c>
      <c r="W121" s="56" t="n">
        <f aca="false">W120*Assumptions!$B$27*W7/12</f>
        <v>16666.6666666667</v>
      </c>
      <c r="X121" s="56" t="n">
        <f aca="false">X120*Assumptions!$B$27*X7/12</f>
        <v>16666.6666666667</v>
      </c>
      <c r="Y121" s="56" t="n">
        <f aca="false">Y120*Assumptions!$B$27*Y7/12</f>
        <v>16666.6666666667</v>
      </c>
      <c r="Z121" s="56" t="n">
        <f aca="false">Z120*Assumptions!$B$27*Z7/12</f>
        <v>16666.6666666667</v>
      </c>
      <c r="AA121" s="56" t="n">
        <f aca="false">AA120*Assumptions!$B$27*AA7/12</f>
        <v>400000</v>
      </c>
      <c r="AB121" s="56" t="n">
        <f aca="false">AB120*Assumptions!$B$27*AB7/12</f>
        <v>600000</v>
      </c>
      <c r="AC121" s="56" t="n">
        <f aca="false">AC120*Assumptions!$B$27*AC7/12</f>
        <v>800000</v>
      </c>
      <c r="AD121" s="56" t="n">
        <f aca="false">AD120*Assumptions!$B$27*AD7/12</f>
        <v>1000000</v>
      </c>
      <c r="AE121" s="56" t="n">
        <f aca="false">AE120*Assumptions!$B$27*AE7/12</f>
        <v>1200000</v>
      </c>
    </row>
    <row r="122" customFormat="false" ht="15" hidden="false" customHeight="false" outlineLevel="0" collapsed="false">
      <c r="A122" s="9" t="s">
        <v>460</v>
      </c>
    </row>
    <row r="124" customFormat="false" ht="15" hidden="false" customHeight="false" outlineLevel="0" collapsed="false">
      <c r="A124" s="45" t="s">
        <v>461</v>
      </c>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c r="AA124" s="46"/>
      <c r="AB124" s="46"/>
      <c r="AC124" s="46"/>
      <c r="AD124" s="46"/>
      <c r="AE124" s="46"/>
    </row>
    <row r="125" customFormat="false" ht="15" hidden="false" customHeight="false" outlineLevel="0" collapsed="false">
      <c r="A125" s="3" t="s">
        <v>462</v>
      </c>
      <c r="B125" s="23" t="s">
        <v>364</v>
      </c>
      <c r="C125" s="44" t="n">
        <f aca="false">C30+C61+C92</f>
        <v>57.7955719101021</v>
      </c>
      <c r="D125" s="44" t="n">
        <f aca="false">D30+D61+D92</f>
        <v>109.898206879712</v>
      </c>
      <c r="E125" s="44" t="n">
        <f aca="false">E30+E61+E92</f>
        <v>157.159821827561</v>
      </c>
      <c r="F125" s="44" t="n">
        <f aca="false">F30+F61+F92</f>
        <v>215.250179414811</v>
      </c>
      <c r="G125" s="44" t="n">
        <f aca="false">G30+G61+G92</f>
        <v>264.202074035304</v>
      </c>
      <c r="H125" s="44" t="n">
        <f aca="false">H30+H61+H92</f>
        <v>301.612881544192</v>
      </c>
      <c r="I125" s="44" t="n">
        <f aca="false">I30+I61+I92</f>
        <v>335.474793120129</v>
      </c>
      <c r="J125" s="44" t="n">
        <f aca="false">J30+J61+J92</f>
        <v>367.673986294549</v>
      </c>
      <c r="K125" s="44" t="n">
        <f aca="false">K30+K61+K92</f>
        <v>402.854654398906</v>
      </c>
      <c r="L125" s="44" t="n">
        <f aca="false">L30+L61+L92</f>
        <v>454.551665923366</v>
      </c>
      <c r="M125" s="44" t="n">
        <f aca="false">M30+M61+M92</f>
        <v>498.000316407508</v>
      </c>
      <c r="N125" s="44" t="n">
        <f aca="false">N30+N61+N92</f>
        <v>531.331308485269</v>
      </c>
      <c r="O125" s="44" t="n">
        <f aca="false">O30+O61+O92</f>
        <v>704.917824092513</v>
      </c>
      <c r="P125" s="44" t="n">
        <f aca="false">P30+P61+P92</f>
        <v>863.699554797464</v>
      </c>
      <c r="Q125" s="44" t="n">
        <f aca="false">Q30+Q61+Q92</f>
        <v>1009.77220265987</v>
      </c>
      <c r="R125" s="44" t="n">
        <f aca="false">R30+R61+R92</f>
        <v>1199.24221331506</v>
      </c>
      <c r="S125" s="44" t="n">
        <f aca="false">S30+S61+S92</f>
        <v>1360.77215861268</v>
      </c>
      <c r="T125" s="44" t="n">
        <f aca="false">T30+T61+T92</f>
        <v>1483.55369935213</v>
      </c>
      <c r="U125" s="44" t="n">
        <f aca="false">U30+U61+U92</f>
        <v>1596.039647084</v>
      </c>
      <c r="V125" s="44" t="n">
        <f aca="false">V30+V61+V92</f>
        <v>1704.97525692419</v>
      </c>
      <c r="W125" s="44" t="n">
        <f aca="false">W30+W61+W92</f>
        <v>1828.18549564335</v>
      </c>
      <c r="X125" s="44" t="n">
        <f aca="false">X30+X61+X92</f>
        <v>2019.37990103196</v>
      </c>
      <c r="Y125" s="44" t="n">
        <f aca="false">Y30+Y61+Y92</f>
        <v>2183.31109297922</v>
      </c>
      <c r="Z125" s="44" t="n">
        <f aca="false">Z30+Z61+Z92</f>
        <v>2310.66472321179</v>
      </c>
      <c r="AA125" s="44" t="n">
        <f aca="false">AA30+AA61+AA92</f>
        <v>4817.27742525344</v>
      </c>
      <c r="AB125" s="44" t="n">
        <f aca="false">AB30+AB61+AB92</f>
        <v>8189.24283631525</v>
      </c>
      <c r="AC125" s="44" t="n">
        <f aca="false">AC30+AC61+AC92</f>
        <v>12489.3673063657</v>
      </c>
      <c r="AD125" s="44" t="n">
        <f aca="false">AD30+AD61+AD92</f>
        <v>16772.6727910489</v>
      </c>
      <c r="AE125" s="44" t="n">
        <f aca="false">AE30+AE61+AE92</f>
        <v>20440.5853337914</v>
      </c>
    </row>
    <row r="126" customFormat="false" ht="15" hidden="false" customHeight="false" outlineLevel="0" collapsed="false">
      <c r="A126" s="3" t="s">
        <v>463</v>
      </c>
      <c r="B126" s="23" t="s">
        <v>364</v>
      </c>
      <c r="C126" s="44" t="n">
        <f aca="false">C32+C63+C94</f>
        <v>1.45776142323128</v>
      </c>
      <c r="D126" s="44" t="n">
        <f aca="false">D32+D63+D94</f>
        <v>5.65159023366516</v>
      </c>
      <c r="E126" s="44" t="n">
        <f aca="false">E32+E63+E94</f>
        <v>12.3193240640636</v>
      </c>
      <c r="F126" s="44" t="n">
        <f aca="false">F32+F63+F94</f>
        <v>21.614993571968</v>
      </c>
      <c r="G126" s="44" t="n">
        <f aca="false">G32+G63+G94</f>
        <v>33.5745126026816</v>
      </c>
      <c r="H126" s="44" t="n">
        <f aca="false">H32+H63+H94</f>
        <v>47.6819574187823</v>
      </c>
      <c r="I126" s="44" t="n">
        <f aca="false">I32+I63+I94</f>
        <v>63.5638792668517</v>
      </c>
      <c r="J126" s="44" t="n">
        <f aca="false">J32+J63+J94</f>
        <v>81.0910292776349</v>
      </c>
      <c r="K126" s="44" t="n">
        <f aca="false">K32+K63+K94</f>
        <v>100.297701848651</v>
      </c>
      <c r="L126" s="44" t="n">
        <f aca="false">L32+L63+L94</f>
        <v>121.673834851123</v>
      </c>
      <c r="M126" s="44" t="n">
        <f aca="false">M32+M63+M94</f>
        <v>145.417720322674</v>
      </c>
      <c r="N126" s="44" t="n">
        <f aca="false">N32+N63+N94</f>
        <v>171.071235718569</v>
      </c>
      <c r="O126" s="44" t="n">
        <f aca="false">O32+O63+O94</f>
        <v>201.923090087997</v>
      </c>
      <c r="P126" s="44" t="n">
        <f aca="false">P32+P63+P94</f>
        <v>241.050458743335</v>
      </c>
      <c r="Q126" s="44" t="n">
        <f aca="false">Q32+Q63+Q94</f>
        <v>287.768554023792</v>
      </c>
      <c r="R126" s="44" t="n">
        <f aca="false">R32+R63+R94</f>
        <v>342.859304183958</v>
      </c>
      <c r="S126" s="44" t="n">
        <f aca="false">S32+S63+S94</f>
        <v>406.685654743718</v>
      </c>
      <c r="T126" s="44" t="n">
        <f aca="false">T32+T63+T94</f>
        <v>477.582878978903</v>
      </c>
      <c r="U126" s="44" t="n">
        <f aca="false">U32+U63+U94</f>
        <v>554.337998660657</v>
      </c>
      <c r="V126" s="44" t="n">
        <f aca="false">V32+V63+V94</f>
        <v>636.608170540854</v>
      </c>
      <c r="W126" s="44" t="n">
        <f aca="false">W32+W63+W94</f>
        <v>724.666093494145</v>
      </c>
      <c r="X126" s="44" t="n">
        <f aca="false">X32+X63+X94</f>
        <v>820.577700047754</v>
      </c>
      <c r="Y126" s="44" t="n">
        <f aca="false">Y32+Y63+Y94</f>
        <v>925.327896845446</v>
      </c>
      <c r="Z126" s="44" t="n">
        <f aca="false">Z32+Z63+Z94</f>
        <v>1037.32336375588</v>
      </c>
      <c r="AA126" s="44" t="n">
        <f aca="false">AA32+AA63+AA94</f>
        <v>3312.69139437367</v>
      </c>
      <c r="AB126" s="44" t="n">
        <f aca="false">AB32+AB63+AB94</f>
        <v>7410.51021584706</v>
      </c>
      <c r="AC126" s="44" t="n">
        <f aca="false">AC32+AC63+AC94</f>
        <v>13877.7401528919</v>
      </c>
      <c r="AD126" s="44" t="n">
        <f aca="false">AD32+AD63+AD94</f>
        <v>22948.3393537159</v>
      </c>
      <c r="AE126" s="44" t="n">
        <f aca="false">AE32+AE63+AE94</f>
        <v>34403.5593946413</v>
      </c>
    </row>
    <row r="127" customFormat="false" ht="15" hidden="false" customHeight="false" outlineLevel="0" collapsed="false">
      <c r="A127" s="6" t="s">
        <v>464</v>
      </c>
      <c r="B127" s="23" t="s">
        <v>364</v>
      </c>
      <c r="C127" s="44" t="n">
        <f aca="false">C33+C64+C95</f>
        <v>59.2533333333333</v>
      </c>
      <c r="D127" s="44" t="n">
        <f aca="false">D33+D64+D95</f>
        <v>115.549797113377</v>
      </c>
      <c r="E127" s="44" t="n">
        <f aca="false">E33+E64+E95</f>
        <v>169.479145891625</v>
      </c>
      <c r="F127" s="44" t="n">
        <f aca="false">F33+F64+F95</f>
        <v>236.865172986779</v>
      </c>
      <c r="G127" s="44" t="n">
        <f aca="false">G33+G64+G95</f>
        <v>297.776586637986</v>
      </c>
      <c r="H127" s="44" t="n">
        <f aca="false">H33+H64+H95</f>
        <v>349.294838962975</v>
      </c>
      <c r="I127" s="44" t="n">
        <f aca="false">I33+I64+I95</f>
        <v>399.038672386981</v>
      </c>
      <c r="J127" s="44" t="n">
        <f aca="false">J33+J64+J95</f>
        <v>448.765015572184</v>
      </c>
      <c r="K127" s="44" t="n">
        <f aca="false">K33+K64+K95</f>
        <v>503.152356247557</v>
      </c>
      <c r="L127" s="44" t="n">
        <f aca="false">L33+L64+L95</f>
        <v>576.225500774489</v>
      </c>
      <c r="M127" s="44" t="n">
        <f aca="false">M33+M64+M95</f>
        <v>643.418036730182</v>
      </c>
      <c r="N127" s="44" t="n">
        <f aca="false">N33+N64+N95</f>
        <v>702.402544203838</v>
      </c>
      <c r="O127" s="44" t="n">
        <f aca="false">O33+O64+O95</f>
        <v>906.84091418051</v>
      </c>
      <c r="P127" s="44" t="n">
        <f aca="false">P33+P64+P95</f>
        <v>1104.7500135408</v>
      </c>
      <c r="Q127" s="44" t="n">
        <f aca="false">Q33+Q64+Q95</f>
        <v>1297.54075668367</v>
      </c>
      <c r="R127" s="44" t="n">
        <f aca="false">R33+R64+R95</f>
        <v>1542.10151749902</v>
      </c>
      <c r="S127" s="44" t="n">
        <f aca="false">S33+S64+S95</f>
        <v>1767.4578133564</v>
      </c>
      <c r="T127" s="44" t="n">
        <f aca="false">T33+T64+T95</f>
        <v>1961.13657833103</v>
      </c>
      <c r="U127" s="44" t="n">
        <f aca="false">U33+U64+U95</f>
        <v>2150.37764574465</v>
      </c>
      <c r="V127" s="44" t="n">
        <f aca="false">V33+V64+V95</f>
        <v>2341.58342746505</v>
      </c>
      <c r="W127" s="44" t="n">
        <f aca="false">W33+W64+W95</f>
        <v>2552.8515891375</v>
      </c>
      <c r="X127" s="44" t="n">
        <f aca="false">X33+X64+X95</f>
        <v>2839.95760107971</v>
      </c>
      <c r="Y127" s="44" t="n">
        <f aca="false">Y33+Y64+Y95</f>
        <v>3108.63898982466</v>
      </c>
      <c r="Z127" s="44" t="n">
        <f aca="false">Z33+Z64+Z95</f>
        <v>3347.98808696767</v>
      </c>
      <c r="AA127" s="44" t="n">
        <f aca="false">AA33+AA64+AA95</f>
        <v>8129.96881962712</v>
      </c>
      <c r="AB127" s="44" t="n">
        <f aca="false">AB33+AB64+AB95</f>
        <v>15599.7530521623</v>
      </c>
      <c r="AC127" s="44" t="n">
        <f aca="false">AC33+AC64+AC95</f>
        <v>26367.1074592577</v>
      </c>
      <c r="AD127" s="44" t="n">
        <f aca="false">AD33+AD64+AD95</f>
        <v>39721.0121447647</v>
      </c>
      <c r="AE127" s="44" t="n">
        <f aca="false">AE33+AE64+AE95</f>
        <v>54844.1447284327</v>
      </c>
    </row>
    <row r="128" customFormat="false" ht="15" hidden="false" customHeight="false" outlineLevel="0" collapsed="false">
      <c r="A128" s="3" t="s">
        <v>465</v>
      </c>
      <c r="B128" s="23" t="s">
        <v>364</v>
      </c>
      <c r="C128" s="44" t="n">
        <f aca="false">C29+C60+C91</f>
        <v>59.2533333333333</v>
      </c>
      <c r="D128" s="44" t="n">
        <f aca="false">D29+D60+D91</f>
        <v>56.2964637800435</v>
      </c>
      <c r="E128" s="44" t="n">
        <f aca="false">E29+E60+E91</f>
        <v>53.9293487782481</v>
      </c>
      <c r="F128" s="44" t="n">
        <f aca="false">F29+F60+F91</f>
        <v>67.3860270951541</v>
      </c>
      <c r="G128" s="44" t="n">
        <f aca="false">G29+G60+G91</f>
        <v>60.9114136512068</v>
      </c>
      <c r="H128" s="44" t="n">
        <f aca="false">H29+H60+H91</f>
        <v>51.518252324989</v>
      </c>
      <c r="I128" s="44" t="n">
        <f aca="false">I29+I60+I91</f>
        <v>49.7438334240064</v>
      </c>
      <c r="J128" s="44" t="n">
        <f aca="false">J29+J60+J91</f>
        <v>49.7263431852027</v>
      </c>
      <c r="K128" s="44" t="n">
        <f aca="false">K29+K60+K91</f>
        <v>54.3873406753733</v>
      </c>
      <c r="L128" s="44" t="n">
        <f aca="false">L29+L60+L91</f>
        <v>73.073144526932</v>
      </c>
      <c r="M128" s="44" t="n">
        <f aca="false">M29+M60+M91</f>
        <v>67.192535955693</v>
      </c>
      <c r="N128" s="44" t="n">
        <f aca="false">N29+N60+N91</f>
        <v>58.9845074736563</v>
      </c>
      <c r="O128" s="44" t="n">
        <f aca="false">O29+O60+O91</f>
        <v>204.438369976671</v>
      </c>
      <c r="P128" s="44" t="n">
        <f aca="false">P29+P60+P91</f>
        <v>197.909099360289</v>
      </c>
      <c r="Q128" s="44" t="n">
        <f aca="false">Q29+Q60+Q91</f>
        <v>192.790743142866</v>
      </c>
      <c r="R128" s="44" t="n">
        <f aca="false">R29+R60+R91</f>
        <v>244.560760815357</v>
      </c>
      <c r="S128" s="44" t="n">
        <f aca="false">S29+S60+S91</f>
        <v>225.356295857378</v>
      </c>
      <c r="T128" s="44" t="n">
        <f aca="false">T29+T60+T91</f>
        <v>193.678764974631</v>
      </c>
      <c r="U128" s="44" t="n">
        <f aca="false">U29+U60+U91</f>
        <v>189.24106741362</v>
      </c>
      <c r="V128" s="44" t="n">
        <f aca="false">V29+V60+V91</f>
        <v>191.205781720397</v>
      </c>
      <c r="W128" s="44" t="n">
        <f aca="false">W29+W60+W91</f>
        <v>211.268161672448</v>
      </c>
      <c r="X128" s="44" t="n">
        <f aca="false">X29+X60+X91</f>
        <v>287.106011942213</v>
      </c>
      <c r="Y128" s="44" t="n">
        <f aca="false">Y29+Y60+Y91</f>
        <v>268.681388744953</v>
      </c>
      <c r="Z128" s="44" t="n">
        <f aca="false">Z29+Z60+Z91</f>
        <v>239.349097143009</v>
      </c>
      <c r="AA128" s="44" t="n">
        <f aca="false">AA29+AA60+AA91</f>
        <v>4781.98073265945</v>
      </c>
      <c r="AB128" s="44" t="n">
        <f aca="false">AB29+AB60+AB91</f>
        <v>7469.7842325352</v>
      </c>
      <c r="AC128" s="44" t="n">
        <f aca="false">AC29+AC60+AC91</f>
        <v>10767.3544070953</v>
      </c>
      <c r="AD128" s="44" t="n">
        <f aca="false">AD29+AD60+AD91</f>
        <v>13353.9046855071</v>
      </c>
      <c r="AE128" s="44" t="n">
        <f aca="false">AE29+AE60+AE91</f>
        <v>15123.132583668</v>
      </c>
    </row>
    <row r="129" customFormat="false" ht="15" hidden="false" customHeight="false" outlineLevel="0" collapsed="false">
      <c r="A129" s="3" t="s">
        <v>466</v>
      </c>
      <c r="B129" s="23" t="s">
        <v>364</v>
      </c>
      <c r="C129" s="44" t="n">
        <f aca="false">C42+C73+C104</f>
        <v>0</v>
      </c>
      <c r="D129" s="44" t="n">
        <f aca="false">D42+D73+D104</f>
        <v>0</v>
      </c>
      <c r="E129" s="44" t="n">
        <f aca="false">E42+E73+E104</f>
        <v>0</v>
      </c>
      <c r="F129" s="44" t="n">
        <f aca="false">F42+F73+F104</f>
        <v>0</v>
      </c>
      <c r="G129" s="44" t="n">
        <f aca="false">G42+G73+G104</f>
        <v>0</v>
      </c>
      <c r="H129" s="44" t="n">
        <f aca="false">H42+H73+H104</f>
        <v>0</v>
      </c>
      <c r="I129" s="44" t="n">
        <f aca="false">I42+I73+I104</f>
        <v>0</v>
      </c>
      <c r="J129" s="44" t="n">
        <f aca="false">J42+J73+J104</f>
        <v>0</v>
      </c>
      <c r="K129" s="44" t="n">
        <f aca="false">K42+K73+K104</f>
        <v>0</v>
      </c>
      <c r="L129" s="44" t="n">
        <f aca="false">L42+L73+L104</f>
        <v>0</v>
      </c>
      <c r="M129" s="44" t="n">
        <f aca="false">M42+M73+M104</f>
        <v>0</v>
      </c>
      <c r="N129" s="44" t="n">
        <f aca="false">N42+N73+N104</f>
        <v>0</v>
      </c>
      <c r="O129" s="44" t="n">
        <f aca="false">O42+O73+O104</f>
        <v>81.8885613254461</v>
      </c>
      <c r="P129" s="44" t="n">
        <f aca="false">P42+P73+P104</f>
        <v>96.0560807148181</v>
      </c>
      <c r="Q129" s="44" t="n">
        <f aca="false">Q42+Q73+Q104</f>
        <v>109.73563490642</v>
      </c>
      <c r="R129" s="44" t="n">
        <f aca="false">R42+R73+R104</f>
        <v>123.410379282351</v>
      </c>
      <c r="S129" s="44" t="n">
        <f aca="false">S42+S73+S104</f>
        <v>138.366897968078</v>
      </c>
      <c r="T129" s="44" t="n">
        <f aca="false">T42+T73+T104</f>
        <v>158.462012712985</v>
      </c>
      <c r="U129" s="44" t="n">
        <f aca="false">U42+U73+U104</f>
        <v>176.9399601008</v>
      </c>
      <c r="V129" s="44" t="n">
        <f aca="false">V42+V73+V104</f>
        <v>193.160699656056</v>
      </c>
      <c r="W129" s="44" t="n">
        <f aca="false">W42+W73+W104</f>
        <v>249.38125139964</v>
      </c>
      <c r="X129" s="44" t="n">
        <f aca="false">X42+X73+X104</f>
        <v>303.80625372372</v>
      </c>
      <c r="Y129" s="44" t="n">
        <f aca="false">Y42+Y73+Y104</f>
        <v>356.823708088008</v>
      </c>
      <c r="Z129" s="44" t="n">
        <f aca="false">Z42+Z73+Z104</f>
        <v>424.077917312231</v>
      </c>
      <c r="AA129" s="44" t="n">
        <f aca="false">AA42+AA73+AA104</f>
        <v>2235.74142539746</v>
      </c>
      <c r="AB129" s="44" t="n">
        <f aca="false">AB42+AB73+AB104</f>
        <v>4289.93208934464</v>
      </c>
      <c r="AC129" s="44" t="n">
        <f aca="false">AC42+AC73+AC104</f>
        <v>7250.95455129586</v>
      </c>
      <c r="AD129" s="44" t="n">
        <f aca="false">AD42+AD73+AD104</f>
        <v>10923.2783398103</v>
      </c>
      <c r="AE129" s="44" t="n">
        <f aca="false">AE42+AE73+AE104</f>
        <v>15082.139800319</v>
      </c>
    </row>
    <row r="130" customFormat="false" ht="15" hidden="false" customHeight="false" outlineLevel="0" collapsed="false">
      <c r="A130" s="6" t="s">
        <v>467</v>
      </c>
      <c r="B130" s="23" t="s">
        <v>364</v>
      </c>
      <c r="C130" s="44" t="n">
        <f aca="false">C38+C69+C100</f>
        <v>14.5804911087634</v>
      </c>
      <c r="D130" s="44" t="n">
        <f aca="false">D38+D69+D100</f>
        <v>42.0566694449839</v>
      </c>
      <c r="E130" s="44" t="n">
        <f aca="false">E38+E69+E100</f>
        <v>80.9793698579557</v>
      </c>
      <c r="F130" s="44" t="n">
        <f aca="false">F38+F69+F100</f>
        <v>133.873905522241</v>
      </c>
      <c r="G130" s="44" t="n">
        <f aca="false">G38+G69+G100</f>
        <v>198.175092078033</v>
      </c>
      <c r="H130" s="44" t="n">
        <f aca="false">H38+H69+H100</f>
        <v>270.747247410331</v>
      </c>
      <c r="I130" s="44" t="n">
        <f aca="false">I38+I69+I100</f>
        <v>350.524325934775</v>
      </c>
      <c r="J130" s="44" t="n">
        <f aca="false">J38+J69+J100</f>
        <v>436.933749507059</v>
      </c>
      <c r="K130" s="44" t="n">
        <f aca="false">K38+K69+K100</f>
        <v>530.588876284099</v>
      </c>
      <c r="L130" s="44" t="n">
        <f aca="false">L38+L69+L100</f>
        <v>635.526553736569</v>
      </c>
      <c r="M130" s="44" t="n">
        <f aca="false">M38+M69+M100</f>
        <v>749.424623975257</v>
      </c>
      <c r="N130" s="44" t="n">
        <f aca="false">N38+N69+N100</f>
        <v>869.522881311411</v>
      </c>
      <c r="O130" s="44" t="n">
        <f aca="false">O38+O69+O100</f>
        <v>1030.07387240677</v>
      </c>
      <c r="P130" s="44" t="n">
        <f aca="false">P38+P69+P100</f>
        <v>1226.63659142227</v>
      </c>
      <c r="Q130" s="44" t="n">
        <f aca="false">Q38+Q69+Q100</f>
        <v>1455.37819241792</v>
      </c>
      <c r="R130" s="44" t="n">
        <f aca="false">R38+R69+R100</f>
        <v>1726.44008786529</v>
      </c>
      <c r="S130" s="44" t="n">
        <f aca="false">S38+S69+S100</f>
        <v>2032.08185440694</v>
      </c>
      <c r="T130" s="44" t="n">
        <f aca="false">T38+T69+T100</f>
        <v>2362.00499288903</v>
      </c>
      <c r="U130" s="44" t="n">
        <f aca="false">U38+U69+U100</f>
        <v>2713.14937846016</v>
      </c>
      <c r="V130" s="44" t="n">
        <f aca="false">V38+V69+V100</f>
        <v>3084.1808699481</v>
      </c>
      <c r="W130" s="44" t="n">
        <f aca="false">W38+W69+W100</f>
        <v>3478.22714306991</v>
      </c>
      <c r="X130" s="44" t="n">
        <f aca="false">X38+X69+X100</f>
        <v>3911.75354988519</v>
      </c>
      <c r="Y130" s="44" t="n">
        <f aca="false">Y38+Y69+Y100</f>
        <v>4377.15922552027</v>
      </c>
      <c r="Z130" s="44" t="n">
        <f aca="false">Z38+Z69+Z100</f>
        <v>4864.64470303314</v>
      </c>
      <c r="AA130" s="44" t="n">
        <f aca="false">AA38+AA69+AA100</f>
        <v>17867.2841406614</v>
      </c>
      <c r="AB130" s="44" t="n">
        <f aca="false">AB38+AB69+AB100</f>
        <v>37552.1828440506</v>
      </c>
      <c r="AC130" s="44" t="n">
        <f aca="false">AC38+AC69+AC100</f>
        <v>64895.6613540875</v>
      </c>
      <c r="AD130" s="44" t="n">
        <f aca="false">AD38+AD69+AD100</f>
        <v>97818.6028689975</v>
      </c>
      <c r="AE130" s="44" t="n">
        <f aca="false">AE38+AE69+AE100</f>
        <v>132873.77592994</v>
      </c>
    </row>
    <row r="131" customFormat="false" ht="15" hidden="false" customHeight="false" outlineLevel="0" collapsed="false">
      <c r="A131" s="3" t="s">
        <v>468</v>
      </c>
      <c r="B131" s="23" t="s">
        <v>364</v>
      </c>
      <c r="C131" s="54" t="n">
        <f aca="false">C39+C70+C101</f>
        <v>2062.55627224567</v>
      </c>
      <c r="D131" s="54" t="n">
        <f aca="false">D39+D70+D101</f>
        <v>5949.33645968743</v>
      </c>
      <c r="E131" s="54" t="n">
        <f aca="false">E39+E70+E101</f>
        <v>11455.3416601064</v>
      </c>
      <c r="F131" s="54" t="n">
        <f aca="false">F39+F70+F101</f>
        <v>18937.8026751762</v>
      </c>
      <c r="G131" s="54" t="n">
        <f aca="false">G39+G70+G101</f>
        <v>28033.8485253586</v>
      </c>
      <c r="H131" s="54" t="n">
        <f aca="false">H39+H70+H101</f>
        <v>38299.9056186654</v>
      </c>
      <c r="I131" s="54" t="n">
        <f aca="false">I39+I70+I101</f>
        <v>49585.1711467333</v>
      </c>
      <c r="J131" s="54" t="n">
        <f aca="false">J39+J70+J101</f>
        <v>61808.6482052685</v>
      </c>
      <c r="K131" s="54" t="n">
        <f aca="false">K39+K70+K101</f>
        <v>75057.1024391486</v>
      </c>
      <c r="L131" s="54" t="n">
        <f aca="false">L39+L70+L101</f>
        <v>89901.586291575</v>
      </c>
      <c r="M131" s="54" t="n">
        <f aca="false">M39+M70+M101</f>
        <v>106013.60730754</v>
      </c>
      <c r="N131" s="54" t="n">
        <f aca="false">N39+N70+N101</f>
        <v>123002.706790312</v>
      </c>
      <c r="O131" s="54" t="n">
        <f aca="false">O39+O70+O101</f>
        <v>145714.249990662</v>
      </c>
      <c r="P131" s="54" t="n">
        <f aca="false">P39+P70+P101</f>
        <v>173520.012222595</v>
      </c>
      <c r="Q131" s="54" t="n">
        <f aca="false">Q39+Q70+Q101</f>
        <v>205877.799099438</v>
      </c>
      <c r="R131" s="54" t="n">
        <f aca="false">R39+R70+R101</f>
        <v>244222.214829424</v>
      </c>
      <c r="S131" s="54" t="n">
        <f aca="false">S39+S70+S101</f>
        <v>287458.299124406</v>
      </c>
      <c r="T131" s="54" t="n">
        <f aca="false">T39+T70+T101</f>
        <v>334129.226294082</v>
      </c>
      <c r="U131" s="54" t="n">
        <f aca="false">U39+U70+U101</f>
        <v>383802.111076975</v>
      </c>
      <c r="V131" s="54" t="n">
        <f aca="false">V39+V70+V101</f>
        <v>436288.225862858</v>
      </c>
      <c r="W131" s="54" t="n">
        <f aca="false">W39+W70+W101</f>
        <v>492030.011658669</v>
      </c>
      <c r="X131" s="54" t="n">
        <f aca="false">X39+X70+X101</f>
        <v>553356.657166759</v>
      </c>
      <c r="Y131" s="54" t="n">
        <f aca="false">Y39+Y70+Y101</f>
        <v>619192.944042098</v>
      </c>
      <c r="Z131" s="54" t="n">
        <f aca="false">Z39+Z70+Z101</f>
        <v>688152.639691068</v>
      </c>
      <c r="AA131" s="54" t="n">
        <f aca="false">AA39+AA70+AA101</f>
        <v>2527506.01453796</v>
      </c>
      <c r="AB131" s="54" t="n">
        <f aca="false">AB39+AB70+AB101</f>
        <v>5312131.7851194</v>
      </c>
      <c r="AC131" s="54" t="n">
        <f aca="false">AC39+AC70+AC101</f>
        <v>9180140.25514922</v>
      </c>
      <c r="AD131" s="54" t="n">
        <f aca="false">AD39+AD70+AD101</f>
        <v>13837419.5618484</v>
      </c>
      <c r="AE131" s="54" t="n">
        <f aca="false">AE39+AE70+AE101</f>
        <v>18796324.3430493</v>
      </c>
    </row>
    <row r="132" customFormat="false" ht="15" hidden="false" customHeight="false" outlineLevel="0" collapsed="false">
      <c r="A132" s="6" t="s">
        <v>469</v>
      </c>
      <c r="B132" s="23" t="s">
        <v>364</v>
      </c>
      <c r="C132" s="44" t="n">
        <f aca="false">C41+C72+C103</f>
        <v>0</v>
      </c>
      <c r="D132" s="44" t="n">
        <f aca="false">D41+D72+D103</f>
        <v>0</v>
      </c>
      <c r="E132" s="44" t="n">
        <f aca="false">E41+E72+E103</f>
        <v>0</v>
      </c>
      <c r="F132" s="44" t="n">
        <f aca="false">F41+F72+F103</f>
        <v>0</v>
      </c>
      <c r="G132" s="44" t="n">
        <f aca="false">G41+G72+G103</f>
        <v>0</v>
      </c>
      <c r="H132" s="44" t="n">
        <f aca="false">H41+H72+H103</f>
        <v>0</v>
      </c>
      <c r="I132" s="44" t="n">
        <f aca="false">I41+I72+I103</f>
        <v>0</v>
      </c>
      <c r="J132" s="44" t="n">
        <f aca="false">J41+J72+J103</f>
        <v>0</v>
      </c>
      <c r="K132" s="44" t="n">
        <f aca="false">K41+K72+K103</f>
        <v>32.5893333333333</v>
      </c>
      <c r="L132" s="44" t="n">
        <f aca="false">L41+L72+L103</f>
        <v>63.5523884123573</v>
      </c>
      <c r="M132" s="44" t="n">
        <f aca="false">M41+M72+M103</f>
        <v>93.2135302403937</v>
      </c>
      <c r="N132" s="44" t="n">
        <f aca="false">N41+N72+N103</f>
        <v>130.275845142728</v>
      </c>
      <c r="O132" s="44" t="n">
        <f aca="false">O41+O72+O103</f>
        <v>163.777122650892</v>
      </c>
      <c r="P132" s="44" t="n">
        <f aca="false">P41+P72+P103</f>
        <v>192.112161429636</v>
      </c>
      <c r="Q132" s="44" t="n">
        <f aca="false">Q41+Q72+Q103</f>
        <v>219.47126981284</v>
      </c>
      <c r="R132" s="44" t="n">
        <f aca="false">R41+R72+R103</f>
        <v>246.820758564701</v>
      </c>
      <c r="S132" s="44" t="n">
        <f aca="false">S41+S72+S103</f>
        <v>276.733795936156</v>
      </c>
      <c r="T132" s="44" t="n">
        <f aca="false">T41+T72+T103</f>
        <v>316.924025425969</v>
      </c>
      <c r="U132" s="44" t="n">
        <f aca="false">U41+U72+U103</f>
        <v>353.8799202016</v>
      </c>
      <c r="V132" s="44" t="n">
        <f aca="false">V41+V72+V103</f>
        <v>386.321399312111</v>
      </c>
      <c r="W132" s="44" t="n">
        <f aca="false">W41+W72+W103</f>
        <v>498.76250279928</v>
      </c>
      <c r="X132" s="44" t="n">
        <f aca="false">X41+X72+X103</f>
        <v>607.61250744744</v>
      </c>
      <c r="Y132" s="44" t="n">
        <f aca="false">Y41+Y72+Y103</f>
        <v>713.647416176016</v>
      </c>
      <c r="Z132" s="44" t="n">
        <f aca="false">Z41+Z72+Z103</f>
        <v>848.155834624463</v>
      </c>
      <c r="AA132" s="44" t="n">
        <f aca="false">AA41+AA72+AA103</f>
        <v>4471.48285079491</v>
      </c>
      <c r="AB132" s="44" t="n">
        <f aca="false">AB41+AB72+AB103</f>
        <v>8579.86417868927</v>
      </c>
      <c r="AC132" s="44" t="n">
        <f aca="false">AC41+AC72+AC103</f>
        <v>14501.9091025917</v>
      </c>
      <c r="AD132" s="44" t="n">
        <f aca="false">AD41+AD72+AD103</f>
        <v>21846.5566796206</v>
      </c>
      <c r="AE132" s="44" t="n">
        <f aca="false">AE41+AE72+AE103</f>
        <v>30164.279600638</v>
      </c>
    </row>
    <row r="133" customFormat="false" ht="15" hidden="false" customHeight="false" outlineLevel="0" collapsed="false">
      <c r="A133" s="6" t="s">
        <v>470</v>
      </c>
      <c r="B133" s="23" t="s">
        <v>364</v>
      </c>
      <c r="C133" s="54" t="n">
        <f aca="false">C34+C65+C96</f>
        <v>1853.30130137511</v>
      </c>
      <c r="D133" s="54" t="n">
        <f aca="false">D34+D65+D96</f>
        <v>3524.06347660936</v>
      </c>
      <c r="E133" s="54" t="n">
        <f aca="false">E34+E65+E96</f>
        <v>5039.60209993961</v>
      </c>
      <c r="F133" s="54" t="n">
        <f aca="false">F34+F65+F96</f>
        <v>6902.40018861593</v>
      </c>
      <c r="G133" s="54" t="n">
        <f aca="false">G34+G65+G96</f>
        <v>8472.16977251214</v>
      </c>
      <c r="H133" s="54" t="n">
        <f aca="false">H34+H65+H96</f>
        <v>9671.85822444971</v>
      </c>
      <c r="I133" s="54" t="n">
        <f aca="false">I34+I65+I96</f>
        <v>10757.7515414159</v>
      </c>
      <c r="J133" s="54" t="n">
        <f aca="false">J34+J65+J96</f>
        <v>11790.3342976795</v>
      </c>
      <c r="K133" s="54" t="n">
        <f aca="false">K34+K65+K96</f>
        <v>12918.5375813263</v>
      </c>
      <c r="L133" s="54" t="n">
        <f aca="false">L34+L65+L96</f>
        <v>14576.4077827231</v>
      </c>
      <c r="M133" s="54" t="n">
        <f aca="false">M34+M65+M96</f>
        <v>15969.7836195277</v>
      </c>
      <c r="N133" s="54" t="n">
        <f aca="false">N34+N65+N96</f>
        <v>17038.7122670716</v>
      </c>
      <c r="O133" s="54" t="n">
        <f aca="false">O34+O65+O96</f>
        <v>22450.5041074171</v>
      </c>
      <c r="P133" s="54" t="n">
        <f aca="false">P34+P65+P96</f>
        <v>27401.7488611964</v>
      </c>
      <c r="Q133" s="54" t="n">
        <f aca="false">Q34+Q65+Q96</f>
        <v>31957.6080176786</v>
      </c>
      <c r="R133" s="54" t="n">
        <f aca="false">R34+R65+R96</f>
        <v>37874.7514833589</v>
      </c>
      <c r="S133" s="54" t="n">
        <f aca="false">S34+S65+S96</f>
        <v>42919.6866184745</v>
      </c>
      <c r="T133" s="54" t="n">
        <f aca="false">T34+T65+T96</f>
        <v>46752.9586671655</v>
      </c>
      <c r="U133" s="54" t="n">
        <f aca="false">U34+U65+U96</f>
        <v>50265.3380263281</v>
      </c>
      <c r="V133" s="54" t="n">
        <f aca="false">V34+V65+V96</f>
        <v>53668.0066196524</v>
      </c>
      <c r="W133" s="54" t="n">
        <f aca="false">W34+W65+W96</f>
        <v>57519.6340309811</v>
      </c>
      <c r="X133" s="54" t="n">
        <f aca="false">X34+X65+X96</f>
        <v>63504.4036876059</v>
      </c>
      <c r="Y133" s="54" t="n">
        <f aca="false">Y34+Y65+Y96</f>
        <v>68636.9079572919</v>
      </c>
      <c r="Z133" s="54" t="n">
        <f aca="false">Z34+Z65+Z96</f>
        <v>72624.248598901</v>
      </c>
      <c r="AA133" s="54" t="n">
        <f aca="false">AA34+AA65+AA96</f>
        <v>1800997.46274783</v>
      </c>
      <c r="AB133" s="54" t="n">
        <f aca="false">AB34+AB65+AB96</f>
        <v>3060264.83356598</v>
      </c>
      <c r="AC133" s="54" t="n">
        <f aca="false">AC34+AC65+AC96</f>
        <v>4671671.92953533</v>
      </c>
      <c r="AD133" s="54" t="n">
        <f aca="false">AD34+AD65+AD96</f>
        <v>6292339.9119886</v>
      </c>
      <c r="AE133" s="54" t="n">
        <f aca="false">AE34+AE65+AE96</f>
        <v>7691772.17230471</v>
      </c>
    </row>
    <row r="134" customFormat="false" ht="15" hidden="false" customHeight="false" outlineLevel="0" collapsed="false">
      <c r="A134" s="6" t="s">
        <v>471</v>
      </c>
      <c r="B134" s="23" t="s">
        <v>364</v>
      </c>
      <c r="C134" s="54" t="n">
        <f aca="false">C35+C66+C97</f>
        <v>350.377242129474</v>
      </c>
      <c r="D134" s="54" t="n">
        <f aca="false">D35+D66+D97</f>
        <v>666.244539647476</v>
      </c>
      <c r="E134" s="54" t="n">
        <f aca="false">E35+E66+E97</f>
        <v>952.76603616099</v>
      </c>
      <c r="F134" s="54" t="n">
        <f aca="false">F35+F66+F97</f>
        <v>1304.93910903292</v>
      </c>
      <c r="G134" s="54" t="n">
        <f aca="false">G35+G66+G97</f>
        <v>1601.71355452274</v>
      </c>
      <c r="H134" s="54" t="n">
        <f aca="false">H35+H66+H97</f>
        <v>1828.52204892313</v>
      </c>
      <c r="I134" s="54" t="n">
        <f aca="false">I35+I66+I97</f>
        <v>2033.81697142759</v>
      </c>
      <c r="J134" s="54" t="n">
        <f aca="false">J35+J66+J97</f>
        <v>2229.03329145047</v>
      </c>
      <c r="K134" s="54" t="n">
        <f aca="false">K35+K66+K97</f>
        <v>2442.3273606127</v>
      </c>
      <c r="L134" s="54" t="n">
        <f aca="false">L35+L66+L97</f>
        <v>2755.75842296122</v>
      </c>
      <c r="M134" s="54" t="n">
        <f aca="false">M35+M66+M97</f>
        <v>3019.18532374177</v>
      </c>
      <c r="N134" s="54" t="n">
        <f aca="false">N35+N66+N97</f>
        <v>3221.27353536149</v>
      </c>
      <c r="O134" s="54" t="n">
        <f aca="false">O35+O66+O97</f>
        <v>4244.54685209412</v>
      </c>
      <c r="P134" s="54" t="n">
        <f aca="false">P35+P66+P97</f>
        <v>5180.766473768</v>
      </c>
      <c r="Q134" s="54" t="n">
        <f aca="false">Q35+Q66+Q97</f>
        <v>6042.24741465488</v>
      </c>
      <c r="R134" s="54" t="n">
        <f aca="false">R35+R66+R97</f>
        <v>7161.15464581344</v>
      </c>
      <c r="S134" s="54" t="n">
        <f aca="false">S35+S66+S97</f>
        <v>8115.16424972768</v>
      </c>
      <c r="T134" s="54" t="n">
        <f aca="false">T35+T66+T97</f>
        <v>8840.0741206479</v>
      </c>
      <c r="U134" s="54" t="n">
        <f aca="false">U35+U66+U97</f>
        <v>9504.31723529857</v>
      </c>
      <c r="V134" s="54" t="n">
        <f aca="false">V35+V66+V97</f>
        <v>10147.8259049629</v>
      </c>
      <c r="W134" s="54" t="n">
        <f aca="false">W35+W66+W97</f>
        <v>10876.2469789164</v>
      </c>
      <c r="X134" s="54" t="n">
        <f aca="false">X35+X66+X97</f>
        <v>12008.0782882971</v>
      </c>
      <c r="Y134" s="54" t="n">
        <f aca="false">Y35+Y66+Y97</f>
        <v>12978.7672723573</v>
      </c>
      <c r="Z134" s="54" t="n">
        <f aca="false">Z35+Z66+Z97</f>
        <v>13732.9115298773</v>
      </c>
      <c r="AA134" s="54" t="n">
        <f aca="false">AA35+AA66+AA97</f>
        <v>340384.444029047</v>
      </c>
      <c r="AB134" s="54" t="n">
        <f aca="false">AB35+AB66+AB97</f>
        <v>578389.828354716</v>
      </c>
      <c r="AC134" s="54" t="n">
        <f aca="false">AC35+AC66+AC97</f>
        <v>883027.969352107</v>
      </c>
      <c r="AD134" s="54" t="n">
        <f aca="false">AD35+AD66+AD97</f>
        <v>1189653.91618515</v>
      </c>
      <c r="AE134" s="54" t="n">
        <f aca="false">AE35+AE66+AE97</f>
        <v>1454598.77347305</v>
      </c>
    </row>
    <row r="135" customFormat="false" ht="15" hidden="false" customHeight="false" outlineLevel="0" collapsed="false">
      <c r="A135" s="6" t="s">
        <v>472</v>
      </c>
      <c r="B135" s="23" t="s">
        <v>364</v>
      </c>
      <c r="C135" s="54" t="n">
        <f aca="false">C46+C77+C108</f>
        <v>0</v>
      </c>
      <c r="D135" s="54" t="n">
        <f aca="false">D46+D77+D108</f>
        <v>0</v>
      </c>
      <c r="E135" s="54" t="n">
        <f aca="false">E46+E77+E108</f>
        <v>0</v>
      </c>
      <c r="F135" s="54" t="n">
        <f aca="false">F46+F77+F108</f>
        <v>0</v>
      </c>
      <c r="G135" s="54" t="n">
        <f aca="false">G46+G77+G108</f>
        <v>0</v>
      </c>
      <c r="H135" s="54" t="n">
        <f aca="false">H46+H77+H108</f>
        <v>0</v>
      </c>
      <c r="I135" s="54" t="n">
        <f aca="false">I46+I77+I108</f>
        <v>0</v>
      </c>
      <c r="J135" s="54" t="n">
        <f aca="false">J46+J77+J108</f>
        <v>0</v>
      </c>
      <c r="K135" s="54" t="n">
        <f aca="false">K46+K77+K108</f>
        <v>0</v>
      </c>
      <c r="L135" s="54" t="n">
        <f aca="false">L46+L77+L108</f>
        <v>0</v>
      </c>
      <c r="M135" s="54" t="n">
        <f aca="false">M46+M77+M108</f>
        <v>0</v>
      </c>
      <c r="N135" s="54" t="n">
        <f aca="false">N46+N77+N108</f>
        <v>0</v>
      </c>
      <c r="O135" s="54" t="n">
        <f aca="false">O46+O77+O108</f>
        <v>8693.47636388489</v>
      </c>
      <c r="P135" s="54" t="n">
        <f aca="false">P46+P77+P108</f>
        <v>10035.7962816845</v>
      </c>
      <c r="Q135" s="54" t="n">
        <f aca="false">Q46+Q77+Q108</f>
        <v>11701.9864519698</v>
      </c>
      <c r="R135" s="54" t="n">
        <f aca="false">R46+R77+R108</f>
        <v>13195.9806753785</v>
      </c>
      <c r="S135" s="54" t="n">
        <f aca="false">S46+S77+S108</f>
        <v>15356.0449830939</v>
      </c>
      <c r="T135" s="54" t="n">
        <f aca="false">T46+T77+T108</f>
        <v>18730.4741231181</v>
      </c>
      <c r="U135" s="54" t="n">
        <f aca="false">U46+U77+U108</f>
        <v>22302.4252565712</v>
      </c>
      <c r="V135" s="54" t="n">
        <f aca="false">V46+V77+V108</f>
        <v>25875.5328916733</v>
      </c>
      <c r="W135" s="54" t="n">
        <f aca="false">W46+W77+W108</f>
        <v>34666.4200831387</v>
      </c>
      <c r="X135" s="54" t="n">
        <f aca="false">X46+X77+X108</f>
        <v>42681.2502853871</v>
      </c>
      <c r="Y135" s="54" t="n">
        <f aca="false">Y46+Y77+Y108</f>
        <v>51623.8994516557</v>
      </c>
      <c r="Z135" s="54" t="n">
        <f aca="false">Z46+Z77+Z108</f>
        <v>64145.2952898441</v>
      </c>
      <c r="AA135" s="54" t="n">
        <f aca="false">AA46+AA77+AA108</f>
        <v>6703830.98405835</v>
      </c>
      <c r="AB135" s="54" t="n">
        <f aca="false">AB46+AB77+AB108</f>
        <v>12843601.5307114</v>
      </c>
      <c r="AC135" s="54" t="n">
        <f aca="false">AC46+AC77+AC108</f>
        <v>21709003.1347854</v>
      </c>
      <c r="AD135" s="54" t="n">
        <f aca="false">AD46+AD77+AD108</f>
        <v>32752969.643892</v>
      </c>
      <c r="AE135" s="54" t="n">
        <f aca="false">AE46+AE77+AE108</f>
        <v>45304100.1209963</v>
      </c>
    </row>
    <row r="136" customFormat="false" ht="15" hidden="false" customHeight="false" outlineLevel="0" collapsed="false">
      <c r="A136" s="6" t="s">
        <v>473</v>
      </c>
      <c r="B136" s="23" t="s">
        <v>474</v>
      </c>
      <c r="C136" s="58" t="n">
        <f aca="false">C125+C126-C127</f>
        <v>0</v>
      </c>
      <c r="D136" s="58" t="n">
        <f aca="false">D125+D126-D127</f>
        <v>0</v>
      </c>
      <c r="E136" s="58" t="n">
        <f aca="false">E125+E126-E127</f>
        <v>0</v>
      </c>
      <c r="F136" s="58" t="n">
        <f aca="false">F125+F126-F127</f>
        <v>0</v>
      </c>
      <c r="G136" s="58" t="n">
        <f aca="false">G125+G126-G127</f>
        <v>0</v>
      </c>
      <c r="H136" s="58" t="n">
        <f aca="false">H125+H126-H127</f>
        <v>0</v>
      </c>
      <c r="I136" s="58" t="n">
        <f aca="false">I125+I126-I127</f>
        <v>0</v>
      </c>
      <c r="J136" s="58" t="n">
        <f aca="false">J125+J126-J127</f>
        <v>0</v>
      </c>
      <c r="K136" s="58" t="n">
        <f aca="false">K125+K126-K127</f>
        <v>0</v>
      </c>
      <c r="L136" s="58" t="n">
        <f aca="false">L125+L126-L127</f>
        <v>0</v>
      </c>
      <c r="M136" s="58" t="n">
        <f aca="false">M125+M126-M127</f>
        <v>0</v>
      </c>
      <c r="N136" s="58" t="n">
        <f aca="false">N125+N126-N127</f>
        <v>0</v>
      </c>
      <c r="O136" s="58" t="n">
        <f aca="false">O125+O126-O127</f>
        <v>0</v>
      </c>
      <c r="P136" s="58" t="n">
        <f aca="false">P125+P126-P127</f>
        <v>0</v>
      </c>
      <c r="Q136" s="58" t="n">
        <f aca="false">Q125+Q126-Q127</f>
        <v>0</v>
      </c>
      <c r="R136" s="58" t="n">
        <f aca="false">R125+R126-R127</f>
        <v>0</v>
      </c>
      <c r="S136" s="58" t="n">
        <f aca="false">S125+S126-S127</f>
        <v>0</v>
      </c>
      <c r="T136" s="58" t="n">
        <f aca="false">T125+T126-T127</f>
        <v>0</v>
      </c>
      <c r="U136" s="58" t="n">
        <f aca="false">U125+U126-U127</f>
        <v>0</v>
      </c>
      <c r="V136" s="58" t="n">
        <f aca="false">V125+V126-V127</f>
        <v>0</v>
      </c>
      <c r="W136" s="58" t="n">
        <f aca="false">W125+W126-W127</f>
        <v>0</v>
      </c>
      <c r="X136" s="58" t="n">
        <f aca="false">X125+X126-X127</f>
        <v>0</v>
      </c>
      <c r="Y136" s="58" t="n">
        <f aca="false">Y125+Y126-Y127</f>
        <v>0</v>
      </c>
      <c r="Z136" s="58" t="n">
        <f aca="false">Z125+Z126-Z127</f>
        <v>0</v>
      </c>
      <c r="AA136" s="58" t="n">
        <f aca="false">AA125+AA126-AA127</f>
        <v>0</v>
      </c>
      <c r="AB136" s="58" t="n">
        <f aca="false">AB125+AB126-AB127</f>
        <v>0</v>
      </c>
      <c r="AC136" s="58" t="n">
        <f aca="false">AC125+AC126-AC127</f>
        <v>0</v>
      </c>
      <c r="AD136" s="58" t="n">
        <f aca="false">AD125+AD126-AD127</f>
        <v>0</v>
      </c>
      <c r="AE136" s="58" t="n">
        <f aca="false">AE125+AE126-AE127</f>
        <v>0</v>
      </c>
    </row>
    <row r="137" customFormat="false" ht="15" hidden="false" customHeight="false" outlineLevel="0" collapsed="false">
      <c r="A137" s="6" t="s">
        <v>475</v>
      </c>
      <c r="B137" s="23" t="s">
        <v>110</v>
      </c>
      <c r="C137" s="54" t="n">
        <f aca="false">IF(C125=0,0,C131/C125)</f>
        <v>35.6870985800411</v>
      </c>
      <c r="D137" s="54" t="n">
        <f aca="false">IF(D125=0,0,D131/D125)</f>
        <v>54.1349729773046</v>
      </c>
      <c r="E137" s="54" t="n">
        <f aca="false">IF(E125=0,0,E131/E125)</f>
        <v>72.8897597801773</v>
      </c>
      <c r="F137" s="54" t="n">
        <f aca="false">IF(F125=0,0,F131/F125)</f>
        <v>87.9804268998119</v>
      </c>
      <c r="G137" s="54" t="n">
        <f aca="false">IF(G125=0,0,G131/G125)</f>
        <v>106.107602022884</v>
      </c>
      <c r="H137" s="54" t="n">
        <f aca="false">IF(H125=0,0,H131/H125)</f>
        <v>126.983653425471</v>
      </c>
      <c r="I137" s="54" t="n">
        <f aca="false">IF(I125=0,0,I131/I125)</f>
        <v>147.805951933257</v>
      </c>
      <c r="J137" s="54" t="n">
        <f aca="false">IF(J125=0,0,J131/J125)</f>
        <v>168.107210488785</v>
      </c>
      <c r="K137" s="54" t="n">
        <f aca="false">IF(K125=0,0,K131/K125)</f>
        <v>186.313107269768</v>
      </c>
      <c r="L137" s="54" t="n">
        <f aca="false">IF(L125=0,0,L131/L125)</f>
        <v>197.780787160797</v>
      </c>
      <c r="M137" s="54" t="n">
        <f aca="false">IF(M125=0,0,M131/M125)</f>
        <v>212.878594279427</v>
      </c>
      <c r="N137" s="54" t="n">
        <f aca="false">IF(N125=0,0,N131/N125)</f>
        <v>231.499075672712</v>
      </c>
      <c r="O137" s="54" t="n">
        <f aca="false">IF(O125=0,0,O131/O125)</f>
        <v>206.710973975228</v>
      </c>
      <c r="P137" s="54" t="n">
        <f aca="false">IF(P125=0,0,P131/P125)</f>
        <v>200.903209060105</v>
      </c>
      <c r="Q137" s="54" t="n">
        <f aca="false">IF(Q125=0,0,Q131/Q125)</f>
        <v>203.885389751401</v>
      </c>
      <c r="R137" s="54" t="n">
        <f aca="false">IF(R125=0,0,R131/R125)</f>
        <v>203.647113250225</v>
      </c>
      <c r="S137" s="54" t="n">
        <f aca="false">IF(S125=0,0,S131/S125)</f>
        <v>211.246458347202</v>
      </c>
      <c r="T137" s="54" t="n">
        <f aca="false">IF(T125=0,0,T131/T125)</f>
        <v>225.222198859399</v>
      </c>
      <c r="U137" s="54" t="n">
        <f aca="false">IF(U125=0,0,U131/U125)</f>
        <v>240.471539524842</v>
      </c>
      <c r="V137" s="54" t="n">
        <f aca="false">IF(V125=0,0,V131/V125)</f>
        <v>255.891236011207</v>
      </c>
      <c r="W137" s="54" t="n">
        <f aca="false">IF(W125=0,0,W131/W125)</f>
        <v>269.135715621417</v>
      </c>
      <c r="X137" s="54" t="n">
        <f aca="false">IF(X125=0,0,X131/X125)</f>
        <v>274.023058704298</v>
      </c>
      <c r="Y137" s="54" t="n">
        <f aca="false">IF(Y125=0,0,Y131/Y125)</f>
        <v>283.602710595485</v>
      </c>
      <c r="Z137" s="54" t="n">
        <f aca="false">IF(Z125=0,0,Z131/Z125)</f>
        <v>297.815876435135</v>
      </c>
      <c r="AA137" s="54" t="n">
        <f aca="false">IF(AA125=0,0,AA131/AA125)</f>
        <v>524.675203733981</v>
      </c>
      <c r="AB137" s="54" t="n">
        <f aca="false">IF(AB125=0,0,AB131/AB125)</f>
        <v>648.671909149246</v>
      </c>
      <c r="AC137" s="54" t="n">
        <f aca="false">IF(AC125=0,0,AC131/AC125)</f>
        <v>735.036453805805</v>
      </c>
      <c r="AD137" s="54" t="n">
        <f aca="false">IF(AD125=0,0,AD131/AD125)</f>
        <v>824.997884012443</v>
      </c>
      <c r="AE137" s="54" t="n">
        <f aca="false">IF(AE125=0,0,AE131/AE125)</f>
        <v>919.559006560153</v>
      </c>
    </row>
    <row r="138" customFormat="false" ht="15" hidden="false" customHeight="false" outlineLevel="0" collapsed="false">
      <c r="A138" s="6" t="s">
        <v>476</v>
      </c>
      <c r="B138" s="23" t="s">
        <v>110</v>
      </c>
      <c r="C138" s="54" t="n">
        <f aca="false">C42*C43+C73*C74+C104*C105</f>
        <v>0</v>
      </c>
      <c r="D138" s="54" t="n">
        <f aca="false">D42*D43+D73*D74+D104*D105</f>
        <v>0</v>
      </c>
      <c r="E138" s="54" t="n">
        <f aca="false">E42*E43+E73*E74+E104*E105</f>
        <v>0</v>
      </c>
      <c r="F138" s="54" t="n">
        <f aca="false">F42*F43+F73*F74+F104*F105</f>
        <v>0</v>
      </c>
      <c r="G138" s="54" t="n">
        <f aca="false">G42*G43+G73*G74+G104*G105</f>
        <v>0</v>
      </c>
      <c r="H138" s="54" t="n">
        <f aca="false">H42*H43+H73*H74+H104*H105</f>
        <v>0</v>
      </c>
      <c r="I138" s="54" t="n">
        <f aca="false">I42*I43+I73*I74+I104*I105</f>
        <v>0</v>
      </c>
      <c r="J138" s="54" t="n">
        <f aca="false">J42*J43+J73*J74+J104*J105</f>
        <v>0</v>
      </c>
      <c r="K138" s="54" t="n">
        <f aca="false">K42*K43+K73*K74+K104*K105</f>
        <v>0</v>
      </c>
      <c r="L138" s="54" t="n">
        <f aca="false">L42*L43+L73*L74+L104*L105</f>
        <v>0</v>
      </c>
      <c r="M138" s="54" t="n">
        <f aca="false">M42*M43+M73*M74+M104*M105</f>
        <v>0</v>
      </c>
      <c r="N138" s="54" t="n">
        <f aca="false">N42*N43+N73*N74+N104*N105</f>
        <v>0</v>
      </c>
      <c r="O138" s="54" t="n">
        <f aca="false">O42*O43+O73*O74+O104*O105</f>
        <v>8693.47636388489</v>
      </c>
      <c r="P138" s="54" t="n">
        <f aca="false">P42*P43+P73*P74+P104*P105</f>
        <v>10035.7962816845</v>
      </c>
      <c r="Q138" s="54" t="n">
        <f aca="false">Q42*Q43+Q73*Q74+Q104*Q105</f>
        <v>11701.9864519698</v>
      </c>
      <c r="R138" s="54" t="n">
        <f aca="false">R42*R43+R73*R74+R104*R105</f>
        <v>13195.9806753785</v>
      </c>
      <c r="S138" s="54" t="n">
        <f aca="false">S42*S43+S73*S74+S104*S105</f>
        <v>15356.0449830939</v>
      </c>
      <c r="T138" s="54" t="n">
        <f aca="false">T42*T43+T73*T74+T104*T105</f>
        <v>18730.4741231181</v>
      </c>
      <c r="U138" s="54" t="n">
        <f aca="false">U42*U43+U73*U74+U104*U105</f>
        <v>22302.4252565712</v>
      </c>
      <c r="V138" s="54" t="n">
        <f aca="false">V42*V43+V73*V74+V104*V105</f>
        <v>25875.5328916733</v>
      </c>
      <c r="W138" s="54" t="n">
        <f aca="false">W42*W43+W73*W74+W104*W105</f>
        <v>34666.4200831387</v>
      </c>
      <c r="X138" s="54" t="n">
        <f aca="false">X42*X43+X73*X74+X104*X105</f>
        <v>42681.2502853871</v>
      </c>
      <c r="Y138" s="54" t="n">
        <f aca="false">Y42*Y43+Y73*Y74+Y104*Y105</f>
        <v>51623.8994516557</v>
      </c>
      <c r="Z138" s="54" t="n">
        <f aca="false">Z42*Z43+Z73*Z74+Z104*Z105</f>
        <v>64145.2952898441</v>
      </c>
      <c r="AA138" s="54" t="n">
        <f aca="false">AA42*AA43+AA73*AA74+AA104*AA105</f>
        <v>588967.956679494</v>
      </c>
      <c r="AB138" s="54" t="n">
        <f aca="false">AB42*AB43+AB73*AB74+AB104*AB105</f>
        <v>1393862.62255767</v>
      </c>
      <c r="AC138" s="54" t="n">
        <f aca="false">AC42*AC43+AC73*AC74+AC104*AC105</f>
        <v>2666350.68788955</v>
      </c>
      <c r="AD138" s="54" t="n">
        <f aca="false">AD42*AD43+AD73*AD74+AD104*AD105</f>
        <v>4508834.35777735</v>
      </c>
      <c r="AE138" s="54" t="n">
        <f aca="false">AE42*AE43+AE73*AE74+AE104*AE105</f>
        <v>6952349.55820717</v>
      </c>
    </row>
    <row r="139" customFormat="false" ht="15" hidden="false" customHeight="false" outlineLevel="0" collapsed="false">
      <c r="A139" s="6" t="s">
        <v>477</v>
      </c>
      <c r="B139" s="23" t="s">
        <v>421</v>
      </c>
      <c r="C139" s="59" t="n">
        <f aca="false">IF(C138=0,0,((C46+C77+C108)/C7)/C138)</f>
        <v>0</v>
      </c>
      <c r="D139" s="59" t="n">
        <f aca="false">IF(D138=0,0,((D46+D77+D108)/D7)/D138)</f>
        <v>0</v>
      </c>
      <c r="E139" s="59" t="n">
        <f aca="false">IF(E138=0,0,((E46+E77+E108)/E7)/E138)</f>
        <v>0</v>
      </c>
      <c r="F139" s="59" t="n">
        <f aca="false">IF(F138=0,0,((F46+F77+F108)/F7)/F138)</f>
        <v>0</v>
      </c>
      <c r="G139" s="59" t="n">
        <f aca="false">IF(G138=0,0,((G46+G77+G108)/G7)/G138)</f>
        <v>0</v>
      </c>
      <c r="H139" s="59" t="n">
        <f aca="false">IF(H138=0,0,((H46+H77+H108)/H7)/H138)</f>
        <v>0</v>
      </c>
      <c r="I139" s="59" t="n">
        <f aca="false">IF(I138=0,0,((I46+I77+I108)/I7)/I138)</f>
        <v>0</v>
      </c>
      <c r="J139" s="59" t="n">
        <f aca="false">IF(J138=0,0,((J46+J77+J108)/J7)/J138)</f>
        <v>0</v>
      </c>
      <c r="K139" s="59" t="n">
        <f aca="false">IF(K138=0,0,((K46+K77+K108)/K7)/K138)</f>
        <v>0</v>
      </c>
      <c r="L139" s="59" t="n">
        <f aca="false">IF(L138=0,0,((L46+L77+L108)/L7)/L138)</f>
        <v>0</v>
      </c>
      <c r="M139" s="59" t="n">
        <f aca="false">IF(M138=0,0,((M46+M77+M108)/M7)/M138)</f>
        <v>0</v>
      </c>
      <c r="N139" s="59" t="n">
        <f aca="false">IF(N138=0,0,((N46+N77+N108)/N7)/N138)</f>
        <v>0</v>
      </c>
      <c r="O139" s="59" t="n">
        <f aca="false">IF(O138=0,0,((O46+O77+O108)/O7)/O138)</f>
        <v>1</v>
      </c>
      <c r="P139" s="59" t="n">
        <f aca="false">IF(P138=0,0,((P46+P77+P108)/P7)/P138)</f>
        <v>1</v>
      </c>
      <c r="Q139" s="59" t="n">
        <f aca="false">IF(Q138=0,0,((Q46+Q77+Q108)/Q7)/Q138)</f>
        <v>1</v>
      </c>
      <c r="R139" s="59" t="n">
        <f aca="false">IF(R138=0,0,((R46+R77+R108)/R7)/R138)</f>
        <v>1</v>
      </c>
      <c r="S139" s="59" t="n">
        <f aca="false">IF(S138=0,0,((S46+S77+S108)/S7)/S138)</f>
        <v>1</v>
      </c>
      <c r="T139" s="59" t="n">
        <f aca="false">IF(T138=0,0,((T46+T77+T108)/T7)/T138)</f>
        <v>1</v>
      </c>
      <c r="U139" s="59" t="n">
        <f aca="false">IF(U138=0,0,((U46+U77+U108)/U7)/U138)</f>
        <v>1</v>
      </c>
      <c r="V139" s="59" t="n">
        <f aca="false">IF(V138=0,0,((V46+V77+V108)/V7)/V138)</f>
        <v>1</v>
      </c>
      <c r="W139" s="59" t="n">
        <f aca="false">IF(W138=0,0,((W46+W77+W108)/W7)/W138)</f>
        <v>1</v>
      </c>
      <c r="X139" s="59" t="n">
        <f aca="false">IF(X138=0,0,((X46+X77+X108)/X7)/X138)</f>
        <v>1</v>
      </c>
      <c r="Y139" s="59" t="n">
        <f aca="false">IF(Y138=0,0,((Y46+Y77+Y108)/Y7)/Y138)</f>
        <v>1</v>
      </c>
      <c r="Z139" s="59" t="n">
        <f aca="false">IF(Z138=0,0,((Z46+Z77+Z108)/Z7)/Z138)</f>
        <v>1</v>
      </c>
      <c r="AA139" s="59" t="n">
        <f aca="false">IF(AA138=0,0,((AA46+AA77+AA108)/AA7)/AA138)</f>
        <v>0.948527972819532</v>
      </c>
      <c r="AB139" s="59" t="n">
        <f aca="false">IF(AB138=0,0,((AB46+AB77+AB108)/AB7)/AB138)</f>
        <v>0.767866294883013</v>
      </c>
      <c r="AC139" s="59" t="n">
        <f aca="false">IF(AC138=0,0,((AC46+AC77+AC108)/AC7)/AC138)</f>
        <v>0.678486743241326</v>
      </c>
      <c r="AD139" s="59" t="n">
        <f aca="false">IF(AD138=0,0,((AD46+AD77+AD108)/AD7)/AD138)</f>
        <v>0.605348061252903</v>
      </c>
      <c r="AE139" s="59" t="n">
        <f aca="false">IF(AE138=0,0,((AE46+AE77+AE108)/AE7)/AE138)</f>
        <v>0.5430310494519</v>
      </c>
    </row>
    <row r="141" customFormat="false" ht="15" hidden="false" customHeight="false" outlineLevel="0" collapsed="false">
      <c r="A141" s="6" t="s">
        <v>113</v>
      </c>
      <c r="B141" s="23" t="s">
        <v>110</v>
      </c>
      <c r="C141" s="54" t="n">
        <f aca="false">C47+C78+C109</f>
        <v>66.25552152416</v>
      </c>
      <c r="D141" s="54" t="n">
        <f aca="false">D47+D78+D109</f>
        <v>125.985269288785</v>
      </c>
      <c r="E141" s="54" t="n">
        <f aca="false">E47+E78+E109</f>
        <v>180.165775072841</v>
      </c>
      <c r="F141" s="54" t="n">
        <f aca="false">F47+F78+F109</f>
        <v>246.76080674302</v>
      </c>
      <c r="G141" s="54" t="n">
        <f aca="false">G47+G78+G109</f>
        <v>302.880069367309</v>
      </c>
      <c r="H141" s="54" t="n">
        <f aca="false">H47+H78+H109</f>
        <v>345.768931524077</v>
      </c>
      <c r="I141" s="54" t="n">
        <f aca="false">I47+I78+I109</f>
        <v>384.589617605619</v>
      </c>
      <c r="J141" s="54" t="n">
        <f aca="false">J47+J78+J109</f>
        <v>421.504451142042</v>
      </c>
      <c r="K141" s="54" t="n">
        <f aca="false">K47+K78+K109</f>
        <v>461.837718532414</v>
      </c>
      <c r="L141" s="54" t="n">
        <f aca="false">L47+L78+L109</f>
        <v>521.106578232352</v>
      </c>
      <c r="M141" s="54" t="n">
        <f aca="false">M47+M78+M109</f>
        <v>570.919764398117</v>
      </c>
      <c r="N141" s="54" t="n">
        <f aca="false">N47+N78+N109</f>
        <v>609.133963547809</v>
      </c>
      <c r="O141" s="54" t="n">
        <f aca="false">O47+O78+O109</f>
        <v>802.605521840161</v>
      </c>
      <c r="P141" s="54" t="n">
        <f aca="false">P47+P78+P109</f>
        <v>979.61252178777</v>
      </c>
      <c r="Q141" s="54" t="n">
        <f aca="false">Q47+Q78+Q109</f>
        <v>1142.48448663201</v>
      </c>
      <c r="R141" s="54" t="n">
        <f aca="false">R47+R78+R109</f>
        <v>1354.02236553008</v>
      </c>
      <c r="S141" s="54" t="n">
        <f aca="false">S47+S78+S109</f>
        <v>1534.37879661046</v>
      </c>
      <c r="T141" s="54" t="n">
        <f aca="false">T47+T78+T109</f>
        <v>1671.41827235117</v>
      </c>
      <c r="U141" s="54" t="n">
        <f aca="false">U47+U78+U109</f>
        <v>1796.98583444123</v>
      </c>
      <c r="V141" s="54" t="n">
        <f aca="false">V47+V78+V109</f>
        <v>1918.63123665257</v>
      </c>
      <c r="W141" s="54" t="n">
        <f aca="false">W47+W78+W109</f>
        <v>2056.32691660757</v>
      </c>
      <c r="X141" s="54" t="n">
        <f aca="false">X47+X78+X109</f>
        <v>2270.28243183191</v>
      </c>
      <c r="Y141" s="54" t="n">
        <f aca="false">Y47+Y78+Y109</f>
        <v>2453.76945947319</v>
      </c>
      <c r="Z141" s="54" t="n">
        <f aca="false">Z47+Z78+Z109</f>
        <v>2596.31688741071</v>
      </c>
      <c r="AA141" s="54" t="n">
        <f aca="false">AA47+AA78+AA109</f>
        <v>64385.6592932351</v>
      </c>
      <c r="AB141" s="54" t="n">
        <f aca="false">AB47+AB78+AB109</f>
        <v>109404.467799984</v>
      </c>
      <c r="AC141" s="54" t="n">
        <f aca="false">AC47+AC78+AC109</f>
        <v>167012.271480888</v>
      </c>
      <c r="AD141" s="54" t="n">
        <f aca="false">AD47+AD78+AD109</f>
        <v>224951.151853592</v>
      </c>
      <c r="AE141" s="54" t="n">
        <f aca="false">AE47+AE78+AE109</f>
        <v>274980.855159893</v>
      </c>
    </row>
    <row r="142" customFormat="false" ht="15" hidden="false" customHeight="false" outlineLevel="0" collapsed="false">
      <c r="A142" s="6" t="s">
        <v>116</v>
      </c>
      <c r="B142" s="23" t="s">
        <v>110</v>
      </c>
      <c r="C142" s="54" t="n">
        <f aca="false">C48+C79+C110</f>
        <v>12.5259864061287</v>
      </c>
      <c r="D142" s="54" t="n">
        <f aca="false">D48+D79+D110</f>
        <v>23.8182422923973</v>
      </c>
      <c r="E142" s="54" t="n">
        <f aca="false">E48+E79+E110</f>
        <v>34.0613857927554</v>
      </c>
      <c r="F142" s="54" t="n">
        <f aca="false">F48+F79+F110</f>
        <v>46.6515731479269</v>
      </c>
      <c r="G142" s="54" t="n">
        <f aca="false">G48+G79+G110</f>
        <v>57.2612595741879</v>
      </c>
      <c r="H142" s="54" t="n">
        <f aca="false">H48+H79+H110</f>
        <v>65.3696632490018</v>
      </c>
      <c r="I142" s="54" t="n">
        <f aca="false">I48+I79+I110</f>
        <v>72.7089567285362</v>
      </c>
      <c r="J142" s="54" t="n">
        <f aca="false">J48+J79+J110</f>
        <v>79.6879401693544</v>
      </c>
      <c r="K142" s="54" t="n">
        <f aca="false">K48+K79+K110</f>
        <v>87.3132031419042</v>
      </c>
      <c r="L142" s="54" t="n">
        <f aca="false">L48+L79+L110</f>
        <v>98.5183636208637</v>
      </c>
      <c r="M142" s="54" t="n">
        <f aca="false">M48+M79+M110</f>
        <v>107.935875323768</v>
      </c>
      <c r="N142" s="54" t="n">
        <f aca="false">N48+N79+N110</f>
        <v>115.160528889173</v>
      </c>
      <c r="O142" s="54" t="n">
        <f aca="false">O48+O79+O110</f>
        <v>151.742549962365</v>
      </c>
      <c r="P142" s="54" t="n">
        <f aca="false">P48+P79+P110</f>
        <v>185.212401437206</v>
      </c>
      <c r="Q142" s="54" t="n">
        <f aca="false">Q48+Q79+Q110</f>
        <v>216.010345073912</v>
      </c>
      <c r="R142" s="54" t="n">
        <f aca="false">R48+R79+R110</f>
        <v>256.011278587831</v>
      </c>
      <c r="S142" s="54" t="n">
        <f aca="false">S48+S79+S110</f>
        <v>290.117121927765</v>
      </c>
      <c r="T142" s="54" t="n">
        <f aca="false">T48+T79+T110</f>
        <v>316.032649813162</v>
      </c>
      <c r="U142" s="54" t="n">
        <f aca="false">U48+U79+U110</f>
        <v>339.779341161924</v>
      </c>
      <c r="V142" s="54" t="n">
        <f aca="false">V48+V79+V110</f>
        <v>362.784776102424</v>
      </c>
      <c r="W142" s="54" t="n">
        <f aca="false">W48+W79+W110</f>
        <v>388.825829496262</v>
      </c>
      <c r="X142" s="54" t="n">
        <f aca="false">X48+X79+X110</f>
        <v>429.288798806623</v>
      </c>
      <c r="Y142" s="54" t="n">
        <f aca="false">Y48+Y79+Y110</f>
        <v>463.990929986775</v>
      </c>
      <c r="Z142" s="54" t="n">
        <f aca="false">Z48+Z79+Z110</f>
        <v>490.951587193112</v>
      </c>
      <c r="AA142" s="54" t="n">
        <f aca="false">AA48+AA79+AA110</f>
        <v>12168.7438740384</v>
      </c>
      <c r="AB142" s="54" t="n">
        <f aca="false">AB48+AB79+AB110</f>
        <v>20677.4363636811</v>
      </c>
      <c r="AC142" s="54" t="n">
        <f aca="false">AC48+AC79+AC110</f>
        <v>31568.2499043378</v>
      </c>
      <c r="AD142" s="54" t="n">
        <f aca="false">AD48+AD79+AD110</f>
        <v>42530.1275036193</v>
      </c>
      <c r="AE142" s="54" t="n">
        <f aca="false">AE48+AE79+AE110</f>
        <v>52001.9061516614</v>
      </c>
    </row>
    <row r="143" customFormat="false" ht="15" hidden="false" customHeight="false" outlineLevel="0" collapsed="false">
      <c r="A143" s="6" t="s">
        <v>122</v>
      </c>
      <c r="B143" s="23" t="s">
        <v>110</v>
      </c>
      <c r="C143" s="54" t="n">
        <f aca="false">C49+C80+C111</f>
        <v>0</v>
      </c>
      <c r="D143" s="54" t="n">
        <f aca="false">D49+D80+D111</f>
        <v>0</v>
      </c>
      <c r="E143" s="54" t="n">
        <f aca="false">E49+E80+E111</f>
        <v>0</v>
      </c>
      <c r="F143" s="54" t="n">
        <f aca="false">F49+F80+F111</f>
        <v>0</v>
      </c>
      <c r="G143" s="54" t="n">
        <f aca="false">G49+G80+G111</f>
        <v>0</v>
      </c>
      <c r="H143" s="54" t="n">
        <f aca="false">H49+H80+H111</f>
        <v>0</v>
      </c>
      <c r="I143" s="54" t="n">
        <f aca="false">I49+I80+I111</f>
        <v>0</v>
      </c>
      <c r="J143" s="54" t="n">
        <f aca="false">J49+J80+J111</f>
        <v>0</v>
      </c>
      <c r="K143" s="54" t="n">
        <f aca="false">K49+K80+K111</f>
        <v>0</v>
      </c>
      <c r="L143" s="54" t="n">
        <f aca="false">L49+L80+L111</f>
        <v>0</v>
      </c>
      <c r="M143" s="54" t="n">
        <f aca="false">M49+M80+M111</f>
        <v>0</v>
      </c>
      <c r="N143" s="54" t="n">
        <f aca="false">N49+N80+N111</f>
        <v>0</v>
      </c>
      <c r="O143" s="54" t="n">
        <f aca="false">O49+O80+O111</f>
        <v>43.8151208739798</v>
      </c>
      <c r="P143" s="54" t="n">
        <f aca="false">P49+P80+P111</f>
        <v>50.58041325969</v>
      </c>
      <c r="Q143" s="54" t="n">
        <f aca="false">Q49+Q80+Q111</f>
        <v>58.9780117179279</v>
      </c>
      <c r="R143" s="54" t="n">
        <f aca="false">R49+R80+R111</f>
        <v>66.5077426039078</v>
      </c>
      <c r="S143" s="54" t="n">
        <f aca="false">S49+S80+S111</f>
        <v>77.3944667147932</v>
      </c>
      <c r="T143" s="54" t="n">
        <f aca="false">T49+T80+T111</f>
        <v>94.4015895805153</v>
      </c>
      <c r="U143" s="54" t="n">
        <f aca="false">U49+U80+U111</f>
        <v>112.404223293119</v>
      </c>
      <c r="V143" s="54" t="n">
        <f aca="false">V49+V80+V111</f>
        <v>130.412685774033</v>
      </c>
      <c r="W143" s="54" t="n">
        <f aca="false">W49+W80+W111</f>
        <v>174.718757219019</v>
      </c>
      <c r="X143" s="54" t="n">
        <f aca="false">X49+X80+X111</f>
        <v>215.113501438351</v>
      </c>
      <c r="Y143" s="54" t="n">
        <f aca="false">Y49+Y80+Y111</f>
        <v>260.184453236345</v>
      </c>
      <c r="Z143" s="54" t="n">
        <f aca="false">Z49+Z80+Z111</f>
        <v>323.292288260814</v>
      </c>
      <c r="AA143" s="54" t="n">
        <f aca="false">AA49+AA80+AA111</f>
        <v>33787.3081596541</v>
      </c>
      <c r="AB143" s="54" t="n">
        <f aca="false">AB49+AB80+AB111</f>
        <v>64731.7517147853</v>
      </c>
      <c r="AC143" s="54" t="n">
        <f aca="false">AC49+AC80+AC111</f>
        <v>109413.375799318</v>
      </c>
      <c r="AD143" s="54" t="n">
        <f aca="false">AD49+AD80+AD111</f>
        <v>165074.967005216</v>
      </c>
      <c r="AE143" s="54" t="n">
        <f aca="false">AE49+AE80+AE111</f>
        <v>228332.664609822</v>
      </c>
    </row>
    <row r="144" customFormat="false" ht="15" hidden="false" customHeight="false" outlineLevel="0" collapsed="false">
      <c r="A144" s="6" t="s">
        <v>120</v>
      </c>
      <c r="B144" s="23" t="s">
        <v>110</v>
      </c>
      <c r="C144" s="54" t="n">
        <f aca="false">C50+C81+C112</f>
        <v>0</v>
      </c>
      <c r="D144" s="54" t="n">
        <f aca="false">D50+D81+D112</f>
        <v>0</v>
      </c>
      <c r="E144" s="54" t="n">
        <f aca="false">E50+E81+E112</f>
        <v>0</v>
      </c>
      <c r="F144" s="54" t="n">
        <f aca="false">F50+F81+F112</f>
        <v>0</v>
      </c>
      <c r="G144" s="54" t="n">
        <f aca="false">G50+G81+G112</f>
        <v>0</v>
      </c>
      <c r="H144" s="54" t="n">
        <f aca="false">H50+H81+H112</f>
        <v>0</v>
      </c>
      <c r="I144" s="54" t="n">
        <f aca="false">I50+I81+I112</f>
        <v>670.949586240259</v>
      </c>
      <c r="J144" s="54" t="n">
        <f aca="false">J50+J81+J112</f>
        <v>735.347972589098</v>
      </c>
      <c r="K144" s="54" t="n">
        <f aca="false">K50+K81+K112</f>
        <v>805.709308797813</v>
      </c>
      <c r="L144" s="54" t="n">
        <f aca="false">L50+L81+L112</f>
        <v>909.103331846733</v>
      </c>
      <c r="M144" s="54" t="n">
        <f aca="false">M50+M81+M112</f>
        <v>996.000632815016</v>
      </c>
      <c r="N144" s="54" t="n">
        <f aca="false">N50+N81+N112</f>
        <v>1062.66261697054</v>
      </c>
      <c r="O144" s="54" t="n">
        <f aca="false">O50+O81+O112</f>
        <v>1409.83564818503</v>
      </c>
      <c r="P144" s="54" t="n">
        <f aca="false">P50+P81+P112</f>
        <v>1727.39910959493</v>
      </c>
      <c r="Q144" s="54" t="n">
        <f aca="false">Q50+Q81+Q112</f>
        <v>2019.54440531975</v>
      </c>
      <c r="R144" s="54" t="n">
        <f aca="false">R50+R81+R112</f>
        <v>2398.48442663013</v>
      </c>
      <c r="S144" s="54" t="n">
        <f aca="false">S50+S81+S112</f>
        <v>2721.54431722537</v>
      </c>
      <c r="T144" s="54" t="n">
        <f aca="false">T50+T81+T112</f>
        <v>2967.10739870426</v>
      </c>
      <c r="U144" s="54" t="n">
        <f aca="false">U50+U81+U112</f>
        <v>3192.07929416799</v>
      </c>
      <c r="V144" s="54" t="n">
        <f aca="false">V50+V81+V112</f>
        <v>3409.95051384839</v>
      </c>
      <c r="W144" s="54" t="n">
        <f aca="false">W50+W81+W112</f>
        <v>3656.3709912867</v>
      </c>
      <c r="X144" s="54" t="n">
        <f aca="false">X50+X81+X112</f>
        <v>4038.75980206391</v>
      </c>
      <c r="Y144" s="54" t="n">
        <f aca="false">Y50+Y81+Y112</f>
        <v>4366.62218595843</v>
      </c>
      <c r="Z144" s="54" t="n">
        <f aca="false">Z50+Z81+Z112</f>
        <v>4621.32944642358</v>
      </c>
      <c r="AA144" s="54" t="n">
        <f aca="false">AA50+AA81+AA112</f>
        <v>115614.658206083</v>
      </c>
      <c r="AB144" s="54" t="n">
        <f aca="false">AB50+AB81+AB112</f>
        <v>196541.828071566</v>
      </c>
      <c r="AC144" s="54" t="n">
        <f aca="false">AC50+AC81+AC112</f>
        <v>299744.815352777</v>
      </c>
      <c r="AD144" s="54" t="n">
        <f aca="false">AD50+AD81+AD112</f>
        <v>402544.146985173</v>
      </c>
      <c r="AE144" s="54" t="n">
        <f aca="false">AE50+AE81+AE112</f>
        <v>490574.048010994</v>
      </c>
    </row>
    <row r="145" customFormat="false" ht="15" hidden="false" customHeight="false" outlineLevel="0" collapsed="false">
      <c r="A145" s="6" t="s">
        <v>124</v>
      </c>
      <c r="B145" s="23" t="s">
        <v>110</v>
      </c>
      <c r="C145" s="54" t="n">
        <f aca="false">C51+C82+C113</f>
        <v>0</v>
      </c>
      <c r="D145" s="54" t="n">
        <f aca="false">D51+D82+D113</f>
        <v>0</v>
      </c>
      <c r="E145" s="54" t="n">
        <f aca="false">E51+E82+E113</f>
        <v>0</v>
      </c>
      <c r="F145" s="54" t="n">
        <f aca="false">F51+F82+F113</f>
        <v>0</v>
      </c>
      <c r="G145" s="54" t="n">
        <f aca="false">G51+G82+G113</f>
        <v>0</v>
      </c>
      <c r="H145" s="54" t="n">
        <f aca="false">H51+H82+H113</f>
        <v>0</v>
      </c>
      <c r="I145" s="54" t="n">
        <f aca="false">I51+I82+I113</f>
        <v>0</v>
      </c>
      <c r="J145" s="54" t="n">
        <f aca="false">J51+J82+J113</f>
        <v>0</v>
      </c>
      <c r="K145" s="54" t="n">
        <f aca="false">K51+K82+K113</f>
        <v>0</v>
      </c>
      <c r="L145" s="54" t="n">
        <f aca="false">L51+L82+L113</f>
        <v>0</v>
      </c>
      <c r="M145" s="54" t="n">
        <f aca="false">M51+M82+M113</f>
        <v>0</v>
      </c>
      <c r="N145" s="54" t="n">
        <f aca="false">N51+N82+N113</f>
        <v>0</v>
      </c>
      <c r="O145" s="54" t="n">
        <f aca="false">O51+O82+O113</f>
        <v>319.807224922943</v>
      </c>
      <c r="P145" s="54" t="n">
        <f aca="false">P51+P82+P113</f>
        <v>374.3069498419</v>
      </c>
      <c r="Q145" s="54" t="n">
        <f aca="false">Q51+Q82+Q113</f>
        <v>428.828963677075</v>
      </c>
      <c r="R145" s="54" t="n">
        <f aca="false">R51+R82+R113</f>
        <v>486.965942479564</v>
      </c>
      <c r="S145" s="54" t="n">
        <f aca="false">S51+S82+S113</f>
        <v>554.306807952272</v>
      </c>
      <c r="T145" s="54" t="n">
        <f aca="false">T51+T82+T113</f>
        <v>708.752914972947</v>
      </c>
      <c r="U145" s="54" t="n">
        <f aca="false">U51+U82+U113</f>
        <v>823.533296562616</v>
      </c>
      <c r="V145" s="54" t="n">
        <f aca="false">V51+V82+V113</f>
        <v>897.013000625952</v>
      </c>
      <c r="W145" s="54" t="n">
        <f aca="false">W51+W82+W113</f>
        <v>1051.55416282127</v>
      </c>
      <c r="X145" s="54" t="n">
        <f aca="false">X51+X82+X113</f>
        <v>1327.62073354266</v>
      </c>
      <c r="Y145" s="54" t="n">
        <f aca="false">Y51+Y82+Y113</f>
        <v>1552.37878937846</v>
      </c>
      <c r="Z145" s="54" t="n">
        <f aca="false">Z51+Z82+Z113</f>
        <v>1776.28551126074</v>
      </c>
      <c r="AA145" s="54" t="n">
        <f aca="false">AA51+AA82+AA113</f>
        <v>135746.242686522</v>
      </c>
      <c r="AB145" s="54" t="n">
        <f aca="false">AB51+AB82+AB113</f>
        <v>260335.521704124</v>
      </c>
      <c r="AC145" s="54" t="n">
        <f aca="false">AC51+AC82+AC113</f>
        <v>440028.673745925</v>
      </c>
      <c r="AD145" s="54" t="n">
        <f aca="false">AD51+AD82+AD113</f>
        <v>663220.539970815</v>
      </c>
      <c r="AE145" s="54" t="n">
        <f aca="false">AE51+AE82+AE113</f>
        <v>916281.605649798</v>
      </c>
    </row>
    <row r="146" customFormat="false" ht="15" hidden="false" customHeight="false" outlineLevel="0" collapsed="false">
      <c r="A146" s="6" t="s">
        <v>126</v>
      </c>
      <c r="B146" s="23" t="s">
        <v>110</v>
      </c>
      <c r="C146" s="54" t="n">
        <f aca="false">C53+C84+C115</f>
        <v>0</v>
      </c>
      <c r="D146" s="54" t="n">
        <f aca="false">D53+D84+D115</f>
        <v>0</v>
      </c>
      <c r="E146" s="54" t="n">
        <f aca="false">E53+E84+E115</f>
        <v>0</v>
      </c>
      <c r="F146" s="54" t="n">
        <f aca="false">F53+F84+F115</f>
        <v>0</v>
      </c>
      <c r="G146" s="54" t="n">
        <f aca="false">G53+G84+G115</f>
        <v>0</v>
      </c>
      <c r="H146" s="54" t="n">
        <f aca="false">H53+H84+H115</f>
        <v>0</v>
      </c>
      <c r="I146" s="54" t="n">
        <f aca="false">I53+I84+I115</f>
        <v>0</v>
      </c>
      <c r="J146" s="54" t="n">
        <f aca="false">J53+J84+J115</f>
        <v>0</v>
      </c>
      <c r="K146" s="54" t="n">
        <f aca="false">K53+K84+K115</f>
        <v>0</v>
      </c>
      <c r="L146" s="54" t="n">
        <f aca="false">L53+L84+L115</f>
        <v>0</v>
      </c>
      <c r="M146" s="54" t="n">
        <f aca="false">M53+M84+M115</f>
        <v>0</v>
      </c>
      <c r="N146" s="54" t="n">
        <f aca="false">N53+N84+N115</f>
        <v>0</v>
      </c>
      <c r="O146" s="54" t="n">
        <f aca="false">O53+O84+O115</f>
        <v>1.20555404241786</v>
      </c>
      <c r="P146" s="54" t="n">
        <f aca="false">P53+P84+P115</f>
        <v>1.39589311913142</v>
      </c>
      <c r="Q146" s="54" t="n">
        <f aca="false">Q53+Q84+Q115</f>
        <v>1.61813857583097</v>
      </c>
      <c r="R146" s="54" t="n">
        <f aca="false">R53+R84+R115</f>
        <v>1.82223988091081</v>
      </c>
      <c r="S146" s="54" t="n">
        <f aca="false">S53+S84+S115</f>
        <v>2.09908758316139</v>
      </c>
      <c r="T146" s="54" t="n">
        <f aca="false">T53+T84+T115</f>
        <v>2.51580821046774</v>
      </c>
      <c r="U146" s="54" t="n">
        <f aca="false">U53+U84+U115</f>
        <v>2.93937603962614</v>
      </c>
      <c r="V146" s="54" t="n">
        <f aca="false">V53+V84+V115</f>
        <v>3.3459922587546</v>
      </c>
      <c r="W146" s="54" t="n">
        <f aca="false">W53+W84+W115</f>
        <v>4.41734330095612</v>
      </c>
      <c r="X146" s="54" t="n">
        <f aca="false">X53+X84+X115</f>
        <v>5.40701916563946</v>
      </c>
      <c r="Y146" s="54" t="n">
        <f aca="false">Y53+Y84+Y115</f>
        <v>6.46574809807252</v>
      </c>
      <c r="Z146" s="54" t="n">
        <f aca="false">Z53+Z84+Z115</f>
        <v>7.90149352398067</v>
      </c>
      <c r="AA146" s="54" t="n">
        <f aca="false">AA53+AA84+AA115</f>
        <v>748.792613101979</v>
      </c>
      <c r="AB146" s="54" t="n">
        <f aca="false">AB53+AB84+AB115</f>
        <v>1573.75888233001</v>
      </c>
      <c r="AC146" s="54" t="n">
        <f aca="false">AC53+AC84+AC115</f>
        <v>2719.68540163987</v>
      </c>
      <c r="AD146" s="54" t="n">
        <f aca="false">AD53+AD84+AD115</f>
        <v>4099.4393258443</v>
      </c>
      <c r="AE146" s="54" t="n">
        <f aca="false">AE53+AE84+AE115</f>
        <v>5568.55205906092</v>
      </c>
    </row>
    <row r="147" customFormat="false" ht="15" hidden="false" customHeight="false" outlineLevel="0" collapsed="false">
      <c r="A147" s="6" t="s">
        <v>478</v>
      </c>
      <c r="B147" s="23" t="s">
        <v>452</v>
      </c>
      <c r="C147" s="44" t="n">
        <f aca="false">C54+C85+C116</f>
        <v>0.406684313608072</v>
      </c>
      <c r="D147" s="44" t="n">
        <f aca="false">D54+D85+D116</f>
        <v>0.815544702625167</v>
      </c>
      <c r="E147" s="44" t="n">
        <f aca="false">E54+E85+E116</f>
        <v>1.22841556512334</v>
      </c>
      <c r="F147" s="44" t="n">
        <f aca="false">F54+F85+F116</f>
        <v>1.75202110182094</v>
      </c>
      <c r="G147" s="44" t="n">
        <f aca="false">G54+G85+G116</f>
        <v>2.25377334507469</v>
      </c>
      <c r="H147" s="44" t="n">
        <f aca="false">H54+H85+H116</f>
        <v>2.71008791910342</v>
      </c>
      <c r="I147" s="44" t="n">
        <f aca="false">I54+I85+I116</f>
        <v>3.16876885004802</v>
      </c>
      <c r="J147" s="44" t="n">
        <f aca="false">J54+J85+J116</f>
        <v>3.6404950047023</v>
      </c>
      <c r="K147" s="44" t="n">
        <f aca="false">K54+K85+K116</f>
        <v>4.15673065643959</v>
      </c>
      <c r="L147" s="44" t="n">
        <f aca="false">L54+L85+L116</f>
        <v>4.81489401730558</v>
      </c>
      <c r="M147" s="44" t="n">
        <f aca="false">M54+M85+M116</f>
        <v>5.45279534078261</v>
      </c>
      <c r="N147" s="44" t="n">
        <f aca="false">N54+N85+N116</f>
        <v>6.05125351377414</v>
      </c>
      <c r="O147" s="44" t="n">
        <f aca="false">O54+O85+O116</f>
        <v>7.66099081524071</v>
      </c>
      <c r="P147" s="44" t="n">
        <f aca="false">P54+P85+P116</f>
        <v>9.29340376021868</v>
      </c>
      <c r="Q147" s="44" t="n">
        <f aca="false">Q54+Q85+Q116</f>
        <v>10.9524201434148</v>
      </c>
      <c r="R147" s="44" t="n">
        <f aca="false">R54+R85+R116</f>
        <v>13.0235512167985</v>
      </c>
      <c r="S147" s="44" t="n">
        <f aca="false">S54+S85+S116</f>
        <v>15.0365373269924</v>
      </c>
      <c r="T147" s="44" t="n">
        <f aca="false">T54+T85+T116</f>
        <v>16.8949068873714</v>
      </c>
      <c r="U147" s="44" t="n">
        <f aca="false">U54+U85+U116</f>
        <v>18.7705549609163</v>
      </c>
      <c r="V147" s="44" t="n">
        <f aca="false">V54+V85+V116</f>
        <v>20.7034215474272</v>
      </c>
      <c r="W147" s="44" t="n">
        <f aca="false">W54+W85+W116</f>
        <v>22.8163393422031</v>
      </c>
      <c r="X147" s="44" t="n">
        <f aca="false">X54+X85+X116</f>
        <v>25.4976722742468</v>
      </c>
      <c r="Y147" s="44" t="n">
        <f aca="false">Y54+Y85+Y116</f>
        <v>28.126883106928</v>
      </c>
      <c r="Z147" s="44" t="n">
        <f aca="false">Z54+Z85+Z116</f>
        <v>30.6185074898315</v>
      </c>
      <c r="AA147" s="44" t="n">
        <f aca="false">AA54+AA85+AA116</f>
        <v>968.415879430042</v>
      </c>
      <c r="AB147" s="44" t="n">
        <f aca="false">AB54+AB85+AB116</f>
        <v>1959.3892248943</v>
      </c>
      <c r="AC147" s="44" t="n">
        <f aca="false">AC54+AC85+AC116</f>
        <v>3441.63165141824</v>
      </c>
      <c r="AD147" s="44" t="n">
        <f aca="false">AD54+AD85+AD116</f>
        <v>5380.7215495379</v>
      </c>
      <c r="AE147" s="44" t="n">
        <f aca="false">AE54+AE85+AE116</f>
        <v>7690.27328016018</v>
      </c>
    </row>
    <row r="148" customFormat="false" ht="15" hidden="false" customHeight="false" outlineLevel="0" collapsed="false">
      <c r="A148" s="3" t="s">
        <v>479</v>
      </c>
      <c r="B148" s="23" t="s">
        <v>110</v>
      </c>
      <c r="C148" s="56" t="n">
        <f aca="false">C55+C86+C117+C121</f>
        <v>78.7815079302887</v>
      </c>
      <c r="D148" s="56" t="n">
        <f aca="false">D55+D86+D117+D121</f>
        <v>149.803511581182</v>
      </c>
      <c r="E148" s="56" t="n">
        <f aca="false">E55+E86+E117+E121</f>
        <v>214.227160865596</v>
      </c>
      <c r="F148" s="56" t="n">
        <f aca="false">F55+F86+F117+F121</f>
        <v>293.412379890947</v>
      </c>
      <c r="G148" s="56" t="n">
        <f aca="false">G55+G86+G117+G121</f>
        <v>360.141328941497</v>
      </c>
      <c r="H148" s="56" t="n">
        <f aca="false">H55+H86+H117+H121</f>
        <v>411.138594773079</v>
      </c>
      <c r="I148" s="56" t="n">
        <f aca="false">I55+I86+I117+I121</f>
        <v>1128.24816057441</v>
      </c>
      <c r="J148" s="56" t="n">
        <f aca="false">J55+J86+J117+J121</f>
        <v>1236.54036390049</v>
      </c>
      <c r="K148" s="56" t="n">
        <f aca="false">K55+K86+K117+K121</f>
        <v>1354.86023047213</v>
      </c>
      <c r="L148" s="56" t="n">
        <f aca="false">L55+L86+L117+L121</f>
        <v>1528.72827369995</v>
      </c>
      <c r="M148" s="56" t="n">
        <f aca="false">M55+M86+M117+M121</f>
        <v>1674.8562725369</v>
      </c>
      <c r="N148" s="56" t="n">
        <f aca="false">N55+N86+N117+N121</f>
        <v>1786.95710940752</v>
      </c>
      <c r="O148" s="56" t="n">
        <f aca="false">O55+O86+O117+O121</f>
        <v>19395.6782864936</v>
      </c>
      <c r="P148" s="56" t="n">
        <f aca="false">P55+P86+P117+P121</f>
        <v>19985.1739557073</v>
      </c>
      <c r="Q148" s="56" t="n">
        <f aca="false">Q55+Q86+Q117+Q121</f>
        <v>20534.1310176632</v>
      </c>
      <c r="R148" s="56" t="n">
        <f aca="false">R55+R86+R117+R121</f>
        <v>21230.4806623791</v>
      </c>
      <c r="S148" s="56" t="n">
        <f aca="false">S55+S86+S117+S121</f>
        <v>21846.5072646805</v>
      </c>
      <c r="T148" s="56" t="n">
        <f aca="false">T55+T86+T117+T121</f>
        <v>22426.8953002992</v>
      </c>
      <c r="U148" s="56" t="n">
        <f aca="false">U55+U86+U117+U121</f>
        <v>22934.3880323332</v>
      </c>
      <c r="V148" s="56" t="n">
        <f aca="false">V55+V86+V117+V121</f>
        <v>23388.8048719288</v>
      </c>
      <c r="W148" s="56" t="n">
        <f aca="false">W55+W86+W117+W121</f>
        <v>23998.8806673985</v>
      </c>
      <c r="X148" s="56" t="n">
        <f aca="false">X55+X86+X117+X121</f>
        <v>24953.1389535158</v>
      </c>
      <c r="Y148" s="56" t="n">
        <f aca="false">Y55+Y86+Y117+Y121</f>
        <v>25770.0782327979</v>
      </c>
      <c r="Z148" s="56" t="n">
        <f aca="false">Z55+Z86+Z117+Z121</f>
        <v>26482.7438807396</v>
      </c>
      <c r="AA148" s="56" t="n">
        <f aca="false">AA55+AA86+AA117+AA121</f>
        <v>762451.404832634</v>
      </c>
      <c r="AB148" s="56" t="n">
        <f aca="false">AB55+AB86+AB117+AB121</f>
        <v>1253264.76453647</v>
      </c>
      <c r="AC148" s="56" t="n">
        <f aca="false">AC55+AC86+AC117+AC121</f>
        <v>1850487.07168489</v>
      </c>
      <c r="AD148" s="56" t="n">
        <f aca="false">AD55+AD86+AD117+AD121</f>
        <v>2502420.37264426</v>
      </c>
      <c r="AE148" s="56" t="n">
        <f aca="false">AE55+AE86+AE117+AE121</f>
        <v>3167739.63164123</v>
      </c>
    </row>
    <row r="149" customFormat="false" ht="15" hidden="false" customHeight="false" outlineLevel="0" collapsed="false">
      <c r="A149" s="6" t="s">
        <v>480</v>
      </c>
      <c r="B149" s="23" t="s">
        <v>110</v>
      </c>
      <c r="C149" s="54" t="n">
        <f aca="false">IF(C125=0,0,C148/C125/C7*12)</f>
        <v>16.3572755475792</v>
      </c>
      <c r="D149" s="54" t="n">
        <f aca="false">IF(D125=0,0,D148/D125/D7*12)</f>
        <v>16.3573382133685</v>
      </c>
      <c r="E149" s="54" t="n">
        <f aca="false">IF(E125=0,0,E148/E125/E7*12)</f>
        <v>16.3573991144365</v>
      </c>
      <c r="F149" s="54" t="n">
        <f aca="false">IF(F125=0,0,F148/F125/F7*12)</f>
        <v>16.3574709589724</v>
      </c>
      <c r="G149" s="54" t="n">
        <f aca="false">IF(G125=0,0,G148/G125/G7*12)</f>
        <v>16.3575398227967</v>
      </c>
      <c r="H149" s="54" t="n">
        <f aca="false">IF(H125=0,0,H148/H125/H7*12)</f>
        <v>16.3576008823551</v>
      </c>
      <c r="I149" s="54" t="n">
        <f aca="false">IF(I125=0,0,I148/I125/I7*12)</f>
        <v>40.3576608572342</v>
      </c>
      <c r="J149" s="54" t="n">
        <f aca="false">IF(J125=0,0,J148/J125/J7*12)</f>
        <v>40.3577215683641</v>
      </c>
      <c r="K149" s="54" t="n">
        <f aca="false">IF(K125=0,0,K148/K125/K7*12)</f>
        <v>40.3577880710461</v>
      </c>
      <c r="L149" s="54" t="n">
        <f aca="false">IF(L125=0,0,L148/L125/L7*12)</f>
        <v>40.3578749340502</v>
      </c>
      <c r="M149" s="54" t="n">
        <f aca="false">IF(M125=0,0,M148/M125/M7*12)</f>
        <v>40.3579568290808</v>
      </c>
      <c r="N149" s="54" t="n">
        <f aca="false">IF(N125=0,0,N148/N125/N7*12)</f>
        <v>40.3580308000705</v>
      </c>
      <c r="O149" s="54" t="n">
        <f aca="false">IF(O125=0,0,O148/O125/O7*12)</f>
        <v>330.177690906816</v>
      </c>
      <c r="P149" s="54" t="n">
        <f aca="false">IF(P125=0,0,P148/P125/P7*12)</f>
        <v>277.668416217634</v>
      </c>
      <c r="Q149" s="54" t="n">
        <f aca="false">IF(Q125=0,0,Q148/Q125/Q7*12)</f>
        <v>244.024911324438</v>
      </c>
      <c r="R149" s="54" t="n">
        <f aca="false">IF(R125=0,0,R148/R125/R7*12)</f>
        <v>212.438959469497</v>
      </c>
      <c r="S149" s="54" t="n">
        <f aca="false">IF(S125=0,0,S148/S125/S7*12)</f>
        <v>192.653917495959</v>
      </c>
      <c r="T149" s="54" t="n">
        <f aca="false">IF(T125=0,0,T148/T125/T7*12)</f>
        <v>181.40411346156</v>
      </c>
      <c r="U149" s="54" t="n">
        <f aca="false">IF(U125=0,0,U148/U125/U7*12)</f>
        <v>172.4347242193</v>
      </c>
      <c r="V149" s="54" t="n">
        <f aca="false">IF(V125=0,0,V148/V125/V7*12)</f>
        <v>164.615678335105</v>
      </c>
      <c r="W149" s="54" t="n">
        <f aca="false">IF(W125=0,0,W148/W125/W7*12)</f>
        <v>157.525901334994</v>
      </c>
      <c r="X149" s="54" t="n">
        <f aca="false">IF(X125=0,0,X148/X125/X7*12)</f>
        <v>148.281988589254</v>
      </c>
      <c r="Y149" s="54" t="n">
        <f aca="false">IF(Y125=0,0,Y148/Y125/Y7*12)</f>
        <v>141.638513992801</v>
      </c>
      <c r="Z149" s="54" t="n">
        <f aca="false">IF(Z125=0,0,Z148/Z125/Z7*12)</f>
        <v>137.5331190962</v>
      </c>
      <c r="AA149" s="54" t="n">
        <f aca="false">IF(AA125=0,0,AA148/AA125/AA7*12)</f>
        <v>158.274339948881</v>
      </c>
      <c r="AB149" s="54" t="n">
        <f aca="false">IF(AB125=0,0,AB148/AB125/AB7*12)</f>
        <v>153.037929096309</v>
      </c>
      <c r="AC149" s="54" t="n">
        <f aca="false">IF(AC125=0,0,AC148/AC125/AC7*12)</f>
        <v>148.164997176575</v>
      </c>
      <c r="AD149" s="54" t="n">
        <f aca="false">IF(AD125=0,0,AD148/AD125/AD7*12)</f>
        <v>149.196279198849</v>
      </c>
      <c r="AE149" s="54" t="n">
        <f aca="false">IF(AE125=0,0,AE148/AE125/AE7*12)</f>
        <v>154.973039172438</v>
      </c>
    </row>
    <row r="150" customFormat="false" ht="15" hidden="false" customHeight="false" outlineLevel="0" collapsed="false">
      <c r="A150" s="6" t="s">
        <v>481</v>
      </c>
      <c r="B150" s="23" t="s">
        <v>474</v>
      </c>
      <c r="C150" s="58" t="n">
        <f aca="false">C148-(C141+C142+C143+C144+C145+C146+C121)</f>
        <v>0</v>
      </c>
      <c r="D150" s="58" t="n">
        <f aca="false">D148-(D141+D142+D143+D144+D145+D146+D121)</f>
        <v>0</v>
      </c>
      <c r="E150" s="58" t="n">
        <f aca="false">E148-(E141+E142+E143+E144+E145+E146+E121)</f>
        <v>0</v>
      </c>
      <c r="F150" s="58" t="n">
        <f aca="false">F148-(F141+F142+F143+F144+F145+F146+F121)</f>
        <v>0</v>
      </c>
      <c r="G150" s="58" t="n">
        <f aca="false">G148-(G141+G142+G143+G144+G145+G146+G121)</f>
        <v>0</v>
      </c>
      <c r="H150" s="58" t="n">
        <f aca="false">H148-(H141+H142+H143+H144+H145+H146+H121)</f>
        <v>0</v>
      </c>
      <c r="I150" s="58" t="n">
        <f aca="false">I148-(I141+I142+I143+I144+I145+I146+I121)</f>
        <v>0</v>
      </c>
      <c r="J150" s="58" t="n">
        <f aca="false">J148-(J141+J142+J143+J144+J145+J146+J121)</f>
        <v>0</v>
      </c>
      <c r="K150" s="58" t="n">
        <f aca="false">K148-(K141+K142+K143+K144+K145+K146+K121)</f>
        <v>0</v>
      </c>
      <c r="L150" s="58" t="n">
        <f aca="false">L148-(L141+L142+L143+L144+L145+L146+L121)</f>
        <v>0</v>
      </c>
      <c r="M150" s="58" t="n">
        <f aca="false">M148-(M141+M142+M143+M144+M145+M146+M121)</f>
        <v>0</v>
      </c>
      <c r="N150" s="58" t="n">
        <f aca="false">N148-(N141+N142+N143+N144+N145+N146+N121)</f>
        <v>0</v>
      </c>
      <c r="O150" s="58" t="n">
        <f aca="false">O148-(O141+O142+O143+O144+O145+O146+O121)</f>
        <v>0</v>
      </c>
      <c r="P150" s="58" t="n">
        <f aca="false">P148-(P141+P142+P143+P144+P145+P146+P121)</f>
        <v>0</v>
      </c>
      <c r="Q150" s="58" t="n">
        <f aca="false">Q148-(Q141+Q142+Q143+Q144+Q145+Q146+Q121)</f>
        <v>0</v>
      </c>
      <c r="R150" s="58" t="n">
        <f aca="false">R148-(R141+R142+R143+R144+R145+R146+R121)</f>
        <v>0</v>
      </c>
      <c r="S150" s="58" t="n">
        <f aca="false">S148-(S141+S142+S143+S144+S145+S146+S121)</f>
        <v>0</v>
      </c>
      <c r="T150" s="58" t="n">
        <f aca="false">T148-(T141+T142+T143+T144+T145+T146+T121)</f>
        <v>0</v>
      </c>
      <c r="U150" s="58" t="n">
        <f aca="false">U148-(U141+U142+U143+U144+U145+U146+U121)</f>
        <v>0</v>
      </c>
      <c r="V150" s="58" t="n">
        <f aca="false">V148-(V141+V142+V143+V144+V145+V146+V121)</f>
        <v>0</v>
      </c>
      <c r="W150" s="58" t="n">
        <f aca="false">W148-(W141+W142+W143+W144+W145+W146+W121)</f>
        <v>0</v>
      </c>
      <c r="X150" s="58" t="n">
        <f aca="false">X148-(X141+X142+X143+X144+X145+X146+X121)</f>
        <v>0</v>
      </c>
      <c r="Y150" s="58" t="n">
        <f aca="false">Y148-(Y141+Y142+Y143+Y144+Y145+Y146+Y121)</f>
        <v>0</v>
      </c>
      <c r="Z150" s="58" t="n">
        <f aca="false">Z148-(Z141+Z142+Z143+Z144+Z145+Z146+Z121)</f>
        <v>0</v>
      </c>
      <c r="AA150" s="58" t="n">
        <f aca="false">AA148-(AA141+AA142+AA143+AA144+AA145+AA146+AA121)</f>
        <v>0</v>
      </c>
      <c r="AB150" s="58" t="n">
        <f aca="false">AB148-(AB141+AB142+AB143+AB144+AB145+AB146+AB121)</f>
        <v>0</v>
      </c>
      <c r="AC150" s="58" t="n">
        <f aca="false">AC148-(AC141+AC142+AC143+AC144+AC145+AC146+AC121)</f>
        <v>0</v>
      </c>
      <c r="AD150" s="58" t="n">
        <f aca="false">AD148-(AD141+AD142+AD143+AD144+AD145+AD146+AD121)</f>
        <v>0</v>
      </c>
      <c r="AE150" s="58" t="n">
        <f aca="false">AE148-(AE141+AE142+AE143+AE144+AE145+AE146+AE121)</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482</v>
      </c>
    </row>
    <row r="4" customFormat="false" ht="15" hidden="false" customHeight="false" outlineLevel="0" collapsed="false">
      <c r="D4" s="60" t="s">
        <v>483</v>
      </c>
      <c r="E4" s="60" t="s">
        <v>484</v>
      </c>
      <c r="F4" s="60" t="s">
        <v>389</v>
      </c>
      <c r="G4" s="60" t="s">
        <v>390</v>
      </c>
      <c r="H4" s="60" t="s">
        <v>391</v>
      </c>
      <c r="I4" s="60" t="s">
        <v>392</v>
      </c>
      <c r="J4" s="60" t="s">
        <v>393</v>
      </c>
    </row>
    <row r="6" customFormat="false" ht="18" hidden="false" customHeight="true" outlineLevel="0" collapsed="false">
      <c r="A6" s="12" t="s">
        <v>485</v>
      </c>
      <c r="B6" s="13"/>
      <c r="C6" s="13"/>
      <c r="D6" s="13"/>
      <c r="E6" s="13"/>
      <c r="F6" s="13"/>
      <c r="G6" s="13"/>
      <c r="H6" s="13"/>
      <c r="I6" s="13"/>
      <c r="J6" s="13"/>
      <c r="K6" s="13"/>
    </row>
    <row r="7" customFormat="false" ht="15" hidden="false" customHeight="false" outlineLevel="0" collapsed="false">
      <c r="A7" s="6" t="s">
        <v>486</v>
      </c>
      <c r="D7" s="35" t="n">
        <f aca="false">SUM(Model!C55:N55)</f>
        <v>6007.49565924325</v>
      </c>
      <c r="E7" s="35" t="n">
        <f aca="false">SUM(Model!O55:Z55)</f>
        <v>38340.6571466355</v>
      </c>
      <c r="F7" s="35" t="n">
        <f aca="false">Model!AA55</f>
        <v>158472.364111602</v>
      </c>
      <c r="G7" s="35" t="n">
        <f aca="false">Model!AB55</f>
        <v>282405.012674828</v>
      </c>
      <c r="H7" s="35" t="n">
        <f aca="false">Model!AC55</f>
        <v>462580.867614116</v>
      </c>
      <c r="I7" s="35" t="n">
        <f aca="false">Model!AD55</f>
        <v>700550.463159662</v>
      </c>
      <c r="J7" s="35" t="n">
        <f aca="false">Model!AE55</f>
        <v>970455.060732032</v>
      </c>
    </row>
    <row r="8" customFormat="false" ht="15" hidden="false" customHeight="false" outlineLevel="0" collapsed="false">
      <c r="A8" s="6" t="s">
        <v>487</v>
      </c>
      <c r="D8" s="35" t="n">
        <f aca="false">SUM(Model!C86:N86)</f>
        <v>0</v>
      </c>
      <c r="E8" s="35" t="n">
        <f aca="false">SUM(Model!O86:Z86)</f>
        <v>4547.12470791194</v>
      </c>
      <c r="F8" s="35" t="n">
        <f aca="false">Model!AA86</f>
        <v>27818.2735320371</v>
      </c>
      <c r="G8" s="35" t="n">
        <f aca="false">Model!AB86</f>
        <v>51740.6264544569</v>
      </c>
      <c r="H8" s="35" t="n">
        <f aca="false">Model!AC86</f>
        <v>86209.9175571061</v>
      </c>
      <c r="I8" s="35" t="n">
        <f aca="false">Model!AD86</f>
        <v>131573.878823397</v>
      </c>
      <c r="J8" s="35" t="n">
        <f aca="false">Model!AE86</f>
        <v>182922.915055375</v>
      </c>
    </row>
    <row r="9" customFormat="false" ht="15" hidden="false" customHeight="false" outlineLevel="0" collapsed="false">
      <c r="A9" s="6" t="s">
        <v>488</v>
      </c>
      <c r="D9" s="35" t="n">
        <f aca="false">SUM(Model!C117:N117)</f>
        <v>4210.19923533075</v>
      </c>
      <c r="E9" s="35" t="n">
        <f aca="false">SUM(Model!O117:Z117)</f>
        <v>30059.1192713891</v>
      </c>
      <c r="F9" s="35" t="n">
        <f aca="false">Model!AA117</f>
        <v>176160.767188995</v>
      </c>
      <c r="G9" s="35" t="n">
        <f aca="false">Model!AB117</f>
        <v>319119.125407185</v>
      </c>
      <c r="H9" s="35" t="n">
        <f aca="false">Model!AC117</f>
        <v>501696.286513664</v>
      </c>
      <c r="I9" s="35" t="n">
        <f aca="false">Model!AD117</f>
        <v>670296.030661201</v>
      </c>
      <c r="J9" s="35" t="n">
        <f aca="false">Model!AE117</f>
        <v>814361.655853823</v>
      </c>
    </row>
    <row r="10" customFormat="false" ht="15" hidden="false" customHeight="false" outlineLevel="0" collapsed="false">
      <c r="A10" s="6" t="s">
        <v>489</v>
      </c>
      <c r="D10" s="35" t="n">
        <f aca="false">SUM(Model!C121:N121)</f>
        <v>0</v>
      </c>
      <c r="E10" s="35" t="n">
        <f aca="false">SUM(Model!O121:Z121)</f>
        <v>200000</v>
      </c>
      <c r="F10" s="35" t="n">
        <f aca="false">Model!AA121</f>
        <v>400000</v>
      </c>
      <c r="G10" s="35" t="n">
        <f aca="false">Model!AB121</f>
        <v>600000</v>
      </c>
      <c r="H10" s="35" t="n">
        <f aca="false">Model!AC121</f>
        <v>800000</v>
      </c>
      <c r="I10" s="35" t="n">
        <f aca="false">Model!AD121</f>
        <v>1000000</v>
      </c>
      <c r="J10" s="35" t="n">
        <f aca="false">Model!AE121</f>
        <v>1200000</v>
      </c>
    </row>
    <row r="11" customFormat="false" ht="15" hidden="false" customHeight="false" outlineLevel="0" collapsed="false">
      <c r="A11" s="3" t="s">
        <v>490</v>
      </c>
      <c r="D11" s="61" t="n">
        <f aca="false">SUM(Model!C148:N148)</f>
        <v>10217.694894574</v>
      </c>
      <c r="E11" s="61" t="n">
        <f aca="false">SUM(Model!O148:Z148)</f>
        <v>272946.901125937</v>
      </c>
      <c r="F11" s="61" t="n">
        <f aca="false">Model!AA148</f>
        <v>762451.404832634</v>
      </c>
      <c r="G11" s="61" t="n">
        <f aca="false">Model!AB148</f>
        <v>1253264.76453647</v>
      </c>
      <c r="H11" s="61" t="n">
        <f aca="false">Model!AC148</f>
        <v>1850487.07168489</v>
      </c>
      <c r="I11" s="61" t="n">
        <f aca="false">Model!AD148</f>
        <v>2502420.37264426</v>
      </c>
      <c r="J11" s="61" t="n">
        <f aca="false">Model!AE148</f>
        <v>3167739.63164123</v>
      </c>
    </row>
    <row r="13" customFormat="false" ht="18" hidden="false" customHeight="true" outlineLevel="0" collapsed="false">
      <c r="A13" s="12" t="s">
        <v>491</v>
      </c>
      <c r="B13" s="13"/>
      <c r="C13" s="13"/>
      <c r="D13" s="13"/>
      <c r="E13" s="13"/>
      <c r="F13" s="13"/>
      <c r="G13" s="13"/>
      <c r="H13" s="13"/>
      <c r="I13" s="13"/>
      <c r="J13" s="13"/>
      <c r="K13" s="13"/>
    </row>
    <row r="14" customFormat="false" ht="15" hidden="false" customHeight="false" outlineLevel="0" collapsed="false">
      <c r="A14" s="6" t="s">
        <v>492</v>
      </c>
      <c r="D14" s="35" t="n">
        <f aca="false">SUM(Model!C141:N141)</f>
        <v>4236.90846697855</v>
      </c>
      <c r="E14" s="35" t="n">
        <f aca="false">SUM(Model!O141:Z141)</f>
        <v>20576.8347311688</v>
      </c>
      <c r="F14" s="35" t="n">
        <f aca="false">Model!AA141</f>
        <v>64385.6592932351</v>
      </c>
      <c r="G14" s="35" t="n">
        <f aca="false">Model!AB141</f>
        <v>109404.467799984</v>
      </c>
      <c r="H14" s="35" t="n">
        <f aca="false">Model!AC141</f>
        <v>167012.271480888</v>
      </c>
      <c r="I14" s="35" t="n">
        <f aca="false">Model!AD141</f>
        <v>224951.151853592</v>
      </c>
      <c r="J14" s="35" t="n">
        <f aca="false">Model!AE141</f>
        <v>274980.855159893</v>
      </c>
    </row>
    <row r="15" customFormat="false" ht="15" hidden="false" customHeight="false" outlineLevel="0" collapsed="false">
      <c r="A15" s="6" t="s">
        <v>493</v>
      </c>
      <c r="D15" s="35" t="n">
        <f aca="false">SUM(Model!C142:N142)</f>
        <v>801.012978335998</v>
      </c>
      <c r="E15" s="35" t="n">
        <f aca="false">SUM(Model!O142:Z142)</f>
        <v>3890.74760954936</v>
      </c>
      <c r="F15" s="35" t="n">
        <f aca="false">Model!AA142</f>
        <v>12168.7438740384</v>
      </c>
      <c r="G15" s="35" t="n">
        <f aca="false">Model!AB142</f>
        <v>20677.4363636811</v>
      </c>
      <c r="H15" s="35" t="n">
        <f aca="false">Model!AC142</f>
        <v>31568.2499043378</v>
      </c>
      <c r="I15" s="35" t="n">
        <f aca="false">Model!AD142</f>
        <v>42530.1275036193</v>
      </c>
      <c r="J15" s="35" t="n">
        <f aca="false">Model!AE142</f>
        <v>52001.9061516614</v>
      </c>
    </row>
    <row r="16" customFormat="false" ht="15" hidden="false" customHeight="false" outlineLevel="0" collapsed="false">
      <c r="A16" s="6" t="s">
        <v>494</v>
      </c>
      <c r="D16" s="35" t="n">
        <f aca="false">SUM(Model!C143:N143)</f>
        <v>0</v>
      </c>
      <c r="E16" s="35" t="n">
        <f aca="false">SUM(Model!O143:Z143)</f>
        <v>1607.8032539725</v>
      </c>
      <c r="F16" s="35" t="n">
        <f aca="false">Model!AA143</f>
        <v>33787.3081596541</v>
      </c>
      <c r="G16" s="35" t="n">
        <f aca="false">Model!AB143</f>
        <v>64731.7517147853</v>
      </c>
      <c r="H16" s="35" t="n">
        <f aca="false">Model!AC143</f>
        <v>109413.375799318</v>
      </c>
      <c r="I16" s="35" t="n">
        <f aca="false">Model!AD143</f>
        <v>165074.967005216</v>
      </c>
      <c r="J16" s="35" t="n">
        <f aca="false">Model!AE143</f>
        <v>228332.664609822</v>
      </c>
    </row>
    <row r="17" customFormat="false" ht="15" hidden="false" customHeight="false" outlineLevel="0" collapsed="false">
      <c r="A17" s="6" t="s">
        <v>495</v>
      </c>
      <c r="D17" s="35" t="n">
        <f aca="false">SUM(Model!C144:N144)</f>
        <v>5179.77344925946</v>
      </c>
      <c r="E17" s="35" t="n">
        <f aca="false">SUM(Model!O144:Z144)</f>
        <v>36529.0275394085</v>
      </c>
      <c r="F17" s="35" t="n">
        <f aca="false">Model!AA144</f>
        <v>115614.658206083</v>
      </c>
      <c r="G17" s="35" t="n">
        <f aca="false">Model!AB144</f>
        <v>196541.828071566</v>
      </c>
      <c r="H17" s="35" t="n">
        <f aca="false">Model!AC144</f>
        <v>299744.815352777</v>
      </c>
      <c r="I17" s="35" t="n">
        <f aca="false">Model!AD144</f>
        <v>402544.146985173</v>
      </c>
      <c r="J17" s="35" t="n">
        <f aca="false">Model!AE144</f>
        <v>490574.048010994</v>
      </c>
    </row>
    <row r="18" customFormat="false" ht="15" hidden="false" customHeight="false" outlineLevel="0" collapsed="false">
      <c r="A18" s="6" t="s">
        <v>496</v>
      </c>
      <c r="D18" s="35" t="n">
        <f aca="false">SUM(Model!C145:N145)</f>
        <v>0</v>
      </c>
      <c r="E18" s="35" t="n">
        <f aca="false">SUM(Model!O145:Z145)</f>
        <v>10301.3542980384</v>
      </c>
      <c r="F18" s="35" t="n">
        <f aca="false">Model!AA145</f>
        <v>135746.242686522</v>
      </c>
      <c r="G18" s="35" t="n">
        <f aca="false">Model!AB145</f>
        <v>260335.521704124</v>
      </c>
      <c r="H18" s="35" t="n">
        <f aca="false">Model!AC145</f>
        <v>440028.673745925</v>
      </c>
      <c r="I18" s="35" t="n">
        <f aca="false">Model!AD145</f>
        <v>663220.539970815</v>
      </c>
      <c r="J18" s="35" t="n">
        <f aca="false">Model!AE145</f>
        <v>916281.605649798</v>
      </c>
    </row>
    <row r="19" customFormat="false" ht="15" hidden="false" customHeight="false" outlineLevel="0" collapsed="false">
      <c r="A19" s="6" t="s">
        <v>497</v>
      </c>
      <c r="D19" s="35" t="n">
        <f aca="false">SUM(Model!C146:N146)</f>
        <v>0</v>
      </c>
      <c r="E19" s="35" t="n">
        <f aca="false">SUM(Model!O146:Z146)</f>
        <v>41.1336937989497</v>
      </c>
      <c r="F19" s="35" t="n">
        <f aca="false">Model!AA146</f>
        <v>748.792613101979</v>
      </c>
      <c r="G19" s="35" t="n">
        <f aca="false">Model!AB146</f>
        <v>1573.75888233001</v>
      </c>
      <c r="H19" s="35" t="n">
        <f aca="false">Model!AC146</f>
        <v>2719.68540163987</v>
      </c>
      <c r="I19" s="35" t="n">
        <f aca="false">Model!AD146</f>
        <v>4099.4393258443</v>
      </c>
      <c r="J19" s="35" t="n">
        <f aca="false">Model!AE146</f>
        <v>5568.55205906092</v>
      </c>
    </row>
    <row r="20" customFormat="false" ht="15" hidden="false" customHeight="false" outlineLevel="0" collapsed="false">
      <c r="A20" s="6" t="s">
        <v>498</v>
      </c>
      <c r="D20" s="35" t="n">
        <f aca="false">SUM(Model!C121:N121)</f>
        <v>0</v>
      </c>
      <c r="E20" s="35" t="n">
        <f aca="false">SUM(Model!O121:Z121)</f>
        <v>200000</v>
      </c>
      <c r="F20" s="35" t="n">
        <f aca="false">Model!AA121</f>
        <v>400000</v>
      </c>
      <c r="G20" s="35" t="n">
        <f aca="false">Model!AB121</f>
        <v>600000</v>
      </c>
      <c r="H20" s="35" t="n">
        <f aca="false">Model!AC121</f>
        <v>800000</v>
      </c>
      <c r="I20" s="35" t="n">
        <f aca="false">Model!AD121</f>
        <v>1000000</v>
      </c>
      <c r="J20" s="35" t="n">
        <f aca="false">Model!AE121</f>
        <v>1200000</v>
      </c>
    </row>
    <row r="21" customFormat="false" ht="15" hidden="false" customHeight="false" outlineLevel="0" collapsed="false">
      <c r="A21" s="3" t="s">
        <v>499</v>
      </c>
      <c r="D21" s="61" t="n">
        <f aca="false">SUM(Model!C148:N148)</f>
        <v>10217.694894574</v>
      </c>
      <c r="E21" s="61" t="n">
        <f aca="false">SUM(Model!O148:Z148)</f>
        <v>272946.901125937</v>
      </c>
      <c r="F21" s="61" t="n">
        <f aca="false">Model!AA148</f>
        <v>762451.404832634</v>
      </c>
      <c r="G21" s="61" t="n">
        <f aca="false">Model!AB148</f>
        <v>1253264.76453647</v>
      </c>
      <c r="H21" s="61" t="n">
        <f aca="false">Model!AC148</f>
        <v>1850487.07168489</v>
      </c>
      <c r="I21" s="61" t="n">
        <f aca="false">Model!AD148</f>
        <v>2502420.37264426</v>
      </c>
      <c r="J21" s="61" t="n">
        <f aca="false">Model!AE148</f>
        <v>3167739.63164123</v>
      </c>
    </row>
    <row r="23" customFormat="false" ht="18" hidden="false" customHeight="true" outlineLevel="0" collapsed="false">
      <c r="A23" s="12" t="s">
        <v>500</v>
      </c>
      <c r="B23" s="13"/>
      <c r="C23" s="13"/>
      <c r="D23" s="13"/>
      <c r="E23" s="13"/>
      <c r="F23" s="13"/>
      <c r="G23" s="13"/>
      <c r="H23" s="13"/>
      <c r="I23" s="13"/>
      <c r="J23" s="13"/>
      <c r="K23" s="13"/>
    </row>
    <row r="24" customFormat="false" ht="15" hidden="false" customHeight="false" outlineLevel="0" collapsed="false">
      <c r="A24" s="0" t="s">
        <v>501</v>
      </c>
      <c r="D24" s="62" t="n">
        <f aca="false">IF(D$11=0,0,D14/D$11)</f>
        <v>0.414663826890007</v>
      </c>
      <c r="E24" s="62" t="n">
        <f aca="false">IF(E$11=0,0,E14/E$11)</f>
        <v>0.0753876840011266</v>
      </c>
      <c r="F24" s="62" t="n">
        <f aca="false">IF(F$11=0,0,F14/F$11)</f>
        <v>0.084445590742099</v>
      </c>
      <c r="G24" s="62" t="n">
        <f aca="false">IF(G$11=0,0,G14/G$11)</f>
        <v>0.0872955746429588</v>
      </c>
      <c r="H24" s="62" t="n">
        <f aca="false">IF(H$11=0,0,H14/H$11)</f>
        <v>0.0902531414763259</v>
      </c>
      <c r="I24" s="62" t="n">
        <f aca="false">IF(I$11=0,0,I14/I$11)</f>
        <v>0.0898934305014033</v>
      </c>
      <c r="J24" s="62" t="n">
        <f aca="false">IF(J$11=0,0,J14/J$11)</f>
        <v>0.0868066467373847</v>
      </c>
    </row>
    <row r="25" customFormat="false" ht="15" hidden="false" customHeight="false" outlineLevel="0" collapsed="false">
      <c r="A25" s="0" t="s">
        <v>502</v>
      </c>
      <c r="D25" s="62" t="n">
        <f aca="false">IF(D$11=0,0,D15/D$11)</f>
        <v>0.0783946855529389</v>
      </c>
      <c r="E25" s="62" t="n">
        <f aca="false">IF(E$11=0,0,E15/E$11)</f>
        <v>0.0142545952839164</v>
      </c>
      <c r="F25" s="62" t="n">
        <f aca="false">IF(F$11=0,0,F15/F$11)</f>
        <v>0.0159600255136386</v>
      </c>
      <c r="G25" s="62" t="n">
        <f aca="false">IF(G$11=0,0,G15/G$11)</f>
        <v>0.0164988571838839</v>
      </c>
      <c r="H25" s="62" t="n">
        <f aca="false">IF(H$11=0,0,H15/H$11)</f>
        <v>0.0170594274271771</v>
      </c>
      <c r="I25" s="62" t="n">
        <f aca="false">IF(I$11=0,0,I15/I$11)</f>
        <v>0.016995596730488</v>
      </c>
      <c r="J25" s="62" t="n">
        <f aca="false">IF(J$11=0,0,J15/J$11)</f>
        <v>0.0164160922925092</v>
      </c>
    </row>
    <row r="26" customFormat="false" ht="15" hidden="false" customHeight="false" outlineLevel="0" collapsed="false">
      <c r="A26" s="0" t="s">
        <v>503</v>
      </c>
      <c r="D26" s="62" t="n">
        <f aca="false">IF(D$11=0,0,D16/D$11)</f>
        <v>0</v>
      </c>
      <c r="E26" s="62" t="n">
        <f aca="false">IF(E$11=0,0,E16/E$11)</f>
        <v>0.00589053492580471</v>
      </c>
      <c r="F26" s="62" t="n">
        <f aca="false">IF(F$11=0,0,F16/F$11)</f>
        <v>0.0443140480107984</v>
      </c>
      <c r="G26" s="62" t="n">
        <f aca="false">IF(G$11=0,0,G16/G$11)</f>
        <v>0.0516504999952878</v>
      </c>
      <c r="H26" s="62" t="n">
        <f aca="false">IF(H$11=0,0,H16/H$11)</f>
        <v>0.0591267982757082</v>
      </c>
      <c r="I26" s="62" t="n">
        <f aca="false">IF(I$11=0,0,I16/I$11)</f>
        <v>0.0659661217634605</v>
      </c>
      <c r="J26" s="62" t="n">
        <f aca="false">IF(J$11=0,0,J16/J$11)</f>
        <v>0.072080628827288</v>
      </c>
    </row>
    <row r="27" customFormat="false" ht="15" hidden="false" customHeight="false" outlineLevel="0" collapsed="false">
      <c r="A27" s="0" t="s">
        <v>504</v>
      </c>
      <c r="D27" s="62" t="n">
        <f aca="false">IF(D$11=0,0,D17/D$11)</f>
        <v>0.506941487557054</v>
      </c>
      <c r="E27" s="62" t="n">
        <f aca="false">IF(E$11=0,0,E17/E$11)</f>
        <v>0.133831992188672</v>
      </c>
      <c r="F27" s="62" t="n">
        <f aca="false">IF(F$11=0,0,F17/F$11)</f>
        <v>0.151635445188092</v>
      </c>
      <c r="G27" s="62" t="n">
        <f aca="false">IF(G$11=0,0,G17/G$11)</f>
        <v>0.156823868054935</v>
      </c>
      <c r="H27" s="62" t="n">
        <f aca="false">IF(H$11=0,0,H17/H$11)</f>
        <v>0.161981577682603</v>
      </c>
      <c r="I27" s="62" t="n">
        <f aca="false">IF(I$11=0,0,I17/I$11)</f>
        <v>0.160861920477339</v>
      </c>
      <c r="J27" s="62" t="n">
        <f aca="false">IF(J$11=0,0,J17/J$11)</f>
        <v>0.154865647135533</v>
      </c>
    </row>
    <row r="28" customFormat="false" ht="15" hidden="false" customHeight="false" outlineLevel="0" collapsed="false">
      <c r="A28" s="0" t="s">
        <v>505</v>
      </c>
      <c r="D28" s="62" t="n">
        <f aca="false">IF(D$11=0,0,D18/D$11)</f>
        <v>0</v>
      </c>
      <c r="E28" s="62" t="n">
        <f aca="false">IF(E$11=0,0,E18/E$11)</f>
        <v>0.0377412392503603</v>
      </c>
      <c r="F28" s="62" t="n">
        <f aca="false">IF(F$11=0,0,F18/F$11)</f>
        <v>0.178039205942994</v>
      </c>
      <c r="G28" s="62" t="n">
        <f aca="false">IF(G$11=0,0,G18/G$11)</f>
        <v>0.207725876503367</v>
      </c>
      <c r="H28" s="62" t="n">
        <f aca="false">IF(H$11=0,0,H18/H$11)</f>
        <v>0.237790731142626</v>
      </c>
      <c r="I28" s="62" t="n">
        <f aca="false">IF(I$11=0,0,I18/I$11)</f>
        <v>0.265031625869479</v>
      </c>
      <c r="J28" s="62" t="n">
        <f aca="false">IF(J$11=0,0,J18/J$11)</f>
        <v>0.28925407773336</v>
      </c>
    </row>
    <row r="29" customFormat="false" ht="15" hidden="false" customHeight="false" outlineLevel="0" collapsed="false">
      <c r="A29" s="0" t="s">
        <v>506</v>
      </c>
      <c r="D29" s="62" t="n">
        <f aca="false">IF(D$11=0,0,D19/D$11)</f>
        <v>0</v>
      </c>
      <c r="E29" s="62" t="n">
        <f aca="false">IF(E$11=0,0,E19/E$11)</f>
        <v>0.000150702182839478</v>
      </c>
      <c r="F29" s="62" t="n">
        <f aca="false">IF(F$11=0,0,F19/F$11)</f>
        <v>0.000982085688813632</v>
      </c>
      <c r="G29" s="62" t="n">
        <f aca="false">IF(G$11=0,0,G19/G$11)</f>
        <v>0.00125572738248336</v>
      </c>
      <c r="H29" s="62" t="n">
        <f aca="false">IF(H$11=0,0,H19/H$11)</f>
        <v>0.001469713268066</v>
      </c>
      <c r="I29" s="62" t="n">
        <f aca="false">IF(I$11=0,0,I19/I$11)</f>
        <v>0.00163818971850541</v>
      </c>
      <c r="J29" s="62" t="n">
        <f aca="false">IF(J$11=0,0,J19/J$11)</f>
        <v>0.00175789449468605</v>
      </c>
    </row>
    <row r="30" customFormat="false" ht="15" hidden="false" customHeight="false" outlineLevel="0" collapsed="false">
      <c r="A30" s="0" t="s">
        <v>507</v>
      </c>
      <c r="D30" s="62" t="n">
        <f aca="false">IF(D$11=0,0,D20/D$11)</f>
        <v>0</v>
      </c>
      <c r="E30" s="62" t="n">
        <f aca="false">IF(E$11=0,0,E20/E$11)</f>
        <v>0.732743252167281</v>
      </c>
      <c r="F30" s="62" t="n">
        <f aca="false">IF(F$11=0,0,F20/F$11)</f>
        <v>0.524623598913565</v>
      </c>
      <c r="G30" s="62" t="n">
        <f aca="false">IF(G$11=0,0,G20/G$11)</f>
        <v>0.478749596237085</v>
      </c>
      <c r="H30" s="62" t="n">
        <f aca="false">IF(H$11=0,0,H20/H$11)</f>
        <v>0.432318610727495</v>
      </c>
      <c r="I30" s="62" t="n">
        <f aca="false">IF(I$11=0,0,I20/I$11)</f>
        <v>0.399613114939325</v>
      </c>
      <c r="J30" s="62" t="n">
        <f aca="false">IF(J$11=0,0,J20/J$11)</f>
        <v>0.378819012779239</v>
      </c>
    </row>
    <row r="31" customFormat="false" ht="15" hidden="false" customHeight="false" outlineLevel="0" collapsed="false">
      <c r="A31" s="3" t="s">
        <v>508</v>
      </c>
      <c r="D31" s="38" t="n">
        <f aca="false">SUM(D24:D30)</f>
        <v>1</v>
      </c>
      <c r="E31" s="38" t="n">
        <f aca="false">SUM(E24:E30)</f>
        <v>1</v>
      </c>
      <c r="F31" s="38" t="n">
        <f aca="false">SUM(F24:F30)</f>
        <v>1</v>
      </c>
      <c r="G31" s="38" t="n">
        <f aca="false">SUM(G24:G30)</f>
        <v>1</v>
      </c>
      <c r="H31" s="38" t="n">
        <f aca="false">SUM(H24:H30)</f>
        <v>1</v>
      </c>
      <c r="I31" s="38" t="n">
        <f aca="false">SUM(I24:I30)</f>
        <v>1</v>
      </c>
      <c r="J31" s="38" t="n">
        <f aca="false">SUM(J24:J30)</f>
        <v>1</v>
      </c>
    </row>
    <row r="33" customFormat="false" ht="18" hidden="false" customHeight="true" outlineLevel="0" collapsed="false">
      <c r="A33" s="12" t="s">
        <v>509</v>
      </c>
      <c r="B33" s="13"/>
      <c r="C33" s="13"/>
      <c r="D33" s="13"/>
      <c r="E33" s="13"/>
      <c r="F33" s="13"/>
      <c r="G33" s="13"/>
      <c r="H33" s="13"/>
      <c r="I33" s="13"/>
      <c r="J33" s="13"/>
      <c r="K33" s="13"/>
    </row>
    <row r="34" customFormat="false" ht="15" hidden="false" customHeight="false" outlineLevel="0" collapsed="false">
      <c r="A34" s="6" t="s">
        <v>510</v>
      </c>
      <c r="D34" s="36" t="n">
        <f aca="false">SUM(Model!C128:N128)</f>
        <v>702.402544203838</v>
      </c>
      <c r="E34" s="36" t="n">
        <f aca="false">SUM(Model!O128:Z128)</f>
        <v>2645.58554276383</v>
      </c>
      <c r="F34" s="36" t="n">
        <f aca="false">Model!AA128</f>
        <v>4781.98073265945</v>
      </c>
      <c r="G34" s="36" t="n">
        <f aca="false">Model!AB128</f>
        <v>7469.7842325352</v>
      </c>
      <c r="H34" s="36" t="n">
        <f aca="false">Model!AC128</f>
        <v>10767.3544070953</v>
      </c>
      <c r="I34" s="36" t="n">
        <f aca="false">Model!AD128</f>
        <v>13353.9046855071</v>
      </c>
      <c r="J34" s="36" t="n">
        <f aca="false">Model!AE128</f>
        <v>15123.132583668</v>
      </c>
    </row>
    <row r="35" customFormat="false" ht="15" hidden="false" customHeight="false" outlineLevel="0" collapsed="false">
      <c r="A35" s="3" t="s">
        <v>511</v>
      </c>
      <c r="D35" s="63" t="n">
        <f aca="false">Model!N125</f>
        <v>531.331308485269</v>
      </c>
      <c r="E35" s="63" t="n">
        <f aca="false">Model!Z125</f>
        <v>2310.66472321179</v>
      </c>
      <c r="F35" s="63" t="n">
        <f aca="false">Model!AA125</f>
        <v>4817.27742525344</v>
      </c>
      <c r="G35" s="63" t="n">
        <f aca="false">Model!AB125</f>
        <v>8189.24283631525</v>
      </c>
      <c r="H35" s="63" t="n">
        <f aca="false">Model!AC125</f>
        <v>12489.3673063657</v>
      </c>
      <c r="I35" s="63" t="n">
        <f aca="false">Model!AD125</f>
        <v>16772.6727910489</v>
      </c>
      <c r="J35" s="63" t="n">
        <f aca="false">Model!AE125</f>
        <v>20440.5853337914</v>
      </c>
    </row>
    <row r="36" customFormat="false" ht="15" hidden="false" customHeight="false" outlineLevel="0" collapsed="false">
      <c r="A36" s="6" t="s">
        <v>512</v>
      </c>
      <c r="D36" s="36" t="n">
        <f aca="false">Model!N126</f>
        <v>171.071235718569</v>
      </c>
      <c r="E36" s="36" t="n">
        <f aca="false">Model!Z126</f>
        <v>1037.32336375588</v>
      </c>
      <c r="F36" s="36" t="n">
        <f aca="false">Model!AA126</f>
        <v>3312.69139437367</v>
      </c>
      <c r="G36" s="36" t="n">
        <f aca="false">Model!AB126</f>
        <v>7410.51021584706</v>
      </c>
      <c r="H36" s="36" t="n">
        <f aca="false">Model!AC126</f>
        <v>13877.7401528919</v>
      </c>
      <c r="I36" s="36" t="n">
        <f aca="false">Model!AD126</f>
        <v>22948.3393537159</v>
      </c>
      <c r="J36" s="36" t="n">
        <f aca="false">Model!AE126</f>
        <v>34403.5593946413</v>
      </c>
    </row>
    <row r="37" customFormat="false" ht="15" hidden="false" customHeight="false" outlineLevel="0" collapsed="false">
      <c r="A37" s="6" t="s">
        <v>464</v>
      </c>
      <c r="D37" s="36" t="n">
        <f aca="false">Model!N127</f>
        <v>702.402544203838</v>
      </c>
      <c r="E37" s="36" t="n">
        <f aca="false">Model!Z127</f>
        <v>3347.98808696767</v>
      </c>
      <c r="F37" s="36" t="n">
        <f aca="false">Model!AA127</f>
        <v>8129.96881962712</v>
      </c>
      <c r="G37" s="36" t="n">
        <f aca="false">Model!AB127</f>
        <v>15599.7530521623</v>
      </c>
      <c r="H37" s="36" t="n">
        <f aca="false">Model!AC127</f>
        <v>26367.1074592577</v>
      </c>
      <c r="I37" s="36" t="n">
        <f aca="false">Model!AD127</f>
        <v>39721.0121447647</v>
      </c>
      <c r="J37" s="36" t="n">
        <f aca="false">Model!AE127</f>
        <v>54844.1447284327</v>
      </c>
    </row>
    <row r="38" customFormat="false" ht="15" hidden="false" customHeight="false" outlineLevel="0" collapsed="false">
      <c r="A38" s="6" t="s">
        <v>513</v>
      </c>
      <c r="D38" s="36" t="n">
        <f aca="false">Model!N129</f>
        <v>0</v>
      </c>
      <c r="E38" s="36" t="n">
        <f aca="false">Model!Z129</f>
        <v>424.077917312231</v>
      </c>
      <c r="F38" s="36" t="n">
        <f aca="false">Model!AA129</f>
        <v>2235.74142539746</v>
      </c>
      <c r="G38" s="36" t="n">
        <f aca="false">Model!AB129</f>
        <v>4289.93208934464</v>
      </c>
      <c r="H38" s="36" t="n">
        <f aca="false">Model!AC129</f>
        <v>7250.95455129586</v>
      </c>
      <c r="I38" s="36" t="n">
        <f aca="false">Model!AD129</f>
        <v>10923.2783398103</v>
      </c>
      <c r="J38" s="36" t="n">
        <f aca="false">Model!AE129</f>
        <v>15082.139800319</v>
      </c>
    </row>
    <row r="39" customFormat="false" ht="15" hidden="false" customHeight="false" outlineLevel="0" collapsed="false">
      <c r="A39" s="6" t="s">
        <v>514</v>
      </c>
      <c r="D39" s="36" t="n">
        <f aca="false">Model!N130</f>
        <v>869.522881311411</v>
      </c>
      <c r="E39" s="36" t="n">
        <f aca="false">Model!Z130</f>
        <v>4864.64470303314</v>
      </c>
      <c r="F39" s="36" t="n">
        <f aca="false">Model!AA130</f>
        <v>17867.2841406614</v>
      </c>
      <c r="G39" s="36" t="n">
        <f aca="false">Model!AB130</f>
        <v>37552.1828440506</v>
      </c>
      <c r="H39" s="36" t="n">
        <f aca="false">Model!AC130</f>
        <v>64895.6613540875</v>
      </c>
      <c r="I39" s="36" t="n">
        <f aca="false">Model!AD130</f>
        <v>97818.6028689975</v>
      </c>
      <c r="J39" s="36" t="n">
        <f aca="false">Model!AE130</f>
        <v>132873.77592994</v>
      </c>
    </row>
    <row r="40" customFormat="false" ht="15" hidden="false" customHeight="false" outlineLevel="0" collapsed="false">
      <c r="A40" s="3" t="s">
        <v>468</v>
      </c>
      <c r="D40" s="61" t="n">
        <f aca="false">Model!N131</f>
        <v>123002.706790312</v>
      </c>
      <c r="E40" s="61" t="n">
        <f aca="false">Model!Z131</f>
        <v>688152.639691068</v>
      </c>
      <c r="F40" s="61" t="n">
        <f aca="false">Model!AA131</f>
        <v>2527506.01453796</v>
      </c>
      <c r="G40" s="61" t="n">
        <f aca="false">Model!AB131</f>
        <v>5312131.7851194</v>
      </c>
      <c r="H40" s="61" t="n">
        <f aca="false">Model!AC131</f>
        <v>9180140.25514922</v>
      </c>
      <c r="I40" s="61" t="n">
        <f aca="false">Model!AD131</f>
        <v>13837419.5618484</v>
      </c>
      <c r="J40" s="61" t="n">
        <f aca="false">Model!AE131</f>
        <v>18796324.3430493</v>
      </c>
    </row>
    <row r="41" customFormat="false" ht="15" hidden="false" customHeight="false" outlineLevel="0" collapsed="false">
      <c r="A41" s="6" t="s">
        <v>480</v>
      </c>
      <c r="D41" s="35" t="n">
        <f aca="false">Model!N149</f>
        <v>40.3580308000705</v>
      </c>
      <c r="E41" s="35" t="n">
        <f aca="false">Model!Z149</f>
        <v>137.5331190962</v>
      </c>
      <c r="F41" s="35" t="n">
        <f aca="false">Model!AA149</f>
        <v>158.274339948881</v>
      </c>
      <c r="G41" s="35" t="n">
        <f aca="false">Model!AB149</f>
        <v>153.037929096309</v>
      </c>
      <c r="H41" s="35" t="n">
        <f aca="false">Model!AC149</f>
        <v>148.164997176575</v>
      </c>
      <c r="I41" s="35" t="n">
        <f aca="false">Model!AD149</f>
        <v>149.196279198849</v>
      </c>
      <c r="J41" s="35" t="n">
        <f aca="false">Model!AE149</f>
        <v>154.973039172438</v>
      </c>
    </row>
    <row r="43" customFormat="false" ht="15" hidden="false" customHeight="false" outlineLevel="0" collapsed="false">
      <c r="A43" s="9" t="s">
        <v>515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2026-08-20T18:03:50Z</dcterms:created>
  <dc:creator>openpyxl</dc:creator>
  <dc:description/>
  <dc:language>en-US</dc:language>
  <cp:lastModifiedBy/>
  <dcterms:modified xsi:type="dcterms:W3CDTF">2026-08-20T18:03:50Z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