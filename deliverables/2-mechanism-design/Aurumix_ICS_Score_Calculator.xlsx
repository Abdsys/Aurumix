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C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Calibri"/>
      <family val="2"/>
      <color theme="1"/>
      <sz val="11"/>
      <scheme val="minor"/>
    </font>
    <font>
      <b val="1"/>
      <color rgb="001F3864"/>
      <sz val="18"/>
    </font>
    <font>
      <b val="1"/>
      <color rgb="00BF8F00"/>
      <sz val="12"/>
    </font>
    <font>
      <i val="1"/>
      <color rgb="00595959"/>
      <sz val="10"/>
    </font>
    <font>
      <b val="1"/>
      <color rgb="00FFFFFF"/>
      <sz val="13"/>
    </font>
    <font>
      <color rgb="00000000"/>
      <sz val="11"/>
    </font>
    <font>
      <b val="1"/>
      <color rgb="001F3864"/>
      <sz val="11"/>
    </font>
    <font>
      <b val="1"/>
      <color rgb="00BF8F00"/>
    </font>
    <font>
      <color rgb="00000000"/>
    </font>
    <font>
      <b val="1"/>
    </font>
    <font>
      <color rgb="000000FF"/>
    </font>
    <font>
      <b val="1"/>
      <color rgb="001F3864"/>
    </font>
    <font>
      <i val="1"/>
      <color rgb="001F3864"/>
    </font>
    <font>
      <b val="1"/>
      <color rgb="001F3864"/>
      <sz val="13"/>
    </font>
    <font>
      <b val="1"/>
      <color rgb="00FFFFFF"/>
      <sz val="10"/>
    </font>
    <font>
      <b val="1"/>
      <color rgb="001F3864"/>
      <sz val="12"/>
    </font>
    <font>
      <color rgb="00BF8F00"/>
    </font>
    <font>
      <b val="1"/>
      <color rgb="000000FF"/>
    </font>
    <font>
      <b val="1"/>
      <sz val="13"/>
    </font>
    <font>
      <b val="1"/>
      <color rgb="00BF8F00"/>
      <sz val="13"/>
    </font>
    <font>
      <b val="1"/>
      <i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7" fillId="3" borderId="1" applyAlignment="1" pivotButton="0" quotePrefix="0" xfId="0">
      <alignment horizontal="center" vertical="center"/>
    </xf>
    <xf numFmtId="0" fontId="8" fillId="0" borderId="1" pivotButton="0" quotePrefix="0" xfId="0"/>
    <xf numFmtId="0" fontId="9" fillId="0" borderId="0" pivotButton="0" quotePrefix="0" xfId="0"/>
    <xf numFmtId="1" fontId="10" fillId="0" borderId="1" applyAlignment="1" pivotButton="0" quotePrefix="0" xfId="0">
      <alignment horizontal="center" vertical="center"/>
    </xf>
    <xf numFmtId="0" fontId="11" fillId="0" borderId="0" pivotButton="0" quotePrefix="0" xfId="0"/>
    <xf numFmtId="1" fontId="9" fillId="4" borderId="1" applyAlignment="1" pivotButton="0" quotePrefix="0" xfId="0">
      <alignment horizontal="center" vertical="center"/>
    </xf>
    <xf numFmtId="0" fontId="12" fillId="0" borderId="0" pivotButton="0" quotePrefix="0" xfId="0"/>
    <xf numFmtId="9" fontId="10" fillId="0" borderId="1" applyAlignment="1" pivotButton="0" quotePrefix="0" xfId="0">
      <alignment horizontal="center" vertical="center"/>
    </xf>
    <xf numFmtId="2" fontId="9" fillId="4" borderId="1" applyAlignment="1" pivotButton="0" quotePrefix="0" xfId="0">
      <alignment horizontal="center" vertical="center"/>
    </xf>
    <xf numFmtId="0" fontId="13" fillId="3" borderId="0" pivotButton="0" quotePrefix="0" xfId="0"/>
    <xf numFmtId="0" fontId="0" fillId="3" borderId="0" pivotButton="0" quotePrefix="0" xfId="0"/>
    <xf numFmtId="0" fontId="8" fillId="0" borderId="0" applyAlignment="1" pivotButton="0" quotePrefix="0" xfId="0">
      <alignment horizontal="general" vertical="center" wrapText="1"/>
    </xf>
    <xf numFmtId="0" fontId="14" fillId="2" borderId="0" applyAlignment="1" pivotButton="0" quotePrefix="0" xfId="0">
      <alignment horizontal="left"/>
    </xf>
    <xf numFmtId="0" fontId="14" fillId="2" borderId="0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9" fillId="0" borderId="1" pivotButton="0" quotePrefix="0" xfId="0"/>
    <xf numFmtId="1" fontId="8" fillId="0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6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0" pivotButton="0" quotePrefix="0" xfId="0"/>
    <xf numFmtId="1" fontId="17" fillId="0" borderId="1" applyAlignment="1" pivotButton="0" quotePrefix="0" xfId="0">
      <alignment horizontal="center" vertical="center"/>
    </xf>
    <xf numFmtId="164" fontId="17" fillId="0" borderId="1" applyAlignment="1" pivotButton="0" quotePrefix="0" xfId="0">
      <alignment horizontal="center" vertical="center"/>
    </xf>
    <xf numFmtId="9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0" fontId="18" fillId="5" borderId="1" pivotButton="0" quotePrefix="0" xfId="0"/>
    <xf numFmtId="0" fontId="19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0" fillId="4" borderId="0" pivotButton="0" quotePrefix="0" xfId="0"/>
    <xf numFmtId="0" fontId="0" fillId="4" borderId="0" pivotButton="0" quotePrefix="0" xfId="0"/>
    <xf numFmtId="1" fontId="11" fillId="0" borderId="1" applyAlignment="1" pivotButton="0" quotePrefix="0" xfId="0">
      <alignment horizontal="center" vertical="center"/>
    </xf>
    <xf numFmtId="9" fontId="1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62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AURUMIX  ·  THE INVESTOR CONVICTION SCORE</t>
        </is>
      </c>
    </row>
    <row r="2">
      <c r="A2" s="2" t="inlineStr">
        <is>
          <t>How a saver earns their tier — and how they can lose it.</t>
        </is>
      </c>
    </row>
    <row r="3">
      <c r="A3" s="3" t="inlineStr">
        <is>
          <t>Every number below is live. Change anything blue and the whole model recalculates.</t>
        </is>
      </c>
    </row>
    <row r="4"/>
    <row r="5" ht="24" customHeight="1">
      <c r="A5" s="4" t="inlineStr">
        <is>
          <t xml:space="preserve">  THE IDEA   —   we ask three questions, and nothing else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6" t="inlineStr">
        <is>
          <t>The score never looks at how much money you have. It looks at what you did.</t>
        </is>
      </c>
    </row>
    <row r="7"/>
    <row r="8">
      <c r="A8" s="7" t="inlineStr">
        <is>
          <t>1.  What did you contribute?</t>
        </is>
      </c>
      <c r="B8" s="8" t="inlineStr">
        <is>
          <t>RECORD</t>
        </is>
      </c>
      <c r="C8" s="9" t="inlineStr">
        <is>
          <t>How many months you have ever paid. This is a fact about your history — nothing reduces it, ever.</t>
        </is>
      </c>
    </row>
    <row r="9">
      <c r="A9" s="7" t="inlineStr">
        <is>
          <t>2.  Are you contributing now?</t>
        </is>
      </c>
      <c r="B9" s="8" t="inlineStr">
        <is>
          <t>STANDING</t>
        </is>
      </c>
      <c r="C9" s="9" t="inlineStr">
        <is>
          <t>How many of the last 12 months you paid. This is a fact about your present, and it moves both ways.</t>
        </is>
      </c>
    </row>
    <row r="10">
      <c r="A10" s="7" t="inlineStr">
        <is>
          <t>3.  Did you keep your gold?</t>
        </is>
      </c>
      <c r="B10" s="8" t="inlineStr">
        <is>
          <t>RETENTION</t>
        </is>
      </c>
      <c r="C10" s="9" t="inlineStr">
        <is>
          <t>How much of your gold you still hold. Saving and then selling is not saving.</t>
        </is>
      </c>
    </row>
    <row r="11"/>
    <row r="12">
      <c r="A12" s="6" t="inlineStr">
        <is>
          <t>Your score is the WEAKER of the first two, reduced by the third. A long record cannot cover a bad year, and a perfect year cannot cover a short record.</t>
        </is>
      </c>
    </row>
    <row r="13"/>
    <row r="14" ht="24" customHeight="1">
      <c r="A14" s="4" t="inlineStr">
        <is>
          <t xml:space="preserve">  QUESTION 1   —   WHAT DID YOU CONTRIBUTE?      gives you your RECORD, out of 100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inlineStr">
        <is>
          <t>Your first year of payments takes you to 50.  The next four years take you from 50 to 100.</t>
        </is>
      </c>
    </row>
    <row r="16">
      <c r="A16" s="3" t="inlineStr">
        <is>
          <t>It stops at five years — but the app keeps showing the real count, which rises forever.</t>
        </is>
      </c>
    </row>
    <row r="17"/>
    <row r="18">
      <c r="A18" s="10" t="inlineStr">
        <is>
          <t>Months you have paid</t>
        </is>
      </c>
      <c r="B18" s="11" t="n">
        <v>0</v>
      </c>
      <c r="C18" s="11" t="n">
        <v>3</v>
      </c>
      <c r="D18" s="11" t="n">
        <v>6</v>
      </c>
      <c r="E18" s="11" t="n">
        <v>9</v>
      </c>
      <c r="F18" s="11" t="n">
        <v>12</v>
      </c>
      <c r="G18" s="11" t="n">
        <v>18</v>
      </c>
      <c r="H18" s="11" t="n">
        <v>24</v>
      </c>
      <c r="I18" s="11" t="n">
        <v>30</v>
      </c>
      <c r="J18" s="11" t="n">
        <v>36</v>
      </c>
      <c r="K18" s="11" t="n">
        <v>42</v>
      </c>
      <c r="L18" s="11" t="n">
        <v>48</v>
      </c>
      <c r="M18" s="11" t="n">
        <v>54</v>
      </c>
      <c r="N18" s="11" t="n">
        <v>60</v>
      </c>
    </row>
    <row r="19">
      <c r="A19" s="12" t="inlineStr">
        <is>
          <t>Your RECORD</t>
        </is>
      </c>
      <c r="B19" s="13">
        <f>IF(B18&lt;=$B$129,B18*50/$B$129,IF(B18&gt;=$B$130,100,50+(B18-$B$129)*50/($B$130-$B$129)))</f>
        <v/>
      </c>
      <c r="C19" s="13">
        <f>IF(C18&lt;=$B$129,C18*50/$B$129,IF(C18&gt;=$B$130,100,50+(C18-$B$129)*50/($B$130-$B$129)))</f>
        <v/>
      </c>
      <c r="D19" s="13">
        <f>IF(D18&lt;=$B$129,D18*50/$B$129,IF(D18&gt;=$B$130,100,50+(D18-$B$129)*50/($B$130-$B$129)))</f>
        <v/>
      </c>
      <c r="E19" s="13">
        <f>IF(E18&lt;=$B$129,E18*50/$B$129,IF(E18&gt;=$B$130,100,50+(E18-$B$129)*50/($B$130-$B$129)))</f>
        <v/>
      </c>
      <c r="F19" s="13">
        <f>IF(F18&lt;=$B$129,F18*50/$B$129,IF(F18&gt;=$B$130,100,50+(F18-$B$129)*50/($B$130-$B$129)))</f>
        <v/>
      </c>
      <c r="G19" s="13">
        <f>IF(G18&lt;=$B$129,G18*50/$B$129,IF(G18&gt;=$B$130,100,50+(G18-$B$129)*50/($B$130-$B$129)))</f>
        <v/>
      </c>
      <c r="H19" s="13">
        <f>IF(H18&lt;=$B$129,H18*50/$B$129,IF(H18&gt;=$B$130,100,50+(H18-$B$129)*50/($B$130-$B$129)))</f>
        <v/>
      </c>
      <c r="I19" s="13">
        <f>IF(I18&lt;=$B$129,I18*50/$B$129,IF(I18&gt;=$B$130,100,50+(I18-$B$129)*50/($B$130-$B$129)))</f>
        <v/>
      </c>
      <c r="J19" s="13">
        <f>IF(J18&lt;=$B$129,J18*50/$B$129,IF(J18&gt;=$B$130,100,50+(J18-$B$129)*50/($B$130-$B$129)))</f>
        <v/>
      </c>
      <c r="K19" s="13">
        <f>IF(K18&lt;=$B$129,K18*50/$B$129,IF(K18&gt;=$B$130,100,50+(K18-$B$129)*50/($B$130-$B$129)))</f>
        <v/>
      </c>
      <c r="L19" s="13">
        <f>IF(L18&lt;=$B$129,L18*50/$B$129,IF(L18&gt;=$B$130,100,50+(L18-$B$129)*50/($B$130-$B$129)))</f>
        <v/>
      </c>
      <c r="M19" s="13">
        <f>IF(M18&lt;=$B$129,M18*50/$B$129,IF(M18&gt;=$B$130,100,50+(M18-$B$129)*50/($B$130-$B$129)))</f>
        <v/>
      </c>
      <c r="N19" s="13">
        <f>IF(N18&lt;=$B$129,N18*50/$B$129,IF(N18&gt;=$B$130,100,50+(N18-$B$129)*50/($B$130-$B$129)))</f>
        <v/>
      </c>
    </row>
    <row r="20"/>
    <row r="21"/>
    <row r="22" ht="24" customHeight="1">
      <c r="A22" s="4" t="inlineStr">
        <is>
          <t xml:space="preserve">  QUESTION 2   —   ARE YOU CONTRIBUTING NOW?      gives you your STANDING, out of 100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inlineStr">
        <is>
          <t>Each of the last 12 months you paid is worth 8.3 points.  Twelve out of twelve is 100.</t>
        </is>
      </c>
    </row>
    <row r="24">
      <c r="A24" s="3" t="inlineStr">
        <is>
          <t>A month you missed drops out of view a year later, so an isolated lapse heals itself. A habit of missing does not.</t>
        </is>
      </c>
    </row>
    <row r="25"/>
    <row r="26">
      <c r="A26" s="10" t="inlineStr">
        <is>
          <t>Months paid, of the last 12</t>
        </is>
      </c>
      <c r="B26" s="11" t="n">
        <v>0</v>
      </c>
      <c r="C26" s="11" t="n">
        <v>1</v>
      </c>
      <c r="D26" s="11" t="n">
        <v>2</v>
      </c>
      <c r="E26" s="11" t="n">
        <v>3</v>
      </c>
      <c r="F26" s="11" t="n">
        <v>4</v>
      </c>
      <c r="G26" s="11" t="n">
        <v>5</v>
      </c>
      <c r="H26" s="11" t="n">
        <v>6</v>
      </c>
      <c r="I26" s="11" t="n">
        <v>7</v>
      </c>
      <c r="J26" s="11" t="n">
        <v>8</v>
      </c>
      <c r="K26" s="11" t="n">
        <v>9</v>
      </c>
      <c r="L26" s="11" t="n">
        <v>10</v>
      </c>
      <c r="M26" s="11" t="n">
        <v>11</v>
      </c>
      <c r="N26" s="11" t="n">
        <v>12</v>
      </c>
    </row>
    <row r="27">
      <c r="A27" s="12" t="inlineStr">
        <is>
          <t>Your STANDING</t>
        </is>
      </c>
      <c r="B27" s="13">
        <f>MIN(B26,$B$131)*100/$B$131</f>
        <v/>
      </c>
      <c r="C27" s="13">
        <f>MIN(C26,$B$131)*100/$B$131</f>
        <v/>
      </c>
      <c r="D27" s="13">
        <f>MIN(D26,$B$131)*100/$B$131</f>
        <v/>
      </c>
      <c r="E27" s="13">
        <f>MIN(E26,$B$131)*100/$B$131</f>
        <v/>
      </c>
      <c r="F27" s="13">
        <f>MIN(F26,$B$131)*100/$B$131</f>
        <v/>
      </c>
      <c r="G27" s="13">
        <f>MIN(G26,$B$131)*100/$B$131</f>
        <v/>
      </c>
      <c r="H27" s="13">
        <f>MIN(H26,$B$131)*100/$B$131</f>
        <v/>
      </c>
      <c r="I27" s="13">
        <f>MIN(I26,$B$131)*100/$B$131</f>
        <v/>
      </c>
      <c r="J27" s="13">
        <f>MIN(J26,$B$131)*100/$B$131</f>
        <v/>
      </c>
      <c r="K27" s="13">
        <f>MIN(K26,$B$131)*100/$B$131</f>
        <v/>
      </c>
      <c r="L27" s="13">
        <f>MIN(L26,$B$131)*100/$B$131</f>
        <v/>
      </c>
      <c r="M27" s="13">
        <f>MIN(M26,$B$131)*100/$B$131</f>
        <v/>
      </c>
      <c r="N27" s="13">
        <f>MIN(N26,$B$131)*100/$B$131</f>
        <v/>
      </c>
    </row>
    <row r="28"/>
    <row r="29"/>
    <row r="30" ht="24" customHeight="1">
      <c r="A30" s="4" t="inlineStr">
        <is>
          <t xml:space="preserve">  QUESTION 3   —   DID YOU KEEP YOUR GOLD?      gives you your RETENTION, a multiplier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6" t="inlineStr">
        <is>
          <t>Take out up to a THIRD of your gold in a year and nothing happens at all.</t>
        </is>
      </c>
    </row>
    <row r="32">
      <c r="A32" s="6" t="inlineStr">
        <is>
          <t>Past that, every further 7% you sell costs you 10% of your score — down to zero if you empty the account.</t>
        </is>
      </c>
    </row>
    <row r="33"/>
    <row r="34">
      <c r="A34" s="14" t="inlineStr">
        <is>
          <t>We measure it as:      1  −  ( gold you hold now  ÷  [ gold you held a year ago  +  gold you have bought since ] )</t>
        </is>
      </c>
    </row>
    <row r="35">
      <c r="A35" s="3" t="inlineStr">
        <is>
          <t>In words: what share of everything you had did you not keep? Three numbers, read straight off the ledger. It cannot be made cheaper by choosing when to sell.</t>
        </is>
      </c>
    </row>
    <row r="36"/>
    <row r="37">
      <c r="A37" s="10" t="inlineStr">
        <is>
          <t>Share sold in the last 12 months</t>
        </is>
      </c>
      <c r="B37" s="15" t="n">
        <v>0</v>
      </c>
      <c r="C37" s="15" t="n">
        <v>0.1</v>
      </c>
      <c r="D37" s="15" t="n">
        <v>0.2</v>
      </c>
      <c r="E37" s="15" t="n">
        <v>0.3</v>
      </c>
      <c r="F37" s="15" t="n">
        <v>0.4</v>
      </c>
      <c r="G37" s="15" t="n">
        <v>0.5</v>
      </c>
      <c r="H37" s="15" t="n">
        <v>0.6</v>
      </c>
      <c r="I37" s="15" t="n">
        <v>0.7</v>
      </c>
      <c r="J37" s="15" t="n">
        <v>0.8</v>
      </c>
      <c r="K37" s="15" t="n">
        <v>0.9</v>
      </c>
      <c r="L37" s="15" t="n">
        <v>1</v>
      </c>
    </row>
    <row r="38">
      <c r="A38" s="12" t="inlineStr">
        <is>
          <t>Your RETENTION</t>
        </is>
      </c>
      <c r="B38" s="16">
        <f>IF(B37&lt;=$B$132,1,MAX(0,1-(B37-$B$132)/(1-$B$132)))</f>
        <v/>
      </c>
      <c r="C38" s="16">
        <f>IF(C37&lt;=$B$132,1,MAX(0,1-(C37-$B$132)/(1-$B$132)))</f>
        <v/>
      </c>
      <c r="D38" s="16">
        <f>IF(D37&lt;=$B$132,1,MAX(0,1-(D37-$B$132)/(1-$B$132)))</f>
        <v/>
      </c>
      <c r="E38" s="16">
        <f>IF(E37&lt;=$B$132,1,MAX(0,1-(E37-$B$132)/(1-$B$132)))</f>
        <v/>
      </c>
      <c r="F38" s="16">
        <f>IF(F37&lt;=$B$132,1,MAX(0,1-(F37-$B$132)/(1-$B$132)))</f>
        <v/>
      </c>
      <c r="G38" s="16">
        <f>IF(G37&lt;=$B$132,1,MAX(0,1-(G37-$B$132)/(1-$B$132)))</f>
        <v/>
      </c>
      <c r="H38" s="16">
        <f>IF(H37&lt;=$B$132,1,MAX(0,1-(H37-$B$132)/(1-$B$132)))</f>
        <v/>
      </c>
      <c r="I38" s="16">
        <f>IF(I37&lt;=$B$132,1,MAX(0,1-(I37-$B$132)/(1-$B$132)))</f>
        <v/>
      </c>
      <c r="J38" s="16">
        <f>IF(J37&lt;=$B$132,1,MAX(0,1-(J37-$B$132)/(1-$B$132)))</f>
        <v/>
      </c>
      <c r="K38" s="16">
        <f>IF(K37&lt;=$B$132,1,MAX(0,1-(K37-$B$132)/(1-$B$132)))</f>
        <v/>
      </c>
      <c r="L38" s="16">
        <f>IF(L37&lt;=$B$132,1,MAX(0,1-(L37-$B$132)/(1-$B$132)))</f>
        <v/>
      </c>
    </row>
    <row r="39">
      <c r="A39" s="3" t="inlineStr">
        <is>
          <t>Transfers to a family account or under the Digital Will are NOT sales — the gold stays in the product, only the name on it changes.</t>
        </is>
      </c>
    </row>
    <row r="40"/>
    <row r="41"/>
    <row r="42" ht="24" customHeight="1">
      <c r="A42" s="4" t="inlineStr">
        <is>
          <t xml:space="preserve">  PUTTING THEM TOGETHER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 ht="22" customHeight="1">
      <c r="A43" s="17" t="inlineStr">
        <is>
          <t>YOUR SCORE   =   the LOWER of ( Record , Standing )   ×   Retention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</row>
    <row r="44"/>
    <row r="45" ht="30" customHeight="1">
      <c r="A45" s="19" t="inlineStr">
        <is>
          <t>•   Why the LOWER of the two?  Because both have to be true. A twenty-year record does not excuse a year of not paying, and a perfect year does not make you a twenty-year saver. Taking the lower number is what makes it AND rather than OR.</t>
        </is>
      </c>
    </row>
    <row r="46" ht="30" customHeight="1">
      <c r="A46" s="19" t="inlineStr">
        <is>
          <t>•   Why does Retention MULTIPLY?  Because keeping your gold is not one good habit among several — it is a condition on all of them. Sell everything and the score is zero, however perfectly you paid.</t>
        </is>
      </c>
    </row>
    <row r="47" ht="30" customHeight="1">
      <c r="A47" s="19" t="inlineStr">
        <is>
          <t>•   One protection: once you have made six payments, your score never falls below 25. You are never sent back to the beginning.</t>
        </is>
      </c>
    </row>
    <row r="48"/>
    <row r="49"/>
    <row r="50" ht="24" customHeight="1">
      <c r="A50" s="4" t="inlineStr">
        <is>
          <t xml:space="preserve">  THE LADDER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20" t="inlineStr">
        <is>
          <t>Score needed</t>
        </is>
      </c>
      <c r="B51" s="21" t="inlineStr">
        <is>
          <t>Tier</t>
        </is>
      </c>
      <c r="C51" s="21" t="inlineStr">
        <is>
          <t>In plain English</t>
        </is>
      </c>
      <c r="D51" s="21" t="inlineStr">
        <is>
          <t>What it buys</t>
        </is>
      </c>
    </row>
    <row r="52">
      <c r="A52" s="22" t="n">
        <v>0</v>
      </c>
      <c r="B52" s="23" t="inlineStr">
        <is>
          <t>Green</t>
        </is>
      </c>
      <c r="C52" s="9" t="inlineStr">
        <is>
          <t>You have opened an account.</t>
        </is>
      </c>
      <c r="D52" s="24" t="inlineStr">
        <is>
          <t>—</t>
        </is>
      </c>
    </row>
    <row r="53">
      <c r="A53" s="22" t="n">
        <v>25</v>
      </c>
      <c r="B53" s="23" t="inlineStr">
        <is>
          <t>Silver</t>
        </is>
      </c>
      <c r="C53" s="9" t="inlineStr">
        <is>
          <t>Six payments made. You are established, permanently.</t>
        </is>
      </c>
      <c r="D53" s="24" t="inlineStr">
        <is>
          <t>0.4pp off the entry fee · 10% off the will plan</t>
        </is>
      </c>
    </row>
    <row r="54">
      <c r="A54" s="22" t="n">
        <v>50</v>
      </c>
      <c r="B54" s="23" t="inlineStr">
        <is>
          <t>Gold</t>
        </is>
      </c>
      <c r="C54" s="9" t="inlineStr">
        <is>
          <t>One year paid, and paying now.</t>
        </is>
      </c>
      <c r="D54" s="24" t="inlineStr">
        <is>
          <t>Credit at 50% LTV · card issued · Gold Rewards begin · 0.8pp off</t>
        </is>
      </c>
    </row>
    <row r="55">
      <c r="A55" s="22" t="n">
        <v>75</v>
      </c>
      <c r="B55" s="23" t="inlineStr">
        <is>
          <t>Platinum</t>
        </is>
      </c>
      <c r="C55" s="9" t="inlineStr">
        <is>
          <t>Three years paid, and a strong year behind you.</t>
        </is>
      </c>
      <c r="D55" s="24" t="inlineStr">
        <is>
          <t>LTV 65% · card level 2 · Rewards 0.45% · 1.2pp off · will 35%</t>
        </is>
      </c>
    </row>
    <row r="56">
      <c r="A56" s="22" t="n">
        <v>100</v>
      </c>
      <c r="B56" s="23" t="inlineStr">
        <is>
          <t>Sovereign</t>
        </is>
      </c>
      <c r="C56" s="9" t="inlineStr">
        <is>
          <t>Five years paid, a perfect year, gold intact.</t>
        </is>
      </c>
      <c r="D56" s="24" t="inlineStr">
        <is>
          <t>LTV 80% · top card · Rewards 0.75% · 1.5pp off · will 50%</t>
        </is>
      </c>
    </row>
    <row r="57">
      <c r="A57" s="3" t="inlineStr">
        <is>
          <t>Silver is permanent. Every tier above it is rented by conduct — which is the point.</t>
        </is>
      </c>
    </row>
    <row r="58"/>
    <row r="59"/>
    <row r="60" ht="24" customHeight="1">
      <c r="A60" s="4" t="inlineStr">
        <is>
          <t xml:space="preserve">  A WORKED STORY   —   Rajesh, USD 75 a month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6" t="inlineStr">
        <is>
          <t>One missed payment and one real withdrawal, across five years. Follow the last two columns.</t>
        </is>
      </c>
    </row>
    <row r="62"/>
    <row r="63">
      <c r="A63" s="20" t="inlineStr">
        <is>
          <t>When</t>
        </is>
      </c>
      <c r="B63" s="21" t="inlineStr">
        <is>
          <t>What happened</t>
        </is>
      </c>
      <c r="C63" s="21" t="inlineStr">
        <is>
          <t>Months</t>
        </is>
      </c>
      <c r="D63" s="21" t="inlineStr">
        <is>
          <t>of last 12</t>
        </is>
      </c>
      <c r="E63" s="21" t="inlineStr">
        <is>
          <t>Sold</t>
        </is>
      </c>
      <c r="F63" s="21" t="inlineStr">
        <is>
          <t>Record</t>
        </is>
      </c>
      <c r="G63" s="21" t="inlineStr">
        <is>
          <t>Standing</t>
        </is>
      </c>
      <c r="H63" s="21" t="inlineStr">
        <is>
          <t>Retention</t>
        </is>
      </c>
      <c r="I63" s="21" t="inlineStr">
        <is>
          <t>SCORE</t>
        </is>
      </c>
      <c r="J63" s="21" t="inlineStr"/>
      <c r="K63" s="21" t="inlineStr">
        <is>
          <t>Tier</t>
        </is>
      </c>
    </row>
    <row r="64">
      <c r="A64" s="25" t="inlineStr">
        <is>
          <t>Month 1</t>
        </is>
      </c>
      <c r="B64" s="9" t="inlineStr">
        <is>
          <t>Opens an account, first payment clears.</t>
        </is>
      </c>
      <c r="C64" s="11" t="n">
        <v>1</v>
      </c>
      <c r="D64" s="11" t="n">
        <v>1</v>
      </c>
      <c r="E64" s="15" t="n">
        <v>0</v>
      </c>
      <c r="F64" s="26">
        <f>IF(C64&lt;=$B$129,C64*50/$B$129,IF(C64&gt;=$B$130,100,50+(C64-$B$129)*50/($B$130-$B$129)))</f>
        <v/>
      </c>
      <c r="G64" s="26">
        <f>MIN(D64,$B$131)*100/$B$131</f>
        <v/>
      </c>
      <c r="H64" s="27">
        <f>IF(E64&lt;=$B$132,1,MAX(0,1-(E64-$B$132)/(1-$B$132)))</f>
        <v/>
      </c>
      <c r="I64" s="28">
        <f>IF(C64&gt;=$B$133,MAX($B$134,MIN(F64,G64)*H64),MIN(F64,G64)*H64)</f>
        <v/>
      </c>
      <c r="J64" s="29">
        <f>REPT("|",ROUND(I64/4,0))</f>
        <v/>
      </c>
      <c r="K64" s="30">
        <f>VLOOKUP(I64,$A$52:$B$56,2,TRUE)</f>
        <v/>
      </c>
    </row>
    <row r="65">
      <c r="A65" s="25" t="inlineStr">
        <is>
          <t>Month 6</t>
        </is>
      </c>
      <c r="B65" s="9" t="inlineStr">
        <is>
          <t>Six payments in. Confirmed — and Silver, permanently.</t>
        </is>
      </c>
      <c r="C65" s="11" t="n">
        <v>6</v>
      </c>
      <c r="D65" s="11" t="n">
        <v>6</v>
      </c>
      <c r="E65" s="15" t="n">
        <v>0</v>
      </c>
      <c r="F65" s="26">
        <f>IF(C65&lt;=$B$129,C65*50/$B$129,IF(C65&gt;=$B$130,100,50+(C65-$B$129)*50/($B$130-$B$129)))</f>
        <v/>
      </c>
      <c r="G65" s="26">
        <f>MIN(D65,$B$131)*100/$B$131</f>
        <v/>
      </c>
      <c r="H65" s="27">
        <f>IF(E65&lt;=$B$132,1,MAX(0,1-(E65-$B$132)/(1-$B$132)))</f>
        <v/>
      </c>
      <c r="I65" s="28">
        <f>IF(C65&gt;=$B$133,MAX($B$134,MIN(F65,G65)*H65),MIN(F65,G65)*H65)</f>
        <v/>
      </c>
      <c r="J65" s="29">
        <f>REPT("|",ROUND(I65/4,0))</f>
        <v/>
      </c>
      <c r="K65" s="30">
        <f>VLOOKUP(I65,$A$52:$B$56,2,TRUE)</f>
        <v/>
      </c>
    </row>
    <row r="66">
      <c r="A66" s="25" t="inlineStr">
        <is>
          <t>Month 12</t>
        </is>
      </c>
      <c r="B66" s="9" t="inlineStr">
        <is>
          <t>One clean year. Gold: credit, card and Rewards all switch on.</t>
        </is>
      </c>
      <c r="C66" s="11" t="n">
        <v>12</v>
      </c>
      <c r="D66" s="11" t="n">
        <v>12</v>
      </c>
      <c r="E66" s="15" t="n">
        <v>0</v>
      </c>
      <c r="F66" s="26">
        <f>IF(C66&lt;=$B$129,C66*50/$B$129,IF(C66&gt;=$B$130,100,50+(C66-$B$129)*50/($B$130-$B$129)))</f>
        <v/>
      </c>
      <c r="G66" s="26">
        <f>MIN(D66,$B$131)*100/$B$131</f>
        <v/>
      </c>
      <c r="H66" s="27">
        <f>IF(E66&lt;=$B$132,1,MAX(0,1-(E66-$B$132)/(1-$B$132)))</f>
        <v/>
      </c>
      <c r="I66" s="28">
        <f>IF(C66&gt;=$B$133,MAX($B$134,MIN(F66,G66)*H66),MIN(F66,G66)*H66)</f>
        <v/>
      </c>
      <c r="J66" s="29">
        <f>REPT("|",ROUND(I66/4,0))</f>
        <v/>
      </c>
      <c r="K66" s="30">
        <f>VLOOKUP(I66,$A$52:$B$56,2,TRUE)</f>
        <v/>
      </c>
    </row>
    <row r="67">
      <c r="A67" s="25" t="inlineStr">
        <is>
          <t>Month 24</t>
        </is>
      </c>
      <c r="B67" s="9" t="inlineStr">
        <is>
          <t>Still paying. Score climbing, tier unchanged.</t>
        </is>
      </c>
      <c r="C67" s="11" t="n">
        <v>24</v>
      </c>
      <c r="D67" s="11" t="n">
        <v>12</v>
      </c>
      <c r="E67" s="15" t="n">
        <v>0</v>
      </c>
      <c r="F67" s="26">
        <f>IF(C67&lt;=$B$129,C67*50/$B$129,IF(C67&gt;=$B$130,100,50+(C67-$B$129)*50/($B$130-$B$129)))</f>
        <v/>
      </c>
      <c r="G67" s="26">
        <f>MIN(D67,$B$131)*100/$B$131</f>
        <v/>
      </c>
      <c r="H67" s="27">
        <f>IF(E67&lt;=$B$132,1,MAX(0,1-(E67-$B$132)/(1-$B$132)))</f>
        <v/>
      </c>
      <c r="I67" s="28">
        <f>IF(C67&gt;=$B$133,MAX($B$134,MIN(F67,G67)*H67),MIN(F67,G67)*H67)</f>
        <v/>
      </c>
      <c r="J67" s="29">
        <f>REPT("|",ROUND(I67/4,0))</f>
        <v/>
      </c>
      <c r="K67" s="30">
        <f>VLOOKUP(I67,$A$52:$B$56,2,TRUE)</f>
        <v/>
      </c>
    </row>
    <row r="68">
      <c r="A68" s="25" t="inlineStr">
        <is>
          <t>Month 30</t>
        </is>
      </c>
      <c r="B68" s="9" t="inlineStr">
        <is>
          <t>Misses a payment — hospital bill. Costs him nothing today.</t>
        </is>
      </c>
      <c r="C68" s="11" t="n">
        <v>29</v>
      </c>
      <c r="D68" s="11" t="n">
        <v>11</v>
      </c>
      <c r="E68" s="15" t="n">
        <v>0</v>
      </c>
      <c r="F68" s="26">
        <f>IF(C68&lt;=$B$129,C68*50/$B$129,IF(C68&gt;=$B$130,100,50+(C68-$B$129)*50/($B$130-$B$129)))</f>
        <v/>
      </c>
      <c r="G68" s="26">
        <f>MIN(D68,$B$131)*100/$B$131</f>
        <v/>
      </c>
      <c r="H68" s="27">
        <f>IF(E68&lt;=$B$132,1,MAX(0,1-(E68-$B$132)/(1-$B$132)))</f>
        <v/>
      </c>
      <c r="I68" s="28">
        <f>IF(C68&gt;=$B$133,MAX($B$134,MIN(F68,G68)*H68),MIN(F68,G68)*H68)</f>
        <v/>
      </c>
      <c r="J68" s="29">
        <f>REPT("|",ROUND(I68/4,0))</f>
        <v/>
      </c>
      <c r="K68" s="30">
        <f>VLOOKUP(I68,$A$52:$B$56,2,TRUE)</f>
        <v/>
      </c>
    </row>
    <row r="69">
      <c r="A69" s="25" t="inlineStr">
        <is>
          <t>Month 36</t>
        </is>
      </c>
      <c r="B69" s="9" t="inlineStr">
        <is>
          <t>Three calendar years, but 35 payments. Just short of Platinum.</t>
        </is>
      </c>
      <c r="C69" s="11" t="n">
        <v>35</v>
      </c>
      <c r="D69" s="11" t="n">
        <v>12</v>
      </c>
      <c r="E69" s="15" t="n">
        <v>0</v>
      </c>
      <c r="F69" s="26">
        <f>IF(C69&lt;=$B$129,C69*50/$B$129,IF(C69&gt;=$B$130,100,50+(C69-$B$129)*50/($B$130-$B$129)))</f>
        <v/>
      </c>
      <c r="G69" s="26">
        <f>MIN(D69,$B$131)*100/$B$131</f>
        <v/>
      </c>
      <c r="H69" s="27">
        <f>IF(E69&lt;=$B$132,1,MAX(0,1-(E69-$B$132)/(1-$B$132)))</f>
        <v/>
      </c>
      <c r="I69" s="28">
        <f>IF(C69&gt;=$B$133,MAX($B$134,MIN(F69,G69)*H69),MIN(F69,G69)*H69)</f>
        <v/>
      </c>
      <c r="J69" s="29">
        <f>REPT("|",ROUND(I69/4,0))</f>
        <v/>
      </c>
      <c r="K69" s="30">
        <f>VLOOKUP(I69,$A$52:$B$56,2,TRUE)</f>
        <v/>
      </c>
    </row>
    <row r="70">
      <c r="A70" s="25" t="inlineStr">
        <is>
          <t>Month 37</t>
        </is>
      </c>
      <c r="B70" s="9" t="inlineStr">
        <is>
          <t>The 36th payment lands. Platinum.</t>
        </is>
      </c>
      <c r="C70" s="11" t="n">
        <v>36</v>
      </c>
      <c r="D70" s="11" t="n">
        <v>12</v>
      </c>
      <c r="E70" s="15" t="n">
        <v>0</v>
      </c>
      <c r="F70" s="26">
        <f>IF(C70&lt;=$B$129,C70*50/$B$129,IF(C70&gt;=$B$130,100,50+(C70-$B$129)*50/($B$130-$B$129)))</f>
        <v/>
      </c>
      <c r="G70" s="26">
        <f>MIN(D70,$B$131)*100/$B$131</f>
        <v/>
      </c>
      <c r="H70" s="27">
        <f>IF(E70&lt;=$B$132,1,MAX(0,1-(E70-$B$132)/(1-$B$132)))</f>
        <v/>
      </c>
      <c r="I70" s="28">
        <f>IF(C70&gt;=$B$133,MAX($B$134,MIN(F70,G70)*H70),MIN(F70,G70)*H70)</f>
        <v/>
      </c>
      <c r="J70" s="29">
        <f>REPT("|",ROUND(I70/4,0))</f>
        <v/>
      </c>
      <c r="K70" s="30">
        <f>VLOOKUP(I70,$A$52:$B$56,2,TRUE)</f>
        <v/>
      </c>
    </row>
    <row r="71">
      <c r="A71" s="25" t="inlineStr">
        <is>
          <t>Month 50</t>
        </is>
      </c>
      <c r="B71" s="9" t="inlineStr">
        <is>
          <t>Sells a quarter of his gold for a family wedding.</t>
        </is>
      </c>
      <c r="C71" s="11" t="n">
        <v>49</v>
      </c>
      <c r="D71" s="11" t="n">
        <v>12</v>
      </c>
      <c r="E71" s="15" t="n">
        <v>0.25</v>
      </c>
      <c r="F71" s="26">
        <f>IF(C71&lt;=$B$129,C71*50/$B$129,IF(C71&gt;=$B$130,100,50+(C71-$B$129)*50/($B$130-$B$129)))</f>
        <v/>
      </c>
      <c r="G71" s="26">
        <f>MIN(D71,$B$131)*100/$B$131</f>
        <v/>
      </c>
      <c r="H71" s="27">
        <f>IF(E71&lt;=$B$132,1,MAX(0,1-(E71-$B$132)/(1-$B$132)))</f>
        <v/>
      </c>
      <c r="I71" s="28">
        <f>IF(C71&gt;=$B$133,MAX($B$134,MIN(F71,G71)*H71),MIN(F71,G71)*H71)</f>
        <v/>
      </c>
      <c r="J71" s="29">
        <f>REPT("|",ROUND(I71/4,0))</f>
        <v/>
      </c>
      <c r="K71" s="30">
        <f>VLOOKUP(I71,$A$52:$B$56,2,TRUE)</f>
        <v/>
      </c>
    </row>
    <row r="72">
      <c r="A72" s="25" t="inlineStr">
        <is>
          <t>Month 51</t>
        </is>
      </c>
      <c r="B72" s="9" t="inlineStr">
        <is>
          <t>Inside the allowance. Nothing happened to his score.</t>
        </is>
      </c>
      <c r="C72" s="11" t="n">
        <v>50</v>
      </c>
      <c r="D72" s="11" t="n">
        <v>12</v>
      </c>
      <c r="E72" s="15" t="n">
        <v>0.25</v>
      </c>
      <c r="F72" s="26">
        <f>IF(C72&lt;=$B$129,C72*50/$B$129,IF(C72&gt;=$B$130,100,50+(C72-$B$129)*50/($B$130-$B$129)))</f>
        <v/>
      </c>
      <c r="G72" s="26">
        <f>MIN(D72,$B$131)*100/$B$131</f>
        <v/>
      </c>
      <c r="H72" s="27">
        <f>IF(E72&lt;=$B$132,1,MAX(0,1-(E72-$B$132)/(1-$B$132)))</f>
        <v/>
      </c>
      <c r="I72" s="28">
        <f>IF(C72&gt;=$B$133,MAX($B$134,MIN(F72,G72)*H72),MIN(F72,G72)*H72)</f>
        <v/>
      </c>
      <c r="J72" s="29">
        <f>REPT("|",ROUND(I72/4,0))</f>
        <v/>
      </c>
      <c r="K72" s="30">
        <f>VLOOKUP(I72,$A$52:$B$56,2,TRUE)</f>
        <v/>
      </c>
    </row>
    <row r="73">
      <c r="A73" s="25" t="inlineStr">
        <is>
          <t>Month 60</t>
        </is>
      </c>
      <c r="B73" s="9" t="inlineStr">
        <is>
          <t>Five calendar years — but that one miss is still owed.</t>
        </is>
      </c>
      <c r="C73" s="11" t="n">
        <v>59</v>
      </c>
      <c r="D73" s="11" t="n">
        <v>12</v>
      </c>
      <c r="E73" s="15" t="n">
        <v>0.25</v>
      </c>
      <c r="F73" s="26">
        <f>IF(C73&lt;=$B$129,C73*50/$B$129,IF(C73&gt;=$B$130,100,50+(C73-$B$129)*50/($B$130-$B$129)))</f>
        <v/>
      </c>
      <c r="G73" s="26">
        <f>MIN(D73,$B$131)*100/$B$131</f>
        <v/>
      </c>
      <c r="H73" s="27">
        <f>IF(E73&lt;=$B$132,1,MAX(0,1-(E73-$B$132)/(1-$B$132)))</f>
        <v/>
      </c>
      <c r="I73" s="28">
        <f>IF(C73&gt;=$B$133,MAX($B$134,MIN(F73,G73)*H73),MIN(F73,G73)*H73)</f>
        <v/>
      </c>
      <c r="J73" s="29">
        <f>REPT("|",ROUND(I73/4,0))</f>
        <v/>
      </c>
      <c r="K73" s="30">
        <f>VLOOKUP(I73,$A$52:$B$56,2,TRUE)</f>
        <v/>
      </c>
    </row>
    <row r="74">
      <c r="A74" s="25" t="inlineStr">
        <is>
          <t>Month 61</t>
        </is>
      </c>
      <c r="B74" s="9" t="inlineStr">
        <is>
          <t>The 60th payment. Sovereign.</t>
        </is>
      </c>
      <c r="C74" s="11" t="n">
        <v>60</v>
      </c>
      <c r="D74" s="11" t="n">
        <v>12</v>
      </c>
      <c r="E74" s="15" t="n">
        <v>0.25</v>
      </c>
      <c r="F74" s="26">
        <f>IF(C74&lt;=$B$129,C74*50/$B$129,IF(C74&gt;=$B$130,100,50+(C74-$B$129)*50/($B$130-$B$129)))</f>
        <v/>
      </c>
      <c r="G74" s="26">
        <f>MIN(D74,$B$131)*100/$B$131</f>
        <v/>
      </c>
      <c r="H74" s="27">
        <f>IF(E74&lt;=$B$132,1,MAX(0,1-(E74-$B$132)/(1-$B$132)))</f>
        <v/>
      </c>
      <c r="I74" s="28">
        <f>IF(C74&gt;=$B$133,MAX($B$134,MIN(F74,G74)*H74),MIN(F74,G74)*H74)</f>
        <v/>
      </c>
      <c r="J74" s="29">
        <f>REPT("|",ROUND(I74/4,0))</f>
        <v/>
      </c>
      <c r="K74" s="30">
        <f>VLOOKUP(I74,$A$52:$B$56,2,TRUE)</f>
        <v/>
      </c>
    </row>
    <row r="75"/>
    <row r="76">
      <c r="A76" s="12" t="inlineStr">
        <is>
          <t>The two moments worth pausing on:</t>
        </is>
      </c>
    </row>
    <row r="77">
      <c r="A77" s="31" t="inlineStr">
        <is>
          <t>•   Month 30 — he misses one payment and his tier does not move. The score has slack in the middle of a climb, by design.</t>
        </is>
      </c>
    </row>
    <row r="78">
      <c r="A78" s="31" t="inlineStr">
        <is>
          <t>•   Month 50 — he sells a quarter of his gold and nothing happens at all. That is what the one-third allowance is for.</t>
        </is>
      </c>
    </row>
    <row r="79">
      <c r="A79" s="31" t="inlineStr">
        <is>
          <t>•   The whole cost of that one missed payment is that Sovereign arrives in month 61 instead of month 60. One month, and nothing else.</t>
        </is>
      </c>
    </row>
    <row r="80"/>
    <row r="81"/>
    <row r="82" ht="24" customHeight="1">
      <c r="A82" s="4" t="inlineStr">
        <is>
          <t xml:space="preserve">  TRY IT   —   change the blue cells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6" t="inlineStr">
        <is>
          <t>Enter a customer's position and the model gives you their tier.</t>
        </is>
      </c>
    </row>
    <row r="84"/>
    <row r="85">
      <c r="A85" s="20" t="inlineStr">
        <is>
          <t>Input</t>
        </is>
      </c>
      <c r="B85" s="21" t="inlineStr">
        <is>
          <t>Value</t>
        </is>
      </c>
      <c r="C85" s="21" t="inlineStr">
        <is>
          <t>What it means</t>
        </is>
      </c>
    </row>
    <row r="86">
      <c r="A86" s="9" t="inlineStr">
        <is>
          <t>Months paid — total, lifetime</t>
        </is>
      </c>
      <c r="B86" s="32" t="n">
        <v>42</v>
      </c>
      <c r="C86" s="24" t="inlineStr">
        <is>
          <t>Every month a payment cleared. Never falls.</t>
        </is>
      </c>
    </row>
    <row r="87">
      <c r="A87" s="9" t="inlineStr">
        <is>
          <t>Months paid — of the last 12</t>
        </is>
      </c>
      <c r="B87" s="32" t="n">
        <v>6</v>
      </c>
      <c r="C87" s="24" t="inlineStr">
        <is>
          <t>Between 0 and 12.</t>
        </is>
      </c>
    </row>
    <row r="88">
      <c r="A88" s="9" t="inlineStr">
        <is>
          <t>Gold held 12 months ago (g)</t>
        </is>
      </c>
      <c r="B88" s="33" t="n">
        <v>30</v>
      </c>
      <c r="C88" s="24" t="inlineStr">
        <is>
          <t>From the token ledger.</t>
        </is>
      </c>
    </row>
    <row r="89">
      <c r="A89" s="9" t="inlineStr">
        <is>
          <t>Gold bought since (g)</t>
        </is>
      </c>
      <c r="B89" s="33" t="n">
        <v>8</v>
      </c>
      <c r="C89" s="24" t="inlineStr">
        <is>
          <t>Contributions plus any spot purchases, plus Gold Rewards credited.</t>
        </is>
      </c>
    </row>
    <row r="90">
      <c r="A90" s="9" t="inlineStr">
        <is>
          <t>Gold held now (g)</t>
        </is>
      </c>
      <c r="B90" s="33" t="n">
        <v>38</v>
      </c>
      <c r="C90" s="24" t="inlineStr">
        <is>
          <t>If this equals the two above added together, nothing was sold.</t>
        </is>
      </c>
    </row>
    <row r="91"/>
    <row r="92">
      <c r="A92" s="20" t="inlineStr">
        <is>
          <t>Working</t>
        </is>
      </c>
      <c r="B92" s="21" t="inlineStr">
        <is>
          <t>Result</t>
        </is>
      </c>
      <c r="C92" s="21" t="inlineStr">
        <is>
          <t>Where it comes from</t>
        </is>
      </c>
    </row>
    <row r="93">
      <c r="A93" s="9" t="inlineStr">
        <is>
          <t>Share of your gold sold</t>
        </is>
      </c>
      <c r="B93" s="34">
        <f>IF((B88+B89)&lt;=0,0,MAX(0,1-B90/(B88+B89)))</f>
        <v/>
      </c>
      <c r="C93" s="24" t="inlineStr">
        <is>
          <t>1 − (held now ÷ [held a year ago + bought since]).</t>
        </is>
      </c>
    </row>
    <row r="94">
      <c r="A94" s="25" t="inlineStr">
        <is>
          <t>RECORD</t>
        </is>
      </c>
      <c r="B94" s="35">
        <f>IF(B86&lt;=$B$129,B86*50/$B$129,IF(B86&gt;=$B$130,100,50+(B86-$B$129)*50/($B$130-$B$129)))</f>
        <v/>
      </c>
      <c r="C94" s="24" t="inlineStr">
        <is>
          <t>Question 1. Months paid, on the strip above.</t>
        </is>
      </c>
    </row>
    <row r="95">
      <c r="A95" s="25" t="inlineStr">
        <is>
          <t>STANDING</t>
        </is>
      </c>
      <c r="B95" s="35">
        <f>MIN(B87,$B$131)*100/$B$131</f>
        <v/>
      </c>
      <c r="C95" s="24" t="inlineStr">
        <is>
          <t>Question 2. Months paid of the last 12.</t>
        </is>
      </c>
    </row>
    <row r="96">
      <c r="A96" s="25" t="inlineStr">
        <is>
          <t>RETENTION</t>
        </is>
      </c>
      <c r="B96" s="36">
        <f>IF(B93&lt;=$B$132,1,MAX(0,1-(B93-$B$132)/(1-$B$132)))</f>
        <v/>
      </c>
      <c r="C96" s="24" t="inlineStr">
        <is>
          <t>Question 3. 1.00 means nothing was lost.</t>
        </is>
      </c>
    </row>
    <row r="97">
      <c r="A97" s="9" t="inlineStr">
        <is>
          <t>The lower of Record and Standing</t>
        </is>
      </c>
      <c r="B97" s="35">
        <f>MIN(B94,B95)</f>
        <v/>
      </c>
      <c r="C97" s="24" t="inlineStr">
        <is>
          <t>Both have to be true, so we take the weaker.</t>
        </is>
      </c>
    </row>
    <row r="98">
      <c r="A98" s="25" t="inlineStr">
        <is>
          <t>SCORE</t>
        </is>
      </c>
      <c r="B98" s="35">
        <f>IF(B86&gt;=$B$133,MAX($B$134,B97*B96),B97*B96)</f>
        <v/>
      </c>
      <c r="C98" s="24" t="inlineStr">
        <is>
          <t>Multiplied by Retention, then the floor of 25 if six payments have been made.</t>
        </is>
      </c>
    </row>
    <row r="99">
      <c r="A99" s="37" t="inlineStr">
        <is>
          <t>TIER</t>
        </is>
      </c>
      <c r="B99" s="38">
        <f>VLOOKUP(B98,$A$52:$B$56,2,TRUE)</f>
        <v/>
      </c>
      <c r="C99" s="24" t="inlineStr">
        <is>
          <t>The highest tier this score has reached.</t>
        </is>
      </c>
    </row>
    <row r="100">
      <c r="A100" s="9" t="inlineStr">
        <is>
          <t>What is holding them back</t>
        </is>
      </c>
      <c r="B100" s="39">
        <f>IF(B96&lt;1,"Selling",IF(B94&lt;B95,"Time — keep paying","Discipline — recent misses"))</f>
        <v/>
      </c>
      <c r="C100" s="24" t="inlineStr">
        <is>
          <t>The app can tell the customer exactly what to fix. This is the retention hook.</t>
        </is>
      </c>
    </row>
    <row r="101">
      <c r="A101" s="9" t="inlineStr">
        <is>
          <t>Six payments made? (drives the floor)</t>
        </is>
      </c>
      <c r="B101" s="40">
        <f>IF(B86&gt;=$B$133,"Yes — Silver secured","Not yet")</f>
        <v/>
      </c>
      <c r="C101" s="24" t="inlineStr">
        <is>
          <t>Confirmed status is simply the 6th payment. It is permanent.</t>
        </is>
      </c>
    </row>
    <row r="102"/>
    <row r="103"/>
    <row r="104" ht="24" customHeight="1">
      <c r="A104" s="4" t="inlineStr">
        <is>
          <t xml:space="preserve">  EVERY CASE THAT MATTERS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</row>
    <row r="105">
      <c r="A105" s="6" t="inlineStr">
        <is>
          <t>The rows we would expect a sharp reader to test. All of them are live.</t>
        </is>
      </c>
    </row>
    <row r="106"/>
    <row r="107">
      <c r="A107" s="20" t="inlineStr">
        <is>
          <t>Case</t>
        </is>
      </c>
      <c r="B107" s="21" t="inlineStr">
        <is>
          <t>Months</t>
        </is>
      </c>
      <c r="C107" s="21" t="inlineStr">
        <is>
          <t>of last 12</t>
        </is>
      </c>
      <c r="D107" s="21" t="inlineStr">
        <is>
          <t>Sold</t>
        </is>
      </c>
      <c r="E107" s="21" t="inlineStr">
        <is>
          <t>Record</t>
        </is>
      </c>
      <c r="F107" s="21" t="inlineStr">
        <is>
          <t>Standing</t>
        </is>
      </c>
      <c r="G107" s="21" t="inlineStr">
        <is>
          <t>Retention</t>
        </is>
      </c>
      <c r="H107" s="21" t="inlineStr">
        <is>
          <t>SCORE</t>
        </is>
      </c>
      <c r="I107" s="21" t="inlineStr">
        <is>
          <t>Tier</t>
        </is>
      </c>
      <c r="J107" s="21" t="inlineStr">
        <is>
          <t>What it shows</t>
        </is>
      </c>
    </row>
    <row r="108">
      <c r="A108" s="41" t="inlineStr">
        <is>
          <t>FAIRNESS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</row>
    <row r="109">
      <c r="A109" s="9" t="inlineStr">
        <is>
          <t xml:space="preserve">   USD 20 a month, perfect, five years</t>
        </is>
      </c>
      <c r="B109" s="11" t="n">
        <v>60</v>
      </c>
      <c r="C109" s="11" t="n">
        <v>12</v>
      </c>
      <c r="D109" s="15" t="n">
        <v>0</v>
      </c>
      <c r="E109" s="26">
        <f>IF(B109&lt;=$B$129,B109*50/$B$129,IF(B109&gt;=$B$130,100,50+(B109-$B$129)*50/($B$130-$B$129)))</f>
        <v/>
      </c>
      <c r="F109" s="26">
        <f>MIN(C109,$B$131)*100/$B$131</f>
        <v/>
      </c>
      <c r="G109" s="27">
        <f>IF(D109&lt;=$B$132,1,MAX(0,1-(D109-$B$132)/(1-$B$132)))</f>
        <v/>
      </c>
      <c r="H109" s="43">
        <f>IF(B109&gt;=$B$133,MAX($B$134,MIN(E109,F109)*G109),MIN(E109,F109)*G109)</f>
        <v/>
      </c>
      <c r="I109" s="30">
        <f>VLOOKUP(H109,$A$52:$B$56,2,TRUE)</f>
        <v/>
      </c>
      <c r="J109" s="24" t="inlineStr">
        <is>
          <t>The smallest saver in the product reaches the top. This is the test the design exists to pass.</t>
        </is>
      </c>
    </row>
    <row r="110">
      <c r="A110" s="9" t="inlineStr">
        <is>
          <t xml:space="preserve">   USD 2,000 a month, perfect, five years</t>
        </is>
      </c>
      <c r="B110" s="11" t="n">
        <v>60</v>
      </c>
      <c r="C110" s="11" t="n">
        <v>12</v>
      </c>
      <c r="D110" s="15" t="n">
        <v>0</v>
      </c>
      <c r="E110" s="26">
        <f>IF(B110&lt;=$B$129,B110*50/$B$129,IF(B110&gt;=$B$130,100,50+(B110-$B$129)*50/($B$130-$B$129)))</f>
        <v/>
      </c>
      <c r="F110" s="26">
        <f>MIN(C110,$B$131)*100/$B$131</f>
        <v/>
      </c>
      <c r="G110" s="27">
        <f>IF(D110&lt;=$B$132,1,MAX(0,1-(D110-$B$132)/(1-$B$132)))</f>
        <v/>
      </c>
      <c r="H110" s="43">
        <f>IF(B110&gt;=$B$133,MAX($B$134,MIN(E110,F110)*G110),MIN(E110,F110)*G110)</f>
        <v/>
      </c>
      <c r="I110" s="30">
        <f>VLOOKUP(H110,$A$52:$B$56,2,TRUE)</f>
        <v/>
      </c>
      <c r="J110" s="24" t="inlineStr">
        <is>
          <t>Identical, to the day. A hundred times the money buys zero tiers.</t>
        </is>
      </c>
    </row>
    <row r="111">
      <c r="A111" s="9" t="inlineStr">
        <is>
          <t xml:space="preserve">   Six payments scattered over three years</t>
        </is>
      </c>
      <c r="B111" s="11" t="n">
        <v>6</v>
      </c>
      <c r="C111" s="11" t="n">
        <v>2</v>
      </c>
      <c r="D111" s="15" t="n">
        <v>0</v>
      </c>
      <c r="E111" s="26">
        <f>IF(B111&lt;=$B$129,B111*50/$B$129,IF(B111&gt;=$B$130,100,50+(B111-$B$129)*50/($B$130-$B$129)))</f>
        <v/>
      </c>
      <c r="F111" s="26">
        <f>MIN(C111,$B$131)*100/$B$131</f>
        <v/>
      </c>
      <c r="G111" s="27">
        <f>IF(D111&lt;=$B$132,1,MAX(0,1-(D111-$B$132)/(1-$B$132)))</f>
        <v/>
      </c>
      <c r="H111" s="43">
        <f>IF(B111&gt;=$B$133,MAX($B$134,MIN(E111,F111)*G111),MIN(E111,F111)*G111)</f>
        <v/>
      </c>
      <c r="I111" s="30">
        <f>VLOOKUP(H111,$A$52:$B$56,2,TRUE)</f>
        <v/>
      </c>
      <c r="J111" s="24" t="inlineStr">
        <is>
          <t>Earns Silver and stops. The floor holds him; nothing above it is reachable without current form.</t>
        </is>
      </c>
    </row>
    <row r="112">
      <c r="A112" s="41" t="inlineStr">
        <is>
          <t>SELLING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</row>
    <row r="113">
      <c r="A113" s="9" t="inlineStr">
        <is>
          <t xml:space="preserve">   Sells a quarter of his gold</t>
        </is>
      </c>
      <c r="B113" s="11" t="n">
        <v>36</v>
      </c>
      <c r="C113" s="11" t="n">
        <v>12</v>
      </c>
      <c r="D113" s="15" t="n">
        <v>0.25</v>
      </c>
      <c r="E113" s="26">
        <f>IF(B113&lt;=$B$129,B113*50/$B$129,IF(B113&gt;=$B$130,100,50+(B113-$B$129)*50/($B$130-$B$129)))</f>
        <v/>
      </c>
      <c r="F113" s="26">
        <f>MIN(C113,$B$131)*100/$B$131</f>
        <v/>
      </c>
      <c r="G113" s="27">
        <f>IF(D113&lt;=$B$132,1,MAX(0,1-(D113-$B$132)/(1-$B$132)))</f>
        <v/>
      </c>
      <c r="H113" s="43">
        <f>IF(B113&gt;=$B$133,MAX($B$134,MIN(E113,F113)*G113),MIN(E113,F113)*G113)</f>
        <v/>
      </c>
      <c r="I113" s="30">
        <f>VLOOKUP(H113,$A$52:$B$56,2,TRUE)</f>
        <v/>
      </c>
      <c r="J113" s="24" t="inlineStr">
        <is>
          <t>Inside the allowance. Nothing happens.</t>
        </is>
      </c>
    </row>
    <row r="114">
      <c r="A114" s="9" t="inlineStr">
        <is>
          <t xml:space="preserve">   Sells a third</t>
        </is>
      </c>
      <c r="B114" s="11" t="n">
        <v>36</v>
      </c>
      <c r="C114" s="11" t="n">
        <v>12</v>
      </c>
      <c r="D114" s="15" t="n">
        <v>0.3</v>
      </c>
      <c r="E114" s="26">
        <f>IF(B114&lt;=$B$129,B114*50/$B$129,IF(B114&gt;=$B$130,100,50+(B114-$B$129)*50/($B$130-$B$129)))</f>
        <v/>
      </c>
      <c r="F114" s="26">
        <f>MIN(C114,$B$131)*100/$B$131</f>
        <v/>
      </c>
      <c r="G114" s="27">
        <f>IF(D114&lt;=$B$132,1,MAX(0,1-(D114-$B$132)/(1-$B$132)))</f>
        <v/>
      </c>
      <c r="H114" s="43">
        <f>IF(B114&gt;=$B$133,MAX($B$134,MIN(E114,F114)*G114),MIN(E114,F114)*G114)</f>
        <v/>
      </c>
      <c r="I114" s="30">
        <f>VLOOKUP(H114,$A$52:$B$56,2,TRUE)</f>
        <v/>
      </c>
      <c r="J114" s="24" t="inlineStr">
        <is>
          <t>Exactly on the line. Still nothing.</t>
        </is>
      </c>
    </row>
    <row r="115">
      <c r="A115" s="9" t="inlineStr">
        <is>
          <t xml:space="preserve">   Sells half</t>
        </is>
      </c>
      <c r="B115" s="11" t="n">
        <v>36</v>
      </c>
      <c r="C115" s="11" t="n">
        <v>12</v>
      </c>
      <c r="D115" s="15" t="n">
        <v>0.5</v>
      </c>
      <c r="E115" s="26">
        <f>IF(B115&lt;=$B$129,B115*50/$B$129,IF(B115&gt;=$B$130,100,50+(B115-$B$129)*50/($B$130-$B$129)))</f>
        <v/>
      </c>
      <c r="F115" s="26">
        <f>MIN(C115,$B$131)*100/$B$131</f>
        <v/>
      </c>
      <c r="G115" s="27">
        <f>IF(D115&lt;=$B$132,1,MAX(0,1-(D115-$B$132)/(1-$B$132)))</f>
        <v/>
      </c>
      <c r="H115" s="43">
        <f>IF(B115&gt;=$B$133,MAX($B$134,MIN(E115,F115)*G115),MIN(E115,F115)*G115)</f>
        <v/>
      </c>
      <c r="I115" s="30">
        <f>VLOOKUP(H115,$A$52:$B$56,2,TRUE)</f>
        <v/>
      </c>
      <c r="J115" s="24" t="inlineStr">
        <is>
          <t>One tier. He keeps his gold, his loan and his card.</t>
        </is>
      </c>
    </row>
    <row r="116">
      <c r="A116" s="9" t="inlineStr">
        <is>
          <t xml:space="preserve">   Sells everything</t>
        </is>
      </c>
      <c r="B116" s="11" t="n">
        <v>36</v>
      </c>
      <c r="C116" s="11" t="n">
        <v>12</v>
      </c>
      <c r="D116" s="15" t="n">
        <v>1</v>
      </c>
      <c r="E116" s="26">
        <f>IF(B116&lt;=$B$129,B116*50/$B$129,IF(B116&gt;=$B$130,100,50+(B116-$B$129)*50/($B$130-$B$129)))</f>
        <v/>
      </c>
      <c r="F116" s="26">
        <f>MIN(C116,$B$131)*100/$B$131</f>
        <v/>
      </c>
      <c r="G116" s="27">
        <f>IF(D116&lt;=$B$132,1,MAX(0,1-(D116-$B$132)/(1-$B$132)))</f>
        <v/>
      </c>
      <c r="H116" s="43">
        <f>IF(B116&gt;=$B$133,MAX($B$134,MIN(E116,F116)*G116),MIN(E116,F116)*G116)</f>
        <v/>
      </c>
      <c r="I116" s="30">
        <f>VLOOKUP(H116,$A$52:$B$56,2,TRUE)</f>
        <v/>
      </c>
      <c r="J116" s="24" t="inlineStr">
        <is>
          <t>Three tiers, to the floor. Recovers in twelve clean months.</t>
        </is>
      </c>
    </row>
    <row r="117">
      <c r="A117" s="9" t="inlineStr">
        <is>
          <t xml:space="preserve">   The cycler — buys and sells every month</t>
        </is>
      </c>
      <c r="B117" s="11" t="n">
        <v>60</v>
      </c>
      <c r="C117" s="11" t="n">
        <v>12</v>
      </c>
      <c r="D117" s="15" t="n">
        <v>1</v>
      </c>
      <c r="E117" s="26">
        <f>IF(B117&lt;=$B$129,B117*50/$B$129,IF(B117&gt;=$B$130,100,50+(B117-$B$129)*50/($B$130-$B$129)))</f>
        <v/>
      </c>
      <c r="F117" s="26">
        <f>MIN(C117,$B$131)*100/$B$131</f>
        <v/>
      </c>
      <c r="G117" s="27">
        <f>IF(D117&lt;=$B$132,1,MAX(0,1-(D117-$B$132)/(1-$B$132)))</f>
        <v/>
      </c>
      <c r="H117" s="43">
        <f>IF(B117&gt;=$B$133,MAX($B$134,MIN(E117,F117)*G117),MIN(E117,F117)*G117)</f>
        <v/>
      </c>
      <c r="I117" s="30">
        <f>VLOOKUP(H117,$A$52:$B$56,2,TRUE)</f>
        <v/>
      </c>
      <c r="J117" s="24" t="inlineStr">
        <is>
          <t>A flawless payment record held at Silver. He never recovers, because he never stops.</t>
        </is>
      </c>
    </row>
    <row r="118">
      <c r="A118" s="41" t="inlineStr">
        <is>
          <t>MISSING PAYMENTS  (a ten-year saver who stops)</t>
        </is>
      </c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</row>
    <row r="119">
      <c r="A119" s="9" t="inlineStr">
        <is>
          <t xml:space="preserve">   one missed month</t>
        </is>
      </c>
      <c r="B119" s="11" t="n">
        <v>120</v>
      </c>
      <c r="C119" s="11" t="n">
        <v>11</v>
      </c>
      <c r="D119" s="15" t="n">
        <v>0</v>
      </c>
      <c r="E119" s="26">
        <f>IF(B119&lt;=$B$129,B119*50/$B$129,IF(B119&gt;=$B$130,100,50+(B119-$B$129)*50/($B$130-$B$129)))</f>
        <v/>
      </c>
      <c r="F119" s="26">
        <f>MIN(C119,$B$131)*100/$B$131</f>
        <v/>
      </c>
      <c r="G119" s="27">
        <f>IF(D119&lt;=$B$132,1,MAX(0,1-(D119-$B$132)/(1-$B$132)))</f>
        <v/>
      </c>
      <c r="H119" s="43">
        <f>IF(B119&gt;=$B$133,MAX($B$134,MIN(E119,F119)*G119),MIN(E119,F119)*G119)</f>
        <v/>
      </c>
      <c r="I119" s="30">
        <f>VLOOKUP(H119,$A$52:$B$56,2,TRUE)</f>
        <v/>
      </c>
      <c r="J119" s="24" t="inlineStr">
        <is>
          <t>One tier.</t>
        </is>
      </c>
    </row>
    <row r="120">
      <c r="A120" s="9" t="inlineStr">
        <is>
          <t xml:space="preserve">   three missed months</t>
        </is>
      </c>
      <c r="B120" s="11" t="n">
        <v>120</v>
      </c>
      <c r="C120" s="11" t="n">
        <v>9</v>
      </c>
      <c r="D120" s="15" t="n">
        <v>0</v>
      </c>
      <c r="E120" s="26">
        <f>IF(B120&lt;=$B$129,B120*50/$B$129,IF(B120&gt;=$B$130,100,50+(B120-$B$129)*50/($B$130-$B$129)))</f>
        <v/>
      </c>
      <c r="F120" s="26">
        <f>MIN(C120,$B$131)*100/$B$131</f>
        <v/>
      </c>
      <c r="G120" s="27">
        <f>IF(D120&lt;=$B$132,1,MAX(0,1-(D120-$B$132)/(1-$B$132)))</f>
        <v/>
      </c>
      <c r="H120" s="43">
        <f>IF(B120&gt;=$B$133,MAX($B$134,MIN(E120,F120)*G120),MIN(E120,F120)*G120)</f>
        <v/>
      </c>
      <c r="I120" s="30">
        <f>VLOOKUP(H120,$A$52:$B$56,2,TRUE)</f>
        <v/>
      </c>
      <c r="J120" s="24" t="inlineStr">
        <is>
          <t>Still Platinum. It takes four in a row to lose it.</t>
        </is>
      </c>
    </row>
    <row r="121">
      <c r="A121" s="9" t="inlineStr">
        <is>
          <t xml:space="preserve">   four missed months</t>
        </is>
      </c>
      <c r="B121" s="11" t="n">
        <v>120</v>
      </c>
      <c r="C121" s="11" t="n">
        <v>8</v>
      </c>
      <c r="D121" s="15" t="n">
        <v>0</v>
      </c>
      <c r="E121" s="26">
        <f>IF(B121&lt;=$B$129,B121*50/$B$129,IF(B121&gt;=$B$130,100,50+(B121-$B$129)*50/($B$130-$B$129)))</f>
        <v/>
      </c>
      <c r="F121" s="26">
        <f>MIN(C121,$B$131)*100/$B$131</f>
        <v/>
      </c>
      <c r="G121" s="27">
        <f>IF(D121&lt;=$B$132,1,MAX(0,1-(D121-$B$132)/(1-$B$132)))</f>
        <v/>
      </c>
      <c r="H121" s="43">
        <f>IF(B121&gt;=$B$133,MAX($B$134,MIN(E121,F121)*G121),MIN(E121,F121)*G121)</f>
        <v/>
      </c>
      <c r="I121" s="30">
        <f>VLOOKUP(H121,$A$52:$B$56,2,TRUE)</f>
        <v/>
      </c>
      <c r="J121" s="24" t="inlineStr">
        <is>
          <t>Platinum lost.</t>
        </is>
      </c>
    </row>
    <row r="122">
      <c r="A122" s="9" t="inlineStr">
        <is>
          <t xml:space="preserve">   seven missed months</t>
        </is>
      </c>
      <c r="B122" s="11" t="n">
        <v>120</v>
      </c>
      <c r="C122" s="11" t="n">
        <v>5</v>
      </c>
      <c r="D122" s="15" t="n">
        <v>0</v>
      </c>
      <c r="E122" s="26">
        <f>IF(B122&lt;=$B$129,B122*50/$B$129,IF(B122&gt;=$B$130,100,50+(B122-$B$129)*50/($B$130-$B$129)))</f>
        <v/>
      </c>
      <c r="F122" s="26">
        <f>MIN(C122,$B$131)*100/$B$131</f>
        <v/>
      </c>
      <c r="G122" s="27">
        <f>IF(D122&lt;=$B$132,1,MAX(0,1-(D122-$B$132)/(1-$B$132)))</f>
        <v/>
      </c>
      <c r="H122" s="43">
        <f>IF(B122&gt;=$B$133,MAX($B$134,MIN(E122,F122)*G122),MIN(E122,F122)*G122)</f>
        <v/>
      </c>
      <c r="I122" s="30">
        <f>VLOOKUP(H122,$A$52:$B$56,2,TRUE)</f>
        <v/>
      </c>
      <c r="J122" s="24" t="inlineStr">
        <is>
          <t>Gold lost.</t>
        </is>
      </c>
    </row>
    <row r="123">
      <c r="A123" s="9" t="inlineStr">
        <is>
          <t xml:space="preserve">   stopped for a full year</t>
        </is>
      </c>
      <c r="B123" s="11" t="n">
        <v>120</v>
      </c>
      <c r="C123" s="11" t="n">
        <v>0</v>
      </c>
      <c r="D123" s="15" t="n">
        <v>0</v>
      </c>
      <c r="E123" s="26">
        <f>IF(B123&lt;=$B$129,B123*50/$B$129,IF(B123&gt;=$B$130,100,50+(B123-$B$129)*50/($B$130-$B$129)))</f>
        <v/>
      </c>
      <c r="F123" s="26">
        <f>MIN(C123,$B$131)*100/$B$131</f>
        <v/>
      </c>
      <c r="G123" s="27">
        <f>IF(D123&lt;=$B$132,1,MAX(0,1-(D123-$B$132)/(1-$B$132)))</f>
        <v/>
      </c>
      <c r="H123" s="43">
        <f>IF(B123&gt;=$B$133,MAX($B$134,MIN(E123,F123)*G123),MIN(E123,F123)*G123)</f>
        <v/>
      </c>
      <c r="I123" s="30">
        <f>VLOOKUP(H123,$A$52:$B$56,2,TRUE)</f>
        <v/>
      </c>
      <c r="J123" s="24" t="inlineStr">
        <is>
          <t>Ten years of history does not hold the top tier. Status is rented, not owned.</t>
        </is>
      </c>
    </row>
    <row r="124">
      <c r="A124" s="9" t="inlineStr">
        <is>
          <t xml:space="preserve">   pays every other month, forever</t>
        </is>
      </c>
      <c r="B124" s="11" t="n">
        <v>60</v>
      </c>
      <c r="C124" s="11" t="n">
        <v>6</v>
      </c>
      <c r="D124" s="15" t="n">
        <v>0</v>
      </c>
      <c r="E124" s="26">
        <f>IF(B124&lt;=$B$129,B124*50/$B$129,IF(B124&gt;=$B$130,100,50+(B124-$B$129)*50/($B$130-$B$129)))</f>
        <v/>
      </c>
      <c r="F124" s="26">
        <f>MIN(C124,$B$131)*100/$B$131</f>
        <v/>
      </c>
      <c r="G124" s="27">
        <f>IF(D124&lt;=$B$132,1,MAX(0,1-(D124-$B$132)/(1-$B$132)))</f>
        <v/>
      </c>
      <c r="H124" s="43">
        <f>IF(B124&gt;=$B$133,MAX($B$134,MIN(E124,F124)*G124),MIN(E124,F124)*G124)</f>
        <v/>
      </c>
      <c r="I124" s="30">
        <f>VLOOKUP(H124,$A$52:$B$56,2,TRUE)</f>
        <v/>
      </c>
      <c r="J124" s="24" t="inlineStr">
        <is>
          <t>Capped at Gold for life. Nothing in the rules stops him — the arithmetic does.</t>
        </is>
      </c>
    </row>
    <row r="125"/>
    <row r="126"/>
    <row r="127" ht="24" customHeight="1">
      <c r="A127" s="4" t="inlineStr">
        <is>
          <t xml:space="preserve">  THE NUMBERS WE CHOSE   —   everything above is driven by these six cells</t>
        </is>
      </c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</row>
    <row r="128">
      <c r="A128" s="20" t="inlineStr">
        <is>
          <t>Setting</t>
        </is>
      </c>
      <c r="B128" s="21" t="inlineStr">
        <is>
          <t>Value</t>
        </is>
      </c>
      <c r="C128" s="21" t="inlineStr">
        <is>
          <t>Why this number</t>
        </is>
      </c>
    </row>
    <row r="129">
      <c r="A129" s="9" t="inlineStr">
        <is>
          <t>Months to reach a Record of 50</t>
        </is>
      </c>
      <c r="B129" s="32" t="n">
        <v>12</v>
      </c>
      <c r="C129" s="24" t="inlineStr">
        <is>
          <t>One year. The first year is the hardest, so it is worth the most.</t>
        </is>
      </c>
    </row>
    <row r="130">
      <c r="A130" s="9" t="inlineStr">
        <is>
          <t>Months to reach a Record of 100</t>
        </is>
      </c>
      <c r="B130" s="32" t="n">
        <v>60</v>
      </c>
      <c r="C130" s="24" t="inlineStr">
        <is>
          <t>Five years. Long enough to be meaningful, short enough to be reachable.</t>
        </is>
      </c>
    </row>
    <row r="131">
      <c r="A131" s="9" t="inlineStr">
        <is>
          <t>Trailing window (months)</t>
        </is>
      </c>
      <c r="B131" s="32" t="n">
        <v>12</v>
      </c>
      <c r="C131" s="24" t="inlineStr">
        <is>
          <t>A year. Long enough to see a habit, short enough to forgive an accident.</t>
        </is>
      </c>
    </row>
    <row r="132">
      <c r="A132" s="9" t="inlineStr">
        <is>
          <t>Free withdrawal allowance</t>
        </is>
      </c>
      <c r="B132" s="44" t="n">
        <v>0.3</v>
      </c>
      <c r="C132" s="24" t="inlineStr">
        <is>
          <t>A third. Covers a genuine household need without touching the score.</t>
        </is>
      </c>
    </row>
    <row r="133">
      <c r="A133" s="9" t="inlineStr">
        <is>
          <t>Payments that secure Silver</t>
        </is>
      </c>
      <c r="B133" s="32" t="n">
        <v>6</v>
      </c>
      <c r="C133" s="24" t="inlineStr">
        <is>
          <t>Six. Proves the account is real. Permanent once earned.</t>
        </is>
      </c>
    </row>
    <row r="134">
      <c r="A134" s="9" t="inlineStr">
        <is>
          <t>Silver floor score</t>
        </is>
      </c>
      <c r="B134" s="32" t="n">
        <v>25</v>
      </c>
      <c r="C134" s="24" t="inlineStr">
        <is>
          <t>Nobody who has made six payments is ever sent back to the beginning.</t>
        </is>
      </c>
    </row>
    <row r="135"/>
    <row r="136">
      <c r="A136" s="3" t="inlineStr">
        <is>
          <t>The one number worth revisiting once we have real data is the withdrawal allowance. Everything else is structural.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2026-08-11T15:59:30Z</dcterms:created>
  <dcterms:modified xmlns:dcterms="http://purl.org/dc/terms/" xmlns:xsi="http://www.w3.org/2001/XMLSchema-instance" xsi:type="dcterms:W3CDTF">2026-08-11T15:59:30Z</dcterms:modified>
</cp:coreProperties>
</file>