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Assumptions!$B$56</definedName>
    <definedName function="false" hidden="false" name="act_india" vbProcedure="false">Assumptions!$B$57</definedName>
    <definedName function="false" hidden="false" name="act_referral" vbProcedure="false">Assumptions!$B$55</definedName>
    <definedName function="false" hidden="false" name="act_s0" vbProcedure="false">Assumptions!$B$49</definedName>
    <definedName function="false" hidden="false" name="act_s1a" vbProcedure="false">Assumptions!$B$47</definedName>
    <definedName function="false" hidden="false" name="act_s1b" vbProcedure="false">Assumptions!$B$48</definedName>
    <definedName function="false" hidden="false" name="act_s2" vbProcedure="false">Assumptions!$B$51</definedName>
    <definedName function="false" hidden="false" name="act_s3" vbProcedure="false">Assumptions!$B$50</definedName>
    <definedName function="false" hidden="false" name="act_s4" vbProcedure="false">Assumptions!$B$52</definedName>
    <definedName function="false" hidden="false" name="act_s5" vbProcedure="false">Assumptions!$B$53</definedName>
    <definedName function="false" hidden="false" name="act_s6" vbProcedure="false">Assumptions!$B$54</definedName>
    <definedName function="false" hidden="false" name="aed_usd" vbProcedure="false">Assumptions!$B$7</definedName>
    <definedName function="false" hidden="false" name="agentshare_gulf" vbProcedure="false">Assumptions!$B$115</definedName>
    <definedName function="false" hidden="false" name="agentshare_india" vbProcedure="false">Assumptions!$B$116</definedName>
    <definedName function="false" hidden="false" name="agentshare_uae" vbProcedure="false">Assumptions!$B$114</definedName>
    <definedName function="false" hidden="false" name="agents_y1" vbProcedure="false">Assumptions!$B$93</definedName>
    <definedName function="false" hidden="false" name="agents_y2" vbProcedure="false">Assumptions!$B$94</definedName>
    <definedName function="false" hidden="false" name="agents_y3" vbProcedure="false">Assumptions!$B$95</definedName>
    <definedName function="false" hidden="false" name="agents_y4" vbProcedure="false">Assumptions!$B$96</definedName>
    <definedName function="false" hidden="false" name="agents_y5" vbProcedure="false">Assumptions!$B$97</definedName>
    <definedName function="false" hidden="false" name="agents_y6" vbProcedure="false">Assumptions!$B$98</definedName>
    <definedName function="false" hidden="false" name="agents_y7" vbProcedure="false">Assumptions!$B$99</definedName>
    <definedName function="false" hidden="false" name="agent_productivity" vbProcedure="false">'Scenario Parameters'!$B$16</definedName>
    <definedName function="false" hidden="false" name="atmm_a1500" vbProcedure="false">'Scenario Parameters'!$B$55</definedName>
    <definedName function="false" hidden="false" name="atmm_a3000" vbProcedure="false">'Scenario Parameters'!$B$56</definedName>
    <definedName function="false" hidden="false" name="atmm_a3000p" vbProcedure="false">'Scenario Parameters'!$B$57</definedName>
    <definedName function="false" hidden="false" name="atmm_a500" vbProcedure="false">'Scenario Parameters'!$B$54</definedName>
    <definedName function="false" hidden="false" name="atm_a1500" vbProcedure="false">'Scenario Parameters'!$B$51</definedName>
    <definedName function="false" hidden="false" name="atm_a3000" vbProcedure="false">'Scenario Parameters'!$B$52</definedName>
    <definedName function="false" hidden="false" name="atm_a3000p" vbProcedure="false">'Scenario Parameters'!$B$53</definedName>
    <definedName function="false" hidden="false" name="atm_a500" vbProcedure="false">'Scenario Parameters'!$B$50</definedName>
    <definedName function="false" hidden="false" name="atm_allowance" vbProcedure="false">Assumptions!$B$18</definedName>
    <definedName function="false" hidden="false" name="atm_fee" vbProcedure="false">Assumptions!$B$19</definedName>
    <definedName function="false" hidden="false" name="aum_per_partner" vbProcedure="false">'Scenario Parameters'!$B$77</definedName>
    <definedName function="false" hidden="false" name="aum_per_partner_user" vbProcedure="false">'Scenario Parameters'!$B$76</definedName>
    <definedName function="false" hidden="false" name="b2b_fee" vbProcedure="false">Assumptions!$B$26</definedName>
    <definedName function="false" hidden="false" name="bar_grams" vbProcedure="false">Assumptions!$B$10</definedName>
    <definedName function="false" hidden="false" name="cac_gulf" vbProcedure="false">'Scenario Parameters'!$B$18</definedName>
    <definedName function="false" hidden="false" name="cac_india" vbProcedure="false">'Scenario Parameters'!$B$19</definedName>
    <definedName function="false" hidden="false" name="cac_uae" vbProcedure="false">'Scenario Parameters'!$B$17</definedName>
    <definedName function="false" hidden="false" name="card_activation" vbProcedure="false">'Scenario Parameters'!$B$45</definedName>
    <definedName function="false" hidden="false" name="card_txns_per_draw" vbProcedure="false">'Scenario Parameters'!$B$46</definedName>
    <definedName function="false" hidden="false" name="ceil_gulf" vbProcedure="false">Assumptions!$B$85</definedName>
    <definedName function="false" hidden="false" name="ceil_india" vbProcedure="false">Assumptions!$B$86</definedName>
    <definedName function="false" hidden="false" name="ceil_total" vbProcedure="false">Assumptions!$B$87</definedName>
    <definedName function="false" hidden="false" name="ceil_uae" vbProcedure="false">Assumptions!$B$84</definedName>
    <definedName function="false" hidden="false" name="decline_uplift" vbProcedure="false">Assumptions!$B$16</definedName>
    <definedName function="false" hidden="false" name="drawn_share" vbProcedure="false">'Scenario Parameters'!$B$61</definedName>
    <definedName function="false" hidden="false" name="draw_events" vbProcedure="false">'Scenario Parameters'!$B$63</definedName>
    <definedName function="false" hidden="false" name="entry_fee" vbProcedure="false">Assumptions!$B$8</definedName>
    <definedName function="false" hidden="false" name="ever_qualify" vbProcedure="false">'Scenario Parameters'!$B$30</definedName>
    <definedName function="false" hidden="false" name="fab_premium" vbProcedure="false">Assumptions!$B$9</definedName>
    <definedName function="false" hidden="false" name="facility_turnover" vbProcedure="false">'Scenario Parameters'!$B$62</definedName>
    <definedName function="false" hidden="false" name="family_attach" vbProcedure="false">'Scenario Parameters'!$B$64</definedName>
    <definedName function="false" hidden="false" name="family_churn" vbProcedure="false">'Scenario Parameters'!$B$65</definedName>
    <definedName function="false" hidden="false" name="family_churn_m" vbProcedure="false">'Scenario Parameters'!$B$66</definedName>
    <definedName function="false" hidden="false" name="family_price" vbProcedure="false">Assumptions!$B$25</definedName>
    <definedName function="false" hidden="false" name="foreign_spend_share" vbProcedure="false">'Scenario Parameters'!$B$47</definedName>
    <definedName function="false" hidden="false" name="fx_margin" vbProcedure="false">Assumptions!$B$17</definedName>
    <definedName function="false" hidden="false" name="gate_run" vbProcedure="false">Assumptions!$B$42</definedName>
    <definedName function="false" hidden="false" name="gold_cagr" vbProcedure="false">'Scenario Parameters'!$B$10</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Parameters'!$B$48</definedName>
    <definedName function="false" hidden="false" name="issuance_fee" vbProcedure="false">Assumptions!$B$20</definedName>
    <definedName function="false" hidden="false" name="lapsed_redemption_mult" vbProcedure="false">'Scenario Parameters'!$B$37</definedName>
    <definedName function="false" hidden="false" name="ltv_gold" vbProcedure="false">Assumptions!$B$31</definedName>
    <definedName function="false" hidden="false" name="mktg_y1" vbProcedure="false">Assumptions!$B$100</definedName>
    <definedName function="false" hidden="false" name="mktg_y2" vbProcedure="false">Assumptions!$B$101</definedName>
    <definedName function="false" hidden="false" name="mktg_y3" vbProcedure="false">Assumptions!$B$102</definedName>
    <definedName function="false" hidden="false" name="mktg_y4" vbProcedure="false">Assumptions!$B$103</definedName>
    <definedName function="false" hidden="false" name="mktg_y5" vbProcedure="false">Assumptions!$B$104</definedName>
    <definedName function="false" hidden="false" name="mktg_y6" vbProcedure="false">Assumptions!$B$105</definedName>
    <definedName function="false" hidden="false" name="mktg_y7" vbProcedure="false">Assumptions!$B$106</definedName>
    <definedName function="false" hidden="false" name="mktshare_gulf" vbProcedure="false">'Scenario Parameters'!$B$21</definedName>
    <definedName function="false" hidden="false" name="mktshare_india" vbProcedure="false">'Scenario Parameters'!$B$22</definedName>
    <definedName function="false" hidden="false" name="mktshare_uae" vbProcedure="false">'Scenario Parameters'!$B$20</definedName>
    <definedName function="false" hidden="false" name="monthly_churn" vbProcedure="false">'Scenario Parameters'!$B$15</definedName>
    <definedName function="false" hidden="false" name="months_to_qualify" vbProcedure="false">'Scenario Parameters'!$B$31</definedName>
    <definedName function="false" hidden="false" name="organic_share" vbProcedure="false">'Scenario Parameters'!$B$25</definedName>
    <definedName function="false" hidden="false" name="origination_gross" vbProcedure="false">Assumptions!$B$27</definedName>
    <definedName function="false" hidden="false" name="origination_share" vbProcedure="false">Assumptions!$B$28</definedName>
    <definedName function="false" hidden="false" name="partners_y1" vbProcedure="false">'Scenario Parameters'!$B$67</definedName>
    <definedName function="false" hidden="false" name="partners_y2" vbProcedure="false">'Scenario Parameters'!$B$68</definedName>
    <definedName function="false" hidden="false" name="partners_y3" vbProcedure="false">'Scenario Parameters'!$B$69</definedName>
    <definedName function="false" hidden="false" name="partners_y4" vbProcedure="false">'Scenario Parameters'!$B$70</definedName>
    <definedName function="false" hidden="false" name="partners_y5" vbProcedure="false">'Scenario Parameters'!$B$71</definedName>
    <definedName function="false" hidden="false" name="partners_y6" vbProcedure="false">'Scenario Parameters'!$B$72</definedName>
    <definedName function="false" hidden="false" name="partners_y7" vbProcedure="false">'Scenario Parameters'!$B$73</definedName>
    <definedName function="false" hidden="false" name="partner_adoption" vbProcedure="false">'Scenario Parameters'!$B$75</definedName>
    <definedName function="false" hidden="false" name="partner_users" vbProcedure="false">'Scenario Parameters'!$B$74</definedName>
    <definedName function="false" hidden="false" name="persistency_m13" vbProcedure="false">'Scenario Parameters'!$B$14</definedName>
    <definedName function="false" hidden="false" name="pm_share" vbProcedure="false">'Scenario Parameters'!$B$44</definedName>
    <definedName function="false" hidden="false" name="ramp_y1" vbProcedure="false">Assumptions!$B$107</definedName>
    <definedName function="false" hidden="false" name="ramp_y2" vbProcedure="false">Assumptions!$B$108</definedName>
    <definedName function="false" hidden="false" name="ramp_y3" vbProcedure="false">Assumptions!$B$109</definedName>
    <definedName function="false" hidden="false" name="ramp_y4" vbProcedure="false">Assumptions!$B$110</definedName>
    <definedName function="false" hidden="false" name="ramp_y5" vbProcedure="false">Assumptions!$B$111</definedName>
    <definedName function="false" hidden="false" name="ramp_y6" vbProcedure="false">Assumptions!$B$112</definedName>
    <definedName function="false" hidden="false" name="ramp_y7" vbProcedure="false">Assumptions!$B$113</definedName>
    <definedName function="false" hidden="false" name="redemption_cost" vbProcedure="false">Assumptions!$B$43</definedName>
    <definedName function="false" hidden="false" name="redemption_rate" vbProcedure="false">'Scenario Parameters'!$B$36</definedName>
    <definedName function="false" hidden="false" name="referral_conversion" vbProcedure="false">'Scenario Parameters'!$B$24</definedName>
    <definedName function="false" hidden="false" name="referral_rate" vbProcedure="false">'Scenario Parameters'!$B$23</definedName>
    <definedName function="false" hidden="false" name="replacement_events" vbProcedure="false">'Scenario Parameters'!$B$49</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Parameters'!$B$26</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Parameters'!$B$35</definedName>
    <definedName function="false" hidden="false" name="servicing_gross" vbProcedure="false">Assumptions!$B$29</definedName>
    <definedName function="false" hidden="false" name="servicing_share" vbProcedure="false">Assumptions!$B$30</definedName>
    <definedName function="false" hidden="false" name="sip_floor" vbProcedure="false">Assumptions!$B$41</definedName>
    <definedName function="false" hidden="false" name="spotattach_gulf" vbProcedure="false">Assumptions!$B$36</definedName>
    <definedName function="false" hidden="false" name="spotattach_india" vbProcedure="false">Assumptions!$B$37</definedName>
    <definedName function="false" hidden="false" name="spotattach_uae" vbProcedure="false">Assumptions!$B$35</definedName>
    <definedName function="false" hidden="false" name="spotticket_gulf" vbProcedure="false">Assumptions!$B$33</definedName>
    <definedName function="false" hidden="false" name="spotticket_india" vbProcedure="false">Assumptions!$B$34</definedName>
    <definedName function="false" hidden="false" name="spotticket_uae" vbProcedure="false">Assumptions!$B$32</definedName>
    <definedName function="false" hidden="false" name="spot_attach_mult" vbProcedure="false">'Scenario Parameters'!$B$38</definedName>
    <definedName function="false" hidden="false" name="spot_frequency" vbProcedure="false">'Scenario Parameters'!$B$40</definedName>
    <definedName function="false" hidden="false" name="spot_ticket_mult" vbProcedure="false">'Scenario Parameters'!$B$39</definedName>
    <definedName function="false" hidden="false" name="sw_lapsed_keeps_card" vbProcedure="false">'Scenario Parameters'!$B$88</definedName>
    <definedName function="false" hidden="false" name="sw_prepaid_vs_credit" vbProcedure="false">'Scenario Parameters'!$B$87</definedName>
    <definedName function="false" hidden="false" name="ticket_gulf" vbProcedure="false">'Scenario Parameters'!$B$82</definedName>
    <definedName function="false" hidden="false" name="ticket_india" vbProcedure="false">'Scenario Parameters'!$B$83</definedName>
    <definedName function="false" hidden="false" name="ticket_uae" vbProcedure="false">'Scenario Parameters'!$B$81</definedName>
    <definedName function="false" hidden="false" name="txn_fee" vbProcedure="false">Assumptions!$B$15</definedName>
    <definedName function="false" hidden="false" name="xchk_uae_obs" vbProcedure="false">Assumptions!$B$89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<sst xmlns="http://schemas.openxmlformats.org/spreadsheetml/2006/main" count="1186" uniqueCount="567">
  <si>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</si>
  <si>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</si>
  <si>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</si>
  <si>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</si>
  <si>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</si>
  <si>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</si>
  <si>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</si>
  <si>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</si>
  <si>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</si>
  <si>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</si>
  <si>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</si>
  <si>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</si>
  <si>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</si>
  <si>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</si>
  <si>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</si>
  <si>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</si>
  <si>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</si>
  <si>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</si>
  <si>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</si>
  <si>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</si>
  <si>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</si>
  <si>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</si>
  <si>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</si>
  <si>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</si>
  <si>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</si>
  <si>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</si>
  <si>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</si>
  <si>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</si>
  <si>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</si>
  <si>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</si>
  <si>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</si>
  <si>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</si>
  <si>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</si>
  <si>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</si>
  <si>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at M1</t>
  </si>
  <si>
    <t xml:space="preserve">USD/g</t>
  </si>
  <si>
    <t xml:space="preserve">USD 4,400/oz verified 2026-08-17. THE STARTING PRICE - it no longer holds for the whole horizon; see the appreciation rate below and the live 'Gold price (this period)' row on the Model.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</si>
  <si>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</si>
  <si>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</si>
  <si>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</si>
  <si>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</si>
  <si>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</si>
  <si>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</si>
  <si>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</si>
  <si>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</si>
  <si>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</si>
  <si>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</si>
  <si>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</si>
  <si>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</si>
  <si>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</si>
  <si>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</si>
  <si>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</si>
  <si>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</si>
  <si>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</si>
  <si>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</si>
  <si>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</si>
  <si>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</si>
  <si>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</si>
  <si>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</si>
  <si>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</si>
  <si>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</si>
  <si>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</si>
  <si>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</si>
  <si>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</si>
  <si>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</si>
  <si>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</si>
  <si>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</si>
  <si>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</si>
  <si>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</si>
  <si>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</si>
  <si>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</si>
  <si>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</si>
  <si>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</si>
  <si>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</si>
  <si>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</si>
  <si>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</si>
  <si>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</si>
  <si>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USD 36/yr (USD 3/month) sits below Trust &amp; Will's 49, above Farewill's ~13, and at 10% of annual savings rather than a third. ⚠ A ONE-OFF SETUP FEE IS NOT MODELLED - if the client wants the full industry structure, that is a second row, not a bigger number here. CITED comparators, ASSUMPTION on the point in the range.</t>
  </si>
  <si>
    <t xml:space="preserve">B2B platform fee</t>
  </si>
  <si>
    <t xml:space="preserve">% of partner AUM/yr</t>
  </si>
  <si>
    <t xml:space="preserve">Placeholder in the 0.5-0.75% band, coupled to the partner set. ASSUMPTION.</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</si>
  <si>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</si>
  <si>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</si>
  <si>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</si>
  <si>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</si>
  <si>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</si>
  <si>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</si>
  <si>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</si>
  <si>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</si>
  <si>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</si>
  <si>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</si>
  <si>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</si>
  <si>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</si>
  <si>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</si>
  <si>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 UAE</t>
  </si>
  <si>
    <t xml:space="preserve">USD/purchase</t>
  </si>
  <si>
    <t xml:space="preserve">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</si>
  <si>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 xml:space="preserve">Spot ticket - Oman and Bahrain</t>
  </si>
  <si>
    <t xml:space="preserve">⚠ INFERRED - THE WEAKEST OF THE THREE. No GCC platform outside the UAE publishes an average ticket; this is a CONFIRMED NEGATIVE, not a gap in the search. Taken as the UAE figure scaled by the regional income gap (SIP 26.00/33.60 = 0.77x). Do not present this as sourced.</t>
  </si>
  <si>
    <t xml:space="preserve">Spot ticket - India</t>
  </si>
  <si>
    <t xml:space="preserve">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</si>
  <si>
    <t xml:space="preserve">Spot attach rate - UAE</t>
  </si>
  <si>
    <t xml:space="preserve">% of customers/yr</t>
  </si>
  <si>
    <t xml:space="preserve">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</si>
  <si>
    <t xml:space="preserve">Spot attach rate - Oman and Bahrain</t>
  </si>
  <si>
    <t xml:space="preserve">Spot attach rate - India</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</si>
  <si>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</si>
  <si>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</si>
  <si>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</si>
  <si>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</si>
  <si>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</si>
  <si>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</si>
  <si>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</si>
  <si>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</si>
  <si>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</si>
  <si>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</si>
  <si>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</si>
  <si>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SIP</t>
  </si>
  <si>
    <t xml:space="preserve">period # (from)</t>
  </si>
  <si>
    <t xml:space="preserve">M1. The core product - live at launch.</t>
  </si>
  <si>
    <t xml:space="preserve">Stream 1b - Entry fee,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</si>
  <si>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</si>
  <si>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</si>
  <si>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</si>
  <si>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</si>
  <si>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</si>
  <si>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</si>
  <si>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</si>
  <si>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</si>
  <si>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</si>
  <si>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</si>
  <si>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</si>
  <si>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</si>
  <si>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</si>
  <si>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</si>
  <si>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</si>
  <si>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</si>
  <si>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</si>
  <si>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</si>
  <si>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</si>
  <si>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</si>
  <si>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</si>
  <si>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</si>
  <si>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</si>
  <si>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</si>
  <si>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</si>
  <si>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</si>
  <si>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</si>
  <si>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</si>
  <si>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</si>
  <si>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</si>
  <si>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</si>
  <si>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</si>
  <si>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</si>
  <si>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</si>
  <si>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</si>
  <si>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</si>
  <si>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</si>
  <si>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</si>
  <si>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</si>
  <si>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</si>
  <si>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</si>
  <si>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</si>
  <si>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</si>
  <si>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</si>
  <si>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</si>
  <si>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</si>
  <si>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</si>
  <si>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</si>
  <si>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</si>
  <si>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</si>
  <si>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</si>
  <si>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</si>
  <si>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</si>
  <si>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</si>
  <si>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</si>
  <si>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</si>
  <si>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</si>
  <si>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</si>
  <si>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</si>
  <si>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</si>
  <si>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</si>
  <si>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</si>
  <si>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</si>
  <si>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</si>
  <si>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</si>
  <si>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</si>
  <si>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</si>
  <si>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</si>
  <si>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</si>
  <si>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</si>
  <si>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</si>
  <si>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</si>
  <si>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</si>
  <si>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</si>
  <si>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</si>
  <si>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</si>
  <si>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</si>
  <si>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CROSS-CHECK vs observed market evidence (memo - feeds nothing)</t>
  </si>
  <si>
    <t xml:space="preserve">  O Gold active users, UAE (observed)</t>
  </si>
  <si>
    <t xml:space="preserve">users</t>
  </si>
  <si>
    <t xml:space="preserve">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</si>
  <si>
    <t xml:space="preserve">  Our UAE ceiling as a multiple of observed active users</t>
  </si>
  <si>
    <t xml:space="preserve">x observed</t>
  </si>
  <si>
    <t xml:space="preserve">⚠ 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</si>
  <si>
    <t xml:space="preserve">  Oman &amp; Bahrain / India (no comparable figure)</t>
  </si>
  <si>
    <t xml:space="preserve">n/a</t>
  </si>
  <si>
    <t xml:space="preserve">-</t>
  </si>
  <si>
    <t xml:space="preserve">CONFIRMED NEGATIVE, recorded so it is not re-searched. No GCC platform outside the UAE publishes a user count. India publishes only REGISTERED counts (Jar 35m, Augmont 42m) which cannot be deduplicated or converted to active users, so no comparable cross-check can be built. ⚠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</si>
  <si>
    <t xml:space="preserve">Active agents - Y1</t>
  </si>
  <si>
    <t xml:space="preserve">agents</t>
  </si>
  <si>
    <t xml:space="preserve">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</si>
  <si>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</si>
  <si>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</si>
  <si>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</si>
  <si>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</si>
  <si>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</si>
  <si>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</si>
  <si>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</si>
  <si>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</si>
  <si>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</si>
  <si>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</si>
  <si>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</si>
  <si>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</si>
  <si>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</si>
  <si>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</si>
  <si>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</si>
  <si>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</si>
  <si>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</si>
  <si>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</si>
  <si>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</si>
  <si>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</si>
  <si>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</si>
  <si>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</si>
  <si>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</si>
  <si>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salesforce deployed - UAE</t>
  </si>
  <si>
    <t xml:space="preserve">% of salesforce</t>
  </si>
  <si>
    <t xml:space="preserve">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</si>
  <si>
    <t xml:space="preserve">Share of salesforce deployed - Oman and Bahrain</t>
  </si>
  <si>
    <t xml:space="preserve">Share of salesforce deployed - India</t>
  </si>
  <si>
    <t xml:space="preserve">SCENARIO-LINKED INPUTS (live values - move with the scenario switch)</t>
  </si>
  <si>
    <t xml:space="preserve">Gold price appreciation</t>
  </si>
  <si>
    <t xml:space="preserve">%/yr</t>
  </si>
  <si>
    <t xml:space="preserve">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</si>
  <si>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</si>
  <si>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</si>
  <si>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</si>
  <si>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</si>
  <si>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</si>
  <si>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</si>
  <si>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</si>
  <si>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</si>
  <si>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</si>
  <si>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</si>
  <si>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</si>
  <si>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</si>
  <si>
    <t xml:space="preserve">Marketing CAC - Oman and Bahrain</t>
  </si>
  <si>
    <t xml:space="preserve">Marketing CAC - India</t>
  </si>
  <si>
    <t xml:space="preserve">Marketing spend share - UAE</t>
  </si>
  <si>
    <t xml:space="preserve">% of budget</t>
  </si>
  <si>
    <t xml:space="preserve">How the marketing budget is split across markets. Defaults to each region's share of the addressable ceiling, so spend follows the opportunity.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</si>
  <si>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</si>
  <si>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</si>
  <si>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</si>
  <si>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</si>
  <si>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 IT IS STILL AN ASSUMPTION WITH NO EXTERNAL ANCHOR, and it compounds: referrals feed the paying base, which feeds more referrals. That loop is the reason this parameter is more load-bearing than its size suggests. ASSUMPTION.</t>
  </si>
  <si>
    <t xml:space="preserve">Referral conversion</t>
  </si>
  <si>
    <t xml:space="preserve">The M7 survival of the referred cohort, uplifted ~1.1x. DERIVED.</t>
  </si>
  <si>
    <t xml:space="preserve">Organic share of direct</t>
  </si>
  <si>
    <t xml:space="preserve">% of direct</t>
  </si>
  <si>
    <t xml:space="preserve">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 NO EXTERNAL ANCHOR AT EITHER LEVEL, and it is arithmetically identical to a 12% CAC reduction - so raising this AND cutting CAC in the same pass is close to taking the same benefit twice.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</si>
  <si>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</si>
  <si>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</si>
  <si>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</si>
  <si>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</si>
  <si>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</si>
  <si>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</si>
  <si>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</si>
  <si>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</si>
  <si>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</si>
  <si>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Gold moved out of Aurumix's control</t>
  </si>
  <si>
    <t xml:space="preserve">% of AUM/yr</t>
  </si>
  <si>
    <t xml:space="preserve">HALVED 2026-08-21 from 0.12, client instruction. ⚠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</si>
  <si>
    <t xml:space="preserve">Redemption rate</t>
  </si>
  <si>
    <t xml:space="preserve">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</si>
  <si>
    <t xml:space="preserve">Holder redemption multiplier</t>
  </si>
  <si>
    <t xml:space="preserve">x the paying rate</t>
  </si>
  <si>
    <t xml:space="preserve">LOWERED 2026-08-21 from 2.2, client instruction. ⚠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</si>
  <si>
    <t xml:space="preserve">Spot attach scenario multiplier</t>
  </si>
  <si>
    <t xml:space="preserve">x the regional attach</t>
  </si>
  <si>
    <t xml:space="preserve">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</si>
  <si>
    <t xml:space="preserve">Spot ticket scenario multiplier</t>
  </si>
  <si>
    <t xml:space="preserve">x the observed ticket</t>
  </si>
  <si>
    <t xml:space="preserve">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</si>
  <si>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 xml:space="preserve">Spot frequency</t>
  </si>
  <si>
    <t xml:space="preserve">events/attacher/yr</t>
  </si>
  <si>
    <t xml:space="preserve">⚠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</si>
  <si>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 xml:space="preserve">Programme manager share of interchange</t>
  </si>
  <si>
    <t xml:space="preserve">SIZES THE LARGEST STREAM. No UAE/MENA figure is published. FLOOR IS 36% - take that into the sponsor conversation as the walk-away. TRIANGULATED.</t>
  </si>
  <si>
    <t xml:space="preserve">Facility take-up - customers who take AND use the card</t>
  </si>
  <si>
    <t xml:space="preserve">% of gate-cleared</t>
  </si>
  <si>
    <t xml:space="preserve">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</si>
  <si>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</si>
  <si>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</si>
  <si>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</si>
  <si>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</si>
  <si>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</si>
  <si>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</si>
  <si>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</si>
  <si>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</si>
  <si>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</si>
  <si>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</si>
  <si>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</si>
  <si>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</si>
  <si>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</si>
  <si>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</si>
  <si>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</si>
  <si>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</si>
  <si>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</si>
  <si>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</si>
  <si>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</si>
  <si>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</si>
  <si>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</si>
  <si>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</si>
  <si>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</si>
  <si>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</si>
  <si>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</si>
  <si>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</si>
  <si>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</si>
  <si>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</si>
  <si>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</si>
  <si>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</si>
  <si>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 of NEW customers</t>
  </si>
  <si>
    <t xml:space="preserve">LOWERED 2026-08-21 from 0.20. ⚠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was high for an OPTIONAL PAID extra on a savings product, where low single digits to low teens is the normal range. ASSUMPTION.</t>
  </si>
  <si>
    <t xml:space="preserve">Family plan cancellation rate (incremental)</t>
  </si>
  <si>
    <t xml:space="preserve">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</si>
  <si>
    <t xml:space="preserve">Family plan monthly churn, combined (derived)</t>
  </si>
  <si>
    <t xml:space="preserve">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</si>
  <si>
    <t xml:space="preserve">B2B partners - Y1</t>
  </si>
  <si>
    <t xml:space="preserve">partners</t>
  </si>
  <si>
    <t xml:space="preserve">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</si>
  <si>
    <t xml:space="preserve">B2B partners - Y2</t>
  </si>
  <si>
    <t xml:space="preserve">B2B partners - Y3</t>
  </si>
  <si>
    <t xml:space="preserve">B2B partners - Y4</t>
  </si>
  <si>
    <t xml:space="preserve">B2B partners - Y5</t>
  </si>
  <si>
    <t xml:space="preserve">B2B partners - Y6</t>
  </si>
  <si>
    <t xml:space="preserve">B2B partners - Y7</t>
  </si>
  <si>
    <t xml:space="preserve">Average partner user base</t>
  </si>
  <si>
    <t xml:space="preserve">active users</t>
  </si>
  <si>
    <t xml:space="preserve">THE MIX, NOT THE BIGGEST. A realistic six-partner Gulf book is roughly one Botim-scale (1.7m ACTIVE fintech users, of 8.2-8.5m app users), two at e&amp; money scale (~1.5m subscribers), and three small wallets at a few hundred thousand - which averages near 900k. ⚠ USE ACTIVE USERS, NOT REGISTERED: Botim's own numbers separate 8.5m app users, 3m KYC'd and 1.7m active fintech users, and adopting the headline would overstate this by 5x. CITED for the two largest, ASSUMPTION for the tail.</t>
  </si>
  <si>
    <t xml:space="preserve">Partner users adopting gold (mature)</t>
  </si>
  <si>
    <t xml:space="preserve">% of partner users</t>
  </si>
  <si>
    <t xml:space="preserve">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 THE 4.4% IS THE ONLY OBSERVED GOLD-ADOPTION RATE FOR A GULF WALLET THAT EXISTS. TRIANGULATED.</t>
  </si>
  <si>
    <t xml:space="preserve">AUM per adopting partner user</t>
  </si>
  <si>
    <t xml:space="preserve">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</si>
  <si>
    <t xml:space="preserve">AUM per partner (derived)</t>
  </si>
  <si>
    <t xml:space="preserve">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</si>
  <si>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</si>
  <si>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</si>
  <si>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</si>
  <si>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</si>
  <si>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</si>
  <si>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</si>
  <si>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</si>
  <si>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</si>
  <si>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</si>
  <si>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</si>
  <si>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</si>
  <si>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</si>
  <si>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</si>
  <si>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</si>
  <si>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</si>
  <si>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</si>
  <si>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A0: THE METAL</t>
  </si>
  <si>
    <t xml:space="preserve">Active Value</t>
  </si>
  <si>
    <t xml:space="preserve">Aggressive</t>
  </si>
  <si>
    <t xml:space="preserve">Conservative</t>
  </si>
  <si>
    <t xml:space="preserve">GROUP A: CUSTOMERS AND CHURN</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</si>
  <si>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</si>
  <si>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</si>
  <si>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</si>
  <si>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</si>
  <si>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</si>
  <si>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</si>
  <si>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</si>
  <si>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</si>
  <si>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</si>
  <si>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</si>
  <si>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</si>
  <si>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</si>
  <si>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</si>
  <si>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</si>
  <si>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</si>
  <si>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</si>
  <si>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</si>
  <si>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</si>
  <si>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</si>
  <si>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</si>
  <si>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</si>
  <si>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</si>
  <si>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</si>
  <si>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</si>
  <si>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</si>
  <si>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</si>
  <si>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</si>
  <si>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</si>
  <si>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</si>
  <si>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</si>
  <si>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</si>
  <si>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</si>
  <si>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</si>
  <si>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</si>
  <si>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</si>
  <si>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</si>
  <si>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</si>
  <si>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</si>
  <si>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</si>
  <si>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</si>
  <si>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</si>
  <si>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</si>
  <si>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</si>
  <si>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</si>
  <si>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</si>
  <si>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</si>
  <si>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</si>
  <si>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</si>
  <si>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</si>
  <si>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</si>
  <si>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</si>
  <si>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</si>
  <si>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</si>
  <si>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</si>
  <si>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</si>
  <si>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</si>
  <si>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</si>
  <si>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</si>
  <si>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</si>
  <si>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</si>
  <si>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</si>
  <si>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</si>
  <si>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</si>
  <si>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</si>
  <si>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</si>
  <si>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</si>
  <si>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</si>
  <si>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</si>
  <si>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Gold price (this period)</t>
  </si>
  <si>
    <t xml:space="preserve">⚠ 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</si>
  <si>
    <t xml:space="preserve">Open-region salesforce share (renormalisation base)</t>
  </si>
  <si>
    <t xml:space="preserve">x</t>
  </si>
  <si>
    <t xml:space="preserve">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</si>
  <si>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</si>
  <si>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</si>
  <si>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</si>
  <si>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</si>
  <si>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</si>
  <si>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</si>
  <si>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</si>
  <si>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</si>
  <si>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</si>
  <si>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</si>
  <si>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</si>
  <si>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</si>
  <si>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</si>
  <si>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 xml:space="preserve">%/period</t>
  </si>
  <si>
    <t xml:space="preserve">  Redemption-only decay rate (metal actually leaving)</t>
  </si>
  <si>
    <t xml:space="preserve">  Grams held (collateral-eligible)</t>
  </si>
  <si>
    <t xml:space="preserve">  Grams under custody (vaulted, incl. self-custodied)</t>
  </si>
  <si>
    <t xml:space="preserve">  AUM</t>
  </si>
  <si>
    <t xml:space="preserve">  Card-eligible base</t>
  </si>
  <si>
    <t xml:space="preserve">  Cleared the six-payment gate</t>
  </si>
  <si>
    <t xml:space="preserve">  Active cards</t>
  </si>
  <si>
    <t xml:space="preserve">cards</t>
  </si>
  <si>
    <t xml:space="preserve">  Credit limit per customer (gold x LTV)</t>
  </si>
  <si>
    <t xml:space="preserve">  Annual drawdown per card (limit x drawn x draws)</t>
  </si>
  <si>
    <t xml:space="preserve">  Card spend per card per month</t>
  </si>
  <si>
    <t xml:space="preserve">  Card spend</t>
  </si>
  <si>
    <t xml:space="preserve">AED</t>
  </si>
  <si>
    <t xml:space="preserve">  Average transaction size (derived)</t>
  </si>
  <si>
    <t xml:space="preserve">  Card authorisations (memo - drives cost, not revenue)</t>
  </si>
  <si>
    <t xml:space="preserve">auths</t>
  </si>
  <si>
    <t xml:space="preserve">  Stream 1a - Entry fee, SIP</t>
  </si>
  <si>
    <t xml:space="preserve">  Stream 1b - Entry fee, SPOT</t>
  </si>
  <si>
    <t xml:space="preserve">  Stream 2 - Card interchange</t>
  </si>
  <si>
    <t xml:space="preserve">  Family plan subscribers</t>
  </si>
  <si>
    <t xml:space="preserve">subscribers</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</si>
  <si>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</si>
  <si>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</si>
  <si>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</si>
  <si>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</si>
  <si>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</si>
  <si>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</si>
  <si>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</si>
  <si>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</si>
  <si>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</si>
  <si>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</si>
  <si>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</si>
  <si>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</si>
  <si>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</si>
  <si>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</si>
  <si>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</si>
  <si>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</si>
  <si>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</si>
  <si>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</si>
  <si>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</si>
  <si>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</si>
  <si>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</si>
  <si>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GRAMS UNDER CUSTODY</t>
  </si>
  <si>
    <t xml:space="preserve">Grams purchased</t>
  </si>
  <si>
    <t xml:space="preserve">COLLATERAL-ELIGIBLE AUM</t>
  </si>
  <si>
    <t xml:space="preserve">Cleared the six-payment gate</t>
  </si>
  <si>
    <t xml:space="preserve">SIP contributions</t>
  </si>
  <si>
    <t xml:space="preserve">Spot purchase volume</t>
  </si>
  <si>
    <t xml:space="preserve">Card spend</t>
  </si>
  <si>
    <t xml:space="preserve">GOLD UNDER CUSTODY (comparable headline)</t>
  </si>
  <si>
    <t xml:space="preserve">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 COMPARE IN GRAMS, NOT DOLLARS: every published USD figure carries the gold price of its own vintage, so a comparison in dollars is really a comparison of gold prices. Comtech Gold, the closest comparable - Dubai, DMCC-licensed, tokenised gold - holds ~141,000 g.</t>
  </si>
  <si>
    <t xml:space="preserve">  Gold under custody at the CONSTANT M1 price (memo)</t>
  </si>
  <si>
    <t xml:space="preserve">  of which is the metal moving, not the business</t>
  </si>
  <si>
    <t xml:space="preserve">THE HONEST SERIES FOR JUDGING EXECUTION is the constant-price row: it strips the gold price out and leaves grams accumulated, which is the part Aurumix controls. The headline above will grow even if the business does not. ⚠ SET GOLD APPRECIATION TO THE CONSERVATIVE SCENARIO (0.0%) TO RECOVER THE ORIGINAL FLAT-PRICE MODEL, under which these two rows are identical by construction.</t>
  </si>
  <si>
    <t xml:space="preserve">CHECK: paying + holders = cumulative ever acquired</t>
  </si>
  <si>
    <t xml:space="preserve">delta</t>
  </si>
  <si>
    <t xml:space="preserve">CHECK: custody &gt;= collateral-eligible (must be &gt;= 0)</t>
  </si>
  <si>
    <t xml:space="preserve">  Collateral-eligible AUM per paying customer (memo)</t>
  </si>
  <si>
    <t xml:space="preserve">  Total credit capacity across cardholders (memo)</t>
  </si>
  <si>
    <t xml:space="preserve">  CHECK: card spend vs credit capacity (must be &lt;= 1.00)</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</si>
  <si>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</si>
  <si>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</si>
  <si>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</si>
  <si>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</si>
  <si>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</si>
  <si>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</si>
  <si>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</si>
  <si>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</si>
  <si>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</si>
  <si>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</si>
  <si>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</si>
  <si>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</si>
  <si>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</si>
  <si>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</si>
  <si>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</si>
  <si>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 SIP</t>
  </si>
  <si>
    <t xml:space="preserve">Stream 1b: Entry fee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</si>
  <si>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</si>
  <si>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</si>
  <si>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</si>
  <si>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</si>
  <si>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</si>
  <si>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</si>
  <si>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</si>
  <si>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</si>
  <si>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</si>
  <si>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</si>
  <si>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</si>
  <si>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</si>
  <si>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</si>
  <si>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</si>
  <si>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</si>
  <si>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</si>
  <si>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</si>
  <si>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</si>
  <si>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</si>
  <si>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</si>
  <si>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under custody</t>
  </si>
  <si>
    <t xml:space="preserve">Gold under custody (comparable headline)</t>
  </si>
  <si>
    <t xml:space="preserve">Grams held (collateral-eligible)</t>
  </si>
  <si>
    <t xml:space="preserve">Collateral-eligible AUM</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</si>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</sst>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x"/>
    <numFmt numFmtId="173" formatCode="#,##0.000"/>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46255</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36</v>
      </c>
      <c r="C25" s="0" t="s">
        <v>76</v>
      </c>
      <c r="D25" s="0" t="s">
        <v>77</v>
      </c>
    </row>
    <row r="26" customFormat="false" ht="15" hidden="false" customHeight="false" outlineLevel="0" collapsed="false">
      <c r="A26" s="0" t="s">
        <v>78</v>
      </c>
      <c r="B26" s="16" t="n">
        <v>0.00625</v>
      </c>
      <c r="C26" s="0" t="s">
        <v>79</v>
      </c>
      <c r="D26" s="0" t="s">
        <v>80</v>
      </c>
    </row>
    <row r="27" customFormat="false" ht="15" hidden="false" customHeight="false" outlineLevel="0" collapsed="false">
      <c r="A27" s="0" t="s">
        <v>81</v>
      </c>
      <c r="B27" s="16" t="n">
        <v>0.01</v>
      </c>
      <c r="C27" s="0" t="s">
        <v>82</v>
      </c>
      <c r="D27" s="0" t="s">
        <v>83</v>
      </c>
    </row>
    <row r="28" customFormat="false" ht="15" hidden="false" customHeight="false" outlineLevel="0" collapsed="false">
      <c r="A28" s="0" t="s">
        <v>84</v>
      </c>
      <c r="B28" s="19" t="n">
        <v>0.5</v>
      </c>
      <c r="C28" s="0" t="s">
        <v>85</v>
      </c>
      <c r="D28" s="0" t="s">
        <v>86</v>
      </c>
    </row>
    <row r="29" customFormat="false" ht="15" hidden="false" customHeight="false" outlineLevel="0" collapsed="false">
      <c r="A29" s="0" t="s">
        <v>87</v>
      </c>
      <c r="B29" s="16" t="n">
        <v>0.005</v>
      </c>
      <c r="C29" s="0" t="s">
        <v>88</v>
      </c>
      <c r="D29" s="0" t="s">
        <v>86</v>
      </c>
    </row>
    <row r="30" customFormat="false" ht="15" hidden="false" customHeight="false" outlineLevel="0" collapsed="false">
      <c r="A30" s="0" t="s">
        <v>89</v>
      </c>
      <c r="B30" s="19" t="n">
        <v>0.7</v>
      </c>
      <c r="C30" s="0" t="s">
        <v>85</v>
      </c>
      <c r="D30" s="0" t="s">
        <v>90</v>
      </c>
    </row>
    <row r="31" customFormat="false" ht="15" hidden="false" customHeight="false" outlineLevel="0" collapsed="false">
      <c r="A31" s="0" t="s">
        <v>91</v>
      </c>
      <c r="B31" s="19" t="n">
        <v>0.5</v>
      </c>
      <c r="C31" s="0" t="s">
        <v>92</v>
      </c>
      <c r="D31" s="0" t="s">
        <v>93</v>
      </c>
    </row>
    <row r="32" customFormat="false" ht="15" hidden="false" customHeight="false" outlineLevel="0" collapsed="false">
      <c r="A32" s="0" t="s">
        <v>94</v>
      </c>
      <c r="B32" s="20" t="n">
        <v>190</v>
      </c>
      <c r="C32" s="0" t="s">
        <v>95</v>
      </c>
      <c r="D32" s="0" t="s">
        <v>96</v>
      </c>
    </row>
    <row r="33" customFormat="false" ht="15" hidden="false" customHeight="false" outlineLevel="0" collapsed="false">
      <c r="A33" s="0" t="s">
        <v>97</v>
      </c>
      <c r="B33" s="20" t="n">
        <v>145</v>
      </c>
      <c r="C33" s="0" t="s">
        <v>95</v>
      </c>
      <c r="D33" s="0" t="s">
        <v>98</v>
      </c>
    </row>
    <row r="34" customFormat="false" ht="15" hidden="false" customHeight="false" outlineLevel="0" collapsed="false">
      <c r="A34" s="0" t="s">
        <v>99</v>
      </c>
      <c r="B34" s="20" t="n">
        <v>40</v>
      </c>
      <c r="C34" s="0" t="s">
        <v>95</v>
      </c>
      <c r="D34" s="0" t="s">
        <v>100</v>
      </c>
    </row>
    <row r="35" customFormat="false" ht="15" hidden="false" customHeight="false" outlineLevel="0" collapsed="false">
      <c r="A35" s="0" t="s">
        <v>101</v>
      </c>
      <c r="B35" s="19" t="n">
        <v>0.12</v>
      </c>
      <c r="C35" s="0" t="s">
        <v>102</v>
      </c>
      <c r="D35" s="0" t="s">
        <v>103</v>
      </c>
    </row>
    <row r="36" customFormat="false" ht="15" hidden="false" customHeight="false" outlineLevel="0" collapsed="false">
      <c r="A36" s="0" t="s">
        <v>104</v>
      </c>
      <c r="B36" s="19" t="n">
        <v>0.1</v>
      </c>
      <c r="C36" s="0" t="s">
        <v>102</v>
      </c>
      <c r="D36" s="0" t="s">
        <v>103</v>
      </c>
    </row>
    <row r="37" customFormat="false" ht="15" hidden="false" customHeight="false" outlineLevel="0" collapsed="false">
      <c r="A37" s="0" t="s">
        <v>105</v>
      </c>
      <c r="B37" s="19" t="n">
        <v>0.35</v>
      </c>
      <c r="C37" s="0" t="s">
        <v>102</v>
      </c>
      <c r="D37" s="0" t="s">
        <v>103</v>
      </c>
    </row>
    <row r="39" customFormat="false" ht="18" hidden="false" customHeight="true" outlineLevel="0" collapsed="false">
      <c r="A39" s="12" t="s">
        <v>106</v>
      </c>
      <c r="B39" s="13"/>
      <c r="C39" s="13"/>
      <c r="D39" s="13"/>
    </row>
    <row r="40" customFormat="false" ht="15" hidden="false" customHeight="false" outlineLevel="0" collapsed="false">
      <c r="A40" s="14" t="s">
        <v>30</v>
      </c>
      <c r="B40" s="14" t="s">
        <v>31</v>
      </c>
      <c r="C40" s="14" t="s">
        <v>32</v>
      </c>
      <c r="D40" s="14" t="s">
        <v>33</v>
      </c>
    </row>
    <row r="41" customFormat="false" ht="15" hidden="false" customHeight="false" outlineLevel="0" collapsed="false">
      <c r="A41" s="0" t="s">
        <v>107</v>
      </c>
      <c r="B41" s="18" t="n">
        <v>20</v>
      </c>
      <c r="C41" s="0" t="s">
        <v>108</v>
      </c>
      <c r="D41" s="0" t="s">
        <v>109</v>
      </c>
    </row>
    <row r="42" customFormat="false" ht="15" hidden="false" customHeight="false" outlineLevel="0" collapsed="false">
      <c r="A42" s="0" t="s">
        <v>110</v>
      </c>
      <c r="B42" s="17" t="n">
        <v>6</v>
      </c>
      <c r="C42" s="0" t="s">
        <v>111</v>
      </c>
      <c r="D42" s="0" t="s">
        <v>112</v>
      </c>
    </row>
    <row r="43" customFormat="false" ht="15" hidden="false" customHeight="false" outlineLevel="0" collapsed="false">
      <c r="A43" s="0" t="s">
        <v>113</v>
      </c>
      <c r="B43" s="18" t="n">
        <v>3.2</v>
      </c>
      <c r="C43" s="0" t="s">
        <v>114</v>
      </c>
      <c r="D43" s="0" t="s">
        <v>115</v>
      </c>
    </row>
    <row r="45" customFormat="false" ht="18" hidden="false" customHeight="true" outlineLevel="0" collapsed="false">
      <c r="A45" s="12" t="s">
        <v>116</v>
      </c>
      <c r="B45" s="13"/>
      <c r="C45" s="13"/>
      <c r="D45" s="13"/>
    </row>
    <row r="46" customFormat="false" ht="15" hidden="false" customHeight="false" outlineLevel="0" collapsed="false">
      <c r="A46" s="14" t="s">
        <v>30</v>
      </c>
      <c r="B46" s="14" t="s">
        <v>31</v>
      </c>
      <c r="C46" s="14" t="s">
        <v>32</v>
      </c>
      <c r="D46" s="14" t="s">
        <v>33</v>
      </c>
    </row>
    <row r="47" customFormat="false" ht="15" hidden="false" customHeight="false" outlineLevel="0" collapsed="false">
      <c r="A47" s="0" t="s">
        <v>117</v>
      </c>
      <c r="B47" s="17" t="n">
        <v>1</v>
      </c>
      <c r="C47" s="0" t="s">
        <v>118</v>
      </c>
      <c r="D47" s="0" t="s">
        <v>119</v>
      </c>
    </row>
    <row r="48" customFormat="false" ht="15" hidden="false" customHeight="false" outlineLevel="0" collapsed="false">
      <c r="A48" s="0" t="s">
        <v>120</v>
      </c>
      <c r="B48" s="17" t="n">
        <v>1</v>
      </c>
      <c r="C48" s="0" t="s">
        <v>118</v>
      </c>
      <c r="D48" s="0" t="s">
        <v>121</v>
      </c>
    </row>
    <row r="49" customFormat="false" ht="15" hidden="false" customHeight="false" outlineLevel="0" collapsed="false">
      <c r="A49" s="0" t="s">
        <v>122</v>
      </c>
      <c r="B49" s="17" t="n">
        <v>1</v>
      </c>
      <c r="C49" s="0" t="s">
        <v>118</v>
      </c>
      <c r="D49" s="0" t="s">
        <v>123</v>
      </c>
    </row>
    <row r="50" customFormat="false" ht="15" hidden="false" customHeight="false" outlineLevel="0" collapsed="false">
      <c r="A50" s="0" t="s">
        <v>124</v>
      </c>
      <c r="B50" s="17" t="n">
        <v>7</v>
      </c>
      <c r="C50" s="0" t="s">
        <v>118</v>
      </c>
      <c r="D50" s="0" t="s">
        <v>125</v>
      </c>
    </row>
    <row r="51" customFormat="false" ht="15" hidden="false" customHeight="false" outlineLevel="0" collapsed="false">
      <c r="A51" s="0" t="s">
        <v>126</v>
      </c>
      <c r="B51" s="17" t="n">
        <v>13</v>
      </c>
      <c r="C51" s="0" t="s">
        <v>118</v>
      </c>
      <c r="D51" s="0" t="s">
        <v>127</v>
      </c>
    </row>
    <row r="52" customFormat="false" ht="15" hidden="false" customHeight="false" outlineLevel="0" collapsed="false">
      <c r="A52" s="0" t="s">
        <v>128</v>
      </c>
      <c r="B52" s="17" t="n">
        <v>13</v>
      </c>
      <c r="C52" s="0" t="s">
        <v>118</v>
      </c>
      <c r="D52" s="0" t="s">
        <v>129</v>
      </c>
    </row>
    <row r="53" customFormat="false" ht="15" hidden="false" customHeight="false" outlineLevel="0" collapsed="false">
      <c r="A53" s="0" t="s">
        <v>130</v>
      </c>
      <c r="B53" s="17" t="n">
        <v>13</v>
      </c>
      <c r="C53" s="0" t="s">
        <v>118</v>
      </c>
      <c r="D53" s="0" t="s">
        <v>131</v>
      </c>
    </row>
    <row r="54" customFormat="false" ht="15" hidden="false" customHeight="false" outlineLevel="0" collapsed="false">
      <c r="A54" s="0" t="s">
        <v>132</v>
      </c>
      <c r="B54" s="17" t="n">
        <v>13</v>
      </c>
      <c r="C54" s="0" t="s">
        <v>118</v>
      </c>
      <c r="D54" s="0" t="s">
        <v>133</v>
      </c>
    </row>
    <row r="55" customFormat="false" ht="15" hidden="false" customHeight="false" outlineLevel="0" collapsed="false">
      <c r="A55" s="0" t="s">
        <v>134</v>
      </c>
      <c r="B55" s="17" t="n">
        <v>13</v>
      </c>
      <c r="C55" s="0" t="s">
        <v>118</v>
      </c>
      <c r="D55" s="0" t="s">
        <v>135</v>
      </c>
    </row>
    <row r="56" customFormat="false" ht="15" hidden="false" customHeight="false" outlineLevel="0" collapsed="false">
      <c r="A56" s="0" t="s">
        <v>136</v>
      </c>
      <c r="B56" s="17" t="n">
        <v>13</v>
      </c>
      <c r="C56" s="0" t="s">
        <v>118</v>
      </c>
      <c r="D56" s="0" t="s">
        <v>137</v>
      </c>
    </row>
    <row r="57" customFormat="false" ht="15" hidden="false" customHeight="false" outlineLevel="0" collapsed="false">
      <c r="A57" s="0" t="s">
        <v>138</v>
      </c>
      <c r="B57" s="17" t="n">
        <v>1</v>
      </c>
      <c r="C57" s="0" t="s">
        <v>118</v>
      </c>
      <c r="D57" s="0" t="s">
        <v>139</v>
      </c>
    </row>
    <row r="59" customFormat="false" ht="18" hidden="false" customHeight="true" outlineLevel="0" collapsed="false">
      <c r="A59" s="12" t="s">
        <v>140</v>
      </c>
      <c r="B59" s="13"/>
      <c r="C59" s="13"/>
      <c r="D59" s="13"/>
    </row>
    <row r="60" customFormat="false" ht="15" hidden="false" customHeight="false" outlineLevel="0" collapsed="false">
      <c r="A60" s="0" t="s">
        <v>141</v>
      </c>
      <c r="F60" s="21" t="s">
        <v>142</v>
      </c>
      <c r="G60" s="21" t="s">
        <v>143</v>
      </c>
      <c r="H60" s="21" t="s">
        <v>144</v>
      </c>
      <c r="I60" s="21" t="s">
        <v>145</v>
      </c>
      <c r="J60" s="21" t="s">
        <v>146</v>
      </c>
      <c r="K60" s="21" t="s">
        <v>147</v>
      </c>
      <c r="L60" s="21" t="s">
        <v>148</v>
      </c>
      <c r="M60" s="21" t="s">
        <v>149</v>
      </c>
      <c r="N60" s="21" t="s">
        <v>150</v>
      </c>
      <c r="O60" s="21" t="s">
        <v>151</v>
      </c>
      <c r="P60" s="21" t="s">
        <v>152</v>
      </c>
      <c r="Q60" s="21" t="s">
        <v>153</v>
      </c>
    </row>
    <row r="61" customFormat="false" ht="15" hidden="false" customHeight="false" outlineLevel="0" collapsed="false">
      <c r="A61" s="0" t="s">
        <v>154</v>
      </c>
      <c r="D61" s="0" t="s">
        <v>155</v>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ustomFormat="false" ht="15" hidden="false" customHeight="false" outlineLevel="0" collapsed="false">
      <c r="A62" s="0" t="s">
        <v>156</v>
      </c>
      <c r="D62" s="0" t="s">
        <v>157</v>
      </c>
      <c r="F62" s="22" t="n">
        <v>1.1</v>
      </c>
      <c r="G62" s="22" t="n">
        <v>1</v>
      </c>
      <c r="H62" s="22" t="n">
        <v>0.98</v>
      </c>
      <c r="I62" s="22" t="n">
        <v>0.98</v>
      </c>
      <c r="J62" s="22" t="n">
        <v>1</v>
      </c>
      <c r="K62" s="22" t="n">
        <v>0.95</v>
      </c>
      <c r="L62" s="22" t="n">
        <v>0.88</v>
      </c>
      <c r="M62" s="22" t="n">
        <v>0.9</v>
      </c>
      <c r="N62" s="22" t="n">
        <v>1</v>
      </c>
      <c r="O62" s="22" t="n">
        <v>1.02</v>
      </c>
      <c r="P62" s="22" t="n">
        <v>1.05</v>
      </c>
      <c r="Q62" s="22" t="n">
        <v>1.14</v>
      </c>
    </row>
    <row r="63" customFormat="false" ht="15" hidden="false" customHeight="false" outlineLevel="0" collapsed="false">
      <c r="A63" s="0" t="s">
        <v>158</v>
      </c>
      <c r="D63" s="0" t="s">
        <v>159</v>
      </c>
      <c r="F63" s="22" t="n">
        <v>30</v>
      </c>
      <c r="G63" s="22" t="n">
        <v>30</v>
      </c>
      <c r="H63" s="22" t="n">
        <v>30</v>
      </c>
      <c r="I63" s="22" t="n">
        <v>32</v>
      </c>
      <c r="J63" s="22" t="n">
        <v>34</v>
      </c>
      <c r="K63" s="22" t="n">
        <v>55</v>
      </c>
      <c r="L63" s="22" t="n">
        <v>60</v>
      </c>
      <c r="M63" s="22" t="n">
        <v>56</v>
      </c>
      <c r="N63" s="22" t="n">
        <v>36</v>
      </c>
      <c r="O63" s="22" t="n">
        <v>42</v>
      </c>
      <c r="P63" s="22" t="n">
        <v>40</v>
      </c>
      <c r="Q63" s="22" t="n">
        <v>32</v>
      </c>
    </row>
    <row r="65" customFormat="false" ht="18" hidden="false" customHeight="true" outlineLevel="0" collapsed="false">
      <c r="A65" s="12" t="s">
        <v>160</v>
      </c>
      <c r="B65" s="13"/>
      <c r="C65" s="13"/>
      <c r="D65" s="13"/>
    </row>
    <row r="66" customFormat="false" ht="15" hidden="false" customHeight="false" outlineLevel="0" collapsed="false">
      <c r="A66" s="14" t="s">
        <v>30</v>
      </c>
      <c r="B66" s="14" t="s">
        <v>31</v>
      </c>
      <c r="C66" s="14" t="s">
        <v>32</v>
      </c>
      <c r="D66" s="14" t="s">
        <v>33</v>
      </c>
    </row>
    <row r="67" customFormat="false" ht="15" hidden="false" customHeight="false" outlineLevel="0" collapsed="false">
      <c r="A67" s="3" t="s">
        <v>161</v>
      </c>
      <c r="B67" s="23" t="s">
        <v>162</v>
      </c>
      <c r="D67" s="0" t="s">
        <v>163</v>
      </c>
    </row>
    <row r="68" customFormat="false" ht="15" hidden="false" customHeight="false" outlineLevel="0" collapsed="false">
      <c r="A68" s="3" t="s">
        <v>164</v>
      </c>
      <c r="B68" s="23" t="s">
        <v>165</v>
      </c>
      <c r="D68" s="0" t="s">
        <v>166</v>
      </c>
    </row>
    <row r="69" customFormat="false" ht="15" hidden="false" customHeight="false" outlineLevel="0" collapsed="false">
      <c r="A69" s="3" t="s">
        <v>167</v>
      </c>
      <c r="B69" s="23" t="s">
        <v>162</v>
      </c>
      <c r="D69" s="0" t="s">
        <v>168</v>
      </c>
    </row>
    <row r="71" customFormat="false" ht="18" hidden="false" customHeight="true" outlineLevel="0" collapsed="false">
      <c r="A71" s="12" t="s">
        <v>169</v>
      </c>
      <c r="B71" s="13"/>
      <c r="C71" s="13"/>
      <c r="D71" s="13"/>
    </row>
    <row r="72" customFormat="false" ht="23.85" hidden="false" customHeight="false" outlineLevel="0" collapsed="false">
      <c r="A72" s="24" t="s">
        <v>170</v>
      </c>
      <c r="F72" s="25" t="s">
        <v>171</v>
      </c>
      <c r="G72" s="25" t="s">
        <v>172</v>
      </c>
      <c r="H72" s="25" t="s">
        <v>164</v>
      </c>
      <c r="I72" s="25" t="s">
        <v>167</v>
      </c>
    </row>
    <row r="73" customFormat="false" ht="15" hidden="false" customHeight="false" outlineLevel="0" collapsed="false">
      <c r="A73" s="0" t="s">
        <v>173</v>
      </c>
      <c r="D73" s="0" t="s">
        <v>174</v>
      </c>
      <c r="F73" s="26" t="n">
        <v>4360000</v>
      </c>
      <c r="G73" s="26" t="n">
        <v>3460000</v>
      </c>
      <c r="H73" s="26" t="n">
        <v>2630000</v>
      </c>
      <c r="I73" s="26" t="n">
        <v>12500000</v>
      </c>
    </row>
    <row r="74" customFormat="false" ht="15" hidden="false" customHeight="false" outlineLevel="0" collapsed="false">
      <c r="A74" s="0" t="s">
        <v>175</v>
      </c>
      <c r="D74" s="0" t="s">
        <v>176</v>
      </c>
      <c r="F74" s="27" t="n">
        <v>0.8</v>
      </c>
      <c r="G74" s="27" t="n">
        <v>0.8</v>
      </c>
      <c r="H74" s="27" t="n">
        <v>1</v>
      </c>
      <c r="I74" s="27" t="n">
        <v>1</v>
      </c>
    </row>
    <row r="75" customFormat="false" ht="15" hidden="false" customHeight="false" outlineLevel="0" collapsed="false">
      <c r="A75" s="0" t="s">
        <v>177</v>
      </c>
      <c r="D75" s="0" t="s">
        <v>178</v>
      </c>
      <c r="F75" s="27" t="n">
        <v>0.57</v>
      </c>
      <c r="G75" s="27" t="n">
        <v>0.57</v>
      </c>
      <c r="H75" s="27" t="n">
        <v>0.57</v>
      </c>
      <c r="I75" s="27" t="n">
        <v>1</v>
      </c>
    </row>
    <row r="76" customFormat="false" ht="15" hidden="false" customHeight="false" outlineLevel="0" collapsed="false">
      <c r="A76" s="0" t="s">
        <v>179</v>
      </c>
      <c r="D76" s="0" t="s">
        <v>180</v>
      </c>
      <c r="F76" s="27" t="n">
        <v>0.4</v>
      </c>
      <c r="G76" s="27" t="n">
        <v>0.4</v>
      </c>
      <c r="H76" s="27" t="n">
        <v>0.4</v>
      </c>
      <c r="I76" s="27" t="n">
        <v>1</v>
      </c>
    </row>
    <row r="77" customFormat="false" ht="15" hidden="false" customHeight="false" outlineLevel="0" collapsed="false">
      <c r="A77" s="0" t="s">
        <v>181</v>
      </c>
      <c r="D77" s="0" t="s">
        <v>182</v>
      </c>
      <c r="F77" s="28" t="n">
        <f aca="false">F73*F74*F75*F76</f>
        <v>795264</v>
      </c>
      <c r="G77" s="28" t="n">
        <f aca="false">G73*G74*G75*G76</f>
        <v>631104</v>
      </c>
      <c r="H77" s="28" t="n">
        <f aca="false">H73*H74*H75*H76</f>
        <v>599640</v>
      </c>
      <c r="I77" s="28" t="n">
        <f aca="false">I73*I74*I75*I76</f>
        <v>12500000</v>
      </c>
    </row>
    <row r="78" customFormat="false" ht="15" hidden="false" customHeight="false" outlineLevel="0" collapsed="false">
      <c r="A78" s="0" t="s">
        <v>183</v>
      </c>
      <c r="D78" s="0" t="s">
        <v>184</v>
      </c>
      <c r="F78" s="29" t="n">
        <v>0.1</v>
      </c>
      <c r="G78" s="29" t="n">
        <v>0.1</v>
      </c>
      <c r="H78" s="29" t="n">
        <v>0.06</v>
      </c>
      <c r="I78" s="29" t="n">
        <v>0.01</v>
      </c>
    </row>
    <row r="79" customFormat="false" ht="15" hidden="false" customHeight="false" outlineLevel="0" collapsed="false">
      <c r="A79" s="0" t="s">
        <v>185</v>
      </c>
      <c r="D79" s="0" t="s">
        <v>186</v>
      </c>
      <c r="F79" s="28" t="n">
        <f aca="false">F77*F78</f>
        <v>79526.4</v>
      </c>
      <c r="G79" s="28" t="n">
        <f aca="false">G77*G78</f>
        <v>63110.4</v>
      </c>
      <c r="H79" s="28" t="n">
        <f aca="false">H77*H78</f>
        <v>35978.4</v>
      </c>
      <c r="I79" s="28" t="n">
        <f aca="false">I77*I78</f>
        <v>125000</v>
      </c>
    </row>
    <row r="80" customFormat="false" ht="15" hidden="false" customHeight="false" outlineLevel="0" collapsed="false">
      <c r="A80" s="0" t="s">
        <v>187</v>
      </c>
      <c r="F80" s="30" t="s">
        <v>161</v>
      </c>
      <c r="G80" s="30" t="s">
        <v>161</v>
      </c>
      <c r="H80" s="30" t="s">
        <v>164</v>
      </c>
      <c r="I80" s="30" t="s">
        <v>167</v>
      </c>
    </row>
    <row r="82" customFormat="false" ht="18" hidden="false" customHeight="true" outlineLevel="0" collapsed="false">
      <c r="A82" s="12" t="s">
        <v>188</v>
      </c>
      <c r="B82" s="13"/>
      <c r="C82" s="13"/>
      <c r="D82" s="13"/>
    </row>
    <row r="83" customFormat="false" ht="15" hidden="false" customHeight="false" outlineLevel="0" collapsed="false">
      <c r="A83" s="14" t="s">
        <v>30</v>
      </c>
      <c r="B83" s="14" t="s">
        <v>31</v>
      </c>
      <c r="C83" s="14" t="s">
        <v>32</v>
      </c>
      <c r="D83" s="14" t="s">
        <v>33</v>
      </c>
    </row>
    <row r="84" customFormat="false" ht="15" hidden="false" customHeight="false" outlineLevel="0" collapsed="false">
      <c r="A84" s="0" t="s">
        <v>189</v>
      </c>
      <c r="B84" s="31" t="n">
        <f aca="false">F79+G79</f>
        <v>142636.8</v>
      </c>
      <c r="C84" s="0" t="s">
        <v>190</v>
      </c>
      <c r="D84" s="0" t="s">
        <v>191</v>
      </c>
    </row>
    <row r="85" customFormat="false" ht="15" hidden="false" customHeight="false" outlineLevel="0" collapsed="false">
      <c r="A85" s="0" t="s">
        <v>192</v>
      </c>
      <c r="B85" s="31" t="n">
        <f aca="false">H79</f>
        <v>35978.4</v>
      </c>
      <c r="C85" s="0" t="s">
        <v>190</v>
      </c>
      <c r="D85" s="0" t="s">
        <v>193</v>
      </c>
    </row>
    <row r="86" customFormat="false" ht="15" hidden="false" customHeight="false" outlineLevel="0" collapsed="false">
      <c r="A86" s="0" t="s">
        <v>194</v>
      </c>
      <c r="B86" s="31" t="n">
        <f aca="false">I79</f>
        <v>125000</v>
      </c>
      <c r="C86" s="0" t="s">
        <v>190</v>
      </c>
      <c r="D86" s="0" t="s">
        <v>195</v>
      </c>
    </row>
    <row r="87" customFormat="false" ht="15" hidden="false" customHeight="false" outlineLevel="0" collapsed="false">
      <c r="A87" s="3" t="s">
        <v>196</v>
      </c>
      <c r="B87" s="31" t="n">
        <f aca="false">$B$84+$B$85+$B$86</f>
        <v>303615.2</v>
      </c>
      <c r="C87" s="0" t="s">
        <v>190</v>
      </c>
      <c r="D87" s="0" t="s">
        <v>197</v>
      </c>
    </row>
    <row r="88" customFormat="false" ht="15" hidden="false" customHeight="false" outlineLevel="0" collapsed="false">
      <c r="A88" s="3" t="s">
        <v>198</v>
      </c>
    </row>
    <row r="89" customFormat="false" ht="15" hidden="false" customHeight="false" outlineLevel="0" collapsed="false">
      <c r="A89" s="0" t="s">
        <v>199</v>
      </c>
      <c r="B89" s="17" t="n">
        <v>75000</v>
      </c>
      <c r="C89" s="0" t="s">
        <v>200</v>
      </c>
      <c r="D89" s="0" t="s">
        <v>201</v>
      </c>
    </row>
    <row r="90" customFormat="false" ht="15" hidden="false" customHeight="false" outlineLevel="0" collapsed="false">
      <c r="A90" s="0" t="s">
        <v>202</v>
      </c>
      <c r="B90" s="32" t="n">
        <f aca="false">$B$84/$B$89</f>
        <v>1.901824</v>
      </c>
      <c r="C90" s="0" t="s">
        <v>203</v>
      </c>
      <c r="D90" s="0" t="s">
        <v>204</v>
      </c>
    </row>
    <row r="91" customFormat="false" ht="15" hidden="false" customHeight="false" outlineLevel="0" collapsed="false">
      <c r="A91" s="0" t="s">
        <v>205</v>
      </c>
      <c r="B91" s="23" t="s">
        <v>206</v>
      </c>
      <c r="C91" s="0" t="s">
        <v>207</v>
      </c>
      <c r="D91" s="0" t="s">
        <v>208</v>
      </c>
    </row>
    <row r="93" customFormat="false" ht="15" hidden="false" customHeight="false" outlineLevel="0" collapsed="false">
      <c r="A93" s="0" t="s">
        <v>209</v>
      </c>
      <c r="B93" s="17" t="n">
        <v>8</v>
      </c>
      <c r="C93" s="0" t="s">
        <v>210</v>
      </c>
      <c r="D93" s="0" t="s">
        <v>211</v>
      </c>
    </row>
    <row r="94" customFormat="false" ht="15" hidden="false" customHeight="false" outlineLevel="0" collapsed="false">
      <c r="A94" s="0" t="s">
        <v>212</v>
      </c>
      <c r="B94" s="17" t="n">
        <v>23</v>
      </c>
      <c r="C94" s="0" t="s">
        <v>210</v>
      </c>
      <c r="D94" s="0" t="s">
        <v>211</v>
      </c>
    </row>
    <row r="95" customFormat="false" ht="15" hidden="false" customHeight="false" outlineLevel="0" collapsed="false">
      <c r="A95" s="0" t="s">
        <v>213</v>
      </c>
      <c r="B95" s="17" t="n">
        <v>60</v>
      </c>
      <c r="C95" s="0" t="s">
        <v>210</v>
      </c>
      <c r="D95" s="0" t="s">
        <v>211</v>
      </c>
    </row>
    <row r="96" customFormat="false" ht="15" hidden="false" customHeight="false" outlineLevel="0" collapsed="false">
      <c r="A96" s="0" t="s">
        <v>214</v>
      </c>
      <c r="B96" s="17" t="n">
        <v>90</v>
      </c>
      <c r="C96" s="0" t="s">
        <v>210</v>
      </c>
      <c r="D96" s="0" t="s">
        <v>211</v>
      </c>
    </row>
    <row r="97" customFormat="false" ht="15" hidden="false" customHeight="false" outlineLevel="0" collapsed="false">
      <c r="A97" s="0" t="s">
        <v>215</v>
      </c>
      <c r="B97" s="17" t="n">
        <v>135</v>
      </c>
      <c r="C97" s="0" t="s">
        <v>210</v>
      </c>
      <c r="D97" s="0" t="s">
        <v>211</v>
      </c>
    </row>
    <row r="98" customFormat="false" ht="15" hidden="false" customHeight="false" outlineLevel="0" collapsed="false">
      <c r="A98" s="0" t="s">
        <v>216</v>
      </c>
      <c r="B98" s="17" t="n">
        <v>159</v>
      </c>
      <c r="C98" s="0" t="s">
        <v>210</v>
      </c>
      <c r="D98" s="0" t="s">
        <v>211</v>
      </c>
    </row>
    <row r="99" customFormat="false" ht="15" hidden="false" customHeight="false" outlineLevel="0" collapsed="false">
      <c r="A99" s="0" t="s">
        <v>217</v>
      </c>
      <c r="B99" s="17" t="n">
        <v>186</v>
      </c>
      <c r="C99" s="0" t="s">
        <v>210</v>
      </c>
      <c r="D99" s="0" t="s">
        <v>211</v>
      </c>
    </row>
    <row r="100" customFormat="false" ht="15" hidden="false" customHeight="false" outlineLevel="0" collapsed="false">
      <c r="A100" s="0" t="s">
        <v>218</v>
      </c>
      <c r="B100" s="20" t="n">
        <v>90000</v>
      </c>
      <c r="C100" s="0" t="s">
        <v>76</v>
      </c>
      <c r="D100" s="0" t="s">
        <v>219</v>
      </c>
    </row>
    <row r="101" customFormat="false" ht="15" hidden="false" customHeight="false" outlineLevel="0" collapsed="false">
      <c r="A101" s="0" t="s">
        <v>220</v>
      </c>
      <c r="B101" s="20" t="n">
        <v>270000</v>
      </c>
      <c r="C101" s="0" t="s">
        <v>76</v>
      </c>
      <c r="D101" s="0" t="s">
        <v>219</v>
      </c>
    </row>
    <row r="102" customFormat="false" ht="15" hidden="false" customHeight="false" outlineLevel="0" collapsed="false">
      <c r="A102" s="0" t="s">
        <v>221</v>
      </c>
      <c r="B102" s="20" t="n">
        <v>375000</v>
      </c>
      <c r="C102" s="0" t="s">
        <v>76</v>
      </c>
      <c r="D102" s="0" t="s">
        <v>219</v>
      </c>
    </row>
    <row r="103" customFormat="false" ht="15" hidden="false" customHeight="false" outlineLevel="0" collapsed="false">
      <c r="A103" s="0" t="s">
        <v>222</v>
      </c>
      <c r="B103" s="20" t="n">
        <v>600000</v>
      </c>
      <c r="C103" s="0" t="s">
        <v>76</v>
      </c>
      <c r="D103" s="0" t="s">
        <v>219</v>
      </c>
    </row>
    <row r="104" customFormat="false" ht="15" hidden="false" customHeight="false" outlineLevel="0" collapsed="false">
      <c r="A104" s="0" t="s">
        <v>223</v>
      </c>
      <c r="B104" s="20" t="n">
        <v>900000</v>
      </c>
      <c r="C104" s="0" t="s">
        <v>76</v>
      </c>
      <c r="D104" s="0" t="s">
        <v>219</v>
      </c>
    </row>
    <row r="105" customFormat="false" ht="15" hidden="false" customHeight="false" outlineLevel="0" collapsed="false">
      <c r="A105" s="0" t="s">
        <v>224</v>
      </c>
      <c r="B105" s="20" t="n">
        <v>1275000</v>
      </c>
      <c r="C105" s="0" t="s">
        <v>76</v>
      </c>
      <c r="D105" s="0" t="s">
        <v>219</v>
      </c>
    </row>
    <row r="106" customFormat="false" ht="15" hidden="false" customHeight="false" outlineLevel="0" collapsed="false">
      <c r="A106" s="0" t="s">
        <v>225</v>
      </c>
      <c r="B106" s="20" t="n">
        <v>1650000</v>
      </c>
      <c r="C106" s="0" t="s">
        <v>76</v>
      </c>
      <c r="D106" s="0" t="s">
        <v>219</v>
      </c>
    </row>
    <row r="107" customFormat="false" ht="15" hidden="false" customHeight="false" outlineLevel="0" collapsed="false">
      <c r="A107" s="0" t="s">
        <v>226</v>
      </c>
      <c r="B107" s="15" t="n">
        <v>0.6</v>
      </c>
      <c r="C107" s="0" t="s">
        <v>227</v>
      </c>
      <c r="D107" s="0" t="s">
        <v>228</v>
      </c>
    </row>
    <row r="108" customFormat="false" ht="15" hidden="false" customHeight="false" outlineLevel="0" collapsed="false">
      <c r="A108" s="0" t="s">
        <v>229</v>
      </c>
      <c r="B108" s="15" t="n">
        <v>0.85</v>
      </c>
      <c r="C108" s="0" t="s">
        <v>227</v>
      </c>
      <c r="D108" s="0" t="s">
        <v>228</v>
      </c>
    </row>
    <row r="109" customFormat="false" ht="15" hidden="false" customHeight="false" outlineLevel="0" collapsed="false">
      <c r="A109" s="0" t="s">
        <v>230</v>
      </c>
      <c r="B109" s="15" t="n">
        <v>1</v>
      </c>
      <c r="C109" s="0" t="s">
        <v>227</v>
      </c>
      <c r="D109" s="0" t="s">
        <v>228</v>
      </c>
    </row>
    <row r="110" customFormat="false" ht="15" hidden="false" customHeight="false" outlineLevel="0" collapsed="false">
      <c r="A110" s="0" t="s">
        <v>231</v>
      </c>
      <c r="B110" s="15" t="n">
        <v>1</v>
      </c>
      <c r="C110" s="0" t="s">
        <v>227</v>
      </c>
      <c r="D110" s="0" t="s">
        <v>228</v>
      </c>
    </row>
    <row r="111" customFormat="false" ht="15" hidden="false" customHeight="false" outlineLevel="0" collapsed="false">
      <c r="A111" s="0" t="s">
        <v>232</v>
      </c>
      <c r="B111" s="15" t="n">
        <v>1</v>
      </c>
      <c r="C111" s="0" t="s">
        <v>227</v>
      </c>
      <c r="D111" s="0" t="s">
        <v>228</v>
      </c>
    </row>
    <row r="112" customFormat="false" ht="15" hidden="false" customHeight="false" outlineLevel="0" collapsed="false">
      <c r="A112" s="0" t="s">
        <v>233</v>
      </c>
      <c r="B112" s="15" t="n">
        <v>1</v>
      </c>
      <c r="C112" s="0" t="s">
        <v>227</v>
      </c>
      <c r="D112" s="0" t="s">
        <v>228</v>
      </c>
    </row>
    <row r="113" customFormat="false" ht="15" hidden="false" customHeight="false" outlineLevel="0" collapsed="false">
      <c r="A113" s="0" t="s">
        <v>234</v>
      </c>
      <c r="B113" s="15" t="n">
        <v>1</v>
      </c>
      <c r="C113" s="0" t="s">
        <v>227</v>
      </c>
      <c r="D113" s="0" t="s">
        <v>228</v>
      </c>
    </row>
    <row r="114" customFormat="false" ht="15" hidden="false" customHeight="false" outlineLevel="0" collapsed="false">
      <c r="A114" s="0" t="s">
        <v>235</v>
      </c>
      <c r="B114" s="19" t="n">
        <v>0.45</v>
      </c>
      <c r="C114" s="0" t="s">
        <v>236</v>
      </c>
      <c r="D114" s="0" t="s">
        <v>237</v>
      </c>
    </row>
    <row r="115" customFormat="false" ht="15" hidden="false" customHeight="false" outlineLevel="0" collapsed="false">
      <c r="A115" s="0" t="s">
        <v>238</v>
      </c>
      <c r="B115" s="19" t="n">
        <v>0.1</v>
      </c>
      <c r="C115" s="0" t="s">
        <v>236</v>
      </c>
      <c r="D115" s="0" t="s">
        <v>237</v>
      </c>
    </row>
    <row r="116" customFormat="false" ht="15" hidden="false" customHeight="false" outlineLevel="0" collapsed="false">
      <c r="A116" s="0" t="s">
        <v>239</v>
      </c>
      <c r="B116" s="19" t="n">
        <v>0.45</v>
      </c>
      <c r="C116" s="0" t="s">
        <v>236</v>
      </c>
      <c r="D116" s="0" t="s">
        <v>237</v>
      </c>
    </row>
    <row r="118" customFormat="false" ht="18" hidden="false" customHeight="true" outlineLevel="0" collapsed="false">
      <c r="A118" s="12" t="s">
        <v>240</v>
      </c>
      <c r="B118" s="13"/>
      <c r="C118" s="13"/>
      <c r="D118" s="13"/>
    </row>
    <row r="119" customFormat="false" ht="15" hidden="false" customHeight="false" outlineLevel="0" collapsed="false">
      <c r="A119" s="14" t="s">
        <v>30</v>
      </c>
      <c r="B119" s="14" t="s">
        <v>31</v>
      </c>
      <c r="C119" s="14" t="s">
        <v>32</v>
      </c>
      <c r="D119" s="14" t="s">
        <v>33</v>
      </c>
    </row>
    <row r="120" customFormat="false" ht="15" hidden="false" customHeight="false" outlineLevel="0" collapsed="false">
      <c r="A120" s="0" t="s">
        <v>241</v>
      </c>
      <c r="B120" s="33" t="n">
        <f aca="false">'Scenario Parameters'!$B$10</f>
        <v>0.081</v>
      </c>
      <c r="C120" s="0" t="s">
        <v>242</v>
      </c>
      <c r="D120" s="0" t="s">
        <v>243</v>
      </c>
    </row>
    <row r="121" customFormat="false" ht="15" hidden="false" customHeight="false" outlineLevel="0" collapsed="false">
      <c r="A121" s="0" t="s">
        <v>244</v>
      </c>
      <c r="B121" s="34" t="n">
        <f aca="false">'Scenario Parameters'!$B$14</f>
        <v>0.55</v>
      </c>
      <c r="C121" s="0" t="s">
        <v>245</v>
      </c>
      <c r="D121" s="0" t="s">
        <v>246</v>
      </c>
    </row>
    <row r="122" customFormat="false" ht="15" hidden="false" customHeight="false" outlineLevel="0" collapsed="false">
      <c r="A122" s="0" t="s">
        <v>247</v>
      </c>
      <c r="B122" s="33" t="n">
        <f aca="false">'Scenario Parameters'!$B$15</f>
        <v>0.0485991010017477</v>
      </c>
      <c r="C122" s="0" t="s">
        <v>248</v>
      </c>
      <c r="D122" s="0" t="s">
        <v>249</v>
      </c>
    </row>
    <row r="123" customFormat="false" ht="15" hidden="false" customHeight="false" outlineLevel="0" collapsed="false">
      <c r="A123" s="0" t="s">
        <v>250</v>
      </c>
      <c r="B123" s="35" t="n">
        <f aca="false">'Scenario Parameters'!$B$16</f>
        <v>6</v>
      </c>
      <c r="C123" s="0" t="s">
        <v>251</v>
      </c>
      <c r="D123" s="0" t="s">
        <v>252</v>
      </c>
    </row>
    <row r="124" customFormat="false" ht="15" hidden="false" customHeight="false" outlineLevel="0" collapsed="false">
      <c r="A124" s="0" t="s">
        <v>253</v>
      </c>
      <c r="B124" s="36" t="n">
        <f aca="false">'Scenario Parameters'!$B$17</f>
        <v>85</v>
      </c>
      <c r="C124" s="0" t="s">
        <v>254</v>
      </c>
      <c r="D124" s="0" t="s">
        <v>255</v>
      </c>
    </row>
    <row r="125" customFormat="false" ht="15" hidden="false" customHeight="false" outlineLevel="0" collapsed="false">
      <c r="A125" s="0" t="s">
        <v>256</v>
      </c>
      <c r="B125" s="36" t="n">
        <f aca="false">'Scenario Parameters'!$B$18</f>
        <v>75</v>
      </c>
      <c r="C125" s="0" t="s">
        <v>254</v>
      </c>
      <c r="D125" s="0" t="s">
        <v>255</v>
      </c>
    </row>
    <row r="126" customFormat="false" ht="15" hidden="false" customHeight="false" outlineLevel="0" collapsed="false">
      <c r="A126" s="0" t="s">
        <v>257</v>
      </c>
      <c r="B126" s="36" t="n">
        <f aca="false">'Scenario Parameters'!$B$19</f>
        <v>15</v>
      </c>
      <c r="C126" s="0" t="s">
        <v>254</v>
      </c>
      <c r="D126" s="0" t="s">
        <v>255</v>
      </c>
    </row>
    <row r="127" customFormat="false" ht="15" hidden="false" customHeight="false" outlineLevel="0" collapsed="false">
      <c r="A127" s="0" t="s">
        <v>258</v>
      </c>
      <c r="B127" s="34" t="n">
        <f aca="false">'Scenario Parameters'!$B$20</f>
        <v>0.58</v>
      </c>
      <c r="C127" s="0" t="s">
        <v>259</v>
      </c>
      <c r="D127" s="0" t="s">
        <v>260</v>
      </c>
    </row>
    <row r="128" customFormat="false" ht="15" hidden="false" customHeight="false" outlineLevel="0" collapsed="false">
      <c r="A128" s="0" t="s">
        <v>261</v>
      </c>
      <c r="B128" s="34" t="n">
        <f aca="false">'Scenario Parameters'!$B$21</f>
        <v>0.16</v>
      </c>
      <c r="C128" s="0" t="s">
        <v>259</v>
      </c>
      <c r="D128" s="0" t="s">
        <v>260</v>
      </c>
    </row>
    <row r="129" customFormat="false" ht="15" hidden="false" customHeight="false" outlineLevel="0" collapsed="false">
      <c r="A129" s="0" t="s">
        <v>262</v>
      </c>
      <c r="B129" s="34" t="n">
        <f aca="false">'Scenario Parameters'!$B$22</f>
        <v>0.26</v>
      </c>
      <c r="C129" s="0" t="s">
        <v>259</v>
      </c>
      <c r="D129" s="0" t="s">
        <v>260</v>
      </c>
    </row>
    <row r="130" customFormat="false" ht="15" hidden="false" customHeight="false" outlineLevel="0" collapsed="false">
      <c r="A130" s="0" t="s">
        <v>263</v>
      </c>
      <c r="B130" s="35" t="n">
        <f aca="false">'Scenario Parameters'!$B$23</f>
        <v>0.6</v>
      </c>
      <c r="C130" s="0" t="s">
        <v>264</v>
      </c>
      <c r="D130" s="0" t="s">
        <v>265</v>
      </c>
    </row>
    <row r="131" customFormat="false" ht="15" hidden="false" customHeight="false" outlineLevel="0" collapsed="false">
      <c r="A131" s="0" t="s">
        <v>266</v>
      </c>
      <c r="B131" s="34" t="n">
        <f aca="false">'Scenario Parameters'!$B$24</f>
        <v>0.62</v>
      </c>
      <c r="C131" s="0" t="s">
        <v>245</v>
      </c>
      <c r="D131" s="0" t="s">
        <v>267</v>
      </c>
    </row>
    <row r="132" customFormat="false" ht="15" hidden="false" customHeight="false" outlineLevel="0" collapsed="false">
      <c r="A132" s="0" t="s">
        <v>268</v>
      </c>
      <c r="B132" s="34" t="n">
        <f aca="false">'Scenario Parameters'!$B$25</f>
        <v>0.25</v>
      </c>
      <c r="C132" s="0" t="s">
        <v>269</v>
      </c>
      <c r="D132" s="0" t="s">
        <v>270</v>
      </c>
    </row>
    <row r="133" customFormat="false" ht="15" hidden="false" customHeight="false" outlineLevel="0" collapsed="false">
      <c r="A133" s="0" t="s">
        <v>271</v>
      </c>
      <c r="B133" s="35" t="n">
        <f aca="false">'Scenario Parameters'!$B$26</f>
        <v>1</v>
      </c>
      <c r="C133" s="0" t="s">
        <v>272</v>
      </c>
      <c r="D133" s="0" t="s">
        <v>273</v>
      </c>
    </row>
    <row r="134" customFormat="false" ht="15" hidden="false" customHeight="false" outlineLevel="0" collapsed="false">
      <c r="A134" s="0" t="s">
        <v>274</v>
      </c>
      <c r="B134" s="34" t="n">
        <f aca="false">'Scenario Parameters'!$B$30</f>
        <v>0.55</v>
      </c>
      <c r="C134" s="0" t="s">
        <v>275</v>
      </c>
      <c r="D134" s="0" t="s">
        <v>276</v>
      </c>
    </row>
    <row r="135" customFormat="false" ht="15" hidden="false" customHeight="false" outlineLevel="0" collapsed="false">
      <c r="A135" s="0" t="s">
        <v>277</v>
      </c>
      <c r="B135" s="37" t="n">
        <f aca="false">'Scenario Parameters'!$B$31</f>
        <v>8</v>
      </c>
      <c r="C135" s="0" t="s">
        <v>278</v>
      </c>
      <c r="D135" s="0" t="s">
        <v>279</v>
      </c>
    </row>
    <row r="136" customFormat="false" ht="15" hidden="false" customHeight="false" outlineLevel="0" collapsed="false">
      <c r="A136" s="0" t="s">
        <v>280</v>
      </c>
      <c r="B136" s="34" t="n">
        <f aca="false">'Scenario Parameters'!$B$35</f>
        <v>0.06</v>
      </c>
      <c r="C136" s="0" t="s">
        <v>281</v>
      </c>
      <c r="D136" s="0" t="s">
        <v>282</v>
      </c>
    </row>
    <row r="137" customFormat="false" ht="15" hidden="false" customHeight="false" outlineLevel="0" collapsed="false">
      <c r="A137" s="0" t="s">
        <v>283</v>
      </c>
      <c r="B137" s="34" t="n">
        <f aca="false">'Scenario Parameters'!$B$36</f>
        <v>0.06</v>
      </c>
      <c r="C137" s="0" t="s">
        <v>281</v>
      </c>
      <c r="D137" s="0" t="s">
        <v>284</v>
      </c>
    </row>
    <row r="138" customFormat="false" ht="15" hidden="false" customHeight="false" outlineLevel="0" collapsed="false">
      <c r="A138" s="0" t="s">
        <v>285</v>
      </c>
      <c r="B138" s="35" t="n">
        <f aca="false">'Scenario Parameters'!$B$37</f>
        <v>1.6</v>
      </c>
      <c r="C138" s="0" t="s">
        <v>286</v>
      </c>
      <c r="D138" s="0" t="s">
        <v>287</v>
      </c>
    </row>
    <row r="139" customFormat="false" ht="15" hidden="false" customHeight="false" outlineLevel="0" collapsed="false">
      <c r="A139" s="0" t="s">
        <v>288</v>
      </c>
      <c r="B139" s="35" t="n">
        <f aca="false">'Scenario Parameters'!$B$38</f>
        <v>1</v>
      </c>
      <c r="C139" s="0" t="s">
        <v>289</v>
      </c>
      <c r="D139" s="0" t="s">
        <v>290</v>
      </c>
    </row>
    <row r="140" customFormat="false" ht="15" hidden="false" customHeight="false" outlineLevel="0" collapsed="false">
      <c r="A140" s="0" t="s">
        <v>291</v>
      </c>
      <c r="B140" s="35" t="n">
        <f aca="false">'Scenario Parameters'!$B$39</f>
        <v>1</v>
      </c>
      <c r="C140" s="0" t="s">
        <v>292</v>
      </c>
      <c r="D140" s="0" t="s">
        <v>293</v>
      </c>
    </row>
    <row r="141" customFormat="false" ht="15" hidden="false" customHeight="false" outlineLevel="0" collapsed="false">
      <c r="A141" s="0" t="s">
        <v>294</v>
      </c>
      <c r="B141" s="35" t="n">
        <f aca="false">'Scenario Parameters'!$B$40</f>
        <v>1.7</v>
      </c>
      <c r="C141" s="0" t="s">
        <v>295</v>
      </c>
      <c r="D141" s="0" t="s">
        <v>296</v>
      </c>
    </row>
    <row r="142" customFormat="false" ht="15" hidden="false" customHeight="false" outlineLevel="0" collapsed="false">
      <c r="A142" s="0" t="s">
        <v>297</v>
      </c>
      <c r="B142" s="34" t="n">
        <f aca="false">'Scenario Parameters'!$B$44</f>
        <v>0.72</v>
      </c>
      <c r="C142" s="0" t="s">
        <v>245</v>
      </c>
      <c r="D142" s="0" t="s">
        <v>298</v>
      </c>
    </row>
    <row r="143" customFormat="false" ht="15" hidden="false" customHeight="false" outlineLevel="0" collapsed="false">
      <c r="A143" s="0" t="s">
        <v>299</v>
      </c>
      <c r="B143" s="34" t="n">
        <f aca="false">'Scenario Parameters'!$B$45</f>
        <v>0.18</v>
      </c>
      <c r="C143" s="0" t="s">
        <v>300</v>
      </c>
      <c r="D143" s="0" t="s">
        <v>301</v>
      </c>
    </row>
    <row r="144" customFormat="false" ht="15" hidden="false" customHeight="false" outlineLevel="0" collapsed="false">
      <c r="A144" s="0" t="s">
        <v>302</v>
      </c>
      <c r="B144" s="37" t="n">
        <f aca="false">'Scenario Parameters'!$B$46</f>
        <v>4</v>
      </c>
      <c r="C144" s="0" t="s">
        <v>303</v>
      </c>
      <c r="D144" s="0" t="s">
        <v>304</v>
      </c>
    </row>
    <row r="145" customFormat="false" ht="15" hidden="false" customHeight="false" outlineLevel="0" collapsed="false">
      <c r="A145" s="0" t="s">
        <v>305</v>
      </c>
      <c r="B145" s="34" t="n">
        <f aca="false">'Scenario Parameters'!$B$47</f>
        <v>0.34</v>
      </c>
      <c r="C145" s="0" t="s">
        <v>306</v>
      </c>
      <c r="D145" s="0" t="s">
        <v>307</v>
      </c>
    </row>
    <row r="146" customFormat="false" ht="15" hidden="false" customHeight="false" outlineLevel="0" collapsed="false">
      <c r="A146" s="0" t="s">
        <v>308</v>
      </c>
      <c r="B146" s="35" t="n">
        <f aca="false">'Scenario Parameters'!$B$48</f>
        <v>1.06</v>
      </c>
      <c r="C146" s="0" t="s">
        <v>309</v>
      </c>
      <c r="D146" s="0" t="s">
        <v>310</v>
      </c>
    </row>
    <row r="147" customFormat="false" ht="15" hidden="false" customHeight="false" outlineLevel="0" collapsed="false">
      <c r="A147" s="0" t="s">
        <v>311</v>
      </c>
      <c r="B147" s="35" t="n">
        <f aca="false">'Scenario Parameters'!$B$49</f>
        <v>0.11</v>
      </c>
      <c r="C147" s="0" t="s">
        <v>309</v>
      </c>
      <c r="D147" s="0" t="s">
        <v>312</v>
      </c>
    </row>
    <row r="148" customFormat="false" ht="15" hidden="false" customHeight="false" outlineLevel="0" collapsed="false">
      <c r="A148" s="0" t="s">
        <v>313</v>
      </c>
      <c r="B148" s="34" t="n">
        <f aca="false">'Scenario Parameters'!$B$50</f>
        <v>0.6</v>
      </c>
      <c r="C148" s="0" t="s">
        <v>245</v>
      </c>
      <c r="D148" s="0" t="s">
        <v>314</v>
      </c>
    </row>
    <row r="149" customFormat="false" ht="15" hidden="false" customHeight="false" outlineLevel="0" collapsed="false">
      <c r="A149" s="0" t="s">
        <v>315</v>
      </c>
      <c r="B149" s="34" t="n">
        <f aca="false">'Scenario Parameters'!$B$51</f>
        <v>0.25</v>
      </c>
      <c r="C149" s="0" t="s">
        <v>245</v>
      </c>
      <c r="D149" s="0" t="s">
        <v>314</v>
      </c>
    </row>
    <row r="150" customFormat="false" ht="15" hidden="false" customHeight="false" outlineLevel="0" collapsed="false">
      <c r="A150" s="0" t="s">
        <v>316</v>
      </c>
      <c r="B150" s="34" t="n">
        <f aca="false">'Scenario Parameters'!$B$52</f>
        <v>0.12</v>
      </c>
      <c r="C150" s="0" t="s">
        <v>245</v>
      </c>
      <c r="D150" s="0" t="s">
        <v>314</v>
      </c>
    </row>
    <row r="151" customFormat="false" ht="15" hidden="false" customHeight="false" outlineLevel="0" collapsed="false">
      <c r="A151" s="0" t="s">
        <v>317</v>
      </c>
      <c r="B151" s="34" t="n">
        <f aca="false">'Scenario Parameters'!$B$53</f>
        <v>0.03</v>
      </c>
      <c r="C151" s="0" t="s">
        <v>245</v>
      </c>
      <c r="D151" s="0" t="s">
        <v>314</v>
      </c>
    </row>
    <row r="152" customFormat="false" ht="15" hidden="false" customHeight="false" outlineLevel="0" collapsed="false">
      <c r="A152" s="0" t="s">
        <v>318</v>
      </c>
      <c r="B152" s="37" t="n">
        <f aca="false">'Scenario Parameters'!$B$54</f>
        <v>250</v>
      </c>
      <c r="C152" s="0" t="s">
        <v>63</v>
      </c>
      <c r="D152" s="0" t="s">
        <v>319</v>
      </c>
    </row>
    <row r="153" customFormat="false" ht="15" hidden="false" customHeight="false" outlineLevel="0" collapsed="false">
      <c r="A153" s="0" t="s">
        <v>320</v>
      </c>
      <c r="B153" s="37" t="n">
        <f aca="false">'Scenario Parameters'!$B$55</f>
        <v>1000</v>
      </c>
      <c r="C153" s="0" t="s">
        <v>63</v>
      </c>
      <c r="D153" s="0" t="s">
        <v>319</v>
      </c>
    </row>
    <row r="154" customFormat="false" ht="15" hidden="false" customHeight="false" outlineLevel="0" collapsed="false">
      <c r="A154" s="0" t="s">
        <v>321</v>
      </c>
      <c r="B154" s="37" t="n">
        <f aca="false">'Scenario Parameters'!$B$56</f>
        <v>2250</v>
      </c>
      <c r="C154" s="0" t="s">
        <v>63</v>
      </c>
      <c r="D154" s="0" t="s">
        <v>319</v>
      </c>
    </row>
    <row r="155" customFormat="false" ht="15" hidden="false" customHeight="false" outlineLevel="0" collapsed="false">
      <c r="A155" s="0" t="s">
        <v>322</v>
      </c>
      <c r="B155" s="37" t="n">
        <f aca="false">'Scenario Parameters'!$B$57</f>
        <v>4000</v>
      </c>
      <c r="C155" s="0" t="s">
        <v>63</v>
      </c>
      <c r="D155" s="0" t="s">
        <v>319</v>
      </c>
    </row>
    <row r="156" customFormat="false" ht="15" hidden="false" customHeight="false" outlineLevel="0" collapsed="false">
      <c r="A156" s="0" t="s">
        <v>323</v>
      </c>
      <c r="B156" s="34" t="n">
        <f aca="false">'Scenario Parameters'!$B$61</f>
        <v>0.5</v>
      </c>
      <c r="C156" s="0" t="s">
        <v>245</v>
      </c>
      <c r="D156" s="0" t="s">
        <v>324</v>
      </c>
    </row>
    <row r="157" customFormat="false" ht="15" hidden="false" customHeight="false" outlineLevel="0" collapsed="false">
      <c r="A157" s="0" t="s">
        <v>325</v>
      </c>
      <c r="B157" s="35" t="n">
        <f aca="false">'Scenario Parameters'!$B$62</f>
        <v>0.42</v>
      </c>
      <c r="C157" s="0" t="s">
        <v>326</v>
      </c>
      <c r="D157" s="0" t="s">
        <v>327</v>
      </c>
    </row>
    <row r="158" customFormat="false" ht="15" hidden="false" customHeight="false" outlineLevel="0" collapsed="false">
      <c r="A158" s="0" t="s">
        <v>328</v>
      </c>
      <c r="B158" s="35" t="n">
        <f aca="false">'Scenario Parameters'!$B$63</f>
        <v>2.1</v>
      </c>
      <c r="C158" s="0" t="s">
        <v>329</v>
      </c>
      <c r="D158" s="0" t="s">
        <v>330</v>
      </c>
    </row>
    <row r="159" customFormat="false" ht="15" hidden="false" customHeight="false" outlineLevel="0" collapsed="false">
      <c r="A159" s="0" t="s">
        <v>331</v>
      </c>
      <c r="B159" s="34" t="n">
        <f aca="false">'Scenario Parameters'!$B$64</f>
        <v>0.08</v>
      </c>
      <c r="C159" s="0" t="s">
        <v>332</v>
      </c>
      <c r="D159" s="0" t="s">
        <v>333</v>
      </c>
    </row>
    <row r="160" customFormat="false" ht="15" hidden="false" customHeight="false" outlineLevel="0" collapsed="false">
      <c r="A160" s="0" t="s">
        <v>334</v>
      </c>
      <c r="B160" s="34" t="n">
        <f aca="false">'Scenario Parameters'!$B$65</f>
        <v>0.25</v>
      </c>
      <c r="C160" s="0" t="s">
        <v>242</v>
      </c>
      <c r="D160" s="0" t="s">
        <v>335</v>
      </c>
    </row>
    <row r="161" customFormat="false" ht="15" hidden="false" customHeight="false" outlineLevel="0" collapsed="false">
      <c r="A161" s="0" t="s">
        <v>336</v>
      </c>
      <c r="B161" s="33" t="n">
        <f aca="false">'Scenario Parameters'!$B$66</f>
        <v>0.0711362891029878</v>
      </c>
      <c r="C161" s="0" t="s">
        <v>248</v>
      </c>
      <c r="D161" s="0" t="s">
        <v>337</v>
      </c>
    </row>
    <row r="162" customFormat="false" ht="15" hidden="false" customHeight="false" outlineLevel="0" collapsed="false">
      <c r="A162" s="0" t="s">
        <v>338</v>
      </c>
      <c r="B162" s="37" t="n">
        <f aca="false">'Scenario Parameters'!$B$67</f>
        <v>0</v>
      </c>
      <c r="C162" s="0" t="s">
        <v>339</v>
      </c>
      <c r="D162" s="0" t="s">
        <v>340</v>
      </c>
    </row>
    <row r="163" customFormat="false" ht="15" hidden="false" customHeight="false" outlineLevel="0" collapsed="false">
      <c r="A163" s="0" t="s">
        <v>341</v>
      </c>
      <c r="B163" s="37" t="n">
        <f aca="false">'Scenario Parameters'!$B$68</f>
        <v>1</v>
      </c>
      <c r="C163" s="0" t="s">
        <v>339</v>
      </c>
      <c r="D163" s="0" t="s">
        <v>340</v>
      </c>
    </row>
    <row r="164" customFormat="false" ht="15" hidden="false" customHeight="false" outlineLevel="0" collapsed="false">
      <c r="A164" s="0" t="s">
        <v>342</v>
      </c>
      <c r="B164" s="37" t="n">
        <f aca="false">'Scenario Parameters'!$B$69</f>
        <v>3</v>
      </c>
      <c r="C164" s="0" t="s">
        <v>339</v>
      </c>
      <c r="D164" s="0" t="s">
        <v>340</v>
      </c>
    </row>
    <row r="165" customFormat="false" ht="15" hidden="false" customHeight="false" outlineLevel="0" collapsed="false">
      <c r="A165" s="0" t="s">
        <v>343</v>
      </c>
      <c r="B165" s="37" t="n">
        <f aca="false">'Scenario Parameters'!$B$70</f>
        <v>5</v>
      </c>
      <c r="C165" s="0" t="s">
        <v>339</v>
      </c>
      <c r="D165" s="0" t="s">
        <v>340</v>
      </c>
    </row>
    <row r="166" customFormat="false" ht="15" hidden="false" customHeight="false" outlineLevel="0" collapsed="false">
      <c r="A166" s="0" t="s">
        <v>344</v>
      </c>
      <c r="B166" s="37" t="n">
        <f aca="false">'Scenario Parameters'!$B$71</f>
        <v>7</v>
      </c>
      <c r="C166" s="0" t="s">
        <v>339</v>
      </c>
      <c r="D166" s="0" t="s">
        <v>340</v>
      </c>
    </row>
    <row r="167" customFormat="false" ht="15" hidden="false" customHeight="false" outlineLevel="0" collapsed="false">
      <c r="A167" s="0" t="s">
        <v>345</v>
      </c>
      <c r="B167" s="37" t="n">
        <f aca="false">'Scenario Parameters'!$B$72</f>
        <v>9</v>
      </c>
      <c r="C167" s="0" t="s">
        <v>339</v>
      </c>
      <c r="D167" s="0" t="s">
        <v>340</v>
      </c>
    </row>
    <row r="168" customFormat="false" ht="15" hidden="false" customHeight="false" outlineLevel="0" collapsed="false">
      <c r="A168" s="0" t="s">
        <v>346</v>
      </c>
      <c r="B168" s="37" t="n">
        <f aca="false">'Scenario Parameters'!$B$73</f>
        <v>11</v>
      </c>
      <c r="C168" s="0" t="s">
        <v>339</v>
      </c>
      <c r="D168" s="0" t="s">
        <v>340</v>
      </c>
    </row>
    <row r="169" customFormat="false" ht="15" hidden="false" customHeight="false" outlineLevel="0" collapsed="false">
      <c r="A169" s="0" t="s">
        <v>347</v>
      </c>
      <c r="B169" s="37" t="n">
        <f aca="false">'Scenario Parameters'!$B$74</f>
        <v>900000</v>
      </c>
      <c r="C169" s="0" t="s">
        <v>348</v>
      </c>
      <c r="D169" s="0" t="s">
        <v>349</v>
      </c>
    </row>
    <row r="170" customFormat="false" ht="15" hidden="false" customHeight="false" outlineLevel="0" collapsed="false">
      <c r="A170" s="0" t="s">
        <v>350</v>
      </c>
      <c r="B170" s="34" t="n">
        <f aca="false">'Scenario Parameters'!$B$75</f>
        <v>0.06</v>
      </c>
      <c r="C170" s="0" t="s">
        <v>351</v>
      </c>
      <c r="D170" s="0" t="s">
        <v>352</v>
      </c>
    </row>
    <row r="171" customFormat="false" ht="15" hidden="false" customHeight="false" outlineLevel="0" collapsed="false">
      <c r="A171" s="0" t="s">
        <v>353</v>
      </c>
      <c r="B171" s="36" t="n">
        <f aca="false">'Scenario Parameters'!$B$76</f>
        <v>350</v>
      </c>
      <c r="C171" s="0" t="s">
        <v>114</v>
      </c>
      <c r="D171" s="0" t="s">
        <v>354</v>
      </c>
    </row>
    <row r="172" customFormat="false" ht="15" hidden="false" customHeight="false" outlineLevel="0" collapsed="false">
      <c r="A172" s="0" t="s">
        <v>355</v>
      </c>
      <c r="B172" s="36" t="n">
        <f aca="false">'Scenario Parameters'!$B$77</f>
        <v>18900000</v>
      </c>
      <c r="C172" s="0" t="s">
        <v>114</v>
      </c>
      <c r="D172" s="0" t="s">
        <v>356</v>
      </c>
    </row>
    <row r="173" customFormat="false" ht="15" hidden="false" customHeight="false" outlineLevel="0" collapsed="false">
      <c r="A173" s="0" t="s">
        <v>357</v>
      </c>
      <c r="B173" s="36" t="n">
        <f aca="false">'Scenario Parameters'!$B$81</f>
        <v>33.6</v>
      </c>
      <c r="C173" s="0" t="s">
        <v>108</v>
      </c>
      <c r="D173" s="0" t="s">
        <v>358</v>
      </c>
    </row>
    <row r="174" customFormat="false" ht="15" hidden="false" customHeight="false" outlineLevel="0" collapsed="false">
      <c r="A174" s="0" t="s">
        <v>359</v>
      </c>
      <c r="B174" s="36" t="n">
        <f aca="false">'Scenario Parameters'!$B$82</f>
        <v>26</v>
      </c>
      <c r="C174" s="0" t="s">
        <v>108</v>
      </c>
      <c r="D174" s="0" t="s">
        <v>358</v>
      </c>
    </row>
    <row r="175" customFormat="false" ht="15" hidden="false" customHeight="false" outlineLevel="0" collapsed="false">
      <c r="A175" s="0" t="s">
        <v>360</v>
      </c>
      <c r="B175" s="36" t="n">
        <f aca="false">'Scenario Parameters'!$B$83</f>
        <v>30</v>
      </c>
      <c r="C175" s="0" t="s">
        <v>108</v>
      </c>
      <c r="D175" s="0" t="s">
        <v>358</v>
      </c>
    </row>
    <row r="176" customFormat="false" ht="15" hidden="false" customHeight="false" outlineLevel="0" collapsed="false">
      <c r="A176" s="0" t="s">
        <v>361</v>
      </c>
      <c r="B176" s="37" t="n">
        <f aca="false">'Scenario Parameters'!$B$87</f>
        <v>0</v>
      </c>
      <c r="C176" s="0" t="s">
        <v>362</v>
      </c>
      <c r="D176" s="0" t="s">
        <v>363</v>
      </c>
    </row>
    <row r="177" customFormat="false" ht="15" hidden="false" customHeight="false" outlineLevel="0" collapsed="false">
      <c r="A177" s="0" t="s">
        <v>364</v>
      </c>
      <c r="B177" s="37" t="n">
        <f aca="false">'Scenario Parameters'!$B$88</f>
        <v>1</v>
      </c>
      <c r="C177" s="0" t="s">
        <v>362</v>
      </c>
      <c r="D177" s="0" t="s">
        <v>365</v>
      </c>
    </row>
    <row r="178" customFormat="false" ht="15" hidden="false" customHeight="false" outlineLevel="0" collapsed="false">
      <c r="A178" s="9" t="s">
        <v>366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367</v>
      </c>
    </row>
    <row r="4" customFormat="false" ht="18" hidden="false" customHeight="true" outlineLevel="0" collapsed="false">
      <c r="A4" s="12" t="s">
        <v>368</v>
      </c>
      <c r="B4" s="13"/>
      <c r="C4" s="13"/>
      <c r="D4" s="13"/>
      <c r="E4" s="13"/>
    </row>
    <row r="6" customFormat="false" ht="15" hidden="false" customHeight="false" outlineLevel="0" collapsed="false">
      <c r="A6" s="3" t="s">
        <v>369</v>
      </c>
      <c r="B6" s="38" t="s">
        <v>370</v>
      </c>
      <c r="C6" s="0" t="n">
        <f aca="false">IF($B$6="Base",1,IF($B$6="Aggressive",2,3))</f>
        <v>1</v>
      </c>
      <c r="D6" s="23" t="s">
        <v>371</v>
      </c>
      <c r="G6" s="9" t="s">
        <v>372</v>
      </c>
    </row>
    <row r="8" customFormat="false" ht="18" hidden="false" customHeight="true" outlineLevel="0" collapsed="false">
      <c r="A8" s="12" t="s">
        <v>373</v>
      </c>
      <c r="B8" s="13"/>
      <c r="C8" s="13"/>
      <c r="D8" s="13"/>
      <c r="E8" s="13"/>
    </row>
    <row r="9" customFormat="false" ht="15" hidden="false" customHeight="false" outlineLevel="0" collapsed="false">
      <c r="A9" s="14" t="s">
        <v>30</v>
      </c>
      <c r="B9" s="14" t="s">
        <v>374</v>
      </c>
      <c r="C9" s="14" t="s">
        <v>370</v>
      </c>
      <c r="D9" s="14" t="s">
        <v>375</v>
      </c>
      <c r="E9" s="14" t="s">
        <v>376</v>
      </c>
      <c r="F9" s="14" t="s">
        <v>32</v>
      </c>
    </row>
    <row r="10" customFormat="false" ht="15" hidden="false" customHeight="false" outlineLevel="0" collapsed="false">
      <c r="A10" s="0" t="s">
        <v>241</v>
      </c>
      <c r="B10" s="39" t="n">
        <f aca="false">CHOOSE($C$6,C10,D10,E10)</f>
        <v>0.081</v>
      </c>
      <c r="C10" s="16" t="n">
        <v>0.081</v>
      </c>
      <c r="D10" s="16" t="n">
        <v>0.12</v>
      </c>
      <c r="E10" s="16" t="n">
        <v>0</v>
      </c>
      <c r="F10" s="23" t="s">
        <v>242</v>
      </c>
      <c r="G10" s="9" t="s">
        <v>243</v>
      </c>
    </row>
    <row r="12" customFormat="false" ht="18" hidden="false" customHeight="true" outlineLevel="0" collapsed="false">
      <c r="A12" s="12" t="s">
        <v>377</v>
      </c>
      <c r="B12" s="13"/>
      <c r="C12" s="13"/>
      <c r="D12" s="13"/>
      <c r="E12" s="13"/>
    </row>
    <row r="13" customFormat="false" ht="15" hidden="false" customHeight="false" outlineLevel="0" collapsed="false">
      <c r="A13" s="14" t="s">
        <v>30</v>
      </c>
      <c r="B13" s="14" t="s">
        <v>374</v>
      </c>
      <c r="C13" s="14" t="s">
        <v>370</v>
      </c>
      <c r="D13" s="14" t="s">
        <v>375</v>
      </c>
      <c r="E13" s="14" t="s">
        <v>376</v>
      </c>
      <c r="F13" s="14" t="s">
        <v>32</v>
      </c>
    </row>
    <row r="14" customFormat="false" ht="15" hidden="false" customHeight="false" outlineLevel="0" collapsed="false">
      <c r="A14" s="0" t="s">
        <v>244</v>
      </c>
      <c r="B14" s="40" t="n">
        <f aca="false">CHOOSE($C$6,C14,D14,E14)</f>
        <v>0.55</v>
      </c>
      <c r="C14" s="19" t="n">
        <v>0.55</v>
      </c>
      <c r="D14" s="19" t="n">
        <v>0.65</v>
      </c>
      <c r="E14" s="19" t="n">
        <v>0.45</v>
      </c>
      <c r="F14" s="23" t="s">
        <v>245</v>
      </c>
      <c r="G14" s="9" t="s">
        <v>246</v>
      </c>
    </row>
    <row r="15" customFormat="false" ht="15" hidden="false" customHeight="false" outlineLevel="0" collapsed="false">
      <c r="A15" s="0" t="s">
        <v>247</v>
      </c>
      <c r="B15" s="39" t="n">
        <f aca="false">1-'Scenario Parameters'!$B$14^(1/12)</f>
        <v>0.0485991010017477</v>
      </c>
      <c r="F15" s="23" t="s">
        <v>248</v>
      </c>
      <c r="G15" s="9" t="s">
        <v>249</v>
      </c>
    </row>
    <row r="16" customFormat="false" ht="15" hidden="false" customHeight="false" outlineLevel="0" collapsed="false">
      <c r="A16" s="0" t="s">
        <v>250</v>
      </c>
      <c r="B16" s="41" t="n">
        <f aca="false">CHOOSE($C$6,C16,D16,E16)</f>
        <v>6</v>
      </c>
      <c r="C16" s="15" t="n">
        <v>6</v>
      </c>
      <c r="D16" s="15" t="n">
        <v>8</v>
      </c>
      <c r="E16" s="15" t="n">
        <v>3</v>
      </c>
      <c r="F16" s="23" t="s">
        <v>251</v>
      </c>
      <c r="G16" s="9" t="s">
        <v>252</v>
      </c>
    </row>
    <row r="17" customFormat="false" ht="15" hidden="false" customHeight="false" outlineLevel="0" collapsed="false">
      <c r="A17" s="0" t="s">
        <v>253</v>
      </c>
      <c r="B17" s="42" t="n">
        <f aca="false">CHOOSE($C$6,C17,D17,E17)</f>
        <v>85</v>
      </c>
      <c r="C17" s="20" t="n">
        <v>85</v>
      </c>
      <c r="D17" s="20" t="n">
        <v>55</v>
      </c>
      <c r="E17" s="20" t="n">
        <v>140</v>
      </c>
      <c r="F17" s="23" t="s">
        <v>254</v>
      </c>
      <c r="G17" s="9" t="s">
        <v>255</v>
      </c>
    </row>
    <row r="18" customFormat="false" ht="15" hidden="false" customHeight="false" outlineLevel="0" collapsed="false">
      <c r="A18" s="0" t="s">
        <v>256</v>
      </c>
      <c r="B18" s="42" t="n">
        <f aca="false">CHOOSE($C$6,C18,D18,E18)</f>
        <v>75</v>
      </c>
      <c r="C18" s="20" t="n">
        <v>75</v>
      </c>
      <c r="D18" s="20" t="n">
        <v>50</v>
      </c>
      <c r="E18" s="20" t="n">
        <v>125</v>
      </c>
      <c r="F18" s="23" t="s">
        <v>254</v>
      </c>
      <c r="G18" s="9" t="s">
        <v>255</v>
      </c>
    </row>
    <row r="19" customFormat="false" ht="15" hidden="false" customHeight="false" outlineLevel="0" collapsed="false">
      <c r="A19" s="0" t="s">
        <v>257</v>
      </c>
      <c r="B19" s="42" t="n">
        <f aca="false">CHOOSE($C$6,C19,D19,E19)</f>
        <v>15</v>
      </c>
      <c r="C19" s="20" t="n">
        <v>15</v>
      </c>
      <c r="D19" s="20" t="n">
        <v>9</v>
      </c>
      <c r="E19" s="20" t="n">
        <v>26</v>
      </c>
      <c r="F19" s="23" t="s">
        <v>254</v>
      </c>
      <c r="G19" s="9" t="s">
        <v>255</v>
      </c>
    </row>
    <row r="20" customFormat="false" ht="15" hidden="false" customHeight="false" outlineLevel="0" collapsed="false">
      <c r="A20" s="0" t="s">
        <v>258</v>
      </c>
      <c r="B20" s="40" t="n">
        <f aca="false">CHOOSE($C$6,C20,D20,E20)</f>
        <v>0.58</v>
      </c>
      <c r="C20" s="19" t="n">
        <v>0.58</v>
      </c>
      <c r="D20" s="19" t="n">
        <v>0.58</v>
      </c>
      <c r="E20" s="19" t="n">
        <v>0.58</v>
      </c>
      <c r="F20" s="23" t="s">
        <v>259</v>
      </c>
      <c r="G20" s="9" t="s">
        <v>260</v>
      </c>
    </row>
    <row r="21" customFormat="false" ht="15" hidden="false" customHeight="false" outlineLevel="0" collapsed="false">
      <c r="A21" s="0" t="s">
        <v>261</v>
      </c>
      <c r="B21" s="40" t="n">
        <f aca="false">CHOOSE($C$6,C21,D21,E21)</f>
        <v>0.16</v>
      </c>
      <c r="C21" s="19" t="n">
        <v>0.16</v>
      </c>
      <c r="D21" s="19" t="n">
        <v>0.16</v>
      </c>
      <c r="E21" s="19" t="n">
        <v>0.16</v>
      </c>
      <c r="F21" s="23" t="s">
        <v>259</v>
      </c>
      <c r="G21" s="9" t="s">
        <v>260</v>
      </c>
    </row>
    <row r="22" customFormat="false" ht="15" hidden="false" customHeight="false" outlineLevel="0" collapsed="false">
      <c r="A22" s="0" t="s">
        <v>262</v>
      </c>
      <c r="B22" s="40" t="n">
        <f aca="false">CHOOSE($C$6,C22,D22,E22)</f>
        <v>0.26</v>
      </c>
      <c r="C22" s="19" t="n">
        <v>0.26</v>
      </c>
      <c r="D22" s="19" t="n">
        <v>0.26</v>
      </c>
      <c r="E22" s="19" t="n">
        <v>0.26</v>
      </c>
      <c r="F22" s="23" t="s">
        <v>259</v>
      </c>
      <c r="G22" s="9" t="s">
        <v>260</v>
      </c>
    </row>
    <row r="23" customFormat="false" ht="15" hidden="false" customHeight="false" outlineLevel="0" collapsed="false">
      <c r="A23" s="0" t="s">
        <v>263</v>
      </c>
      <c r="B23" s="41" t="n">
        <f aca="false">CHOOSE($C$6,C23,D23,E23)</f>
        <v>0.6</v>
      </c>
      <c r="C23" s="15" t="n">
        <v>0.6</v>
      </c>
      <c r="D23" s="15" t="n">
        <v>1.1</v>
      </c>
      <c r="E23" s="15" t="n">
        <v>0.25</v>
      </c>
      <c r="F23" s="23" t="s">
        <v>264</v>
      </c>
      <c r="G23" s="9" t="s">
        <v>265</v>
      </c>
    </row>
    <row r="24" customFormat="false" ht="15" hidden="false" customHeight="false" outlineLevel="0" collapsed="false">
      <c r="A24" s="0" t="s">
        <v>266</v>
      </c>
      <c r="B24" s="40" t="n">
        <f aca="false">CHOOSE($C$6,C24,D24,E24)</f>
        <v>0.62</v>
      </c>
      <c r="C24" s="19" t="n">
        <v>0.62</v>
      </c>
      <c r="D24" s="19" t="n">
        <v>0.72</v>
      </c>
      <c r="E24" s="19" t="n">
        <v>0.48</v>
      </c>
      <c r="F24" s="23" t="s">
        <v>245</v>
      </c>
      <c r="G24" s="9" t="s">
        <v>267</v>
      </c>
    </row>
    <row r="25" customFormat="false" ht="15" hidden="false" customHeight="false" outlineLevel="0" collapsed="false">
      <c r="A25" s="0" t="s">
        <v>268</v>
      </c>
      <c r="B25" s="40" t="n">
        <f aca="false">CHOOSE($C$6,C25,D25,E25)</f>
        <v>0.25</v>
      </c>
      <c r="C25" s="19" t="n">
        <v>0.25</v>
      </c>
      <c r="D25" s="19" t="n">
        <v>0.4</v>
      </c>
      <c r="E25" s="19" t="n">
        <v>0.1</v>
      </c>
      <c r="F25" s="23" t="s">
        <v>269</v>
      </c>
      <c r="G25" s="9" t="s">
        <v>270</v>
      </c>
    </row>
    <row r="26" customFormat="false" ht="15" hidden="false" customHeight="false" outlineLevel="0" collapsed="false">
      <c r="A26" s="0" t="s">
        <v>271</v>
      </c>
      <c r="B26" s="41" t="n">
        <f aca="false">CHOOSE($C$6,C26,D26,E26)</f>
        <v>1</v>
      </c>
      <c r="C26" s="15" t="n">
        <v>1</v>
      </c>
      <c r="D26" s="15" t="n">
        <v>1.4</v>
      </c>
      <c r="E26" s="15" t="n">
        <v>0.6</v>
      </c>
      <c r="F26" s="23" t="s">
        <v>272</v>
      </c>
      <c r="G26" s="9" t="s">
        <v>273</v>
      </c>
    </row>
    <row r="28" customFormat="false" ht="18" hidden="false" customHeight="true" outlineLevel="0" collapsed="false">
      <c r="A28" s="12" t="s">
        <v>378</v>
      </c>
      <c r="B28" s="13"/>
      <c r="C28" s="13"/>
      <c r="D28" s="13"/>
      <c r="E28" s="13"/>
    </row>
    <row r="29" customFormat="false" ht="15" hidden="false" customHeight="false" outlineLevel="0" collapsed="false">
      <c r="A29" s="14" t="s">
        <v>30</v>
      </c>
      <c r="B29" s="14" t="s">
        <v>374</v>
      </c>
      <c r="C29" s="14" t="s">
        <v>370</v>
      </c>
      <c r="D29" s="14" t="s">
        <v>375</v>
      </c>
      <c r="E29" s="14" t="s">
        <v>376</v>
      </c>
      <c r="F29" s="14" t="s">
        <v>32</v>
      </c>
    </row>
    <row r="30" customFormat="false" ht="15" hidden="false" customHeight="false" outlineLevel="0" collapsed="false">
      <c r="A30" s="0" t="s">
        <v>274</v>
      </c>
      <c r="B30" s="40" t="n">
        <f aca="false">CHOOSE($C$6,C30,D30,E30)</f>
        <v>0.55</v>
      </c>
      <c r="C30" s="19" t="n">
        <v>0.55</v>
      </c>
      <c r="D30" s="19" t="n">
        <v>0.65</v>
      </c>
      <c r="E30" s="19" t="n">
        <v>0.45</v>
      </c>
      <c r="F30" s="23" t="s">
        <v>275</v>
      </c>
      <c r="G30" s="9" t="s">
        <v>276</v>
      </c>
    </row>
    <row r="31" customFormat="false" ht="15" hidden="false" customHeight="false" outlineLevel="0" collapsed="false">
      <c r="A31" s="0" t="s">
        <v>277</v>
      </c>
      <c r="B31" s="31" t="n">
        <f aca="false">CHOOSE($C$6,C31,D31,E31)</f>
        <v>8</v>
      </c>
      <c r="C31" s="17" t="n">
        <v>8</v>
      </c>
      <c r="D31" s="17" t="n">
        <v>6</v>
      </c>
      <c r="E31" s="17" t="n">
        <v>11</v>
      </c>
      <c r="F31" s="23" t="s">
        <v>278</v>
      </c>
      <c r="G31" s="9" t="s">
        <v>279</v>
      </c>
    </row>
    <row r="33" customFormat="false" ht="18" hidden="false" customHeight="true" outlineLevel="0" collapsed="false">
      <c r="A33" s="12" t="s">
        <v>379</v>
      </c>
      <c r="B33" s="13"/>
      <c r="C33" s="13"/>
      <c r="D33" s="13"/>
      <c r="E33" s="13"/>
    </row>
    <row r="34" customFormat="false" ht="15" hidden="false" customHeight="false" outlineLevel="0" collapsed="false">
      <c r="A34" s="14" t="s">
        <v>30</v>
      </c>
      <c r="B34" s="14" t="s">
        <v>374</v>
      </c>
      <c r="C34" s="14" t="s">
        <v>370</v>
      </c>
      <c r="D34" s="14" t="s">
        <v>375</v>
      </c>
      <c r="E34" s="14" t="s">
        <v>376</v>
      </c>
      <c r="F34" s="14" t="s">
        <v>32</v>
      </c>
    </row>
    <row r="35" customFormat="false" ht="15" hidden="false" customHeight="false" outlineLevel="0" collapsed="false">
      <c r="A35" s="0" t="s">
        <v>280</v>
      </c>
      <c r="B35" s="40" t="n">
        <f aca="false">CHOOSE($C$6,C35,D35,E35)</f>
        <v>0.06</v>
      </c>
      <c r="C35" s="19" t="n">
        <v>0.06</v>
      </c>
      <c r="D35" s="19" t="n">
        <v>0.03</v>
      </c>
      <c r="E35" s="19" t="n">
        <v>0.18</v>
      </c>
      <c r="F35" s="23" t="s">
        <v>281</v>
      </c>
      <c r="G35" s="9" t="s">
        <v>282</v>
      </c>
    </row>
    <row r="36" customFormat="false" ht="15" hidden="false" customHeight="false" outlineLevel="0" collapsed="false">
      <c r="A36" s="0" t="s">
        <v>283</v>
      </c>
      <c r="B36" s="40" t="n">
        <f aca="false">CHOOSE($C$6,C36,D36,E36)</f>
        <v>0.06</v>
      </c>
      <c r="C36" s="19" t="n">
        <v>0.06</v>
      </c>
      <c r="D36" s="19" t="n">
        <v>0.035</v>
      </c>
      <c r="E36" s="19" t="n">
        <v>0.12</v>
      </c>
      <c r="F36" s="23" t="s">
        <v>281</v>
      </c>
      <c r="G36" s="9" t="s">
        <v>284</v>
      </c>
    </row>
    <row r="37" customFormat="false" ht="15" hidden="false" customHeight="false" outlineLevel="0" collapsed="false">
      <c r="A37" s="0" t="s">
        <v>285</v>
      </c>
      <c r="B37" s="41" t="n">
        <f aca="false">CHOOSE($C$6,C37,D37,E37)</f>
        <v>1.6</v>
      </c>
      <c r="C37" s="15" t="n">
        <v>1.6</v>
      </c>
      <c r="D37" s="15" t="n">
        <v>1.3</v>
      </c>
      <c r="E37" s="15" t="n">
        <v>2.8</v>
      </c>
      <c r="F37" s="23" t="s">
        <v>286</v>
      </c>
      <c r="G37" s="9" t="s">
        <v>287</v>
      </c>
    </row>
    <row r="38" customFormat="false" ht="15" hidden="false" customHeight="false" outlineLevel="0" collapsed="false">
      <c r="A38" s="0" t="s">
        <v>288</v>
      </c>
      <c r="B38" s="41" t="n">
        <f aca="false">CHOOSE($C$6,C38,D38,E38)</f>
        <v>1</v>
      </c>
      <c r="C38" s="15" t="n">
        <v>1</v>
      </c>
      <c r="D38" s="15" t="n">
        <v>1.7</v>
      </c>
      <c r="E38" s="15" t="n">
        <v>0.5</v>
      </c>
      <c r="F38" s="23" t="s">
        <v>289</v>
      </c>
      <c r="G38" s="9" t="s">
        <v>290</v>
      </c>
    </row>
    <row r="39" customFormat="false" ht="15" hidden="false" customHeight="false" outlineLevel="0" collapsed="false">
      <c r="A39" s="0" t="s">
        <v>291</v>
      </c>
      <c r="B39" s="41" t="n">
        <f aca="false">CHOOSE($C$6,C39,D39,E39)</f>
        <v>1</v>
      </c>
      <c r="C39" s="15" t="n">
        <v>1</v>
      </c>
      <c r="D39" s="15" t="n">
        <v>1.35</v>
      </c>
      <c r="E39" s="15" t="n">
        <v>0.7</v>
      </c>
      <c r="F39" s="23" t="s">
        <v>292</v>
      </c>
      <c r="G39" s="9" t="s">
        <v>293</v>
      </c>
    </row>
    <row r="40" customFormat="false" ht="15" hidden="false" customHeight="false" outlineLevel="0" collapsed="false">
      <c r="A40" s="0" t="s">
        <v>294</v>
      </c>
      <c r="B40" s="41" t="n">
        <f aca="false">CHOOSE($C$6,C40,D40,E40)</f>
        <v>1.7</v>
      </c>
      <c r="C40" s="15" t="n">
        <v>1.7</v>
      </c>
      <c r="D40" s="15" t="n">
        <v>2.4</v>
      </c>
      <c r="E40" s="15" t="n">
        <v>1.2</v>
      </c>
      <c r="F40" s="23" t="s">
        <v>295</v>
      </c>
      <c r="G40" s="9" t="s">
        <v>296</v>
      </c>
    </row>
    <row r="42" customFormat="false" ht="18" hidden="false" customHeight="true" outlineLevel="0" collapsed="false">
      <c r="A42" s="12" t="s">
        <v>380</v>
      </c>
      <c r="B42" s="13"/>
      <c r="C42" s="13"/>
      <c r="D42" s="13"/>
      <c r="E42" s="13"/>
    </row>
    <row r="43" customFormat="false" ht="15" hidden="false" customHeight="false" outlineLevel="0" collapsed="false">
      <c r="A43" s="14" t="s">
        <v>30</v>
      </c>
      <c r="B43" s="14" t="s">
        <v>374</v>
      </c>
      <c r="C43" s="14" t="s">
        <v>370</v>
      </c>
      <c r="D43" s="14" t="s">
        <v>375</v>
      </c>
      <c r="E43" s="14" t="s">
        <v>376</v>
      </c>
      <c r="F43" s="14" t="s">
        <v>32</v>
      </c>
    </row>
    <row r="44" customFormat="false" ht="15" hidden="false" customHeight="false" outlineLevel="0" collapsed="false">
      <c r="A44" s="0" t="s">
        <v>297</v>
      </c>
      <c r="B44" s="40" t="n">
        <f aca="false">CHOOSE($C$6,C44,D44,E44)</f>
        <v>0.72</v>
      </c>
      <c r="C44" s="19" t="n">
        <v>0.72</v>
      </c>
      <c r="D44" s="19" t="n">
        <v>0.85</v>
      </c>
      <c r="E44" s="19" t="n">
        <v>0.55</v>
      </c>
      <c r="F44" s="23" t="s">
        <v>245</v>
      </c>
      <c r="G44" s="9" t="s">
        <v>298</v>
      </c>
    </row>
    <row r="45" customFormat="false" ht="15" hidden="false" customHeight="false" outlineLevel="0" collapsed="false">
      <c r="A45" s="0" t="s">
        <v>299</v>
      </c>
      <c r="B45" s="40" t="n">
        <f aca="false">CHOOSE($C$6,C45,D45,E45)</f>
        <v>0.18</v>
      </c>
      <c r="C45" s="19" t="n">
        <v>0.18</v>
      </c>
      <c r="D45" s="19" t="n">
        <v>0.3</v>
      </c>
      <c r="E45" s="19" t="n">
        <v>0.08</v>
      </c>
      <c r="F45" s="23" t="s">
        <v>300</v>
      </c>
      <c r="G45" s="9" t="s">
        <v>301</v>
      </c>
    </row>
    <row r="46" customFormat="false" ht="15" hidden="false" customHeight="false" outlineLevel="0" collapsed="false">
      <c r="A46" s="0" t="s">
        <v>302</v>
      </c>
      <c r="B46" s="31" t="n">
        <f aca="false">CHOOSE($C$6,C46,D46,E46)</f>
        <v>4</v>
      </c>
      <c r="C46" s="17" t="n">
        <v>4</v>
      </c>
      <c r="D46" s="17" t="n">
        <v>6</v>
      </c>
      <c r="E46" s="17" t="n">
        <v>2</v>
      </c>
      <c r="F46" s="23" t="s">
        <v>303</v>
      </c>
      <c r="G46" s="9" t="s">
        <v>304</v>
      </c>
    </row>
    <row r="47" customFormat="false" ht="15" hidden="false" customHeight="false" outlineLevel="0" collapsed="false">
      <c r="A47" s="0" t="s">
        <v>305</v>
      </c>
      <c r="B47" s="40" t="n">
        <f aca="false">CHOOSE($C$6,C47,D47,E47)</f>
        <v>0.34</v>
      </c>
      <c r="C47" s="19" t="n">
        <v>0.34</v>
      </c>
      <c r="D47" s="19" t="n">
        <v>0.45</v>
      </c>
      <c r="E47" s="19" t="n">
        <v>0.24</v>
      </c>
      <c r="F47" s="23" t="s">
        <v>306</v>
      </c>
      <c r="G47" s="9" t="s">
        <v>307</v>
      </c>
    </row>
    <row r="48" customFormat="false" ht="15" hidden="false" customHeight="false" outlineLevel="0" collapsed="false">
      <c r="A48" s="0" t="s">
        <v>308</v>
      </c>
      <c r="B48" s="41" t="n">
        <f aca="false">CHOOSE($C$6,C48,D48,E48)</f>
        <v>1.06</v>
      </c>
      <c r="C48" s="15" t="n">
        <v>1.06</v>
      </c>
      <c r="D48" s="15" t="n">
        <v>1.04</v>
      </c>
      <c r="E48" s="15" t="n">
        <v>1.1</v>
      </c>
      <c r="F48" s="23" t="s">
        <v>309</v>
      </c>
      <c r="G48" s="9" t="s">
        <v>310</v>
      </c>
    </row>
    <row r="49" customFormat="false" ht="15" hidden="false" customHeight="false" outlineLevel="0" collapsed="false">
      <c r="A49" s="0" t="s">
        <v>311</v>
      </c>
      <c r="B49" s="41" t="n">
        <f aca="false">CHOOSE($C$6,C49,D49,E49)</f>
        <v>0.11</v>
      </c>
      <c r="C49" s="15" t="n">
        <v>0.11</v>
      </c>
      <c r="D49" s="15" t="n">
        <v>0.07</v>
      </c>
      <c r="E49" s="15" t="n">
        <v>0.18</v>
      </c>
      <c r="F49" s="23" t="s">
        <v>309</v>
      </c>
      <c r="G49" s="9" t="s">
        <v>312</v>
      </c>
    </row>
    <row r="50" customFormat="false" ht="15" hidden="false" customHeight="false" outlineLevel="0" collapsed="false">
      <c r="A50" s="0" t="s">
        <v>313</v>
      </c>
      <c r="B50" s="40" t="n">
        <f aca="false">CHOOSE($C$6,C50,D50,E50)</f>
        <v>0.6</v>
      </c>
      <c r="C50" s="19" t="n">
        <v>0.6</v>
      </c>
      <c r="D50" s="19" t="n">
        <v>0.42</v>
      </c>
      <c r="E50" s="19" t="n">
        <v>0.74</v>
      </c>
      <c r="F50" s="23" t="s">
        <v>245</v>
      </c>
      <c r="G50" s="9" t="s">
        <v>314</v>
      </c>
    </row>
    <row r="51" customFormat="false" ht="15" hidden="false" customHeight="false" outlineLevel="0" collapsed="false">
      <c r="A51" s="0" t="s">
        <v>315</v>
      </c>
      <c r="B51" s="40" t="n">
        <f aca="false">CHOOSE($C$6,C51,D51,E51)</f>
        <v>0.25</v>
      </c>
      <c r="C51" s="19" t="n">
        <v>0.25</v>
      </c>
      <c r="D51" s="19" t="n">
        <v>0.3</v>
      </c>
      <c r="E51" s="19" t="n">
        <v>0.18</v>
      </c>
      <c r="F51" s="23" t="s">
        <v>245</v>
      </c>
      <c r="G51" s="9" t="s">
        <v>314</v>
      </c>
    </row>
    <row r="52" customFormat="false" ht="15" hidden="false" customHeight="false" outlineLevel="0" collapsed="false">
      <c r="A52" s="0" t="s">
        <v>316</v>
      </c>
      <c r="B52" s="40" t="n">
        <f aca="false">CHOOSE($C$6,C52,D52,E52)</f>
        <v>0.12</v>
      </c>
      <c r="C52" s="19" t="n">
        <v>0.12</v>
      </c>
      <c r="D52" s="19" t="n">
        <v>0.2</v>
      </c>
      <c r="E52" s="19" t="n">
        <v>0.06</v>
      </c>
      <c r="F52" s="23" t="s">
        <v>245</v>
      </c>
      <c r="G52" s="9" t="s">
        <v>314</v>
      </c>
    </row>
    <row r="53" customFormat="false" ht="15" hidden="false" customHeight="false" outlineLevel="0" collapsed="false">
      <c r="A53" s="0" t="s">
        <v>317</v>
      </c>
      <c r="B53" s="40" t="n">
        <f aca="false">CHOOSE($C$6,C53,D53,E53)</f>
        <v>0.03</v>
      </c>
      <c r="C53" s="19" t="n">
        <v>0.03</v>
      </c>
      <c r="D53" s="19" t="n">
        <v>0.08</v>
      </c>
      <c r="E53" s="19" t="n">
        <v>0.02</v>
      </c>
      <c r="F53" s="23" t="s">
        <v>245</v>
      </c>
      <c r="G53" s="9" t="s">
        <v>314</v>
      </c>
    </row>
    <row r="54" customFormat="false" ht="15" hidden="false" customHeight="false" outlineLevel="0" collapsed="false">
      <c r="A54" s="0" t="s">
        <v>318</v>
      </c>
      <c r="B54" s="31" t="n">
        <f aca="false">CHOOSE($C$6,C54,D54,E54)</f>
        <v>250</v>
      </c>
      <c r="C54" s="17" t="n">
        <v>250</v>
      </c>
      <c r="D54" s="17" t="n">
        <v>300</v>
      </c>
      <c r="E54" s="17" t="n">
        <v>200</v>
      </c>
      <c r="F54" s="23" t="s">
        <v>63</v>
      </c>
      <c r="G54" s="9" t="s">
        <v>319</v>
      </c>
    </row>
    <row r="55" customFormat="false" ht="15" hidden="false" customHeight="false" outlineLevel="0" collapsed="false">
      <c r="A55" s="0" t="s">
        <v>320</v>
      </c>
      <c r="B55" s="31" t="n">
        <f aca="false">CHOOSE($C$6,C55,D55,E55)</f>
        <v>1000</v>
      </c>
      <c r="C55" s="17" t="n">
        <v>1000</v>
      </c>
      <c r="D55" s="17" t="n">
        <v>1100</v>
      </c>
      <c r="E55" s="17" t="n">
        <v>900</v>
      </c>
      <c r="F55" s="23" t="s">
        <v>63</v>
      </c>
      <c r="G55" s="9" t="s">
        <v>319</v>
      </c>
    </row>
    <row r="56" customFormat="false" ht="15" hidden="false" customHeight="false" outlineLevel="0" collapsed="false">
      <c r="A56" s="0" t="s">
        <v>321</v>
      </c>
      <c r="B56" s="31" t="n">
        <f aca="false">CHOOSE($C$6,C56,D56,E56)</f>
        <v>2250</v>
      </c>
      <c r="C56" s="17" t="n">
        <v>2250</v>
      </c>
      <c r="D56" s="17" t="n">
        <v>2400</v>
      </c>
      <c r="E56" s="17" t="n">
        <v>2100</v>
      </c>
      <c r="F56" s="23" t="s">
        <v>63</v>
      </c>
      <c r="G56" s="9" t="s">
        <v>319</v>
      </c>
    </row>
    <row r="57" customFormat="false" ht="15" hidden="false" customHeight="false" outlineLevel="0" collapsed="false">
      <c r="A57" s="0" t="s">
        <v>322</v>
      </c>
      <c r="B57" s="31" t="n">
        <f aca="false">CHOOSE($C$6,C57,D57,E57)</f>
        <v>4000</v>
      </c>
      <c r="C57" s="17" t="n">
        <v>4000</v>
      </c>
      <c r="D57" s="17" t="n">
        <v>4500</v>
      </c>
      <c r="E57" s="17" t="n">
        <v>3600</v>
      </c>
      <c r="F57" s="23" t="s">
        <v>63</v>
      </c>
      <c r="G57" s="9" t="s">
        <v>319</v>
      </c>
    </row>
    <row r="59" customFormat="false" ht="18" hidden="false" customHeight="true" outlineLevel="0" collapsed="false">
      <c r="A59" s="12" t="s">
        <v>381</v>
      </c>
      <c r="B59" s="13"/>
      <c r="C59" s="13"/>
      <c r="D59" s="13"/>
      <c r="E59" s="13"/>
    </row>
    <row r="60" customFormat="false" ht="15" hidden="false" customHeight="false" outlineLevel="0" collapsed="false">
      <c r="A60" s="14" t="s">
        <v>30</v>
      </c>
      <c r="B60" s="14" t="s">
        <v>374</v>
      </c>
      <c r="C60" s="14" t="s">
        <v>370</v>
      </c>
      <c r="D60" s="14" t="s">
        <v>375</v>
      </c>
      <c r="E60" s="14" t="s">
        <v>376</v>
      </c>
      <c r="F60" s="14" t="s">
        <v>32</v>
      </c>
    </row>
    <row r="61" customFormat="false" ht="15" hidden="false" customHeight="false" outlineLevel="0" collapsed="false">
      <c r="A61" s="0" t="s">
        <v>323</v>
      </c>
      <c r="B61" s="40" t="n">
        <f aca="false">CHOOSE($C$6,C61,D61,E61)</f>
        <v>0.5</v>
      </c>
      <c r="C61" s="19" t="n">
        <v>0.5</v>
      </c>
      <c r="D61" s="19" t="n">
        <v>0.7</v>
      </c>
      <c r="E61" s="19" t="n">
        <v>0.3</v>
      </c>
      <c r="F61" s="23" t="s">
        <v>245</v>
      </c>
      <c r="G61" s="9" t="s">
        <v>324</v>
      </c>
    </row>
    <row r="62" customFormat="false" ht="15" hidden="false" customHeight="false" outlineLevel="0" collapsed="false">
      <c r="A62" s="0" t="s">
        <v>325</v>
      </c>
      <c r="B62" s="41" t="n">
        <f aca="false">CHOOSE($C$6,C62,D62,E62)</f>
        <v>0.42</v>
      </c>
      <c r="C62" s="15" t="n">
        <v>0.42</v>
      </c>
      <c r="D62" s="15" t="n">
        <v>0.55</v>
      </c>
      <c r="E62" s="15" t="n">
        <v>0.3</v>
      </c>
      <c r="F62" s="23" t="s">
        <v>326</v>
      </c>
      <c r="G62" s="9" t="s">
        <v>327</v>
      </c>
    </row>
    <row r="63" customFormat="false" ht="15" hidden="false" customHeight="false" outlineLevel="0" collapsed="false">
      <c r="A63" s="0" t="s">
        <v>328</v>
      </c>
      <c r="B63" s="41" t="n">
        <f aca="false">CHOOSE($C$6,C63,D63,E63)</f>
        <v>2.1</v>
      </c>
      <c r="C63" s="15" t="n">
        <v>2.1</v>
      </c>
      <c r="D63" s="15" t="n">
        <v>3.2</v>
      </c>
      <c r="E63" s="15" t="n">
        <v>1.3</v>
      </c>
      <c r="F63" s="23" t="s">
        <v>329</v>
      </c>
      <c r="G63" s="9" t="s">
        <v>330</v>
      </c>
    </row>
    <row r="64" customFormat="false" ht="15" hidden="false" customHeight="false" outlineLevel="0" collapsed="false">
      <c r="A64" s="0" t="s">
        <v>331</v>
      </c>
      <c r="B64" s="40" t="n">
        <f aca="false">CHOOSE($C$6,C64,D64,E64)</f>
        <v>0.08</v>
      </c>
      <c r="C64" s="19" t="n">
        <v>0.08</v>
      </c>
      <c r="D64" s="19" t="n">
        <v>0.15</v>
      </c>
      <c r="E64" s="19" t="n">
        <v>0.04</v>
      </c>
      <c r="F64" s="23" t="s">
        <v>332</v>
      </c>
      <c r="G64" s="9" t="s">
        <v>333</v>
      </c>
    </row>
    <row r="65" customFormat="false" ht="15" hidden="false" customHeight="false" outlineLevel="0" collapsed="false">
      <c r="A65" s="0" t="s">
        <v>334</v>
      </c>
      <c r="B65" s="40" t="n">
        <f aca="false">CHOOSE($C$6,C65,D65,E65)</f>
        <v>0.25</v>
      </c>
      <c r="C65" s="19" t="n">
        <v>0.25</v>
      </c>
      <c r="D65" s="19" t="n">
        <v>0.15</v>
      </c>
      <c r="E65" s="19" t="n">
        <v>0.4</v>
      </c>
      <c r="F65" s="23" t="s">
        <v>242</v>
      </c>
      <c r="G65" s="9" t="s">
        <v>335</v>
      </c>
    </row>
    <row r="66" customFormat="false" ht="15" hidden="false" customHeight="false" outlineLevel="0" collapsed="false">
      <c r="A66" s="0" t="s">
        <v>336</v>
      </c>
      <c r="B66" s="39" t="n">
        <f aca="false">1-(1-'Scenario Parameters'!$B$15)*(1-'Scenario Parameters'!$B$65)^(1/12)</f>
        <v>0.0711362891029878</v>
      </c>
      <c r="F66" s="23" t="s">
        <v>248</v>
      </c>
      <c r="G66" s="9" t="s">
        <v>337</v>
      </c>
    </row>
    <row r="67" customFormat="false" ht="15" hidden="false" customHeight="false" outlineLevel="0" collapsed="false">
      <c r="A67" s="0" t="s">
        <v>338</v>
      </c>
      <c r="B67" s="31" t="n">
        <f aca="false">CHOOSE($C$6,C67,D67,E67)</f>
        <v>0</v>
      </c>
      <c r="C67" s="17" t="n">
        <v>0</v>
      </c>
      <c r="D67" s="17" t="n">
        <v>0</v>
      </c>
      <c r="E67" s="17" t="n">
        <v>0</v>
      </c>
      <c r="F67" s="23" t="s">
        <v>339</v>
      </c>
      <c r="G67" s="9" t="s">
        <v>340</v>
      </c>
    </row>
    <row r="68" customFormat="false" ht="15" hidden="false" customHeight="false" outlineLevel="0" collapsed="false">
      <c r="A68" s="0" t="s">
        <v>341</v>
      </c>
      <c r="B68" s="31" t="n">
        <f aca="false">CHOOSE($C$6,C68,D68,E68)</f>
        <v>1</v>
      </c>
      <c r="C68" s="17" t="n">
        <v>1</v>
      </c>
      <c r="D68" s="17" t="n">
        <v>2</v>
      </c>
      <c r="E68" s="17" t="n">
        <v>1</v>
      </c>
      <c r="F68" s="23" t="s">
        <v>339</v>
      </c>
      <c r="G68" s="9" t="s">
        <v>340</v>
      </c>
    </row>
    <row r="69" customFormat="false" ht="15" hidden="false" customHeight="false" outlineLevel="0" collapsed="false">
      <c r="A69" s="0" t="s">
        <v>342</v>
      </c>
      <c r="B69" s="31" t="n">
        <f aca="false">CHOOSE($C$6,C69,D69,E69)</f>
        <v>3</v>
      </c>
      <c r="C69" s="17" t="n">
        <v>3</v>
      </c>
      <c r="D69" s="17" t="n">
        <v>5</v>
      </c>
      <c r="E69" s="17" t="n">
        <v>1</v>
      </c>
      <c r="F69" s="23" t="s">
        <v>339</v>
      </c>
      <c r="G69" s="9" t="s">
        <v>340</v>
      </c>
    </row>
    <row r="70" customFormat="false" ht="15" hidden="false" customHeight="false" outlineLevel="0" collapsed="false">
      <c r="A70" s="0" t="s">
        <v>343</v>
      </c>
      <c r="B70" s="31" t="n">
        <f aca="false">CHOOSE($C$6,C70,D70,E70)</f>
        <v>5</v>
      </c>
      <c r="C70" s="17" t="n">
        <v>5</v>
      </c>
      <c r="D70" s="17" t="n">
        <v>8</v>
      </c>
      <c r="E70" s="17" t="n">
        <v>2</v>
      </c>
      <c r="F70" s="23" t="s">
        <v>339</v>
      </c>
      <c r="G70" s="9" t="s">
        <v>340</v>
      </c>
    </row>
    <row r="71" customFormat="false" ht="15" hidden="false" customHeight="false" outlineLevel="0" collapsed="false">
      <c r="A71" s="0" t="s">
        <v>344</v>
      </c>
      <c r="B71" s="31" t="n">
        <f aca="false">CHOOSE($C$6,C71,D71,E71)</f>
        <v>7</v>
      </c>
      <c r="C71" s="17" t="n">
        <v>7</v>
      </c>
      <c r="D71" s="17" t="n">
        <v>11</v>
      </c>
      <c r="E71" s="17" t="n">
        <v>3</v>
      </c>
      <c r="F71" s="23" t="s">
        <v>339</v>
      </c>
      <c r="G71" s="9" t="s">
        <v>340</v>
      </c>
    </row>
    <row r="72" customFormat="false" ht="15" hidden="false" customHeight="false" outlineLevel="0" collapsed="false">
      <c r="A72" s="0" t="s">
        <v>345</v>
      </c>
      <c r="B72" s="31" t="n">
        <f aca="false">CHOOSE($C$6,C72,D72,E72)</f>
        <v>9</v>
      </c>
      <c r="C72" s="17" t="n">
        <v>9</v>
      </c>
      <c r="D72" s="17" t="n">
        <v>14</v>
      </c>
      <c r="E72" s="17" t="n">
        <v>4</v>
      </c>
      <c r="F72" s="23" t="s">
        <v>339</v>
      </c>
      <c r="G72" s="9" t="s">
        <v>340</v>
      </c>
    </row>
    <row r="73" customFormat="false" ht="15" hidden="false" customHeight="false" outlineLevel="0" collapsed="false">
      <c r="A73" s="0" t="s">
        <v>346</v>
      </c>
      <c r="B73" s="31" t="n">
        <f aca="false">CHOOSE($C$6,C73,D73,E73)</f>
        <v>11</v>
      </c>
      <c r="C73" s="17" t="n">
        <v>11</v>
      </c>
      <c r="D73" s="17" t="n">
        <v>17</v>
      </c>
      <c r="E73" s="17" t="n">
        <v>5</v>
      </c>
      <c r="F73" s="23" t="s">
        <v>339</v>
      </c>
      <c r="G73" s="9" t="s">
        <v>340</v>
      </c>
    </row>
    <row r="74" customFormat="false" ht="15" hidden="false" customHeight="false" outlineLevel="0" collapsed="false">
      <c r="A74" s="0" t="s">
        <v>347</v>
      </c>
      <c r="B74" s="31" t="n">
        <f aca="false">CHOOSE($C$6,C74,D74,E74)</f>
        <v>900000</v>
      </c>
      <c r="C74" s="17" t="n">
        <v>900000</v>
      </c>
      <c r="D74" s="17" t="n">
        <v>1400000</v>
      </c>
      <c r="E74" s="17" t="n">
        <v>500000</v>
      </c>
      <c r="F74" s="23" t="s">
        <v>348</v>
      </c>
      <c r="G74" s="9" t="s">
        <v>349</v>
      </c>
    </row>
    <row r="75" customFormat="false" ht="15" hidden="false" customHeight="false" outlineLevel="0" collapsed="false">
      <c r="A75" s="0" t="s">
        <v>350</v>
      </c>
      <c r="B75" s="40" t="n">
        <f aca="false">CHOOSE($C$6,C75,D75,E75)</f>
        <v>0.06</v>
      </c>
      <c r="C75" s="19" t="n">
        <v>0.06</v>
      </c>
      <c r="D75" s="19" t="n">
        <v>0.1</v>
      </c>
      <c r="E75" s="19" t="n">
        <v>0.03</v>
      </c>
      <c r="F75" s="23" t="s">
        <v>351</v>
      </c>
      <c r="G75" s="9" t="s">
        <v>352</v>
      </c>
    </row>
    <row r="76" customFormat="false" ht="15" hidden="false" customHeight="false" outlineLevel="0" collapsed="false">
      <c r="A76" s="0" t="s">
        <v>353</v>
      </c>
      <c r="B76" s="42" t="n">
        <f aca="false">CHOOSE($C$6,C76,D76,E76)</f>
        <v>350</v>
      </c>
      <c r="C76" s="20" t="n">
        <v>350</v>
      </c>
      <c r="D76" s="20" t="n">
        <v>500</v>
      </c>
      <c r="E76" s="20" t="n">
        <v>220</v>
      </c>
      <c r="F76" s="23" t="s">
        <v>114</v>
      </c>
      <c r="G76" s="9" t="s">
        <v>354</v>
      </c>
    </row>
    <row r="77" customFormat="false" ht="15" hidden="false" customHeight="false" outlineLevel="0" collapsed="false">
      <c r="A77" s="0" t="s">
        <v>355</v>
      </c>
      <c r="B77" s="42" t="n">
        <f aca="false">'Scenario Parameters'!$B$74*'Scenario Parameters'!$B$75*'Scenario Parameters'!$B$76</f>
        <v>18900000</v>
      </c>
      <c r="F77" s="23" t="s">
        <v>114</v>
      </c>
      <c r="G77" s="9" t="s">
        <v>356</v>
      </c>
    </row>
    <row r="79" customFormat="false" ht="18" hidden="false" customHeight="true" outlineLevel="0" collapsed="false">
      <c r="A79" s="12" t="s">
        <v>382</v>
      </c>
      <c r="B79" s="13"/>
      <c r="C79" s="13"/>
      <c r="D79" s="13"/>
      <c r="E79" s="13"/>
    </row>
    <row r="80" customFormat="false" ht="15" hidden="false" customHeight="false" outlineLevel="0" collapsed="false">
      <c r="A80" s="14" t="s">
        <v>30</v>
      </c>
      <c r="B80" s="14" t="s">
        <v>374</v>
      </c>
      <c r="C80" s="14" t="s">
        <v>370</v>
      </c>
      <c r="D80" s="14" t="s">
        <v>375</v>
      </c>
      <c r="E80" s="14" t="s">
        <v>376</v>
      </c>
      <c r="F80" s="14" t="s">
        <v>32</v>
      </c>
    </row>
    <row r="81" customFormat="false" ht="15" hidden="false" customHeight="false" outlineLevel="0" collapsed="false">
      <c r="A81" s="0" t="s">
        <v>357</v>
      </c>
      <c r="B81" s="42" t="n">
        <f aca="false">CHOOSE($C$6,C81,D81,E81)</f>
        <v>33.6</v>
      </c>
      <c r="C81" s="20" t="n">
        <v>33.6</v>
      </c>
      <c r="D81" s="20" t="n">
        <v>41</v>
      </c>
      <c r="E81" s="20" t="n">
        <v>26.5</v>
      </c>
      <c r="F81" s="23" t="s">
        <v>108</v>
      </c>
      <c r="G81" s="9" t="s">
        <v>358</v>
      </c>
    </row>
    <row r="82" customFormat="false" ht="15" hidden="false" customHeight="false" outlineLevel="0" collapsed="false">
      <c r="A82" s="0" t="s">
        <v>359</v>
      </c>
      <c r="B82" s="42" t="n">
        <f aca="false">CHOOSE($C$6,C82,D82,E82)</f>
        <v>26</v>
      </c>
      <c r="C82" s="20" t="n">
        <v>26</v>
      </c>
      <c r="D82" s="20" t="n">
        <v>32</v>
      </c>
      <c r="E82" s="20" t="n">
        <v>21</v>
      </c>
      <c r="F82" s="23" t="s">
        <v>108</v>
      </c>
      <c r="G82" s="9" t="s">
        <v>358</v>
      </c>
    </row>
    <row r="83" customFormat="false" ht="15" hidden="false" customHeight="false" outlineLevel="0" collapsed="false">
      <c r="A83" s="0" t="s">
        <v>360</v>
      </c>
      <c r="B83" s="42" t="n">
        <f aca="false">CHOOSE($C$6,C83,D83,E83)</f>
        <v>30</v>
      </c>
      <c r="C83" s="20" t="n">
        <v>30</v>
      </c>
      <c r="D83" s="20" t="n">
        <v>36</v>
      </c>
      <c r="E83" s="20" t="n">
        <v>24</v>
      </c>
      <c r="F83" s="23" t="s">
        <v>108</v>
      </c>
      <c r="G83" s="9" t="s">
        <v>358</v>
      </c>
    </row>
    <row r="85" customFormat="false" ht="18" hidden="false" customHeight="true" outlineLevel="0" collapsed="false">
      <c r="A85" s="12" t="s">
        <v>383</v>
      </c>
      <c r="B85" s="13"/>
      <c r="C85" s="13"/>
      <c r="D85" s="13"/>
      <c r="E85" s="13"/>
    </row>
    <row r="86" customFormat="false" ht="15" hidden="false" customHeight="false" outlineLevel="0" collapsed="false">
      <c r="A86" s="14" t="s">
        <v>384</v>
      </c>
      <c r="B86" s="14" t="s">
        <v>385</v>
      </c>
      <c r="C86" s="14" t="s">
        <v>386</v>
      </c>
      <c r="D86" s="14" t="s">
        <v>387</v>
      </c>
    </row>
    <row r="87" customFormat="false" ht="15" hidden="false" customHeight="false" outlineLevel="0" collapsed="false">
      <c r="A87" s="0" t="s">
        <v>361</v>
      </c>
      <c r="B87" s="31" t="n">
        <f aca="false">IF($C$87="Prepaid",1,0)</f>
        <v>0</v>
      </c>
      <c r="C87" s="38" t="s">
        <v>388</v>
      </c>
      <c r="D87" s="23" t="s">
        <v>389</v>
      </c>
      <c r="G87" s="9" t="s">
        <v>363</v>
      </c>
    </row>
    <row r="88" customFormat="false" ht="15" hidden="false" customHeight="false" outlineLevel="0" collapsed="false">
      <c r="A88" s="0" t="s">
        <v>364</v>
      </c>
      <c r="B88" s="31" t="n">
        <f aca="false">IF($C$88="ON",1,0)</f>
        <v>1</v>
      </c>
      <c r="C88" s="38" t="s">
        <v>390</v>
      </c>
      <c r="D88" s="23" t="s">
        <v>390</v>
      </c>
      <c r="G88" s="9" t="s">
        <v>365</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87" type="list">
      <formula1>"Credit,Prepaid"</formula1>
      <formula2>0</formula2>
    </dataValidation>
    <dataValidation allowBlank="false" errorStyle="stop" operator="between" showDropDown="false" showErrorMessage="false" showInputMessage="false" sqref="C88"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391</v>
      </c>
      <c r="B2" s="23" t="s">
        <v>392</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393</v>
      </c>
      <c r="B3" s="23" t="s">
        <v>207</v>
      </c>
      <c r="C3" s="43" t="s">
        <v>394</v>
      </c>
      <c r="D3" s="43" t="s">
        <v>395</v>
      </c>
      <c r="E3" s="43" t="s">
        <v>396</v>
      </c>
      <c r="F3" s="43" t="s">
        <v>397</v>
      </c>
      <c r="G3" s="43" t="s">
        <v>398</v>
      </c>
      <c r="H3" s="43" t="s">
        <v>399</v>
      </c>
      <c r="I3" s="43" t="s">
        <v>400</v>
      </c>
      <c r="J3" s="43" t="s">
        <v>401</v>
      </c>
      <c r="K3" s="43" t="s">
        <v>402</v>
      </c>
      <c r="L3" s="43" t="s">
        <v>403</v>
      </c>
      <c r="M3" s="43" t="s">
        <v>404</v>
      </c>
      <c r="N3" s="43" t="s">
        <v>405</v>
      </c>
      <c r="O3" s="43" t="s">
        <v>406</v>
      </c>
      <c r="P3" s="43" t="s">
        <v>407</v>
      </c>
      <c r="Q3" s="43" t="s">
        <v>408</v>
      </c>
      <c r="R3" s="43" t="s">
        <v>409</v>
      </c>
      <c r="S3" s="43" t="s">
        <v>410</v>
      </c>
      <c r="T3" s="43" t="s">
        <v>411</v>
      </c>
      <c r="U3" s="43" t="s">
        <v>412</v>
      </c>
      <c r="V3" s="43" t="s">
        <v>413</v>
      </c>
      <c r="W3" s="43" t="s">
        <v>414</v>
      </c>
      <c r="X3" s="43" t="s">
        <v>415</v>
      </c>
      <c r="Y3" s="43" t="s">
        <v>416</v>
      </c>
      <c r="Z3" s="43" t="s">
        <v>417</v>
      </c>
      <c r="AA3" s="43" t="s">
        <v>418</v>
      </c>
      <c r="AB3" s="43" t="s">
        <v>419</v>
      </c>
      <c r="AC3" s="43" t="s">
        <v>420</v>
      </c>
      <c r="AD3" s="43" t="s">
        <v>421</v>
      </c>
      <c r="AE3" s="43" t="s">
        <v>422</v>
      </c>
    </row>
    <row r="4" customFormat="false" ht="15" hidden="false" customHeight="false" outlineLevel="0" collapsed="false">
      <c r="A4" s="6" t="s">
        <v>423</v>
      </c>
      <c r="B4" s="23" t="s">
        <v>207</v>
      </c>
      <c r="C4" s="44" t="s">
        <v>424</v>
      </c>
      <c r="D4" s="44" t="s">
        <v>424</v>
      </c>
      <c r="E4" s="44" t="s">
        <v>424</v>
      </c>
      <c r="F4" s="44" t="s">
        <v>424</v>
      </c>
      <c r="G4" s="44" t="s">
        <v>424</v>
      </c>
      <c r="H4" s="44" t="s">
        <v>424</v>
      </c>
      <c r="I4" s="44" t="s">
        <v>424</v>
      </c>
      <c r="J4" s="44" t="s">
        <v>424</v>
      </c>
      <c r="K4" s="44" t="s">
        <v>424</v>
      </c>
      <c r="L4" s="44" t="s">
        <v>424</v>
      </c>
      <c r="M4" s="44" t="s">
        <v>424</v>
      </c>
      <c r="N4" s="44" t="s">
        <v>424</v>
      </c>
      <c r="O4" s="44" t="s">
        <v>424</v>
      </c>
      <c r="P4" s="44" t="s">
        <v>424</v>
      </c>
      <c r="Q4" s="44" t="s">
        <v>424</v>
      </c>
      <c r="R4" s="44" t="s">
        <v>424</v>
      </c>
      <c r="S4" s="44" t="s">
        <v>424</v>
      </c>
      <c r="T4" s="44" t="s">
        <v>424</v>
      </c>
      <c r="U4" s="44" t="s">
        <v>424</v>
      </c>
      <c r="V4" s="44" t="s">
        <v>424</v>
      </c>
      <c r="W4" s="44" t="s">
        <v>424</v>
      </c>
      <c r="X4" s="44" t="s">
        <v>424</v>
      </c>
      <c r="Y4" s="44" t="s">
        <v>424</v>
      </c>
      <c r="Z4" s="44" t="s">
        <v>424</v>
      </c>
      <c r="AA4" s="44" t="s">
        <v>425</v>
      </c>
      <c r="AB4" s="44" t="s">
        <v>425</v>
      </c>
      <c r="AC4" s="44" t="s">
        <v>425</v>
      </c>
      <c r="AD4" s="44" t="s">
        <v>425</v>
      </c>
      <c r="AE4" s="44" t="s">
        <v>425</v>
      </c>
    </row>
    <row r="5" customFormat="false" ht="15" hidden="false" customHeight="false" outlineLevel="0" collapsed="false">
      <c r="A5" s="6" t="s">
        <v>426</v>
      </c>
      <c r="B5" s="23" t="s">
        <v>427</v>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ustomFormat="false" ht="15" hidden="false" customHeight="false" outlineLevel="0" collapsed="false">
      <c r="A6" s="6" t="s">
        <v>428</v>
      </c>
      <c r="B6" s="23" t="s">
        <v>429</v>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ustomFormat="false" ht="15" hidden="false" customHeight="false" outlineLevel="0" collapsed="false">
      <c r="A7" s="6" t="s">
        <v>430</v>
      </c>
      <c r="B7" s="23" t="s">
        <v>278</v>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ustomFormat="false" ht="15" hidden="false" customHeight="false" outlineLevel="0" collapsed="false">
      <c r="A8" s="6" t="s">
        <v>431</v>
      </c>
      <c r="B8" s="23" t="s">
        <v>432</v>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ustomFormat="false" ht="15" hidden="false" customHeight="false" outlineLevel="0" collapsed="false">
      <c r="A10" s="46" t="s">
        <v>433</v>
      </c>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row>
    <row r="11" customFormat="false" ht="15" hidden="false" customHeight="false" outlineLevel="0" collapsed="false">
      <c r="A11" s="0" t="s">
        <v>434</v>
      </c>
      <c r="B11" s="23" t="s">
        <v>435</v>
      </c>
      <c r="C11" s="48" t="n">
        <f aca="false">(1+(Assumptions!$F$61-1)*Assumptions!$B$133)*12/SUMPRODUCT(1+(Assumptions!$F$61:$Q$61-1)*Assumptions!$B$133)</f>
        <v>1.01</v>
      </c>
      <c r="D11" s="48" t="n">
        <f aca="false">(1+(Assumptions!$G$61-1)*Assumptions!$B$133)*12/SUMPRODUCT(1+(Assumptions!$F$61:$Q$61-1)*Assumptions!$B$133)</f>
        <v>0.96</v>
      </c>
      <c r="E11" s="48" t="n">
        <f aca="false">(1+(Assumptions!$H$61-1)*Assumptions!$B$133)*12/SUMPRODUCT(1+(Assumptions!$F$61:$Q$61-1)*Assumptions!$B$133)</f>
        <v>0.92</v>
      </c>
      <c r="F11" s="48" t="n">
        <f aca="false">(1+(Assumptions!$I$61-1)*Assumptions!$B$133)*12/SUMPRODUCT(1+(Assumptions!$F$61:$Q$61-1)*Assumptions!$B$133)</f>
        <v>1.15</v>
      </c>
      <c r="G11" s="48" t="n">
        <f aca="false">(1+(Assumptions!$J$61-1)*Assumptions!$B$133)*12/SUMPRODUCT(1+(Assumptions!$F$61:$Q$61-1)*Assumptions!$B$133)</f>
        <v>1.04</v>
      </c>
      <c r="H11" s="48" t="n">
        <f aca="false">(1+(Assumptions!$K$61-1)*Assumptions!$B$133)*12/SUMPRODUCT(1+(Assumptions!$F$61:$Q$61-1)*Assumptions!$B$133)</f>
        <v>0.88</v>
      </c>
      <c r="I11" s="48" t="n">
        <f aca="false">(1+(Assumptions!$L$61-1)*Assumptions!$B$133)*12/SUMPRODUCT(1+(Assumptions!$F$61:$Q$61-1)*Assumptions!$B$133)</f>
        <v>0.85</v>
      </c>
      <c r="J11" s="48" t="n">
        <f aca="false">(1+(Assumptions!$M$61-1)*Assumptions!$B$133)*12/SUMPRODUCT(1+(Assumptions!$F$61:$Q$61-1)*Assumptions!$B$133)</f>
        <v>0.85</v>
      </c>
      <c r="K11" s="48" t="n">
        <f aca="false">(1+(Assumptions!$N$61-1)*Assumptions!$B$133)*12/SUMPRODUCT(1+(Assumptions!$F$61:$Q$61-1)*Assumptions!$B$133)</f>
        <v>0.93</v>
      </c>
      <c r="L11" s="48" t="n">
        <f aca="false">(1+(Assumptions!$O$61-1)*Assumptions!$B$133)*12/SUMPRODUCT(1+(Assumptions!$F$61:$Q$61-1)*Assumptions!$B$133)</f>
        <v>1.25</v>
      </c>
      <c r="M11" s="48" t="n">
        <f aca="false">(1+(Assumptions!$P$61-1)*Assumptions!$B$133)*12/SUMPRODUCT(1+(Assumptions!$F$61:$Q$61-1)*Assumptions!$B$133)</f>
        <v>1.15</v>
      </c>
      <c r="N11" s="48" t="n">
        <f aca="false">(1+(Assumptions!$Q$61-1)*Assumptions!$B$133)*12/SUMPRODUCT(1+(Assumptions!$F$61:$Q$61-1)*Assumptions!$B$133)</f>
        <v>1.01</v>
      </c>
    </row>
    <row r="12" customFormat="false" ht="15" hidden="false" customHeight="false" outlineLevel="0" collapsed="false">
      <c r="A12" s="0" t="s">
        <v>436</v>
      </c>
      <c r="B12" s="23" t="s">
        <v>435</v>
      </c>
      <c r="C12" s="48" t="n">
        <f aca="false">(1+(Assumptions!$F$62-1)*Assumptions!$B$133)*12/SUMPRODUCT(1+(Assumptions!$F$62:$Q$62-1)*Assumptions!$B$133)</f>
        <v>1.1</v>
      </c>
      <c r="D12" s="48" t="n">
        <f aca="false">(1+(Assumptions!$G$62-1)*Assumptions!$B$133)*12/SUMPRODUCT(1+(Assumptions!$F$62:$Q$62-1)*Assumptions!$B$133)</f>
        <v>1</v>
      </c>
      <c r="E12" s="48" t="n">
        <f aca="false">(1+(Assumptions!$H$62-1)*Assumptions!$B$133)*12/SUMPRODUCT(1+(Assumptions!$F$62:$Q$62-1)*Assumptions!$B$133)</f>
        <v>0.98</v>
      </c>
      <c r="F12" s="48" t="n">
        <f aca="false">(1+(Assumptions!$I$62-1)*Assumptions!$B$133)*12/SUMPRODUCT(1+(Assumptions!$F$62:$Q$62-1)*Assumptions!$B$133)</f>
        <v>0.98</v>
      </c>
      <c r="G12" s="48" t="n">
        <f aca="false">(1+(Assumptions!$J$62-1)*Assumptions!$B$133)*12/SUMPRODUCT(1+(Assumptions!$F$62:$Q$62-1)*Assumptions!$B$133)</f>
        <v>1</v>
      </c>
      <c r="H12" s="48" t="n">
        <f aca="false">(1+(Assumptions!$K$62-1)*Assumptions!$B$133)*12/SUMPRODUCT(1+(Assumptions!$F$62:$Q$62-1)*Assumptions!$B$133)</f>
        <v>0.95</v>
      </c>
      <c r="I12" s="48" t="n">
        <f aca="false">(1+(Assumptions!$L$62-1)*Assumptions!$B$133)*12/SUMPRODUCT(1+(Assumptions!$F$62:$Q$62-1)*Assumptions!$B$133)</f>
        <v>0.88</v>
      </c>
      <c r="J12" s="48" t="n">
        <f aca="false">(1+(Assumptions!$M$62-1)*Assumptions!$B$133)*12/SUMPRODUCT(1+(Assumptions!$F$62:$Q$62-1)*Assumptions!$B$133)</f>
        <v>0.9</v>
      </c>
      <c r="K12" s="48" t="n">
        <f aca="false">(1+(Assumptions!$N$62-1)*Assumptions!$B$133)*12/SUMPRODUCT(1+(Assumptions!$F$62:$Q$62-1)*Assumptions!$B$133)</f>
        <v>1</v>
      </c>
      <c r="L12" s="48" t="n">
        <f aca="false">(1+(Assumptions!$O$62-1)*Assumptions!$B$133)*12/SUMPRODUCT(1+(Assumptions!$F$62:$Q$62-1)*Assumptions!$B$133)</f>
        <v>1.02</v>
      </c>
      <c r="M12" s="48" t="n">
        <f aca="false">(1+(Assumptions!$P$62-1)*Assumptions!$B$133)*12/SUMPRODUCT(1+(Assumptions!$F$62:$Q$62-1)*Assumptions!$B$133)</f>
        <v>1.05</v>
      </c>
      <c r="N12" s="48" t="n">
        <f aca="false">(1+(Assumptions!$Q$62-1)*Assumptions!$B$133)*12/SUMPRODUCT(1+(Assumptions!$F$62:$Q$62-1)*Assumptions!$B$133)</f>
        <v>1.14</v>
      </c>
    </row>
    <row r="13" customFormat="false" ht="15" hidden="false" customHeight="false" outlineLevel="0" collapsed="false">
      <c r="A13" s="0" t="s">
        <v>437</v>
      </c>
      <c r="B13" s="23" t="s">
        <v>435</v>
      </c>
      <c r="C13" s="49" t="n">
        <f aca="false">Assumptions!$F$63/AVERAGE(Assumptions!$F$63:$Q$63)*Assumptions!$B$145</f>
        <v>0.256603773584906</v>
      </c>
      <c r="D13" s="49" t="n">
        <f aca="false">Assumptions!$G$63/AVERAGE(Assumptions!$F$63:$Q$63)*Assumptions!$B$145</f>
        <v>0.256603773584906</v>
      </c>
      <c r="E13" s="49" t="n">
        <f aca="false">Assumptions!$H$63/AVERAGE(Assumptions!$F$63:$Q$63)*Assumptions!$B$145</f>
        <v>0.256603773584906</v>
      </c>
      <c r="F13" s="49" t="n">
        <f aca="false">Assumptions!$I$63/AVERAGE(Assumptions!$F$63:$Q$63)*Assumptions!$B$145</f>
        <v>0.273710691823899</v>
      </c>
      <c r="G13" s="49" t="n">
        <f aca="false">Assumptions!$J$63/AVERAGE(Assumptions!$F$63:$Q$63)*Assumptions!$B$145</f>
        <v>0.290817610062893</v>
      </c>
      <c r="H13" s="49" t="n">
        <f aca="false">Assumptions!$K$63/AVERAGE(Assumptions!$F$63:$Q$63)*Assumptions!$B$145</f>
        <v>0.470440251572327</v>
      </c>
      <c r="I13" s="49" t="n">
        <f aca="false">Assumptions!$L$63/AVERAGE(Assumptions!$F$63:$Q$63)*Assumptions!$B$145</f>
        <v>0.513207547169811</v>
      </c>
      <c r="J13" s="49" t="n">
        <f aca="false">Assumptions!$M$63/AVERAGE(Assumptions!$F$63:$Q$63)*Assumptions!$B$145</f>
        <v>0.478993710691824</v>
      </c>
      <c r="K13" s="49" t="n">
        <f aca="false">Assumptions!$N$63/AVERAGE(Assumptions!$F$63:$Q$63)*Assumptions!$B$145</f>
        <v>0.307924528301887</v>
      </c>
      <c r="L13" s="49" t="n">
        <f aca="false">Assumptions!$O$63/AVERAGE(Assumptions!$F$63:$Q$63)*Assumptions!$B$145</f>
        <v>0.359245283018868</v>
      </c>
      <c r="M13" s="49" t="n">
        <f aca="false">Assumptions!$P$63/AVERAGE(Assumptions!$F$63:$Q$63)*Assumptions!$B$145</f>
        <v>0.342138364779874</v>
      </c>
      <c r="N13" s="49" t="n">
        <f aca="false">Assumptions!$Q$63/AVERAGE(Assumptions!$F$63:$Q$63)*Assumptions!$B$145</f>
        <v>0.273710691823899</v>
      </c>
    </row>
    <row r="14" customFormat="false" ht="15" hidden="false" customHeight="false" outlineLevel="0" collapsed="false">
      <c r="A14" s="3" t="s">
        <v>438</v>
      </c>
      <c r="B14" s="23" t="s">
        <v>439</v>
      </c>
      <c r="C14" s="50" t="n">
        <f aca="false">SUM($C$11:$N$11)</f>
        <v>12</v>
      </c>
      <c r="D14" s="50" t="n">
        <f aca="false">SUM($C$12:$N$12)</f>
        <v>12</v>
      </c>
    </row>
    <row r="15" customFormat="false" ht="15" hidden="false" customHeight="false" outlineLevel="0" collapsed="false">
      <c r="A15" s="6" t="s">
        <v>440</v>
      </c>
      <c r="B15" s="23" t="s">
        <v>441</v>
      </c>
      <c r="C15" s="51" t="n">
        <f aca="false">IF(C7=1,INDEX($C$11:$N$11,1,C6),1)</f>
        <v>1.01</v>
      </c>
      <c r="D15" s="51" t="n">
        <f aca="false">IF(D7=1,INDEX($C$11:$N$11,1,D6),1)</f>
        <v>0.96</v>
      </c>
      <c r="E15" s="51" t="n">
        <f aca="false">IF(E7=1,INDEX($C$11:$N$11,1,E6),1)</f>
        <v>0.92</v>
      </c>
      <c r="F15" s="51" t="n">
        <f aca="false">IF(F7=1,INDEX($C$11:$N$11,1,F6),1)</f>
        <v>1.15</v>
      </c>
      <c r="G15" s="51" t="n">
        <f aca="false">IF(G7=1,INDEX($C$11:$N$11,1,G6),1)</f>
        <v>1.04</v>
      </c>
      <c r="H15" s="51" t="n">
        <f aca="false">IF(H7=1,INDEX($C$11:$N$11,1,H6),1)</f>
        <v>0.88</v>
      </c>
      <c r="I15" s="51" t="n">
        <f aca="false">IF(I7=1,INDEX($C$11:$N$11,1,I6),1)</f>
        <v>0.85</v>
      </c>
      <c r="J15" s="51" t="n">
        <f aca="false">IF(J7=1,INDEX($C$11:$N$11,1,J6),1)</f>
        <v>0.85</v>
      </c>
      <c r="K15" s="51" t="n">
        <f aca="false">IF(K7=1,INDEX($C$11:$N$11,1,K6),1)</f>
        <v>0.93</v>
      </c>
      <c r="L15" s="51" t="n">
        <f aca="false">IF(L7=1,INDEX($C$11:$N$11,1,L6),1)</f>
        <v>1.25</v>
      </c>
      <c r="M15" s="51" t="n">
        <f aca="false">IF(M7=1,INDEX($C$11:$N$11,1,M6),1)</f>
        <v>1.15</v>
      </c>
      <c r="N15" s="51" t="n">
        <f aca="false">IF(N7=1,INDEX($C$11:$N$11,1,N6),1)</f>
        <v>1.01</v>
      </c>
      <c r="O15" s="51" t="n">
        <f aca="false">IF(O7=1,INDEX($C$11:$N$11,1,O6),1)</f>
        <v>1.01</v>
      </c>
      <c r="P15" s="51" t="n">
        <f aca="false">IF(P7=1,INDEX($C$11:$N$11,1,P6),1)</f>
        <v>0.96</v>
      </c>
      <c r="Q15" s="51" t="n">
        <f aca="false">IF(Q7=1,INDEX($C$11:$N$11,1,Q6),1)</f>
        <v>0.92</v>
      </c>
      <c r="R15" s="51" t="n">
        <f aca="false">IF(R7=1,INDEX($C$11:$N$11,1,R6),1)</f>
        <v>1.15</v>
      </c>
      <c r="S15" s="51" t="n">
        <f aca="false">IF(S7=1,INDEX($C$11:$N$11,1,S6),1)</f>
        <v>1.04</v>
      </c>
      <c r="T15" s="51" t="n">
        <f aca="false">IF(T7=1,INDEX($C$11:$N$11,1,T6),1)</f>
        <v>0.88</v>
      </c>
      <c r="U15" s="51" t="n">
        <f aca="false">IF(U7=1,INDEX($C$11:$N$11,1,U6),1)</f>
        <v>0.85</v>
      </c>
      <c r="V15" s="51" t="n">
        <f aca="false">IF(V7=1,INDEX($C$11:$N$11,1,V6),1)</f>
        <v>0.85</v>
      </c>
      <c r="W15" s="51" t="n">
        <f aca="false">IF(W7=1,INDEX($C$11:$N$11,1,W6),1)</f>
        <v>0.93</v>
      </c>
      <c r="X15" s="51" t="n">
        <f aca="false">IF(X7=1,INDEX($C$11:$N$11,1,X6),1)</f>
        <v>1.25</v>
      </c>
      <c r="Y15" s="51" t="n">
        <f aca="false">IF(Y7=1,INDEX($C$11:$N$11,1,Y6),1)</f>
        <v>1.15</v>
      </c>
      <c r="Z15" s="51" t="n">
        <f aca="false">IF(Z7=1,INDEX($C$11:$N$11,1,Z6),1)</f>
        <v>1.01</v>
      </c>
      <c r="AA15" s="51" t="n">
        <f aca="false">IF(AA7=1,INDEX($C$11:$N$11,1,AA6),1)</f>
        <v>1</v>
      </c>
      <c r="AB15" s="51" t="n">
        <f aca="false">IF(AB7=1,INDEX($C$11:$N$11,1,AB6),1)</f>
        <v>1</v>
      </c>
      <c r="AC15" s="51" t="n">
        <f aca="false">IF(AC7=1,INDEX($C$11:$N$11,1,AC6),1)</f>
        <v>1</v>
      </c>
      <c r="AD15" s="51" t="n">
        <f aca="false">IF(AD7=1,INDEX($C$11:$N$11,1,AD6),1)</f>
        <v>1</v>
      </c>
      <c r="AE15" s="51" t="n">
        <f aca="false">IF(AE7=1,INDEX($C$11:$N$11,1,AE6),1)</f>
        <v>1</v>
      </c>
    </row>
    <row r="16" customFormat="false" ht="15" hidden="false" customHeight="false" outlineLevel="0" collapsed="false">
      <c r="A16" s="6" t="s">
        <v>442</v>
      </c>
      <c r="B16" s="23" t="s">
        <v>441</v>
      </c>
      <c r="C16" s="51" t="n">
        <f aca="false">IF(C7=1,INDEX($C$12:$N$12,1,C6),1)</f>
        <v>1.1</v>
      </c>
      <c r="D16" s="51" t="n">
        <f aca="false">IF(D7=1,INDEX($C$12:$N$12,1,D6),1)</f>
        <v>1</v>
      </c>
      <c r="E16" s="51" t="n">
        <f aca="false">IF(E7=1,INDEX($C$12:$N$12,1,E6),1)</f>
        <v>0.98</v>
      </c>
      <c r="F16" s="51" t="n">
        <f aca="false">IF(F7=1,INDEX($C$12:$N$12,1,F6),1)</f>
        <v>0.98</v>
      </c>
      <c r="G16" s="51" t="n">
        <f aca="false">IF(G7=1,INDEX($C$12:$N$12,1,G6),1)</f>
        <v>1</v>
      </c>
      <c r="H16" s="51" t="n">
        <f aca="false">IF(H7=1,INDEX($C$12:$N$12,1,H6),1)</f>
        <v>0.95</v>
      </c>
      <c r="I16" s="51" t="n">
        <f aca="false">IF(I7=1,INDEX($C$12:$N$12,1,I6),1)</f>
        <v>0.88</v>
      </c>
      <c r="J16" s="51" t="n">
        <f aca="false">IF(J7=1,INDEX($C$12:$N$12,1,J6),1)</f>
        <v>0.9</v>
      </c>
      <c r="K16" s="51" t="n">
        <f aca="false">IF(K7=1,INDEX($C$12:$N$12,1,K6),1)</f>
        <v>1</v>
      </c>
      <c r="L16" s="51" t="n">
        <f aca="false">IF(L7=1,INDEX($C$12:$N$12,1,L6),1)</f>
        <v>1.02</v>
      </c>
      <c r="M16" s="51" t="n">
        <f aca="false">IF(M7=1,INDEX($C$12:$N$12,1,M6),1)</f>
        <v>1.05</v>
      </c>
      <c r="N16" s="51" t="n">
        <f aca="false">IF(N7=1,INDEX($C$12:$N$12,1,N6),1)</f>
        <v>1.14</v>
      </c>
      <c r="O16" s="51" t="n">
        <f aca="false">IF(O7=1,INDEX($C$12:$N$12,1,O6),1)</f>
        <v>1.1</v>
      </c>
      <c r="P16" s="51" t="n">
        <f aca="false">IF(P7=1,INDEX($C$12:$N$12,1,P6),1)</f>
        <v>1</v>
      </c>
      <c r="Q16" s="51" t="n">
        <f aca="false">IF(Q7=1,INDEX($C$12:$N$12,1,Q6),1)</f>
        <v>0.98</v>
      </c>
      <c r="R16" s="51" t="n">
        <f aca="false">IF(R7=1,INDEX($C$12:$N$12,1,R6),1)</f>
        <v>0.98</v>
      </c>
      <c r="S16" s="51" t="n">
        <f aca="false">IF(S7=1,INDEX($C$12:$N$12,1,S6),1)</f>
        <v>1</v>
      </c>
      <c r="T16" s="51" t="n">
        <f aca="false">IF(T7=1,INDEX($C$12:$N$12,1,T6),1)</f>
        <v>0.95</v>
      </c>
      <c r="U16" s="51" t="n">
        <f aca="false">IF(U7=1,INDEX($C$12:$N$12,1,U6),1)</f>
        <v>0.88</v>
      </c>
      <c r="V16" s="51" t="n">
        <f aca="false">IF(V7=1,INDEX($C$12:$N$12,1,V6),1)</f>
        <v>0.9</v>
      </c>
      <c r="W16" s="51" t="n">
        <f aca="false">IF(W7=1,INDEX($C$12:$N$12,1,W6),1)</f>
        <v>1</v>
      </c>
      <c r="X16" s="51" t="n">
        <f aca="false">IF(X7=1,INDEX($C$12:$N$12,1,X6),1)</f>
        <v>1.02</v>
      </c>
      <c r="Y16" s="51" t="n">
        <f aca="false">IF(Y7=1,INDEX($C$12:$N$12,1,Y6),1)</f>
        <v>1.05</v>
      </c>
      <c r="Z16" s="51" t="n">
        <f aca="false">IF(Z7=1,INDEX($C$12:$N$12,1,Z6),1)</f>
        <v>1.14</v>
      </c>
      <c r="AA16" s="51" t="n">
        <f aca="false">IF(AA7=1,INDEX($C$12:$N$12,1,AA6),1)</f>
        <v>1</v>
      </c>
      <c r="AB16" s="51" t="n">
        <f aca="false">IF(AB7=1,INDEX($C$12:$N$12,1,AB6),1)</f>
        <v>1</v>
      </c>
      <c r="AC16" s="51" t="n">
        <f aca="false">IF(AC7=1,INDEX($C$12:$N$12,1,AC6),1)</f>
        <v>1</v>
      </c>
      <c r="AD16" s="51" t="n">
        <f aca="false">IF(AD7=1,INDEX($C$12:$N$12,1,AD6),1)</f>
        <v>1</v>
      </c>
      <c r="AE16" s="51" t="n">
        <f aca="false">IF(AE7=1,INDEX($C$12:$N$12,1,AE6),1)</f>
        <v>1</v>
      </c>
    </row>
    <row r="17" customFormat="false" ht="15" hidden="false" customHeight="false" outlineLevel="0" collapsed="false">
      <c r="A17" s="6" t="s">
        <v>443</v>
      </c>
      <c r="B17" s="23" t="s">
        <v>245</v>
      </c>
      <c r="C17" s="52" t="n">
        <f aca="false">IF(C7=1,INDEX($C$13:$N$13,1,C6),AVERAGE($C$13:$N$13))</f>
        <v>0.256603773584906</v>
      </c>
      <c r="D17" s="52" t="n">
        <f aca="false">IF(D7=1,INDEX($C$13:$N$13,1,D6),AVERAGE($C$13:$N$13))</f>
        <v>0.256603773584906</v>
      </c>
      <c r="E17" s="52" t="n">
        <f aca="false">IF(E7=1,INDEX($C$13:$N$13,1,E6),AVERAGE($C$13:$N$13))</f>
        <v>0.256603773584906</v>
      </c>
      <c r="F17" s="52" t="n">
        <f aca="false">IF(F7=1,INDEX($C$13:$N$13,1,F6),AVERAGE($C$13:$N$13))</f>
        <v>0.273710691823899</v>
      </c>
      <c r="G17" s="52" t="n">
        <f aca="false">IF(G7=1,INDEX($C$13:$N$13,1,G6),AVERAGE($C$13:$N$13))</f>
        <v>0.290817610062893</v>
      </c>
      <c r="H17" s="52" t="n">
        <f aca="false">IF(H7=1,INDEX($C$13:$N$13,1,H6),AVERAGE($C$13:$N$13))</f>
        <v>0.470440251572327</v>
      </c>
      <c r="I17" s="52" t="n">
        <f aca="false">IF(I7=1,INDEX($C$13:$N$13,1,I6),AVERAGE($C$13:$N$13))</f>
        <v>0.513207547169811</v>
      </c>
      <c r="J17" s="52" t="n">
        <f aca="false">IF(J7=1,INDEX($C$13:$N$13,1,J6),AVERAGE($C$13:$N$13))</f>
        <v>0.478993710691824</v>
      </c>
      <c r="K17" s="52" t="n">
        <f aca="false">IF(K7=1,INDEX($C$13:$N$13,1,K6),AVERAGE($C$13:$N$13))</f>
        <v>0.307924528301887</v>
      </c>
      <c r="L17" s="52" t="n">
        <f aca="false">IF(L7=1,INDEX($C$13:$N$13,1,L6),AVERAGE($C$13:$N$13))</f>
        <v>0.359245283018868</v>
      </c>
      <c r="M17" s="52" t="n">
        <f aca="false">IF(M7=1,INDEX($C$13:$N$13,1,M6),AVERAGE($C$13:$N$13))</f>
        <v>0.342138364779874</v>
      </c>
      <c r="N17" s="52" t="n">
        <f aca="false">IF(N7=1,INDEX($C$13:$N$13,1,N6),AVERAGE($C$13:$N$13))</f>
        <v>0.273710691823899</v>
      </c>
      <c r="O17" s="52" t="n">
        <f aca="false">IF(O7=1,INDEX($C$13:$N$13,1,O6),AVERAGE($C$13:$N$13))</f>
        <v>0.256603773584906</v>
      </c>
      <c r="P17" s="52" t="n">
        <f aca="false">IF(P7=1,INDEX($C$13:$N$13,1,P6),AVERAGE($C$13:$N$13))</f>
        <v>0.256603773584906</v>
      </c>
      <c r="Q17" s="52" t="n">
        <f aca="false">IF(Q7=1,INDEX($C$13:$N$13,1,Q6),AVERAGE($C$13:$N$13))</f>
        <v>0.256603773584906</v>
      </c>
      <c r="R17" s="52" t="n">
        <f aca="false">IF(R7=1,INDEX($C$13:$N$13,1,R6),AVERAGE($C$13:$N$13))</f>
        <v>0.273710691823899</v>
      </c>
      <c r="S17" s="52" t="n">
        <f aca="false">IF(S7=1,INDEX($C$13:$N$13,1,S6),AVERAGE($C$13:$N$13))</f>
        <v>0.290817610062893</v>
      </c>
      <c r="T17" s="52" t="n">
        <f aca="false">IF(T7=1,INDEX($C$13:$N$13,1,T6),AVERAGE($C$13:$N$13))</f>
        <v>0.470440251572327</v>
      </c>
      <c r="U17" s="52" t="n">
        <f aca="false">IF(U7=1,INDEX($C$13:$N$13,1,U6),AVERAGE($C$13:$N$13))</f>
        <v>0.513207547169811</v>
      </c>
      <c r="V17" s="52" t="n">
        <f aca="false">IF(V7=1,INDEX($C$13:$N$13,1,V6),AVERAGE($C$13:$N$13))</f>
        <v>0.478993710691824</v>
      </c>
      <c r="W17" s="52" t="n">
        <f aca="false">IF(W7=1,INDEX($C$13:$N$13,1,W6),AVERAGE($C$13:$N$13))</f>
        <v>0.307924528301887</v>
      </c>
      <c r="X17" s="52" t="n">
        <f aca="false">IF(X7=1,INDEX($C$13:$N$13,1,X6),AVERAGE($C$13:$N$13))</f>
        <v>0.359245283018868</v>
      </c>
      <c r="Y17" s="52" t="n">
        <f aca="false">IF(Y7=1,INDEX($C$13:$N$13,1,Y6),AVERAGE($C$13:$N$13))</f>
        <v>0.342138364779874</v>
      </c>
      <c r="Z17" s="52" t="n">
        <f aca="false">IF(Z7=1,INDEX($C$13:$N$13,1,Z6),AVERAGE($C$13:$N$13))</f>
        <v>0.273710691823899</v>
      </c>
      <c r="AA17" s="52" t="n">
        <f aca="false">IF(AA7=1,INDEX($C$13:$N$13,1,AA6),AVERAGE($C$13:$N$13))</f>
        <v>0.34</v>
      </c>
      <c r="AB17" s="52" t="n">
        <f aca="false">IF(AB7=1,INDEX($C$13:$N$13,1,AB6),AVERAGE($C$13:$N$13))</f>
        <v>0.34</v>
      </c>
      <c r="AC17" s="52" t="n">
        <f aca="false">IF(AC7=1,INDEX($C$13:$N$13,1,AC6),AVERAGE($C$13:$N$13))</f>
        <v>0.34</v>
      </c>
      <c r="AD17" s="52" t="n">
        <f aca="false">IF(AD7=1,INDEX($C$13:$N$13,1,AD6),AVERAGE($C$13:$N$13))</f>
        <v>0.34</v>
      </c>
      <c r="AE17" s="52" t="n">
        <f aca="false">IF(AE7=1,INDEX($C$13:$N$13,1,AE6),AVERAGE($C$13:$N$13))</f>
        <v>0.34</v>
      </c>
    </row>
    <row r="19" customFormat="false" ht="15" hidden="false" customHeight="false" outlineLevel="0" collapsed="false">
      <c r="A19" s="46" t="s">
        <v>444</v>
      </c>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row>
    <row r="20" customFormat="false" ht="15" hidden="false" customHeight="false" outlineLevel="0" collapsed="false">
      <c r="A20" s="0" t="s">
        <v>445</v>
      </c>
      <c r="B20" s="23" t="s">
        <v>190</v>
      </c>
      <c r="C20" s="53" t="n">
        <f aca="false">INDEX(Assumptions!$B$93:$B$99,C5)*Assumptions!$B$123*INDEX(Assumptions!$B$107:$B$113,C5)*C7</f>
        <v>28.8</v>
      </c>
      <c r="D20" s="53" t="n">
        <f aca="false">INDEX(Assumptions!$B$93:$B$99,D5)*Assumptions!$B$123*INDEX(Assumptions!$B$107:$B$113,D5)*D7</f>
        <v>28.8</v>
      </c>
      <c r="E20" s="53" t="n">
        <f aca="false">INDEX(Assumptions!$B$93:$B$99,E5)*Assumptions!$B$123*INDEX(Assumptions!$B$107:$B$113,E5)*E7</f>
        <v>28.8</v>
      </c>
      <c r="F20" s="53" t="n">
        <f aca="false">INDEX(Assumptions!$B$93:$B$99,F5)*Assumptions!$B$123*INDEX(Assumptions!$B$107:$B$113,F5)*F7</f>
        <v>28.8</v>
      </c>
      <c r="G20" s="53" t="n">
        <f aca="false">INDEX(Assumptions!$B$93:$B$99,G5)*Assumptions!$B$123*INDEX(Assumptions!$B$107:$B$113,G5)*G7</f>
        <v>28.8</v>
      </c>
      <c r="H20" s="53" t="n">
        <f aca="false">INDEX(Assumptions!$B$93:$B$99,H5)*Assumptions!$B$123*INDEX(Assumptions!$B$107:$B$113,H5)*H7</f>
        <v>28.8</v>
      </c>
      <c r="I20" s="53" t="n">
        <f aca="false">INDEX(Assumptions!$B$93:$B$99,I5)*Assumptions!$B$123*INDEX(Assumptions!$B$107:$B$113,I5)*I7</f>
        <v>28.8</v>
      </c>
      <c r="J20" s="53" t="n">
        <f aca="false">INDEX(Assumptions!$B$93:$B$99,J5)*Assumptions!$B$123*INDEX(Assumptions!$B$107:$B$113,J5)*J7</f>
        <v>28.8</v>
      </c>
      <c r="K20" s="53" t="n">
        <f aca="false">INDEX(Assumptions!$B$93:$B$99,K5)*Assumptions!$B$123*INDEX(Assumptions!$B$107:$B$113,K5)*K7</f>
        <v>28.8</v>
      </c>
      <c r="L20" s="53" t="n">
        <f aca="false">INDEX(Assumptions!$B$93:$B$99,L5)*Assumptions!$B$123*INDEX(Assumptions!$B$107:$B$113,L5)*L7</f>
        <v>28.8</v>
      </c>
      <c r="M20" s="53" t="n">
        <f aca="false">INDEX(Assumptions!$B$93:$B$99,M5)*Assumptions!$B$123*INDEX(Assumptions!$B$107:$B$113,M5)*M7</f>
        <v>28.8</v>
      </c>
      <c r="N20" s="53" t="n">
        <f aca="false">INDEX(Assumptions!$B$93:$B$99,N5)*Assumptions!$B$123*INDEX(Assumptions!$B$107:$B$113,N5)*N7</f>
        <v>28.8</v>
      </c>
      <c r="O20" s="53" t="n">
        <f aca="false">INDEX(Assumptions!$B$93:$B$99,O5)*Assumptions!$B$123*INDEX(Assumptions!$B$107:$B$113,O5)*O7</f>
        <v>117.3</v>
      </c>
      <c r="P20" s="53" t="n">
        <f aca="false">INDEX(Assumptions!$B$93:$B$99,P5)*Assumptions!$B$123*INDEX(Assumptions!$B$107:$B$113,P5)*P7</f>
        <v>117.3</v>
      </c>
      <c r="Q20" s="53" t="n">
        <f aca="false">INDEX(Assumptions!$B$93:$B$99,Q5)*Assumptions!$B$123*INDEX(Assumptions!$B$107:$B$113,Q5)*Q7</f>
        <v>117.3</v>
      </c>
      <c r="R20" s="53" t="n">
        <f aca="false">INDEX(Assumptions!$B$93:$B$99,R5)*Assumptions!$B$123*INDEX(Assumptions!$B$107:$B$113,R5)*R7</f>
        <v>117.3</v>
      </c>
      <c r="S20" s="53" t="n">
        <f aca="false">INDEX(Assumptions!$B$93:$B$99,S5)*Assumptions!$B$123*INDEX(Assumptions!$B$107:$B$113,S5)*S7</f>
        <v>117.3</v>
      </c>
      <c r="T20" s="53" t="n">
        <f aca="false">INDEX(Assumptions!$B$93:$B$99,T5)*Assumptions!$B$123*INDEX(Assumptions!$B$107:$B$113,T5)*T7</f>
        <v>117.3</v>
      </c>
      <c r="U20" s="53" t="n">
        <f aca="false">INDEX(Assumptions!$B$93:$B$99,U5)*Assumptions!$B$123*INDEX(Assumptions!$B$107:$B$113,U5)*U7</f>
        <v>117.3</v>
      </c>
      <c r="V20" s="53" t="n">
        <f aca="false">INDEX(Assumptions!$B$93:$B$99,V5)*Assumptions!$B$123*INDEX(Assumptions!$B$107:$B$113,V5)*V7</f>
        <v>117.3</v>
      </c>
      <c r="W20" s="53" t="n">
        <f aca="false">INDEX(Assumptions!$B$93:$B$99,W5)*Assumptions!$B$123*INDEX(Assumptions!$B$107:$B$113,W5)*W7</f>
        <v>117.3</v>
      </c>
      <c r="X20" s="53" t="n">
        <f aca="false">INDEX(Assumptions!$B$93:$B$99,X5)*Assumptions!$B$123*INDEX(Assumptions!$B$107:$B$113,X5)*X7</f>
        <v>117.3</v>
      </c>
      <c r="Y20" s="53" t="n">
        <f aca="false">INDEX(Assumptions!$B$93:$B$99,Y5)*Assumptions!$B$123*INDEX(Assumptions!$B$107:$B$113,Y5)*Y7</f>
        <v>117.3</v>
      </c>
      <c r="Z20" s="53" t="n">
        <f aca="false">INDEX(Assumptions!$B$93:$B$99,Z5)*Assumptions!$B$123*INDEX(Assumptions!$B$107:$B$113,Z5)*Z7</f>
        <v>117.3</v>
      </c>
      <c r="AA20" s="53" t="n">
        <f aca="false">INDEX(Assumptions!$B$93:$B$99,AA5)*Assumptions!$B$123*INDEX(Assumptions!$B$107:$B$113,AA5)*AA7</f>
        <v>4320</v>
      </c>
      <c r="AB20" s="53" t="n">
        <f aca="false">INDEX(Assumptions!$B$93:$B$99,AB5)*Assumptions!$B$123*INDEX(Assumptions!$B$107:$B$113,AB5)*AB7</f>
        <v>6480</v>
      </c>
      <c r="AC20" s="53" t="n">
        <f aca="false">INDEX(Assumptions!$B$93:$B$99,AC5)*Assumptions!$B$123*INDEX(Assumptions!$B$107:$B$113,AC5)*AC7</f>
        <v>9720</v>
      </c>
      <c r="AD20" s="53" t="n">
        <f aca="false">INDEX(Assumptions!$B$93:$B$99,AD5)*Assumptions!$B$123*INDEX(Assumptions!$B$107:$B$113,AD5)*AD7</f>
        <v>11448</v>
      </c>
      <c r="AE20" s="53" t="n">
        <f aca="false">INDEX(Assumptions!$B$93:$B$99,AE5)*Assumptions!$B$123*INDEX(Assumptions!$B$107:$B$113,AE5)*AE7</f>
        <v>13392</v>
      </c>
    </row>
    <row r="21" customFormat="false" ht="15" hidden="false" customHeight="false" outlineLevel="0" collapsed="false">
      <c r="A21" s="6" t="s">
        <v>446</v>
      </c>
      <c r="B21" s="23" t="s">
        <v>35</v>
      </c>
      <c r="C21" s="53" t="n">
        <f aca="false">Assumptions!$B$6*(1+Assumptions!$B$120)^(C5-1)</f>
        <v>141.46</v>
      </c>
      <c r="D21" s="53" t="n">
        <f aca="false">Assumptions!$B$6*(1+Assumptions!$B$120)^(D5-1)</f>
        <v>141.46</v>
      </c>
      <c r="E21" s="53" t="n">
        <f aca="false">Assumptions!$B$6*(1+Assumptions!$B$120)^(E5-1)</f>
        <v>141.46</v>
      </c>
      <c r="F21" s="53" t="n">
        <f aca="false">Assumptions!$B$6*(1+Assumptions!$B$120)^(F5-1)</f>
        <v>141.46</v>
      </c>
      <c r="G21" s="53" t="n">
        <f aca="false">Assumptions!$B$6*(1+Assumptions!$B$120)^(G5-1)</f>
        <v>141.46</v>
      </c>
      <c r="H21" s="53" t="n">
        <f aca="false">Assumptions!$B$6*(1+Assumptions!$B$120)^(H5-1)</f>
        <v>141.46</v>
      </c>
      <c r="I21" s="53" t="n">
        <f aca="false">Assumptions!$B$6*(1+Assumptions!$B$120)^(I5-1)</f>
        <v>141.46</v>
      </c>
      <c r="J21" s="53" t="n">
        <f aca="false">Assumptions!$B$6*(1+Assumptions!$B$120)^(J5-1)</f>
        <v>141.46</v>
      </c>
      <c r="K21" s="53" t="n">
        <f aca="false">Assumptions!$B$6*(1+Assumptions!$B$120)^(K5-1)</f>
        <v>141.46</v>
      </c>
      <c r="L21" s="53" t="n">
        <f aca="false">Assumptions!$B$6*(1+Assumptions!$B$120)^(L5-1)</f>
        <v>141.46</v>
      </c>
      <c r="M21" s="53" t="n">
        <f aca="false">Assumptions!$B$6*(1+Assumptions!$B$120)^(M5-1)</f>
        <v>141.46</v>
      </c>
      <c r="N21" s="53" t="n">
        <f aca="false">Assumptions!$B$6*(1+Assumptions!$B$120)^(N5-1)</f>
        <v>141.46</v>
      </c>
      <c r="O21" s="53" t="n">
        <f aca="false">Assumptions!$B$6*(1+Assumptions!$B$120)^(O5-1)</f>
        <v>152.91826</v>
      </c>
      <c r="P21" s="53" t="n">
        <f aca="false">Assumptions!$B$6*(1+Assumptions!$B$120)^(P5-1)</f>
        <v>152.91826</v>
      </c>
      <c r="Q21" s="53" t="n">
        <f aca="false">Assumptions!$B$6*(1+Assumptions!$B$120)^(Q5-1)</f>
        <v>152.91826</v>
      </c>
      <c r="R21" s="53" t="n">
        <f aca="false">Assumptions!$B$6*(1+Assumptions!$B$120)^(R5-1)</f>
        <v>152.91826</v>
      </c>
      <c r="S21" s="53" t="n">
        <f aca="false">Assumptions!$B$6*(1+Assumptions!$B$120)^(S5-1)</f>
        <v>152.91826</v>
      </c>
      <c r="T21" s="53" t="n">
        <f aca="false">Assumptions!$B$6*(1+Assumptions!$B$120)^(T5-1)</f>
        <v>152.91826</v>
      </c>
      <c r="U21" s="53" t="n">
        <f aca="false">Assumptions!$B$6*(1+Assumptions!$B$120)^(U5-1)</f>
        <v>152.91826</v>
      </c>
      <c r="V21" s="53" t="n">
        <f aca="false">Assumptions!$B$6*(1+Assumptions!$B$120)^(V5-1)</f>
        <v>152.91826</v>
      </c>
      <c r="W21" s="53" t="n">
        <f aca="false">Assumptions!$B$6*(1+Assumptions!$B$120)^(W5-1)</f>
        <v>152.91826</v>
      </c>
      <c r="X21" s="53" t="n">
        <f aca="false">Assumptions!$B$6*(1+Assumptions!$B$120)^(X5-1)</f>
        <v>152.91826</v>
      </c>
      <c r="Y21" s="53" t="n">
        <f aca="false">Assumptions!$B$6*(1+Assumptions!$B$120)^(Y5-1)</f>
        <v>152.91826</v>
      </c>
      <c r="Z21" s="53" t="n">
        <f aca="false">Assumptions!$B$6*(1+Assumptions!$B$120)^(Z5-1)</f>
        <v>152.91826</v>
      </c>
      <c r="AA21" s="53" t="n">
        <f aca="false">Assumptions!$B$6*(1+Assumptions!$B$120)^(AA5-1)</f>
        <v>165.30463906</v>
      </c>
      <c r="AB21" s="53" t="n">
        <f aca="false">Assumptions!$B$6*(1+Assumptions!$B$120)^(AB5-1)</f>
        <v>178.69431482386</v>
      </c>
      <c r="AC21" s="53" t="n">
        <f aca="false">Assumptions!$B$6*(1+Assumptions!$B$120)^(AC5-1)</f>
        <v>193.168554324593</v>
      </c>
      <c r="AD21" s="53" t="n">
        <f aca="false">Assumptions!$B$6*(1+Assumptions!$B$120)^(AD5-1)</f>
        <v>208.815207224885</v>
      </c>
      <c r="AE21" s="53" t="n">
        <f aca="false">Assumptions!$B$6*(1+Assumptions!$B$120)^(AE5-1)</f>
        <v>225.7292390101</v>
      </c>
    </row>
    <row r="22" customFormat="false" ht="15" hidden="false" customHeight="false" outlineLevel="0" collapsed="false">
      <c r="A22" s="9" t="s">
        <v>447</v>
      </c>
    </row>
    <row r="23" customFormat="false" ht="15" hidden="false" customHeight="false" outlineLevel="0" collapsed="false">
      <c r="A23" s="6" t="s">
        <v>448</v>
      </c>
      <c r="B23" s="23" t="s">
        <v>449</v>
      </c>
      <c r="C23" s="48" t="n">
        <f aca="false">Assumptions!$B$114*1+Assumptions!$B$115*IF(C2&gt;=Assumptions!$B$56,1,0)+Assumptions!$B$116*IF(C2&gt;=Assumptions!$B$57,1,0)</f>
        <v>0.9</v>
      </c>
      <c r="D23" s="48" t="n">
        <f aca="false">Assumptions!$B$114*1+Assumptions!$B$115*IF(D2&gt;=Assumptions!$B$56,1,0)+Assumptions!$B$116*IF(D2&gt;=Assumptions!$B$57,1,0)</f>
        <v>0.9</v>
      </c>
      <c r="E23" s="48" t="n">
        <f aca="false">Assumptions!$B$114*1+Assumptions!$B$115*IF(E2&gt;=Assumptions!$B$56,1,0)+Assumptions!$B$116*IF(E2&gt;=Assumptions!$B$57,1,0)</f>
        <v>0.9</v>
      </c>
      <c r="F23" s="48" t="n">
        <f aca="false">Assumptions!$B$114*1+Assumptions!$B$115*IF(F2&gt;=Assumptions!$B$56,1,0)+Assumptions!$B$116*IF(F2&gt;=Assumptions!$B$57,1,0)</f>
        <v>0.9</v>
      </c>
      <c r="G23" s="48" t="n">
        <f aca="false">Assumptions!$B$114*1+Assumptions!$B$115*IF(G2&gt;=Assumptions!$B$56,1,0)+Assumptions!$B$116*IF(G2&gt;=Assumptions!$B$57,1,0)</f>
        <v>0.9</v>
      </c>
      <c r="H23" s="48" t="n">
        <f aca="false">Assumptions!$B$114*1+Assumptions!$B$115*IF(H2&gt;=Assumptions!$B$56,1,0)+Assumptions!$B$116*IF(H2&gt;=Assumptions!$B$57,1,0)</f>
        <v>0.9</v>
      </c>
      <c r="I23" s="48" t="n">
        <f aca="false">Assumptions!$B$114*1+Assumptions!$B$115*IF(I2&gt;=Assumptions!$B$56,1,0)+Assumptions!$B$116*IF(I2&gt;=Assumptions!$B$57,1,0)</f>
        <v>0.9</v>
      </c>
      <c r="J23" s="48" t="n">
        <f aca="false">Assumptions!$B$114*1+Assumptions!$B$115*IF(J2&gt;=Assumptions!$B$56,1,0)+Assumptions!$B$116*IF(J2&gt;=Assumptions!$B$57,1,0)</f>
        <v>0.9</v>
      </c>
      <c r="K23" s="48" t="n">
        <f aca="false">Assumptions!$B$114*1+Assumptions!$B$115*IF(K2&gt;=Assumptions!$B$56,1,0)+Assumptions!$B$116*IF(K2&gt;=Assumptions!$B$57,1,0)</f>
        <v>0.9</v>
      </c>
      <c r="L23" s="48" t="n">
        <f aca="false">Assumptions!$B$114*1+Assumptions!$B$115*IF(L2&gt;=Assumptions!$B$56,1,0)+Assumptions!$B$116*IF(L2&gt;=Assumptions!$B$57,1,0)</f>
        <v>0.9</v>
      </c>
      <c r="M23" s="48" t="n">
        <f aca="false">Assumptions!$B$114*1+Assumptions!$B$115*IF(M2&gt;=Assumptions!$B$56,1,0)+Assumptions!$B$116*IF(M2&gt;=Assumptions!$B$57,1,0)</f>
        <v>0.9</v>
      </c>
      <c r="N23" s="48" t="n">
        <f aca="false">Assumptions!$B$114*1+Assumptions!$B$115*IF(N2&gt;=Assumptions!$B$56,1,0)+Assumptions!$B$116*IF(N2&gt;=Assumptions!$B$57,1,0)</f>
        <v>0.9</v>
      </c>
      <c r="O23" s="48" t="n">
        <f aca="false">Assumptions!$B$114*1+Assumptions!$B$115*IF(O2&gt;=Assumptions!$B$56,1,0)+Assumptions!$B$116*IF(O2&gt;=Assumptions!$B$57,1,0)</f>
        <v>1</v>
      </c>
      <c r="P23" s="48" t="n">
        <f aca="false">Assumptions!$B$114*1+Assumptions!$B$115*IF(P2&gt;=Assumptions!$B$56,1,0)+Assumptions!$B$116*IF(P2&gt;=Assumptions!$B$57,1,0)</f>
        <v>1</v>
      </c>
      <c r="Q23" s="48" t="n">
        <f aca="false">Assumptions!$B$114*1+Assumptions!$B$115*IF(Q2&gt;=Assumptions!$B$56,1,0)+Assumptions!$B$116*IF(Q2&gt;=Assumptions!$B$57,1,0)</f>
        <v>1</v>
      </c>
      <c r="R23" s="48" t="n">
        <f aca="false">Assumptions!$B$114*1+Assumptions!$B$115*IF(R2&gt;=Assumptions!$B$56,1,0)+Assumptions!$B$116*IF(R2&gt;=Assumptions!$B$57,1,0)</f>
        <v>1</v>
      </c>
      <c r="S23" s="48" t="n">
        <f aca="false">Assumptions!$B$114*1+Assumptions!$B$115*IF(S2&gt;=Assumptions!$B$56,1,0)+Assumptions!$B$116*IF(S2&gt;=Assumptions!$B$57,1,0)</f>
        <v>1</v>
      </c>
      <c r="T23" s="48" t="n">
        <f aca="false">Assumptions!$B$114*1+Assumptions!$B$115*IF(T2&gt;=Assumptions!$B$56,1,0)+Assumptions!$B$116*IF(T2&gt;=Assumptions!$B$57,1,0)</f>
        <v>1</v>
      </c>
      <c r="U23" s="48" t="n">
        <f aca="false">Assumptions!$B$114*1+Assumptions!$B$115*IF(U2&gt;=Assumptions!$B$56,1,0)+Assumptions!$B$116*IF(U2&gt;=Assumptions!$B$57,1,0)</f>
        <v>1</v>
      </c>
      <c r="V23" s="48" t="n">
        <f aca="false">Assumptions!$B$114*1+Assumptions!$B$115*IF(V2&gt;=Assumptions!$B$56,1,0)+Assumptions!$B$116*IF(V2&gt;=Assumptions!$B$57,1,0)</f>
        <v>1</v>
      </c>
      <c r="W23" s="48" t="n">
        <f aca="false">Assumptions!$B$114*1+Assumptions!$B$115*IF(W2&gt;=Assumptions!$B$56,1,0)+Assumptions!$B$116*IF(W2&gt;=Assumptions!$B$57,1,0)</f>
        <v>1</v>
      </c>
      <c r="X23" s="48" t="n">
        <f aca="false">Assumptions!$B$114*1+Assumptions!$B$115*IF(X2&gt;=Assumptions!$B$56,1,0)+Assumptions!$B$116*IF(X2&gt;=Assumptions!$B$57,1,0)</f>
        <v>1</v>
      </c>
      <c r="Y23" s="48" t="n">
        <f aca="false">Assumptions!$B$114*1+Assumptions!$B$115*IF(Y2&gt;=Assumptions!$B$56,1,0)+Assumptions!$B$116*IF(Y2&gt;=Assumptions!$B$57,1,0)</f>
        <v>1</v>
      </c>
      <c r="Z23" s="48" t="n">
        <f aca="false">Assumptions!$B$114*1+Assumptions!$B$115*IF(Z2&gt;=Assumptions!$B$56,1,0)+Assumptions!$B$116*IF(Z2&gt;=Assumptions!$B$57,1,0)</f>
        <v>1</v>
      </c>
      <c r="AA23" s="48" t="n">
        <f aca="false">Assumptions!$B$114*1+Assumptions!$B$115*IF(AA2&gt;=Assumptions!$B$56,1,0)+Assumptions!$B$116*IF(AA2&gt;=Assumptions!$B$57,1,0)</f>
        <v>1</v>
      </c>
      <c r="AB23" s="48" t="n">
        <f aca="false">Assumptions!$B$114*1+Assumptions!$B$115*IF(AB2&gt;=Assumptions!$B$56,1,0)+Assumptions!$B$116*IF(AB2&gt;=Assumptions!$B$57,1,0)</f>
        <v>1</v>
      </c>
      <c r="AC23" s="48" t="n">
        <f aca="false">Assumptions!$B$114*1+Assumptions!$B$115*IF(AC2&gt;=Assumptions!$B$56,1,0)+Assumptions!$B$116*IF(AC2&gt;=Assumptions!$B$57,1,0)</f>
        <v>1</v>
      </c>
      <c r="AD23" s="48" t="n">
        <f aca="false">Assumptions!$B$114*1+Assumptions!$B$115*IF(AD2&gt;=Assumptions!$B$56,1,0)+Assumptions!$B$116*IF(AD2&gt;=Assumptions!$B$57,1,0)</f>
        <v>1</v>
      </c>
      <c r="AE23" s="48" t="n">
        <f aca="false">Assumptions!$B$114*1+Assumptions!$B$115*IF(AE2&gt;=Assumptions!$B$56,1,0)+Assumptions!$B$116*IF(AE2&gt;=Assumptions!$B$57,1,0)</f>
        <v>1</v>
      </c>
    </row>
    <row r="25" customFormat="false" ht="15" hidden="false" customHeight="false" outlineLevel="0" collapsed="false">
      <c r="A25" s="46" t="s">
        <v>450</v>
      </c>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row>
    <row r="26" customFormat="false" ht="15" hidden="false" customHeight="false" outlineLevel="0" collapsed="false">
      <c r="A26" s="6" t="s">
        <v>451</v>
      </c>
      <c r="B26" s="23" t="s">
        <v>190</v>
      </c>
      <c r="C26" s="53" t="n">
        <f aca="false">INDEX(Assumptions!$B$100:$B$106,C5)*Assumptions!$B$127/12*C7/Assumptions!$B$124*(1+Assumptions!$B$132)*1</f>
        <v>63.9705882352941</v>
      </c>
      <c r="D26" s="53" t="n">
        <f aca="false">INDEX(Assumptions!$B$100:$B$106,D5)*Assumptions!$B$127/12*D7/Assumptions!$B$124*(1+Assumptions!$B$132)*1</f>
        <v>63.9705882352941</v>
      </c>
      <c r="E26" s="53" t="n">
        <f aca="false">INDEX(Assumptions!$B$100:$B$106,E5)*Assumptions!$B$127/12*E7/Assumptions!$B$124*(1+Assumptions!$B$132)*1</f>
        <v>63.9705882352941</v>
      </c>
      <c r="F26" s="53" t="n">
        <f aca="false">INDEX(Assumptions!$B$100:$B$106,F5)*Assumptions!$B$127/12*F7/Assumptions!$B$124*(1+Assumptions!$B$132)*1</f>
        <v>63.9705882352941</v>
      </c>
      <c r="G26" s="53" t="n">
        <f aca="false">INDEX(Assumptions!$B$100:$B$106,G5)*Assumptions!$B$127/12*G7/Assumptions!$B$124*(1+Assumptions!$B$132)*1</f>
        <v>63.9705882352941</v>
      </c>
      <c r="H26" s="53" t="n">
        <f aca="false">INDEX(Assumptions!$B$100:$B$106,H5)*Assumptions!$B$127/12*H7/Assumptions!$B$124*(1+Assumptions!$B$132)*1</f>
        <v>63.9705882352941</v>
      </c>
      <c r="I26" s="53" t="n">
        <f aca="false">INDEX(Assumptions!$B$100:$B$106,I5)*Assumptions!$B$127/12*I7/Assumptions!$B$124*(1+Assumptions!$B$132)*1</f>
        <v>63.9705882352941</v>
      </c>
      <c r="J26" s="53" t="n">
        <f aca="false">INDEX(Assumptions!$B$100:$B$106,J5)*Assumptions!$B$127/12*J7/Assumptions!$B$124*(1+Assumptions!$B$132)*1</f>
        <v>63.9705882352941</v>
      </c>
      <c r="K26" s="53" t="n">
        <f aca="false">INDEX(Assumptions!$B$100:$B$106,K5)*Assumptions!$B$127/12*K7/Assumptions!$B$124*(1+Assumptions!$B$132)*1</f>
        <v>63.9705882352941</v>
      </c>
      <c r="L26" s="53" t="n">
        <f aca="false">INDEX(Assumptions!$B$100:$B$106,L5)*Assumptions!$B$127/12*L7/Assumptions!$B$124*(1+Assumptions!$B$132)*1</f>
        <v>63.9705882352941</v>
      </c>
      <c r="M26" s="53" t="n">
        <f aca="false">INDEX(Assumptions!$B$100:$B$106,M5)*Assumptions!$B$127/12*M7/Assumptions!$B$124*(1+Assumptions!$B$132)*1</f>
        <v>63.9705882352941</v>
      </c>
      <c r="N26" s="53" t="n">
        <f aca="false">INDEX(Assumptions!$B$100:$B$106,N5)*Assumptions!$B$127/12*N7/Assumptions!$B$124*(1+Assumptions!$B$132)*1</f>
        <v>63.9705882352941</v>
      </c>
      <c r="O26" s="53" t="n">
        <f aca="false">INDEX(Assumptions!$B$100:$B$106,O5)*Assumptions!$B$127/12*O7/Assumptions!$B$124*(1+Assumptions!$B$132)*1</f>
        <v>191.911764705882</v>
      </c>
      <c r="P26" s="53" t="n">
        <f aca="false">INDEX(Assumptions!$B$100:$B$106,P5)*Assumptions!$B$127/12*P7/Assumptions!$B$124*(1+Assumptions!$B$132)*1</f>
        <v>191.911764705882</v>
      </c>
      <c r="Q26" s="53" t="n">
        <f aca="false">INDEX(Assumptions!$B$100:$B$106,Q5)*Assumptions!$B$127/12*Q7/Assumptions!$B$124*(1+Assumptions!$B$132)*1</f>
        <v>191.911764705882</v>
      </c>
      <c r="R26" s="53" t="n">
        <f aca="false">INDEX(Assumptions!$B$100:$B$106,R5)*Assumptions!$B$127/12*R7/Assumptions!$B$124*(1+Assumptions!$B$132)*1</f>
        <v>191.911764705882</v>
      </c>
      <c r="S26" s="53" t="n">
        <f aca="false">INDEX(Assumptions!$B$100:$B$106,S5)*Assumptions!$B$127/12*S7/Assumptions!$B$124*(1+Assumptions!$B$132)*1</f>
        <v>191.911764705882</v>
      </c>
      <c r="T26" s="53" t="n">
        <f aca="false">INDEX(Assumptions!$B$100:$B$106,T5)*Assumptions!$B$127/12*T7/Assumptions!$B$124*(1+Assumptions!$B$132)*1</f>
        <v>191.911764705882</v>
      </c>
      <c r="U26" s="53" t="n">
        <f aca="false">INDEX(Assumptions!$B$100:$B$106,U5)*Assumptions!$B$127/12*U7/Assumptions!$B$124*(1+Assumptions!$B$132)*1</f>
        <v>191.911764705882</v>
      </c>
      <c r="V26" s="53" t="n">
        <f aca="false">INDEX(Assumptions!$B$100:$B$106,V5)*Assumptions!$B$127/12*V7/Assumptions!$B$124*(1+Assumptions!$B$132)*1</f>
        <v>191.911764705882</v>
      </c>
      <c r="W26" s="53" t="n">
        <f aca="false">INDEX(Assumptions!$B$100:$B$106,W5)*Assumptions!$B$127/12*W7/Assumptions!$B$124*(1+Assumptions!$B$132)*1</f>
        <v>191.911764705882</v>
      </c>
      <c r="X26" s="53" t="n">
        <f aca="false">INDEX(Assumptions!$B$100:$B$106,X5)*Assumptions!$B$127/12*X7/Assumptions!$B$124*(1+Assumptions!$B$132)*1</f>
        <v>191.911764705882</v>
      </c>
      <c r="Y26" s="53" t="n">
        <f aca="false">INDEX(Assumptions!$B$100:$B$106,Y5)*Assumptions!$B$127/12*Y7/Assumptions!$B$124*(1+Assumptions!$B$132)*1</f>
        <v>191.911764705882</v>
      </c>
      <c r="Z26" s="53" t="n">
        <f aca="false">INDEX(Assumptions!$B$100:$B$106,Z5)*Assumptions!$B$127/12*Z7/Assumptions!$B$124*(1+Assumptions!$B$132)*1</f>
        <v>191.911764705882</v>
      </c>
      <c r="AA26" s="53" t="n">
        <f aca="false">INDEX(Assumptions!$B$100:$B$106,AA5)*Assumptions!$B$127/12*AA7/Assumptions!$B$124*(1+Assumptions!$B$132)*1</f>
        <v>3198.52941176471</v>
      </c>
      <c r="AB26" s="53" t="n">
        <f aca="false">INDEX(Assumptions!$B$100:$B$106,AB5)*Assumptions!$B$127/12*AB7/Assumptions!$B$124*(1+Assumptions!$B$132)*1</f>
        <v>5117.64705882353</v>
      </c>
      <c r="AC26" s="53" t="n">
        <f aca="false">INDEX(Assumptions!$B$100:$B$106,AC5)*Assumptions!$B$127/12*AC7/Assumptions!$B$124*(1+Assumptions!$B$132)*1</f>
        <v>7676.47058823529</v>
      </c>
      <c r="AD26" s="53" t="n">
        <f aca="false">INDEX(Assumptions!$B$100:$B$106,AD5)*Assumptions!$B$127/12*AD7/Assumptions!$B$124*(1+Assumptions!$B$132)*1</f>
        <v>10875</v>
      </c>
      <c r="AE26" s="53" t="n">
        <f aca="false">INDEX(Assumptions!$B$100:$B$106,AE5)*Assumptions!$B$127/12*AE7/Assumptions!$B$124*(1+Assumptions!$B$132)*1</f>
        <v>14073.5294117647</v>
      </c>
    </row>
    <row r="27" customFormat="false" ht="15" hidden="false" customHeight="false" outlineLevel="0" collapsed="false">
      <c r="A27" s="6" t="s">
        <v>452</v>
      </c>
      <c r="B27" s="23" t="s">
        <v>190</v>
      </c>
      <c r="C27" s="54" t="n">
        <v>0</v>
      </c>
      <c r="D27" s="54" t="n">
        <f aca="false">IF(D2&gt;=Assumptions!$B$55,C31*Assumptions!$B$130/12*Assumptions!$B$131*D7,0)</f>
        <v>0</v>
      </c>
      <c r="E27" s="54" t="n">
        <f aca="false">IF(E2&gt;=Assumptions!$B$55,D31*Assumptions!$B$130/12*Assumptions!$B$131*E7,0)</f>
        <v>0</v>
      </c>
      <c r="F27" s="54" t="n">
        <f aca="false">IF(F2&gt;=Assumptions!$B$55,E31*Assumptions!$B$130/12*Assumptions!$B$131*F7,0)</f>
        <v>0</v>
      </c>
      <c r="G27" s="54" t="n">
        <f aca="false">IF(G2&gt;=Assumptions!$B$55,F31*Assumptions!$B$130/12*Assumptions!$B$131*G7,0)</f>
        <v>0</v>
      </c>
      <c r="H27" s="54" t="n">
        <f aca="false">IF(H2&gt;=Assumptions!$B$55,G31*Assumptions!$B$130/12*Assumptions!$B$131*H7,0)</f>
        <v>0</v>
      </c>
      <c r="I27" s="54" t="n">
        <f aca="false">IF(I2&gt;=Assumptions!$B$55,H31*Assumptions!$B$130/12*Assumptions!$B$131*I7,0)</f>
        <v>0</v>
      </c>
      <c r="J27" s="54" t="n">
        <f aca="false">IF(J2&gt;=Assumptions!$B$55,I31*Assumptions!$B$130/12*Assumptions!$B$131*J7,0)</f>
        <v>0</v>
      </c>
      <c r="K27" s="54" t="n">
        <f aca="false">IF(K2&gt;=Assumptions!$B$55,J31*Assumptions!$B$130/12*Assumptions!$B$131*K7,0)</f>
        <v>0</v>
      </c>
      <c r="L27" s="54" t="n">
        <f aca="false">IF(L2&gt;=Assumptions!$B$55,K31*Assumptions!$B$130/12*Assumptions!$B$131*L7,0)</f>
        <v>0</v>
      </c>
      <c r="M27" s="54" t="n">
        <f aca="false">IF(M2&gt;=Assumptions!$B$55,L31*Assumptions!$B$130/12*Assumptions!$B$131*M7,0)</f>
        <v>0</v>
      </c>
      <c r="N27" s="54" t="n">
        <f aca="false">IF(N2&gt;=Assumptions!$B$55,M31*Assumptions!$B$130/12*Assumptions!$B$131*N7,0)</f>
        <v>0</v>
      </c>
      <c r="O27" s="54" t="n">
        <f aca="false">IF(O2&gt;=Assumptions!$B$55,N31*Assumptions!$B$130/12*Assumptions!$B$131*O7,0)</f>
        <v>21.9851818672777</v>
      </c>
      <c r="P27" s="54" t="n">
        <f aca="false">IF(P2&gt;=Assumptions!$B$55,O31*Assumptions!$B$130/12*Assumptions!$B$131*P7,0)</f>
        <v>29.0075733017705</v>
      </c>
      <c r="Q27" s="54" t="n">
        <f aca="false">IF(Q2&gt;=Assumptions!$B$55,P31*Assumptions!$B$130/12*Assumptions!$B$131*Q7,0)</f>
        <v>35.4757460723334</v>
      </c>
      <c r="R27" s="54" t="n">
        <f aca="false">IF(R2&gt;=Assumptions!$B$55,Q31*Assumptions!$B$130/12*Assumptions!$B$131*R7,0)</f>
        <v>41.4655023838771</v>
      </c>
      <c r="S27" s="54" t="n">
        <f aca="false">IF(S2&gt;=Assumptions!$B$55,R31*Assumptions!$B$130/12*Assumptions!$B$131*S7,0)</f>
        <v>49.2809673304171</v>
      </c>
      <c r="T27" s="54" t="n">
        <f aca="false">IF(T2&gt;=Assumptions!$B$55,S31*Assumptions!$B$130/12*Assumptions!$B$131*T7,0)</f>
        <v>55.9980193705661</v>
      </c>
      <c r="U27" s="54" t="n">
        <f aca="false">IF(U2&gt;=Assumptions!$B$55,T31*Assumptions!$B$130/12*Assumptions!$B$131*U7,0)</f>
        <v>61.14603808328</v>
      </c>
      <c r="V27" s="54" t="n">
        <f aca="false">IF(V2&gt;=Assumptions!$B$55,U31*Assumptions!$B$130/12*Assumptions!$B$131*V7,0)</f>
        <v>65.8913831339577</v>
      </c>
      <c r="W27" s="54" t="n">
        <f aca="false">IF(W2&gt;=Assumptions!$B$55,V31*Assumptions!$B$130/12*Assumptions!$B$131*W7,0)</f>
        <v>70.5115596178181</v>
      </c>
      <c r="X27" s="54" t="n">
        <f aca="false">IF(X2&gt;=Assumptions!$B$55,W31*Assumptions!$B$130/12*Assumptions!$B$131*X7,0)</f>
        <v>75.7546677775739</v>
      </c>
      <c r="Y27" s="54" t="n">
        <f aca="false">IF(Y2&gt;=Assumptions!$B$55,X31*Assumptions!$B$130/12*Assumptions!$B$131*Y7,0)</f>
        <v>83.895646901683</v>
      </c>
      <c r="Z27" s="54" t="n">
        <f aca="false">IF(Z2&gt;=Assumptions!$B$55,Y31*Assumptions!$B$130/12*Assumptions!$B$131*Z7,0)</f>
        <v>90.9401752565236</v>
      </c>
      <c r="AA27" s="54" t="n">
        <f aca="false">IF(AA2&gt;=Assumptions!$B$55,Z31*Assumptions!$B$130/12*Assumptions!$B$131*AA7,0)</f>
        <v>1157.65638192442</v>
      </c>
      <c r="AB27" s="54" t="n">
        <f aca="false">IF(AB2&gt;=Assumptions!$B$55,AA31*Assumptions!$B$130/12*Assumptions!$B$131*AB7,0)</f>
        <v>2320.03490405234</v>
      </c>
      <c r="AC27" s="54" t="n">
        <f aca="false">IF(AC2&gt;=Assumptions!$B$55,AB31*Assumptions!$B$130/12*Assumptions!$B$131*AC7,0)</f>
        <v>3920.19343114825</v>
      </c>
      <c r="AD27" s="54" t="n">
        <f aca="false">IF(AD2&gt;=Assumptions!$B$55,AC31*Assumptions!$B$130/12*Assumptions!$B$131*AD7,0)</f>
        <v>5938.71195816293</v>
      </c>
      <c r="AE27" s="54" t="n">
        <f aca="false">IF(AE2&gt;=Assumptions!$B$55,AD31*Assumptions!$B$130/12*Assumptions!$B$131*AE7,0)</f>
        <v>7886.21094067088</v>
      </c>
    </row>
    <row r="28" customFormat="false" ht="15" hidden="false" customHeight="false" outlineLevel="0" collapsed="false">
      <c r="A28" s="6" t="s">
        <v>453</v>
      </c>
      <c r="B28" s="23" t="s">
        <v>190</v>
      </c>
      <c r="C28" s="54" t="n">
        <f aca="false">C26+C27+IF(C23=0,0,C20*Assumptions!$B$114/C23*1)</f>
        <v>78.3705882352941</v>
      </c>
      <c r="D28" s="54" t="n">
        <f aca="false">D26+D27+IF(D23=0,0,D20*Assumptions!$B$114/D23*1)</f>
        <v>78.3705882352941</v>
      </c>
      <c r="E28" s="54" t="n">
        <f aca="false">E26+E27+IF(E23=0,0,E20*Assumptions!$B$114/E23*1)</f>
        <v>78.3705882352941</v>
      </c>
      <c r="F28" s="54" t="n">
        <f aca="false">F26+F27+IF(F23=0,0,F20*Assumptions!$B$114/F23*1)</f>
        <v>78.3705882352941</v>
      </c>
      <c r="G28" s="54" t="n">
        <f aca="false">G26+G27+IF(G23=0,0,G20*Assumptions!$B$114/G23*1)</f>
        <v>78.3705882352941</v>
      </c>
      <c r="H28" s="54" t="n">
        <f aca="false">H26+H27+IF(H23=0,0,H20*Assumptions!$B$114/H23*1)</f>
        <v>78.3705882352941</v>
      </c>
      <c r="I28" s="54" t="n">
        <f aca="false">I26+I27+IF(I23=0,0,I20*Assumptions!$B$114/I23*1)</f>
        <v>78.3705882352941</v>
      </c>
      <c r="J28" s="54" t="n">
        <f aca="false">J26+J27+IF(J23=0,0,J20*Assumptions!$B$114/J23*1)</f>
        <v>78.3705882352941</v>
      </c>
      <c r="K28" s="54" t="n">
        <f aca="false">K26+K27+IF(K23=0,0,K20*Assumptions!$B$114/K23*1)</f>
        <v>78.3705882352941</v>
      </c>
      <c r="L28" s="54" t="n">
        <f aca="false">L26+L27+IF(L23=0,0,L20*Assumptions!$B$114/L23*1)</f>
        <v>78.3705882352941</v>
      </c>
      <c r="M28" s="54" t="n">
        <f aca="false">M26+M27+IF(M23=0,0,M20*Assumptions!$B$114/M23*1)</f>
        <v>78.3705882352941</v>
      </c>
      <c r="N28" s="54" t="n">
        <f aca="false">N26+N27+IF(N23=0,0,N20*Assumptions!$B$114/N23*1)</f>
        <v>78.3705882352941</v>
      </c>
      <c r="O28" s="54" t="n">
        <f aca="false">O26+O27+IF(O23=0,0,O20*Assumptions!$B$114/O23*1)</f>
        <v>266.68194657316</v>
      </c>
      <c r="P28" s="54" t="n">
        <f aca="false">P26+P27+IF(P23=0,0,P20*Assumptions!$B$114/P23*1)</f>
        <v>273.704338007653</v>
      </c>
      <c r="Q28" s="54" t="n">
        <f aca="false">Q26+Q27+IF(Q23=0,0,Q20*Assumptions!$B$114/Q23*1)</f>
        <v>280.172510778216</v>
      </c>
      <c r="R28" s="54" t="n">
        <f aca="false">R26+R27+IF(R23=0,0,R20*Assumptions!$B$114/R23*1)</f>
        <v>286.162267089759</v>
      </c>
      <c r="S28" s="54" t="n">
        <f aca="false">S26+S27+IF(S23=0,0,S20*Assumptions!$B$114/S23*1)</f>
        <v>293.977732036299</v>
      </c>
      <c r="T28" s="54" t="n">
        <f aca="false">T26+T27+IF(T23=0,0,T20*Assumptions!$B$114/T23*1)</f>
        <v>300.694784076448</v>
      </c>
      <c r="U28" s="54" t="n">
        <f aca="false">U26+U27+IF(U23=0,0,U20*Assumptions!$B$114/U23*1)</f>
        <v>305.842802789162</v>
      </c>
      <c r="V28" s="54" t="n">
        <f aca="false">V26+V27+IF(V23=0,0,V20*Assumptions!$B$114/V23*1)</f>
        <v>310.58814783984</v>
      </c>
      <c r="W28" s="54" t="n">
        <f aca="false">W26+W27+IF(W23=0,0,W20*Assumptions!$B$114/W23*1)</f>
        <v>315.208324323701</v>
      </c>
      <c r="X28" s="54" t="n">
        <f aca="false">X26+X27+IF(X23=0,0,X20*Assumptions!$B$114/X23*1)</f>
        <v>320.451432483456</v>
      </c>
      <c r="Y28" s="54" t="n">
        <f aca="false">Y26+Y27+IF(Y23=0,0,Y20*Assumptions!$B$114/Y23*1)</f>
        <v>328.592411607565</v>
      </c>
      <c r="Z28" s="54" t="n">
        <f aca="false">Z26+Z27+IF(Z23=0,0,Z20*Assumptions!$B$114/Z23*1)</f>
        <v>335.636939962406</v>
      </c>
      <c r="AA28" s="54" t="n">
        <f aca="false">AA26+AA27+IF(AA23=0,0,AA20*Assumptions!$B$114/AA23*1)</f>
        <v>6300.18579368912</v>
      </c>
      <c r="AB28" s="54" t="n">
        <f aca="false">AB26+AB27+IF(AB23=0,0,AB20*Assumptions!$B$114/AB23*1)</f>
        <v>10353.6819628759</v>
      </c>
      <c r="AC28" s="54" t="n">
        <f aca="false">AC26+AC27+IF(AC23=0,0,AC20*Assumptions!$B$114/AC23*1)</f>
        <v>15970.6640193835</v>
      </c>
      <c r="AD28" s="54" t="n">
        <f aca="false">AD26+AD27+IF(AD23=0,0,AD20*Assumptions!$B$114/AD23*1)</f>
        <v>21965.3119581629</v>
      </c>
      <c r="AE28" s="54" t="n">
        <f aca="false">AE26+AE27+IF(AE23=0,0,AE20*Assumptions!$B$114/AE23*1)</f>
        <v>27986.1403524356</v>
      </c>
    </row>
    <row r="29" customFormat="false" ht="15" hidden="false" customHeight="false" outlineLevel="0" collapsed="false">
      <c r="A29" s="6" t="s">
        <v>454</v>
      </c>
      <c r="B29" s="23" t="s">
        <v>449</v>
      </c>
      <c r="C29" s="51" t="n">
        <v>1</v>
      </c>
      <c r="D29" s="51" t="n">
        <f aca="false">MAX(0,1-C34/Assumptions!$B$84)</f>
        <v>0.999445064007902</v>
      </c>
      <c r="E29" s="51" t="n">
        <f aca="false">MAX(0,1-D34/Assumptions!$B$84)</f>
        <v>0.998917892803331</v>
      </c>
      <c r="F29" s="51" t="n">
        <f aca="false">MAX(0,1-E34/Assumptions!$B$84)</f>
        <v>0.998412953543413</v>
      </c>
      <c r="G29" s="51" t="n">
        <f aca="false">MAX(0,1-F34/Assumptions!$B$84)</f>
        <v>0.997782098518331</v>
      </c>
      <c r="H29" s="51" t="n">
        <f aca="false">MAX(0,1-G34/Assumptions!$B$84)</f>
        <v>0.997211946630521</v>
      </c>
      <c r="I29" s="51" t="n">
        <f aca="false">MAX(0,1-H34/Assumptions!$B$84)</f>
        <v>0.996729786091092</v>
      </c>
      <c r="J29" s="51" t="n">
        <f aca="false">MAX(0,1-I34/Assumptions!$B$84)</f>
        <v>0.996264288023971</v>
      </c>
      <c r="K29" s="51" t="n">
        <f aca="false">MAX(0,1-J34/Assumptions!$B$84)</f>
        <v>0.995799007356242</v>
      </c>
      <c r="L29" s="51" t="n">
        <f aca="false">MAX(0,1-K34/Assumptions!$B$84)</f>
        <v>0.99529017331627</v>
      </c>
      <c r="M29" s="51" t="n">
        <f aca="false">MAX(0,1-L34/Assumptions!$B$84)</f>
        <v>0.994606606064098</v>
      </c>
      <c r="N29" s="51" t="n">
        <f aca="false">MAX(0,1-M34/Assumptions!$B$84)</f>
        <v>0.993978156109409</v>
      </c>
      <c r="O29" s="51" t="n">
        <f aca="false">MAX(0,1-N34/Assumptions!$B$84)</f>
        <v>0.993426561855225</v>
      </c>
      <c r="P29" s="51" t="n">
        <f aca="false">MAX(0,1-O34/Assumptions!$B$84)</f>
        <v>0.991550620873754</v>
      </c>
      <c r="Q29" s="51" t="n">
        <f aca="false">MAX(0,1-P34/Assumptions!$B$84)</f>
        <v>0.989724051306603</v>
      </c>
      <c r="R29" s="51" t="n">
        <f aca="false">MAX(0,1-Q34/Assumptions!$B$84)</f>
        <v>0.987935522717644</v>
      </c>
      <c r="S29" s="51" t="n">
        <f aca="false">MAX(0,1-R34/Assumptions!$B$84)</f>
        <v>0.985656192634122</v>
      </c>
      <c r="T29" s="51" t="n">
        <f aca="false">MAX(0,1-S34/Assumptions!$B$84)</f>
        <v>0.983543474100327</v>
      </c>
      <c r="U29" s="51" t="n">
        <f aca="false">MAX(0,1-T34/Assumptions!$B$84)</f>
        <v>0.981718862040427</v>
      </c>
      <c r="V29" s="51" t="n">
        <f aca="false">MAX(0,1-U34/Assumptions!$B$84)</f>
        <v>0.979929604982853</v>
      </c>
      <c r="W29" s="51" t="n">
        <f aca="false">MAX(0,1-V34/Assumptions!$B$84)</f>
        <v>0.978115898121291</v>
      </c>
      <c r="X29" s="51" t="n">
        <f aca="false">MAX(0,1-W34/Assumptions!$B$84)</f>
        <v>0.976105697709375</v>
      </c>
      <c r="Y29" s="51" t="n">
        <f aca="false">MAX(0,1-X34/Assumptions!$B$84)</f>
        <v>0.973364518109456</v>
      </c>
      <c r="Z29" s="51" t="n">
        <f aca="false">MAX(0,1-Y34/Assumptions!$B$84)</f>
        <v>0.970785827171804</v>
      </c>
      <c r="AA29" s="51" t="n">
        <f aca="false">MAX(0,1-Z34/Assumptions!$B$84)</f>
        <v>0.968478639263531</v>
      </c>
      <c r="AB29" s="51" t="n">
        <f aca="false">MAX(0,1-AA34/Assumptions!$B$84)</f>
        <v>0.925701492239906</v>
      </c>
      <c r="AC29" s="51" t="n">
        <f aca="false">MAX(0,1-AB34/Assumptions!$B$84)</f>
        <v>0.85850691942832</v>
      </c>
      <c r="AD29" s="51" t="n">
        <f aca="false">MAX(0,1-AC34/Assumptions!$B$84)</f>
        <v>0.762382177647057</v>
      </c>
      <c r="AE29" s="51" t="n">
        <f aca="false">MAX(0,1-AD34/Assumptions!$B$84)</f>
        <v>0.644979358996041</v>
      </c>
    </row>
    <row r="30" customFormat="false" ht="15" hidden="false" customHeight="false" outlineLevel="0" collapsed="false">
      <c r="A30" s="6" t="s">
        <v>455</v>
      </c>
      <c r="B30" s="23" t="s">
        <v>190</v>
      </c>
      <c r="C30" s="54" t="n">
        <f aca="false">C28*C29*C15</f>
        <v>79.1542941176471</v>
      </c>
      <c r="D30" s="54" t="n">
        <f aca="false">D28*D29*D15</f>
        <v>75.1940136721541</v>
      </c>
      <c r="E30" s="54" t="n">
        <f aca="false">E28*E29*E15</f>
        <v>72.0229202291369</v>
      </c>
      <c r="F30" s="54" t="n">
        <f aca="false">F28*F29*F15</f>
        <v>89.9831420415748</v>
      </c>
      <c r="G30" s="54" t="n">
        <f aca="false">G28*G29*G15</f>
        <v>81.3246407911889</v>
      </c>
      <c r="H30" s="54" t="n">
        <f aca="false">H28*H29*H15</f>
        <v>68.7738364303731</v>
      </c>
      <c r="I30" s="54" t="n">
        <f aca="false">I28*I29*I15</f>
        <v>66.3971547004581</v>
      </c>
      <c r="J30" s="54" t="n">
        <f aca="false">J28*J29*J15</f>
        <v>66.3661455467168</v>
      </c>
      <c r="K30" s="54" t="n">
        <f aca="false">K28*K29*K15</f>
        <v>72.5784591926865</v>
      </c>
      <c r="L30" s="54" t="n">
        <f aca="false">L28*L29*L15</f>
        <v>97.5018454345048</v>
      </c>
      <c r="M30" s="54" t="n">
        <f aca="false">M28*M29*M15</f>
        <v>89.6400904969458</v>
      </c>
      <c r="N30" s="54" t="n">
        <f aca="false">N28*N29*N15</f>
        <v>78.6776393152007</v>
      </c>
      <c r="O30" s="54" t="n">
        <f aca="false">O28*O29*O15</f>
        <v>267.578218585964</v>
      </c>
      <c r="P30" s="54" t="n">
        <f aca="false">P28*P29*P15</f>
        <v>260.536038035835</v>
      </c>
      <c r="Q30" s="54" t="n">
        <f aca="false">Q28*Q29*Q15</f>
        <v>255.109994637586</v>
      </c>
      <c r="R30" s="54" t="n">
        <f aca="false">R28*R29*R15</f>
        <v>325.116349257296</v>
      </c>
      <c r="S30" s="54" t="n">
        <f aca="false">S28*S29*S15</f>
        <v>301.351410961238</v>
      </c>
      <c r="T30" s="54" t="n">
        <f aca="false">T28*T29*T15</f>
        <v>260.25682546547</v>
      </c>
      <c r="U30" s="54" t="n">
        <f aca="false">U28*U29*U15</f>
        <v>255.213901069817</v>
      </c>
      <c r="V30" s="54" t="n">
        <f aca="false">V28*V29*V15</f>
        <v>258.701342871293</v>
      </c>
      <c r="W30" s="54" t="n">
        <f aca="false">W28*W29*W15</f>
        <v>286.728554114301</v>
      </c>
      <c r="X30" s="54" t="n">
        <f aca="false">X28*X29*X15</f>
        <v>390.993086357791</v>
      </c>
      <c r="Y30" s="54" t="n">
        <f aca="false">Y28*Y29*Y15</f>
        <v>367.816223535645</v>
      </c>
      <c r="Z30" s="54" t="n">
        <f aca="false">Z28*Z29*Z15</f>
        <v>329.089900234726</v>
      </c>
      <c r="AA30" s="54" t="n">
        <f aca="false">AA28*AA29*AA15</f>
        <v>6101.59536457947</v>
      </c>
      <c r="AB30" s="54" t="n">
        <f aca="false">AB28*AB29*AB15</f>
        <v>9584.41884321158</v>
      </c>
      <c r="AC30" s="54" t="n">
        <f aca="false">AC28*AC29*AC15</f>
        <v>13710.9255685057</v>
      </c>
      <c r="AD30" s="54" t="n">
        <f aca="false">AD28*AD29*AD15</f>
        <v>16745.9623633612</v>
      </c>
      <c r="AE30" s="54" t="n">
        <f aca="false">AE28*AE29*AE15</f>
        <v>18050.4828652871</v>
      </c>
    </row>
    <row r="31" customFormat="false" ht="15" hidden="false" customHeight="false" outlineLevel="0" collapsed="false">
      <c r="A31" s="6" t="s">
        <v>456</v>
      </c>
      <c r="B31" s="23" t="s">
        <v>190</v>
      </c>
      <c r="C31" s="28" t="n">
        <f aca="false">C30*(1-Assumptions!$B$122)^(C7/2)</f>
        <v>77.2069255907376</v>
      </c>
      <c r="D31" s="28" t="n">
        <f aca="false">C31*(1-Assumptions!$B$122)^D7+D30*(1-Assumptions!$B$122)^(D7/2)</f>
        <v>146.798815110308</v>
      </c>
      <c r="E31" s="28" t="n">
        <f aca="false">D31*(1-Assumptions!$B$122)^E7+E30*(1-Assumptions!$B$122)^(E7/2)</f>
        <v>209.915523744309</v>
      </c>
      <c r="F31" s="28" t="n">
        <f aca="false">E31*(1-Assumptions!$B$122)^F7+F30*(1-Assumptions!$B$122)^(F7/2)</f>
        <v>287.483178207008</v>
      </c>
      <c r="G31" s="28" t="n">
        <f aca="false">F31*(1-Assumptions!$B$122)^G7+G30*(1-Assumptions!$B$122)^(G7/2)</f>
        <v>352.835631188584</v>
      </c>
      <c r="H31" s="28" t="n">
        <f aca="false">G31*(1-Assumptions!$B$122)^H7+H30*(1-Assumptions!$B$122)^(H7/2)</f>
        <v>402.769986547369</v>
      </c>
      <c r="I31" s="28" t="n">
        <f aca="false">H31*(1-Assumptions!$B$122)^I7+I30*(1-Assumptions!$B$122)^(I7/2)</f>
        <v>447.959366958489</v>
      </c>
      <c r="J31" s="28" t="n">
        <f aca="false">I31*(1-Assumptions!$B$122)^J7+J30*(1-Assumptions!$B$122)^(J7/2)</f>
        <v>490.922337845974</v>
      </c>
      <c r="K31" s="28" t="n">
        <f aca="false">J31*(1-Assumptions!$B$122)^K7+K30*(1-Assumptions!$B$122)^(K7/2)</f>
        <v>537.856824133086</v>
      </c>
      <c r="L31" s="28" t="n">
        <f aca="false">K31*(1-Assumptions!$B$122)^L7+L30*(1-Assumptions!$B$122)^(L7/2)</f>
        <v>606.820553082392</v>
      </c>
      <c r="M31" s="28" t="n">
        <f aca="false">L31*(1-Assumptions!$B$122)^M7+M30*(1-Assumptions!$B$122)^(M7/2)</f>
        <v>664.764368208862</v>
      </c>
      <c r="N31" s="28" t="n">
        <f aca="false">M31*(1-Assumptions!$B$122)^N7+N30*(1-Assumptions!$B$122)^(N7/2)</f>
        <v>709.199415073474</v>
      </c>
      <c r="O31" s="28" t="n">
        <f aca="false">N31*(1-Assumptions!$B$122)^O7+O30*(1-Assumptions!$B$122)^(O7/2)</f>
        <v>935.728171024855</v>
      </c>
      <c r="P31" s="28" t="n">
        <f aca="false">O31*(1-Assumptions!$B$122)^P7+P30*(1-Assumptions!$B$122)^(P7/2)</f>
        <v>1144.37890555914</v>
      </c>
      <c r="Q31" s="28" t="n">
        <f aca="false">P31*(1-Assumptions!$B$122)^Q7+Q30*(1-Assumptions!$B$122)^(Q7/2)</f>
        <v>1337.59685109281</v>
      </c>
      <c r="R31" s="28" t="n">
        <f aca="false">Q31*(1-Assumptions!$B$122)^R7+R30*(1-Assumptions!$B$122)^(R7/2)</f>
        <v>1589.70862356184</v>
      </c>
      <c r="S31" s="28" t="n">
        <f aca="false">R31*(1-Assumptions!$B$122)^S7+S30*(1-Assumptions!$B$122)^(S7/2)</f>
        <v>1806.38772163117</v>
      </c>
      <c r="T31" s="28" t="n">
        <f aca="false">S31*(1-Assumptions!$B$122)^T7+T30*(1-Assumptions!$B$122)^(T7/2)</f>
        <v>1972.45284139613</v>
      </c>
      <c r="U31" s="28" t="n">
        <f aca="false">T31*(1-Assumptions!$B$122)^U7+U30*(1-Assumptions!$B$122)^(U7/2)</f>
        <v>2125.52848819218</v>
      </c>
      <c r="V31" s="28" t="n">
        <f aca="false">U31*(1-Assumptions!$B$122)^V7+V30*(1-Assumptions!$B$122)^(V7/2)</f>
        <v>2274.56643928445</v>
      </c>
      <c r="W31" s="28" t="n">
        <f aca="false">V31*(1-Assumptions!$B$122)^W7+W30*(1-Assumptions!$B$122)^(W7/2)</f>
        <v>2443.6989605669</v>
      </c>
      <c r="X31" s="28" t="n">
        <f aca="false">W31*(1-Assumptions!$B$122)^X7+X30*(1-Assumptions!$B$122)^(X7/2)</f>
        <v>2706.31119037687</v>
      </c>
      <c r="Y31" s="28" t="n">
        <f aca="false">X31*(1-Assumptions!$B$122)^Y7+Y30*(1-Assumptions!$B$122)^(Y7/2)</f>
        <v>2933.55404053302</v>
      </c>
      <c r="Z31" s="28" t="n">
        <f aca="false">Y31*(1-Assumptions!$B$122)^Z7+Z30*(1-Assumptions!$B$122)^(Z7/2)</f>
        <v>3111.9795213022</v>
      </c>
      <c r="AA31" s="28" t="n">
        <f aca="false">Z31*(1-Assumptions!$B$122)^AA7+AA30*(1-Assumptions!$B$122)^(AA7/2)</f>
        <v>6236.65296788263</v>
      </c>
      <c r="AB31" s="28" t="n">
        <f aca="false">AA31*(1-Assumptions!$B$122)^AB7+AB30*(1-Assumptions!$B$122)^(AB7/2)</f>
        <v>10538.1543848071</v>
      </c>
      <c r="AC31" s="28" t="n">
        <f aca="false">AB31*(1-Assumptions!$B$122)^AC7+AC30*(1-Assumptions!$B$122)^(AC7/2)</f>
        <v>15964.2794574272</v>
      </c>
      <c r="AD31" s="28" t="n">
        <f aca="false">AC31*(1-Assumptions!$B$122)^AD7+AD30*(1-Assumptions!$B$122)^(AD7/2)</f>
        <v>21199.491775997</v>
      </c>
      <c r="AE31" s="28" t="n">
        <f aca="false">AD31*(1-Assumptions!$B$122)^AE7+AE30*(1-Assumptions!$B$122)^(AE7/2)</f>
        <v>25046.3168484872</v>
      </c>
    </row>
    <row r="32" customFormat="false" ht="15" hidden="false" customHeight="false" outlineLevel="0" collapsed="false">
      <c r="A32" s="6" t="s">
        <v>457</v>
      </c>
      <c r="B32" s="23" t="s">
        <v>190</v>
      </c>
      <c r="C32" s="54" t="n">
        <f aca="false">C30-C31</f>
        <v>1.94736852690946</v>
      </c>
      <c r="D32" s="54" t="n">
        <f aca="false">C31+D30-D31</f>
        <v>5.60212415258405</v>
      </c>
      <c r="E32" s="54" t="n">
        <f aca="false">D31+E30-E31</f>
        <v>8.90621159513518</v>
      </c>
      <c r="F32" s="54" t="n">
        <f aca="false">E31+F30-F31</f>
        <v>12.4154875788761</v>
      </c>
      <c r="G32" s="54" t="n">
        <f aca="false">F31+G30-G31</f>
        <v>15.9721878096126</v>
      </c>
      <c r="H32" s="54" t="n">
        <f aca="false">G31+H30-H31</f>
        <v>18.8394810715882</v>
      </c>
      <c r="I32" s="54" t="n">
        <f aca="false">H31+I30-I31</f>
        <v>21.2077742893386</v>
      </c>
      <c r="J32" s="54" t="n">
        <f aca="false">I31+J30-J31</f>
        <v>23.4031746592317</v>
      </c>
      <c r="K32" s="54" t="n">
        <f aca="false">J31+K30-K31</f>
        <v>25.6439729055743</v>
      </c>
      <c r="L32" s="54" t="n">
        <f aca="false">K31+L30-L31</f>
        <v>28.5381164851993</v>
      </c>
      <c r="M32" s="54" t="n">
        <f aca="false">L31+M30-M31</f>
        <v>31.696275370476</v>
      </c>
      <c r="N32" s="54" t="n">
        <f aca="false">M31+N30-N31</f>
        <v>34.2425924505885</v>
      </c>
      <c r="O32" s="54" t="n">
        <f aca="false">N31+O30-O31</f>
        <v>41.0494626345818</v>
      </c>
      <c r="P32" s="54" t="n">
        <f aca="false">O31+P30-P31</f>
        <v>51.8853035015497</v>
      </c>
      <c r="Q32" s="54" t="n">
        <f aca="false">P31+Q30-Q31</f>
        <v>61.8920491039169</v>
      </c>
      <c r="R32" s="54" t="n">
        <f aca="false">Q31+R30-R31</f>
        <v>73.0045767882646</v>
      </c>
      <c r="S32" s="54" t="n">
        <f aca="false">R31+S30-S31</f>
        <v>84.6723128919127</v>
      </c>
      <c r="T32" s="54" t="n">
        <f aca="false">S31+T30-T31</f>
        <v>94.1917057005051</v>
      </c>
      <c r="U32" s="54" t="n">
        <f aca="false">T31+U30-U31</f>
        <v>102.138254273763</v>
      </c>
      <c r="V32" s="54" t="n">
        <f aca="false">U31+V30-V31</f>
        <v>109.663391779022</v>
      </c>
      <c r="W32" s="54" t="n">
        <f aca="false">V31+W30-W31</f>
        <v>117.596032831856</v>
      </c>
      <c r="X32" s="54" t="n">
        <f aca="false">W31+X30-X31</f>
        <v>128.380856547818</v>
      </c>
      <c r="Y32" s="54" t="n">
        <f aca="false">X31+Y30-Y31</f>
        <v>140.573373379497</v>
      </c>
      <c r="Z32" s="54" t="n">
        <f aca="false">Y31+Z30-Z31</f>
        <v>150.66441946555</v>
      </c>
      <c r="AA32" s="54" t="n">
        <f aca="false">Z31+AA30-AA31</f>
        <v>2976.92191799904</v>
      </c>
      <c r="AB32" s="54" t="n">
        <f aca="false">AA31+AB30-AB31</f>
        <v>5282.91742628708</v>
      </c>
      <c r="AC32" s="54" t="n">
        <f aca="false">AB31+AC30-AC31</f>
        <v>8284.80049588559</v>
      </c>
      <c r="AD32" s="54" t="n">
        <f aca="false">AC31+AD30-AD31</f>
        <v>11510.7500447914</v>
      </c>
      <c r="AE32" s="54" t="n">
        <f aca="false">AD31+AE30-AE31</f>
        <v>14203.6577927969</v>
      </c>
    </row>
    <row r="33" customFormat="false" ht="15" hidden="false" customHeight="false" outlineLevel="0" collapsed="false">
      <c r="A33" s="6" t="s">
        <v>458</v>
      </c>
      <c r="B33" s="23" t="s">
        <v>190</v>
      </c>
      <c r="C33" s="45" t="n">
        <f aca="false">C32</f>
        <v>1.94736852690946</v>
      </c>
      <c r="D33" s="45" t="n">
        <f aca="false">C33+D32</f>
        <v>7.54949267949351</v>
      </c>
      <c r="E33" s="45" t="n">
        <f aca="false">D33+E32</f>
        <v>16.4557042746287</v>
      </c>
      <c r="F33" s="45" t="n">
        <f aca="false">E33+F32</f>
        <v>28.8711918535048</v>
      </c>
      <c r="G33" s="45" t="n">
        <f aca="false">F33+G32</f>
        <v>44.8433796631174</v>
      </c>
      <c r="H33" s="45" t="n">
        <f aca="false">G33+H32</f>
        <v>63.6828607347056</v>
      </c>
      <c r="I33" s="45" t="n">
        <f aca="false">H33+I32</f>
        <v>84.8906350240442</v>
      </c>
      <c r="J33" s="45" t="n">
        <f aca="false">I33+J32</f>
        <v>108.293809683276</v>
      </c>
      <c r="K33" s="45" t="n">
        <f aca="false">J33+K32</f>
        <v>133.93778258885</v>
      </c>
      <c r="L33" s="45" t="n">
        <f aca="false">K33+L32</f>
        <v>162.47589907405</v>
      </c>
      <c r="M33" s="45" t="n">
        <f aca="false">L33+M32</f>
        <v>194.172174444526</v>
      </c>
      <c r="N33" s="45" t="n">
        <f aca="false">M33+N32</f>
        <v>228.414766895114</v>
      </c>
      <c r="O33" s="45" t="n">
        <f aca="false">N33+O32</f>
        <v>269.464229529696</v>
      </c>
      <c r="P33" s="45" t="n">
        <f aca="false">O33+P32</f>
        <v>321.349533031246</v>
      </c>
      <c r="Q33" s="45" t="n">
        <f aca="false">P33+Q32</f>
        <v>383.241582135162</v>
      </c>
      <c r="R33" s="45" t="n">
        <f aca="false">Q33+R32</f>
        <v>456.246158923427</v>
      </c>
      <c r="S33" s="45" t="n">
        <f aca="false">R33+S32</f>
        <v>540.91847181534</v>
      </c>
      <c r="T33" s="45" t="n">
        <f aca="false">S33+T32</f>
        <v>635.110177515845</v>
      </c>
      <c r="U33" s="45" t="n">
        <f aca="false">T33+U32</f>
        <v>737.248431789608</v>
      </c>
      <c r="V33" s="45" t="n">
        <f aca="false">U33+V32</f>
        <v>846.91182356863</v>
      </c>
      <c r="W33" s="45" t="n">
        <f aca="false">V33+W32</f>
        <v>964.507856400486</v>
      </c>
      <c r="X33" s="45" t="n">
        <f aca="false">W33+X32</f>
        <v>1092.8887129483</v>
      </c>
      <c r="Y33" s="45" t="n">
        <f aca="false">X33+Y32</f>
        <v>1233.4620863278</v>
      </c>
      <c r="Z33" s="45" t="n">
        <f aca="false">Y33+Z32</f>
        <v>1384.12650579335</v>
      </c>
      <c r="AA33" s="45" t="n">
        <f aca="false">Z33+AA32</f>
        <v>4361.04842379239</v>
      </c>
      <c r="AB33" s="45" t="n">
        <f aca="false">AA33+AB32</f>
        <v>9643.96585007947</v>
      </c>
      <c r="AC33" s="45" t="n">
        <f aca="false">AB33+AC32</f>
        <v>17928.7663459651</v>
      </c>
      <c r="AD33" s="45" t="n">
        <f aca="false">AC33+AD32</f>
        <v>29439.5163907565</v>
      </c>
      <c r="AE33" s="45" t="n">
        <f aca="false">AD33+AE32</f>
        <v>43643.1741835534</v>
      </c>
    </row>
    <row r="34" customFormat="false" ht="15" hidden="false" customHeight="false" outlineLevel="0" collapsed="false">
      <c r="A34" s="6" t="s">
        <v>459</v>
      </c>
      <c r="B34" s="23" t="s">
        <v>190</v>
      </c>
      <c r="C34" s="45" t="n">
        <f aca="false">C30</f>
        <v>79.1542941176471</v>
      </c>
      <c r="D34" s="45" t="n">
        <f aca="false">C34+D30</f>
        <v>154.348307789801</v>
      </c>
      <c r="E34" s="45" t="n">
        <f aca="false">D34+E30</f>
        <v>226.371228018938</v>
      </c>
      <c r="F34" s="45" t="n">
        <f aca="false">E34+F30</f>
        <v>316.354370060513</v>
      </c>
      <c r="G34" s="45" t="n">
        <f aca="false">F34+G30</f>
        <v>397.679010851702</v>
      </c>
      <c r="H34" s="45" t="n">
        <f aca="false">G34+H30</f>
        <v>466.452847282075</v>
      </c>
      <c r="I34" s="45" t="n">
        <f aca="false">H34+I30</f>
        <v>532.850001982533</v>
      </c>
      <c r="J34" s="45" t="n">
        <f aca="false">I34+J30</f>
        <v>599.21614752925</v>
      </c>
      <c r="K34" s="45" t="n">
        <f aca="false">J34+K30</f>
        <v>671.794606721936</v>
      </c>
      <c r="L34" s="45" t="n">
        <f aca="false">K34+L30</f>
        <v>769.296452156441</v>
      </c>
      <c r="M34" s="45" t="n">
        <f aca="false">L34+M30</f>
        <v>858.936542653387</v>
      </c>
      <c r="N34" s="45" t="n">
        <f aca="false">M34+N30</f>
        <v>937.614181968588</v>
      </c>
      <c r="O34" s="45" t="n">
        <f aca="false">N34+O30</f>
        <v>1205.19240055455</v>
      </c>
      <c r="P34" s="45" t="n">
        <f aca="false">O34+P30</f>
        <v>1465.72843859039</v>
      </c>
      <c r="Q34" s="45" t="n">
        <f aca="false">P34+Q30</f>
        <v>1720.83843322797</v>
      </c>
      <c r="R34" s="45" t="n">
        <f aca="false">Q34+R30</f>
        <v>2045.95478248527</v>
      </c>
      <c r="S34" s="45" t="n">
        <f aca="false">R34+S30</f>
        <v>2347.30619344651</v>
      </c>
      <c r="T34" s="45" t="n">
        <f aca="false">S34+T30</f>
        <v>2607.56301891198</v>
      </c>
      <c r="U34" s="45" t="n">
        <f aca="false">T34+U30</f>
        <v>2862.77691998179</v>
      </c>
      <c r="V34" s="45" t="n">
        <f aca="false">U34+V30</f>
        <v>3121.47826285308</v>
      </c>
      <c r="W34" s="45" t="n">
        <f aca="false">V34+W30</f>
        <v>3408.20681696739</v>
      </c>
      <c r="X34" s="45" t="n">
        <f aca="false">W34+X30</f>
        <v>3799.19990332518</v>
      </c>
      <c r="Y34" s="45" t="n">
        <f aca="false">X34+Y30</f>
        <v>4167.01612686082</v>
      </c>
      <c r="Z34" s="45" t="n">
        <f aca="false">Y34+Z30</f>
        <v>4496.10602709555</v>
      </c>
      <c r="AA34" s="45" t="n">
        <f aca="false">Z34+AA30</f>
        <v>10597.701391675</v>
      </c>
      <c r="AB34" s="45" t="n">
        <f aca="false">AA34+AB30</f>
        <v>20182.1202348866</v>
      </c>
      <c r="AC34" s="45" t="n">
        <f aca="false">AB34+AC30</f>
        <v>33893.0458033923</v>
      </c>
      <c r="AD34" s="45" t="n">
        <f aca="false">AC34+AD30</f>
        <v>50639.0081667535</v>
      </c>
      <c r="AE34" s="45" t="n">
        <f aca="false">AD34+AE30</f>
        <v>68689.4910320406</v>
      </c>
    </row>
    <row r="35" customFormat="false" ht="15" hidden="false" customHeight="false" outlineLevel="0" collapsed="false">
      <c r="A35" s="6" t="s">
        <v>460</v>
      </c>
      <c r="B35" s="23" t="s">
        <v>114</v>
      </c>
      <c r="C35" s="55" t="n">
        <f aca="false">IF(C2&gt;=Assumptions!$B$47,C31*Assumptions!$B$173*C7,0)</f>
        <v>2594.15269984878</v>
      </c>
      <c r="D35" s="55" t="n">
        <f aca="false">IF(D2&gt;=Assumptions!$B$47,D31*Assumptions!$B$173*D7,0)</f>
        <v>4932.44018770634</v>
      </c>
      <c r="E35" s="55" t="n">
        <f aca="false">IF(E2&gt;=Assumptions!$B$47,E31*Assumptions!$B$173*E7,0)</f>
        <v>7053.1615978088</v>
      </c>
      <c r="F35" s="55" t="n">
        <f aca="false">IF(F2&gt;=Assumptions!$B$47,F31*Assumptions!$B$173*F7,0)</f>
        <v>9659.43478775547</v>
      </c>
      <c r="G35" s="55" t="n">
        <f aca="false">IF(G2&gt;=Assumptions!$B$47,G31*Assumptions!$B$173*G7,0)</f>
        <v>11855.2772079364</v>
      </c>
      <c r="H35" s="55" t="n">
        <f aca="false">IF(H2&gt;=Assumptions!$B$47,H31*Assumptions!$B$173*H7,0)</f>
        <v>13533.0715479916</v>
      </c>
      <c r="I35" s="55" t="n">
        <f aca="false">IF(I2&gt;=Assumptions!$B$47,I31*Assumptions!$B$173*I7,0)</f>
        <v>15051.4347298052</v>
      </c>
      <c r="J35" s="55" t="n">
        <f aca="false">IF(J2&gt;=Assumptions!$B$47,J31*Assumptions!$B$173*J7,0)</f>
        <v>16494.9905516247</v>
      </c>
      <c r="K35" s="55" t="n">
        <f aca="false">IF(K2&gt;=Assumptions!$B$47,K31*Assumptions!$B$173*K7,0)</f>
        <v>18071.9892908717</v>
      </c>
      <c r="L35" s="55" t="n">
        <f aca="false">IF(L2&gt;=Assumptions!$B$47,L31*Assumptions!$B$173*L7,0)</f>
        <v>20389.1705835684</v>
      </c>
      <c r="M35" s="55" t="n">
        <f aca="false">IF(M2&gt;=Assumptions!$B$47,M31*Assumptions!$B$173*M7,0)</f>
        <v>22336.0827718177</v>
      </c>
      <c r="N35" s="55" t="n">
        <f aca="false">IF(N2&gt;=Assumptions!$B$47,N31*Assumptions!$B$173*N7,0)</f>
        <v>23829.1003464687</v>
      </c>
      <c r="O35" s="55" t="n">
        <f aca="false">IF(O2&gt;=Assumptions!$B$47,O31*Assumptions!$B$173*O7,0)</f>
        <v>31440.4665464351</v>
      </c>
      <c r="P35" s="55" t="n">
        <f aca="false">IF(P2&gt;=Assumptions!$B$47,P31*Assumptions!$B$173*P7,0)</f>
        <v>38451.1312267871</v>
      </c>
      <c r="Q35" s="55" t="n">
        <f aca="false">IF(Q2&gt;=Assumptions!$B$47,Q31*Assumptions!$B$173*Q7,0)</f>
        <v>44943.2541967184</v>
      </c>
      <c r="R35" s="55" t="n">
        <f aca="false">IF(R2&gt;=Assumptions!$B$47,R31*Assumptions!$B$173*R7,0)</f>
        <v>53414.2097516778</v>
      </c>
      <c r="S35" s="55" t="n">
        <f aca="false">IF(S2&gt;=Assumptions!$B$47,S31*Assumptions!$B$173*S7,0)</f>
        <v>60694.6274468072</v>
      </c>
      <c r="T35" s="55" t="n">
        <f aca="false">IF(T2&gt;=Assumptions!$B$47,T31*Assumptions!$B$173*T7,0)</f>
        <v>66274.41547091</v>
      </c>
      <c r="U35" s="55" t="n">
        <f aca="false">IF(U2&gt;=Assumptions!$B$47,U31*Assumptions!$B$173*U7,0)</f>
        <v>71417.7572032574</v>
      </c>
      <c r="V35" s="55" t="n">
        <f aca="false">IF(V2&gt;=Assumptions!$B$47,V31*Assumptions!$B$173*V7,0)</f>
        <v>76425.4323599577</v>
      </c>
      <c r="W35" s="55" t="n">
        <f aca="false">IF(W2&gt;=Assumptions!$B$47,W31*Assumptions!$B$173*W7,0)</f>
        <v>82108.2850750478</v>
      </c>
      <c r="X35" s="55" t="n">
        <f aca="false">IF(X2&gt;=Assumptions!$B$47,X31*Assumptions!$B$173*X7,0)</f>
        <v>90932.0559966629</v>
      </c>
      <c r="Y35" s="55" t="n">
        <f aca="false">IF(Y2&gt;=Assumptions!$B$47,Y31*Assumptions!$B$173*Y7,0)</f>
        <v>98567.4157619095</v>
      </c>
      <c r="Z35" s="55" t="n">
        <f aca="false">IF(Z2&gt;=Assumptions!$B$47,Z31*Assumptions!$B$173*Z7,0)</f>
        <v>104562.511915754</v>
      </c>
      <c r="AA35" s="55" t="n">
        <f aca="false">IF(AA2&gt;=Assumptions!$B$47,AA31*Assumptions!$B$173*AA7,0)</f>
        <v>2514618.47665027</v>
      </c>
      <c r="AB35" s="55" t="n">
        <f aca="false">IF(AB2&gt;=Assumptions!$B$47,AB31*Assumptions!$B$173*AB7,0)</f>
        <v>4248983.84795424</v>
      </c>
      <c r="AC35" s="55" t="n">
        <f aca="false">IF(AC2&gt;=Assumptions!$B$47,AC31*Assumptions!$B$173*AC7,0)</f>
        <v>6436797.47723466</v>
      </c>
      <c r="AD35" s="55" t="n">
        <f aca="false">IF(AD2&gt;=Assumptions!$B$47,AD31*Assumptions!$B$173*AD7,0)</f>
        <v>8547635.08408199</v>
      </c>
      <c r="AE35" s="55" t="n">
        <f aca="false">IF(AE2&gt;=Assumptions!$B$47,AE31*Assumptions!$B$173*AE7,0)</f>
        <v>10098674.95331</v>
      </c>
    </row>
    <row r="36" customFormat="false" ht="15" hidden="false" customHeight="false" outlineLevel="0" collapsed="false">
      <c r="A36" s="6" t="s">
        <v>461</v>
      </c>
      <c r="B36" s="23" t="s">
        <v>114</v>
      </c>
      <c r="C36" s="55" t="n">
        <f aca="false">IF(C2&gt;=Assumptions!$B$48,C31*Assumptions!$B$35*Assumptions!$B$139*Assumptions!$B$141*Assumptions!$B$32*Assumptions!$B$140/12*C7,0)</f>
        <v>249.378369658083</v>
      </c>
      <c r="D36" s="55" t="n">
        <f aca="false">IF(D2&gt;=Assumptions!$B$48,D31*Assumptions!$B$35*Assumptions!$B$139*Assumptions!$B$141*Assumptions!$B$32*Assumptions!$B$140/12*D7,0)</f>
        <v>474.160172806294</v>
      </c>
      <c r="E36" s="55" t="n">
        <f aca="false">IF(E2&gt;=Assumptions!$B$48,E31*Assumptions!$B$35*Assumptions!$B$139*Assumptions!$B$141*Assumptions!$B$32*Assumptions!$B$140/12*E7,0)</f>
        <v>678.027141694119</v>
      </c>
      <c r="F36" s="55" t="n">
        <f aca="false">IF(F2&gt;=Assumptions!$B$48,F31*Assumptions!$B$35*Assumptions!$B$139*Assumptions!$B$141*Assumptions!$B$32*Assumptions!$B$140/12*F7,0)</f>
        <v>928.570665608636</v>
      </c>
      <c r="G36" s="55" t="n">
        <f aca="false">IF(G2&gt;=Assumptions!$B$48,G31*Assumptions!$B$35*Assumptions!$B$139*Assumptions!$B$141*Assumptions!$B$32*Assumptions!$B$140/12*G7,0)</f>
        <v>1139.65908873913</v>
      </c>
      <c r="H36" s="55" t="n">
        <f aca="false">IF(H2&gt;=Assumptions!$B$48,H31*Assumptions!$B$35*Assumptions!$B$139*Assumptions!$B$141*Assumptions!$B$32*Assumptions!$B$140/12*H7,0)</f>
        <v>1300.947056548</v>
      </c>
      <c r="I36" s="55" t="n">
        <f aca="false">IF(I2&gt;=Assumptions!$B$48,I31*Assumptions!$B$35*Assumptions!$B$139*Assumptions!$B$141*Assumptions!$B$32*Assumptions!$B$140/12*I7,0)</f>
        <v>1446.90875527592</v>
      </c>
      <c r="J36" s="55" t="n">
        <f aca="false">IF(J2&gt;=Assumptions!$B$48,J31*Assumptions!$B$35*Assumptions!$B$139*Assumptions!$B$141*Assumptions!$B$32*Assumptions!$B$140/12*J7,0)</f>
        <v>1585.6791512425</v>
      </c>
      <c r="K36" s="55" t="n">
        <f aca="false">IF(K2&gt;=Assumptions!$B$48,K31*Assumptions!$B$35*Assumptions!$B$139*Assumptions!$B$141*Assumptions!$B$32*Assumptions!$B$140/12*K7,0)</f>
        <v>1737.27754194987</v>
      </c>
      <c r="L36" s="55" t="n">
        <f aca="false">IF(L2&gt;=Assumptions!$B$48,L31*Assumptions!$B$35*Assumptions!$B$139*Assumptions!$B$141*Assumptions!$B$32*Assumptions!$B$140/12*L7,0)</f>
        <v>1960.03038645613</v>
      </c>
      <c r="M36" s="55" t="n">
        <f aca="false">IF(M2&gt;=Assumptions!$B$48,M31*Assumptions!$B$35*Assumptions!$B$139*Assumptions!$B$141*Assumptions!$B$32*Assumptions!$B$140/12*M7,0)</f>
        <v>2147.18890931462</v>
      </c>
      <c r="N36" s="55" t="n">
        <f aca="false">IF(N2&gt;=Assumptions!$B$48,N31*Assumptions!$B$35*Assumptions!$B$139*Assumptions!$B$141*Assumptions!$B$32*Assumptions!$B$140/12*N7,0)</f>
        <v>2290.71411068732</v>
      </c>
      <c r="O36" s="55" t="n">
        <f aca="false">IF(O2&gt;=Assumptions!$B$48,O31*Assumptions!$B$35*Assumptions!$B$139*Assumptions!$B$141*Assumptions!$B$32*Assumptions!$B$140/12*O7,0)</f>
        <v>3022.40199241028</v>
      </c>
      <c r="P36" s="55" t="n">
        <f aca="false">IF(P2&gt;=Assumptions!$B$48,P31*Assumptions!$B$35*Assumptions!$B$139*Assumptions!$B$141*Assumptions!$B$32*Assumptions!$B$140/12*P7,0)</f>
        <v>3696.34386495602</v>
      </c>
      <c r="Q36" s="55" t="n">
        <f aca="false">IF(Q2&gt;=Assumptions!$B$48,Q31*Assumptions!$B$35*Assumptions!$B$139*Assumptions!$B$141*Assumptions!$B$32*Assumptions!$B$140/12*Q7,0)</f>
        <v>4320.43782902978</v>
      </c>
      <c r="R36" s="55" t="n">
        <f aca="false">IF(R2&gt;=Assumptions!$B$48,R31*Assumptions!$B$35*Assumptions!$B$139*Assumptions!$B$141*Assumptions!$B$32*Assumptions!$B$140/12*R7,0)</f>
        <v>5134.75885410474</v>
      </c>
      <c r="S36" s="55" t="n">
        <f aca="false">IF(S2&gt;=Assumptions!$B$48,S31*Assumptions!$B$35*Assumptions!$B$139*Assumptions!$B$141*Assumptions!$B$32*Assumptions!$B$140/12*S7,0)</f>
        <v>5834.63234086866</v>
      </c>
      <c r="T36" s="55" t="n">
        <f aca="false">IF(T2&gt;=Assumptions!$B$48,T31*Assumptions!$B$35*Assumptions!$B$139*Assumptions!$B$141*Assumptions!$B$32*Assumptions!$B$140/12*T7,0)</f>
        <v>6371.0226777095</v>
      </c>
      <c r="U36" s="55" t="n">
        <f aca="false">IF(U2&gt;=Assumptions!$B$48,U31*Assumptions!$B$35*Assumptions!$B$139*Assumptions!$B$141*Assumptions!$B$32*Assumptions!$B$140/12*U7,0)</f>
        <v>6865.45701686075</v>
      </c>
      <c r="V36" s="55" t="n">
        <f aca="false">IF(V2&gt;=Assumptions!$B$48,V31*Assumptions!$B$35*Assumptions!$B$139*Assumptions!$B$141*Assumptions!$B$32*Assumptions!$B$140/12*V7,0)</f>
        <v>7346.84959888879</v>
      </c>
      <c r="W36" s="55" t="n">
        <f aca="false">IF(W2&gt;=Assumptions!$B$48,W31*Assumptions!$B$35*Assumptions!$B$139*Assumptions!$B$141*Assumptions!$B$32*Assumptions!$B$140/12*W7,0)</f>
        <v>7893.14764263109</v>
      </c>
      <c r="X36" s="55" t="n">
        <f aca="false">IF(X2&gt;=Assumptions!$B$48,X31*Assumptions!$B$35*Assumptions!$B$139*Assumptions!$B$141*Assumptions!$B$32*Assumptions!$B$140/12*X7,0)</f>
        <v>8741.3851449173</v>
      </c>
      <c r="Y36" s="55" t="n">
        <f aca="false">IF(Y2&gt;=Assumptions!$B$48,Y31*Assumptions!$B$35*Assumptions!$B$139*Assumptions!$B$141*Assumptions!$B$32*Assumptions!$B$140/12*Y7,0)</f>
        <v>9475.37955092165</v>
      </c>
      <c r="Z36" s="55" t="n">
        <f aca="false">IF(Z2&gt;=Assumptions!$B$48,Z31*Assumptions!$B$35*Assumptions!$B$139*Assumptions!$B$141*Assumptions!$B$32*Assumptions!$B$140/12*Z7,0)</f>
        <v>10051.6938538061</v>
      </c>
      <c r="AA36" s="55" t="n">
        <f aca="false">IF(AA2&gt;=Assumptions!$B$48,AA31*Assumptions!$B$35*Assumptions!$B$139*Assumptions!$B$141*Assumptions!$B$32*Assumptions!$B$140/12*AA7,0)</f>
        <v>241732.669035131</v>
      </c>
      <c r="AB36" s="55" t="n">
        <f aca="false">IF(AB2&gt;=Assumptions!$B$48,AB31*Assumptions!$B$35*Assumptions!$B$139*Assumptions!$B$141*Assumptions!$B$32*Assumptions!$B$140/12*AB7,0)</f>
        <v>408458.863955125</v>
      </c>
      <c r="AC36" s="55" t="n">
        <f aca="false">IF(AC2&gt;=Assumptions!$B$48,AC31*Assumptions!$B$35*Assumptions!$B$139*Assumptions!$B$141*Assumptions!$B$32*Assumptions!$B$140/12*AC7,0)</f>
        <v>618775.471769879</v>
      </c>
      <c r="AD36" s="55" t="n">
        <f aca="false">IF(AD2&gt;=Assumptions!$B$48,AD31*Assumptions!$B$35*Assumptions!$B$139*Assumptions!$B$141*Assumptions!$B$32*Assumptions!$B$140/12*AD7,0)</f>
        <v>821692.301237643</v>
      </c>
      <c r="AE36" s="55" t="n">
        <f aca="false">IF(AE2&gt;=Assumptions!$B$48,AE31*Assumptions!$B$35*Assumptions!$B$139*Assumptions!$B$141*Assumptions!$B$32*Assumptions!$B$140/12*AE7,0)</f>
        <v>970795.241047364</v>
      </c>
    </row>
    <row r="37" customFormat="false" ht="15" hidden="false" customHeight="false" outlineLevel="0" collapsed="false">
      <c r="A37" s="6" t="s">
        <v>462</v>
      </c>
      <c r="B37" s="23" t="s">
        <v>47</v>
      </c>
      <c r="C37" s="54" t="n">
        <f aca="false">(C35+C36)*(1-Assumptions!$B$8)/C21/(1+Assumptions!$B$9)</f>
        <v>18.8140323817384</v>
      </c>
      <c r="D37" s="54" t="n">
        <f aca="false">(D35+D36)*(1-Assumptions!$B$8)/D21/(1+Assumptions!$B$9)</f>
        <v>35.7724082386916</v>
      </c>
      <c r="E37" s="54" t="n">
        <f aca="false">(E35+E36)*(1-Assumptions!$B$8)/E21/(1+Assumptions!$B$9)</f>
        <v>51.1528911549977</v>
      </c>
      <c r="F37" s="54" t="n">
        <f aca="false">(F35+F36)*(1-Assumptions!$B$8)/F21/(1+Assumptions!$B$9)</f>
        <v>70.0548271104917</v>
      </c>
      <c r="G37" s="54" t="n">
        <f aca="false">(G35+G36)*(1-Assumptions!$B$8)/G21/(1+Assumptions!$B$9)</f>
        <v>85.9801234127825</v>
      </c>
      <c r="H37" s="54" t="n">
        <f aca="false">(H35+H36)*(1-Assumptions!$B$8)/H21/(1+Assumptions!$B$9)</f>
        <v>98.1482880106241</v>
      </c>
      <c r="I37" s="54" t="n">
        <f aca="false">(I35+I36)*(1-Assumptions!$B$8)/I21/(1+Assumptions!$B$9)</f>
        <v>109.160181825335</v>
      </c>
      <c r="J37" s="54" t="n">
        <f aca="false">(J35+J36)*(1-Assumptions!$B$8)/J21/(1+Assumptions!$B$9)</f>
        <v>119.629536994035</v>
      </c>
      <c r="K37" s="54" t="n">
        <f aca="false">(K35+K36)*(1-Assumptions!$B$8)/K21/(1+Assumptions!$B$9)</f>
        <v>131.066683831183</v>
      </c>
      <c r="L37" s="54" t="n">
        <f aca="false">(L35+L36)*(1-Assumptions!$B$8)/L21/(1+Assumptions!$B$9)</f>
        <v>147.871987496497</v>
      </c>
      <c r="M37" s="54" t="n">
        <f aca="false">(M35+M36)*(1-Assumptions!$B$8)/M21/(1+Assumptions!$B$9)</f>
        <v>161.991923056289</v>
      </c>
      <c r="N37" s="54" t="n">
        <f aca="false">(N35+N36)*(1-Assumptions!$B$8)/N21/(1+Assumptions!$B$9)</f>
        <v>172.819998441992</v>
      </c>
      <c r="O37" s="54" t="n">
        <f aca="false">(O35+O36)*(1-Assumptions!$B$8)/O21/(1+Assumptions!$B$9)</f>
        <v>210.935481542602</v>
      </c>
      <c r="P37" s="54" t="n">
        <f aca="false">(P35+P36)*(1-Assumptions!$B$8)/P21/(1+Assumptions!$B$9)</f>
        <v>257.97034115894</v>
      </c>
      <c r="Q37" s="54" t="n">
        <f aca="false">(Q35+Q36)*(1-Assumptions!$B$8)/Q21/(1+Assumptions!$B$9)</f>
        <v>301.526281490605</v>
      </c>
      <c r="R37" s="54" t="n">
        <f aca="false">(R35+R36)*(1-Assumptions!$B$8)/R21/(1+Assumptions!$B$9)</f>
        <v>358.358297213793</v>
      </c>
      <c r="S37" s="54" t="n">
        <f aca="false">(S35+S36)*(1-Assumptions!$B$8)/S21/(1+Assumptions!$B$9)</f>
        <v>407.202941744919</v>
      </c>
      <c r="T37" s="54" t="n">
        <f aca="false">(T35+T36)*(1-Assumptions!$B$8)/T21/(1+Assumptions!$B$9)</f>
        <v>444.637986547179</v>
      </c>
      <c r="U37" s="54" t="n">
        <f aca="false">(U35+U36)*(1-Assumptions!$B$8)/U21/(1+Assumptions!$B$9)</f>
        <v>479.144893861946</v>
      </c>
      <c r="V37" s="54" t="n">
        <f aca="false">(V35+V36)*(1-Assumptions!$B$8)/V21/(1+Assumptions!$B$9)</f>
        <v>512.741608116406</v>
      </c>
      <c r="W37" s="54" t="n">
        <f aca="false">(W35+W36)*(1-Assumptions!$B$8)/W21/(1+Assumptions!$B$9)</f>
        <v>550.868118491906</v>
      </c>
      <c r="X37" s="54" t="n">
        <f aca="false">(X35+X36)*(1-Assumptions!$B$8)/X21/(1+Assumptions!$B$9)</f>
        <v>610.067188124781</v>
      </c>
      <c r="Y37" s="54" t="n">
        <f aca="false">(Y35+Y36)*(1-Assumptions!$B$8)/Y21/(1+Assumptions!$B$9)</f>
        <v>661.293154713242</v>
      </c>
      <c r="Z37" s="54" t="n">
        <f aca="false">(Z35+Z36)*(1-Assumptions!$B$8)/Z21/(1+Assumptions!$B$9)</f>
        <v>701.514520138518</v>
      </c>
      <c r="AA37" s="54" t="n">
        <f aca="false">(AA35+AA36)*(1-Assumptions!$B$8)/AA21/(1+Assumptions!$B$9)</f>
        <v>15606.555643907</v>
      </c>
      <c r="AB37" s="54" t="n">
        <f aca="false">(AB35+AB36)*(1-Assumptions!$B$8)/AB21/(1+Assumptions!$B$9)</f>
        <v>24394.6363828288</v>
      </c>
      <c r="AC37" s="54" t="n">
        <f aca="false">(AC35+AC36)*(1-Assumptions!$B$8)/AC21/(1+Assumptions!$B$9)</f>
        <v>34186.4039476926</v>
      </c>
      <c r="AD37" s="54" t="n">
        <f aca="false">(AD35+AD36)*(1-Assumptions!$B$8)/AD21/(1+Assumptions!$B$9)</f>
        <v>41995.60613724</v>
      </c>
      <c r="AE37" s="54" t="n">
        <f aca="false">(AE35+AE36)*(1-Assumptions!$B$8)/AE21/(1+Assumptions!$B$9)</f>
        <v>45898.2979434771</v>
      </c>
    </row>
    <row r="38" customFormat="false" ht="15" hidden="false" customHeight="false" outlineLevel="0" collapsed="false">
      <c r="A38" s="6" t="s">
        <v>463</v>
      </c>
      <c r="B38" s="23" t="s">
        <v>464</v>
      </c>
      <c r="C38" s="56" t="n">
        <f aca="false">(Assumptions!$B$136+Assumptions!$B$137*IF(C31+C33=0,1,(C31+C33*Assumptions!$B$138)/(C31+C33)))*C7/12</f>
        <v>0.0100738065527064</v>
      </c>
      <c r="D38" s="56" t="n">
        <f aca="false">(Assumptions!$B$136+Assumptions!$B$137*IF(D31+D33=0,1,(D31+D33*Assumptions!$B$138)/(D31+D33)))*D7/12</f>
        <v>0.0101467361603298</v>
      </c>
      <c r="E38" s="56" t="n">
        <f aca="false">(Assumptions!$B$136+Assumptions!$B$137*IF(E31+E33=0,1,(E31+E33*Assumptions!$B$138)/(E31+E33)))*E7/12</f>
        <v>0.0102180803331586</v>
      </c>
      <c r="F38" s="56" t="n">
        <f aca="false">(Assumptions!$B$136+Assumptions!$B$137*IF(F31+F33=0,1,(F31+F33*Assumptions!$B$138)/(F31+F33)))*F7/12</f>
        <v>0.0102737865626574</v>
      </c>
      <c r="G38" s="56" t="n">
        <f aca="false">(Assumptions!$B$136+Assumptions!$B$137*IF(G31+G33=0,1,(G31+G33*Assumptions!$B$138)/(G31+G33)))*G7/12</f>
        <v>0.0103382882559007</v>
      </c>
      <c r="H38" s="56" t="n">
        <f aca="false">(Assumptions!$B$136+Assumptions!$B$137*IF(H31+H33=0,1,(H31+H33*Assumptions!$B$138)/(H31+H33)))*H7/12</f>
        <v>0.0104095774810194</v>
      </c>
      <c r="I38" s="56" t="n">
        <f aca="false">(Assumptions!$B$136+Assumptions!$B$137*IF(I31+I33=0,1,(I31+I33*Assumptions!$B$138)/(I31+I33)))*I7/12</f>
        <v>0.0104779429560375</v>
      </c>
      <c r="J38" s="56" t="n">
        <f aca="false">(Assumptions!$B$136+Assumptions!$B$137*IF(J31+J33=0,1,(J31+J33*Assumptions!$B$138)/(J31+J33)))*J7/12</f>
        <v>0.0105421773601887</v>
      </c>
      <c r="K38" s="56" t="n">
        <f aca="false">(Assumptions!$B$136+Assumptions!$B$137*IF(K31+K33=0,1,(K31+K33*Assumptions!$B$138)/(K31+K33)))*K7/12</f>
        <v>0.0105981193414565</v>
      </c>
      <c r="L38" s="56" t="n">
        <f aca="false">(Assumptions!$B$136+Assumptions!$B$137*IF(L31+L33=0,1,(L31+L33*Assumptions!$B$138)/(L31+L33)))*L7/12</f>
        <v>0.010633601904514</v>
      </c>
      <c r="M38" s="56" t="n">
        <f aca="false">(Assumptions!$B$136+Assumptions!$B$137*IF(M31+M33=0,1,(M31+M33*Assumptions!$B$138)/(M31+M33)))*M7/12</f>
        <v>0.0106781834214831</v>
      </c>
      <c r="N38" s="56" t="n">
        <f aca="false">(Assumptions!$B$136+Assumptions!$B$137*IF(N31+N33=0,1,(N31+N33*Assumptions!$B$138)/(N31+N33)))*N7/12</f>
        <v>0.0107308382422785</v>
      </c>
      <c r="O38" s="56" t="n">
        <f aca="false">(Assumptions!$B$136+Assumptions!$B$137*IF(O31+O33=0,1,(O31+O33*Assumptions!$B$138)/(O31+O33)))*O7/12</f>
        <v>0.0106707582027709</v>
      </c>
      <c r="P38" s="56" t="n">
        <f aca="false">(Assumptions!$B$136+Assumptions!$B$137*IF(P31+P33=0,1,(P31+P33*Assumptions!$B$138)/(P31+P33)))*P7/12</f>
        <v>0.0106577266113639</v>
      </c>
      <c r="Q38" s="56" t="n">
        <f aca="false">(Assumptions!$B$136+Assumptions!$B$137*IF(Q31+Q33=0,1,(Q31+Q33*Assumptions!$B$138)/(Q31+Q33)))*Q7/12</f>
        <v>0.0106681189379579</v>
      </c>
      <c r="R38" s="56" t="n">
        <f aca="false">(Assumptions!$B$136+Assumptions!$B$137*IF(R31+R33=0,1,(R31+R33*Assumptions!$B$138)/(R31+R33)))*R7/12</f>
        <v>0.0106689974228598</v>
      </c>
      <c r="S38" s="56" t="n">
        <f aca="false">(Assumptions!$B$136+Assumptions!$B$137*IF(S31+S33=0,1,(S31+S33*Assumptions!$B$138)/(S31+S33)))*S7/12</f>
        <v>0.0106913266875777</v>
      </c>
      <c r="T38" s="56" t="n">
        <f aca="false">(Assumptions!$B$136+Assumptions!$B$137*IF(T31+T33=0,1,(T31+T33*Assumptions!$B$138)/(T31+T33)))*T7/12</f>
        <v>0.0107306939539826</v>
      </c>
      <c r="U38" s="56" t="n">
        <f aca="false">(Assumptions!$B$136+Assumptions!$B$137*IF(U31+U33=0,1,(U31+U33*Assumptions!$B$138)/(U31+U33)))*U7/12</f>
        <v>0.0107725873713495</v>
      </c>
      <c r="V38" s="56" t="n">
        <f aca="false">(Assumptions!$B$136+Assumptions!$B$137*IF(V31+V33=0,1,(V31+V33*Assumptions!$B$138)/(V31+V33)))*V7/12</f>
        <v>0.0108139526393445</v>
      </c>
      <c r="W38" s="56" t="n">
        <f aca="false">(Assumptions!$B$136+Assumptions!$B$137*IF(W31+W33=0,1,(W31+W33*Assumptions!$B$138)/(W31+W33)))*W7/12</f>
        <v>0.0108489870845855</v>
      </c>
      <c r="X38" s="56" t="n">
        <f aca="false">(Assumptions!$B$136+Assumptions!$B$137*IF(X31+X33=0,1,(X31+X33*Assumptions!$B$138)/(X31+X33)))*X7/12</f>
        <v>0.0108629885824053</v>
      </c>
      <c r="Y38" s="56" t="n">
        <f aca="false">(Assumptions!$B$136+Assumptions!$B$137*IF(Y31+Y33=0,1,(Y31+Y33*Assumptions!$B$138)/(Y31+Y33)))*Y7/12</f>
        <v>0.010888018223671</v>
      </c>
      <c r="Z38" s="56" t="n">
        <f aca="false">(Assumptions!$B$136+Assumptions!$B$137*IF(Z31+Z33=0,1,(Z31+Z33*Assumptions!$B$138)/(Z31+Z33)))*Z7/12</f>
        <v>0.0109235501770545</v>
      </c>
      <c r="AA38" s="56" t="n">
        <f aca="false">(Assumptions!$B$136+Assumptions!$B$137*IF(AA31+AA33=0,1,(AA31+AA33*Assumptions!$B$138)/(AA31+AA33)))*AA7/12</f>
        <v>0.134814320337413</v>
      </c>
      <c r="AB38" s="56" t="n">
        <f aca="false">(Assumptions!$B$136+Assumptions!$B$137*IF(AB31+AB33=0,1,(AB31+AB33*Assumptions!$B$138)/(AB31+AB33)))*AB7/12</f>
        <v>0.137202492432025</v>
      </c>
      <c r="AC38" s="56" t="n">
        <f aca="false">(Assumptions!$B$136+Assumptions!$B$137*IF(AC31+AC33=0,1,(AC31+AC33*Assumptions!$B$138)/(AC31+AC33)))*AC7/12</f>
        <v>0.13904330440524</v>
      </c>
      <c r="AD38" s="56" t="n">
        <f aca="false">(Assumptions!$B$136+Assumptions!$B$137*IF(AD31+AD33=0,1,(AD31+AD33*Assumptions!$B$138)/(AD31+AD33)))*AD7/12</f>
        <v>0.14092897606875</v>
      </c>
      <c r="AE38" s="56" t="n">
        <f aca="false">(Assumptions!$B$136+Assumptions!$B$137*IF(AE31+AE33=0,1,(AE31+AE33*Assumptions!$B$138)/(AE31+AE33)))*AE7/12</f>
        <v>0.142873284501046</v>
      </c>
    </row>
    <row r="39" customFormat="false" ht="15" hidden="false" customHeight="false" outlineLevel="0" collapsed="false">
      <c r="A39" s="6" t="s">
        <v>465</v>
      </c>
      <c r="B39" s="23" t="s">
        <v>464</v>
      </c>
      <c r="C39" s="56" t="n">
        <f aca="false">Assumptions!$B$137*IF(C31+C33=0,1,(C31+C33*Assumptions!$B$138)/(C31+C33))*C7/12</f>
        <v>0.00507380655270636</v>
      </c>
      <c r="D39" s="56" t="n">
        <f aca="false">Assumptions!$B$137*IF(D31+D33=0,1,(D31+D33*Assumptions!$B$138)/(D31+D33))*D7/12</f>
        <v>0.00514673616032982</v>
      </c>
      <c r="E39" s="56" t="n">
        <f aca="false">Assumptions!$B$137*IF(E31+E33=0,1,(E31+E33*Assumptions!$B$138)/(E31+E33))*E7/12</f>
        <v>0.00521808033315858</v>
      </c>
      <c r="F39" s="56" t="n">
        <f aca="false">Assumptions!$B$137*IF(F31+F33=0,1,(F31+F33*Assumptions!$B$138)/(F31+F33))*F7/12</f>
        <v>0.0052737865626574</v>
      </c>
      <c r="G39" s="56" t="n">
        <f aca="false">Assumptions!$B$137*IF(G31+G33=0,1,(G31+G33*Assumptions!$B$138)/(G31+G33))*G7/12</f>
        <v>0.00533828825590074</v>
      </c>
      <c r="H39" s="56" t="n">
        <f aca="false">Assumptions!$B$137*IF(H31+H33=0,1,(H31+H33*Assumptions!$B$138)/(H31+H33))*H7/12</f>
        <v>0.0054095774810194</v>
      </c>
      <c r="I39" s="56" t="n">
        <f aca="false">Assumptions!$B$137*IF(I31+I33=0,1,(I31+I33*Assumptions!$B$138)/(I31+I33))*I7/12</f>
        <v>0.00547794295603752</v>
      </c>
      <c r="J39" s="56" t="n">
        <f aca="false">Assumptions!$B$137*IF(J31+J33=0,1,(J31+J33*Assumptions!$B$138)/(J31+J33))*J7/12</f>
        <v>0.00554217736018866</v>
      </c>
      <c r="K39" s="56" t="n">
        <f aca="false">Assumptions!$B$137*IF(K31+K33=0,1,(K31+K33*Assumptions!$B$138)/(K31+K33))*K7/12</f>
        <v>0.0055981193414565</v>
      </c>
      <c r="L39" s="56" t="n">
        <f aca="false">Assumptions!$B$137*IF(L31+L33=0,1,(L31+L33*Assumptions!$B$138)/(L31+L33))*L7/12</f>
        <v>0.00563360190451395</v>
      </c>
      <c r="M39" s="56" t="n">
        <f aca="false">Assumptions!$B$137*IF(M31+M33=0,1,(M31+M33*Assumptions!$B$138)/(M31+M33))*M7/12</f>
        <v>0.00567818342148314</v>
      </c>
      <c r="N39" s="56" t="n">
        <f aca="false">Assumptions!$B$137*IF(N31+N33=0,1,(N31+N33*Assumptions!$B$138)/(N31+N33))*N7/12</f>
        <v>0.00573083824227853</v>
      </c>
      <c r="O39" s="56" t="n">
        <f aca="false">Assumptions!$B$137*IF(O31+O33=0,1,(O31+O33*Assumptions!$B$138)/(O31+O33))*O7/12</f>
        <v>0.00567075820277088</v>
      </c>
      <c r="P39" s="56" t="n">
        <f aca="false">Assumptions!$B$137*IF(P31+P33=0,1,(P31+P33*Assumptions!$B$138)/(P31+P33))*P7/12</f>
        <v>0.00565772661136389</v>
      </c>
      <c r="Q39" s="56" t="n">
        <f aca="false">Assumptions!$B$137*IF(Q31+Q33=0,1,(Q31+Q33*Assumptions!$B$138)/(Q31+Q33))*Q7/12</f>
        <v>0.00566811893795795</v>
      </c>
      <c r="R39" s="56" t="n">
        <f aca="false">Assumptions!$B$137*IF(R31+R33=0,1,(R31+R33*Assumptions!$B$138)/(R31+R33))*R7/12</f>
        <v>0.00566899742285978</v>
      </c>
      <c r="S39" s="56" t="n">
        <f aca="false">Assumptions!$B$137*IF(S31+S33=0,1,(S31+S33*Assumptions!$B$138)/(S31+S33))*S7/12</f>
        <v>0.00569132668757771</v>
      </c>
      <c r="T39" s="56" t="n">
        <f aca="false">Assumptions!$B$137*IF(T31+T33=0,1,(T31+T33*Assumptions!$B$138)/(T31+T33))*T7/12</f>
        <v>0.00573069395398258</v>
      </c>
      <c r="U39" s="56" t="n">
        <f aca="false">Assumptions!$B$137*IF(U31+U33=0,1,(U31+U33*Assumptions!$B$138)/(U31+U33))*U7/12</f>
        <v>0.00577258737134953</v>
      </c>
      <c r="V39" s="56" t="n">
        <f aca="false">Assumptions!$B$137*IF(V31+V33=0,1,(V31+V33*Assumptions!$B$138)/(V31+V33))*V7/12</f>
        <v>0.00581395263934454</v>
      </c>
      <c r="W39" s="56" t="n">
        <f aca="false">Assumptions!$B$137*IF(W31+W33=0,1,(W31+W33*Assumptions!$B$138)/(W31+W33))*W7/12</f>
        <v>0.00584898708458547</v>
      </c>
      <c r="X39" s="56" t="n">
        <f aca="false">Assumptions!$B$137*IF(X31+X33=0,1,(X31+X33*Assumptions!$B$138)/(X31+X33))*X7/12</f>
        <v>0.00586298858240529</v>
      </c>
      <c r="Y39" s="56" t="n">
        <f aca="false">Assumptions!$B$137*IF(Y31+Y33=0,1,(Y31+Y33*Assumptions!$B$138)/(Y31+Y33))*Y7/12</f>
        <v>0.00588801822367101</v>
      </c>
      <c r="Z39" s="56" t="n">
        <f aca="false">Assumptions!$B$137*IF(Z31+Z33=0,1,(Z31+Z33*Assumptions!$B$138)/(Z31+Z33))*Z7/12</f>
        <v>0.00592355017705454</v>
      </c>
      <c r="AA39" s="56" t="n">
        <f aca="false">Assumptions!$B$137*IF(AA31+AA33=0,1,(AA31+AA33*Assumptions!$B$138)/(AA31+AA33))*AA7/12</f>
        <v>0.0748143203374135</v>
      </c>
      <c r="AB39" s="56" t="n">
        <f aca="false">Assumptions!$B$137*IF(AB31+AB33=0,1,(AB31+AB33*Assumptions!$B$138)/(AB31+AB33))*AB7/12</f>
        <v>0.0772024924320253</v>
      </c>
      <c r="AC39" s="56" t="n">
        <f aca="false">Assumptions!$B$137*IF(AC31+AC33=0,1,(AC31+AC33*Assumptions!$B$138)/(AC31+AC33))*AC7/12</f>
        <v>0.07904330440524</v>
      </c>
      <c r="AD39" s="56" t="n">
        <f aca="false">Assumptions!$B$137*IF(AD31+AD33=0,1,(AD31+AD33*Assumptions!$B$138)/(AD31+AD33))*AD7/12</f>
        <v>0.0809289760687503</v>
      </c>
      <c r="AE39" s="56" t="n">
        <f aca="false">Assumptions!$B$137*IF(AE31+AE33=0,1,(AE31+AE33*Assumptions!$B$138)/(AE31+AE33))*AE7/12</f>
        <v>0.0828732845010462</v>
      </c>
    </row>
    <row r="40" customFormat="false" ht="15" hidden="false" customHeight="false" outlineLevel="0" collapsed="false">
      <c r="A40" s="6" t="s">
        <v>466</v>
      </c>
      <c r="B40" s="23" t="s">
        <v>47</v>
      </c>
      <c r="C40" s="45" t="n">
        <f aca="false">C37</f>
        <v>18.8140323817384</v>
      </c>
      <c r="D40" s="45" t="n">
        <f aca="false">C40*(1-D38)+D37</f>
        <v>54.3955395977406</v>
      </c>
      <c r="E40" s="45" t="n">
        <f aca="false">D40*(1-E38)+E37</f>
        <v>104.992612759363</v>
      </c>
      <c r="F40" s="45" t="n">
        <f aca="false">E40*(1-F38)+F37</f>
        <v>173.968768175709</v>
      </c>
      <c r="G40" s="45" t="n">
        <f aca="false">F40*(1-G38)+G37</f>
        <v>258.150352315567</v>
      </c>
      <c r="H40" s="45" t="n">
        <f aca="false">G40*(1-H38)+H37</f>
        <v>353.61140423201</v>
      </c>
      <c r="I40" s="45" t="n">
        <f aca="false">H40*(1-I38)+I37</f>
        <v>459.066465935198</v>
      </c>
      <c r="J40" s="45" t="n">
        <f aca="false">I40*(1-J38)+J37</f>
        <v>573.856442825229</v>
      </c>
      <c r="K40" s="45" t="n">
        <f aca="false">J40*(1-K38)+K37</f>
        <v>698.841327590486</v>
      </c>
      <c r="L40" s="45" t="n">
        <f aca="false">K40*(1-L38)+L37</f>
        <v>839.282114614964</v>
      </c>
      <c r="M40" s="45" t="n">
        <f aca="false">L40*(1-M38)+M37</f>
        <v>992.312029309024</v>
      </c>
      <c r="N40" s="45" t="n">
        <f aca="false">M40*(1-N38)+N37</f>
        <v>1154.48368787863</v>
      </c>
      <c r="O40" s="45" t="n">
        <f aca="false">N40*(1-O38)+O37</f>
        <v>1353.09995313884</v>
      </c>
      <c r="P40" s="45" t="n">
        <f aca="false">O40*(1-P38)+P37</f>
        <v>1596.64932491938</v>
      </c>
      <c r="Q40" s="45" t="n">
        <f aca="false">P40*(1-Q38)+Q37</f>
        <v>1881.14236150953</v>
      </c>
      <c r="R40" s="45" t="n">
        <f aca="false">Q40*(1-R38)+R37</f>
        <v>2219.43075571635</v>
      </c>
      <c r="S40" s="45" t="n">
        <f aca="false">R40*(1-S38)+S37</f>
        <v>2602.90503819144</v>
      </c>
      <c r="T40" s="45" t="n">
        <f aca="false">S40*(1-T38)+T37</f>
        <v>3019.61204738251</v>
      </c>
      <c r="U40" s="45" t="n">
        <f aca="false">T40*(1-U38)+U37</f>
        <v>3466.22790663645</v>
      </c>
      <c r="V40" s="45" t="n">
        <f aca="false">U40*(1-V38)+V37</f>
        <v>3941.48589033331</v>
      </c>
      <c r="W40" s="45" t="n">
        <f aca="false">V40*(1-W38)+W37</f>
        <v>4449.59287930692</v>
      </c>
      <c r="X40" s="45" t="n">
        <f aca="false">W40*(1-X38)+X37</f>
        <v>5011.32419078744</v>
      </c>
      <c r="Y40" s="45" t="n">
        <f aca="false">X40*(1-Y38)+Y37</f>
        <v>5618.05395638666</v>
      </c>
      <c r="Z40" s="45" t="n">
        <f aca="false">Y40*(1-Z38)+Z37</f>
        <v>6258.19938223519</v>
      </c>
      <c r="AA40" s="45" t="n">
        <f aca="false">Z40*(1-AA38)+AA37</f>
        <v>21021.0601298901</v>
      </c>
      <c r="AB40" s="45" t="n">
        <f aca="false">AA40*(1-AB38)+AB37</f>
        <v>42531.5546693345</v>
      </c>
      <c r="AC40" s="45" t="n">
        <f aca="false">AB40*(1-AC38)+AC37</f>
        <v>70804.2307143107</v>
      </c>
      <c r="AD40" s="45" t="n">
        <f aca="false">AC40*(1-AD38)+AD37</f>
        <v>102821.469115647</v>
      </c>
      <c r="AE40" s="45" t="n">
        <f aca="false">AD40*(1-AE38)+AE37</f>
        <v>134029.326049349</v>
      </c>
    </row>
    <row r="41" customFormat="false" ht="15" hidden="false" customHeight="false" outlineLevel="0" collapsed="false">
      <c r="A41" s="6" t="s">
        <v>467</v>
      </c>
      <c r="B41" s="23" t="s">
        <v>47</v>
      </c>
      <c r="C41" s="45" t="n">
        <f aca="false">C37</f>
        <v>18.8140323817384</v>
      </c>
      <c r="D41" s="45" t="n">
        <f aca="false">C41*(1-D39)+D37</f>
        <v>54.4896097596493</v>
      </c>
      <c r="E41" s="45" t="n">
        <f aca="false">D41*(1-E39)+E37</f>
        <v>105.358169753599</v>
      </c>
      <c r="F41" s="45" t="n">
        <f aca="false">E41*(1-F39)+F37</f>
        <v>174.857360364178</v>
      </c>
      <c r="G41" s="45" t="n">
        <f aca="false">F41*(1-G39)+G37</f>
        <v>259.90404478367</v>
      </c>
      <c r="H41" s="45" t="n">
        <f aca="false">G41*(1-H39)+H37</f>
        <v>356.646361726407</v>
      </c>
      <c r="I41" s="45" t="n">
        <f aca="false">H41*(1-I39)+I37</f>
        <v>463.852855126726</v>
      </c>
      <c r="J41" s="45" t="n">
        <f aca="false">I41*(1-J39)+J37</f>
        <v>580.911637328619</v>
      </c>
      <c r="K41" s="45" t="n">
        <f aca="false">J41*(1-K39)+K37</f>
        <v>708.726308487195</v>
      </c>
      <c r="L41" s="45" t="n">
        <f aca="false">K41*(1-L39)+L37</f>
        <v>852.60561410242</v>
      </c>
      <c r="M41" s="45" t="n">
        <f aca="false">L41*(1-M39)+M37</f>
        <v>1009.75628609565</v>
      </c>
      <c r="N41" s="45" t="n">
        <f aca="false">M41*(1-N39)+N37</f>
        <v>1176.7895345979</v>
      </c>
      <c r="O41" s="45" t="n">
        <f aca="false">N41*(1-O39)+O37</f>
        <v>1381.05172723425</v>
      </c>
      <c r="P41" s="45" t="n">
        <f aca="false">O41*(1-P39)+P37</f>
        <v>1631.20845528435</v>
      </c>
      <c r="Q41" s="45" t="n">
        <f aca="false">P41*(1-Q39)+Q37</f>
        <v>1923.4888532378</v>
      </c>
      <c r="R41" s="45" t="n">
        <f aca="false">Q41*(1-R39)+R37</f>
        <v>2270.94289709968</v>
      </c>
      <c r="S41" s="45" t="n">
        <f aca="false">R41*(1-S39)+S37</f>
        <v>2665.22116092837</v>
      </c>
      <c r="T41" s="45" t="n">
        <f aca="false">S41*(1-T39)+T37</f>
        <v>3094.58558068259</v>
      </c>
      <c r="U41" s="45" t="n">
        <f aca="false">T41*(1-U39)+U37</f>
        <v>3555.86670890193</v>
      </c>
      <c r="V41" s="45" t="n">
        <f aca="false">U41*(1-V39)+V37</f>
        <v>4047.93467638096</v>
      </c>
      <c r="W41" s="45" t="n">
        <f aca="false">V41*(1-W39)+W37</f>
        <v>4575.12647723147</v>
      </c>
      <c r="X41" s="45" t="n">
        <f aca="false">W41*(1-X39)+X37</f>
        <v>5158.36975105718</v>
      </c>
      <c r="Y41" s="45" t="n">
        <f aca="false">X41*(1-Y39)+Y37</f>
        <v>5789.29033067176</v>
      </c>
      <c r="Z41" s="45" t="n">
        <f aca="false">Y41*(1-Z39)+Z37</f>
        <v>6456.51169904701</v>
      </c>
      <c r="AA41" s="45" t="n">
        <f aca="false">Z41*(1-AA39)+AA37</f>
        <v>21580.0278084392</v>
      </c>
      <c r="AB41" s="45" t="n">
        <f aca="false">AA41*(1-AB39)+AB37</f>
        <v>44308.6322577041</v>
      </c>
      <c r="AC41" s="45" t="n">
        <f aca="false">AB41*(1-AC39)+AC37</f>
        <v>74992.7354980711</v>
      </c>
      <c r="AD41" s="45" t="n">
        <f aca="false">AC41*(1-AD39)+AD37</f>
        <v>110919.256338858</v>
      </c>
      <c r="AE41" s="45" t="n">
        <f aca="false">AD41*(1-AE39)+AE37</f>
        <v>147625.31119512</v>
      </c>
    </row>
    <row r="42" customFormat="false" ht="15" hidden="false" customHeight="false" outlineLevel="0" collapsed="false">
      <c r="A42" s="6" t="s">
        <v>468</v>
      </c>
      <c r="B42" s="23" t="s">
        <v>114</v>
      </c>
      <c r="C42" s="57" t="n">
        <f aca="false">C40*C21</f>
        <v>2661.43302072071</v>
      </c>
      <c r="D42" s="57" t="n">
        <f aca="false">D40*D21</f>
        <v>7694.79303149639</v>
      </c>
      <c r="E42" s="57" t="n">
        <f aca="false">E40*E21</f>
        <v>14852.2550009395</v>
      </c>
      <c r="F42" s="57" t="n">
        <f aca="false">F40*F21</f>
        <v>24609.6219461359</v>
      </c>
      <c r="G42" s="57" t="n">
        <f aca="false">G40*G21</f>
        <v>36517.9488385602</v>
      </c>
      <c r="H42" s="57" t="n">
        <f aca="false">H40*H21</f>
        <v>50021.8692426601</v>
      </c>
      <c r="I42" s="57" t="n">
        <f aca="false">I40*I21</f>
        <v>64939.5422711931</v>
      </c>
      <c r="J42" s="57" t="n">
        <f aca="false">J40*J21</f>
        <v>81177.7324020569</v>
      </c>
      <c r="K42" s="57" t="n">
        <f aca="false">K40*K21</f>
        <v>98858.0942009502</v>
      </c>
      <c r="L42" s="57" t="n">
        <f aca="false">L40*L21</f>
        <v>118724.847933433</v>
      </c>
      <c r="M42" s="57" t="n">
        <f aca="false">M40*M21</f>
        <v>140372.459666055</v>
      </c>
      <c r="N42" s="57" t="n">
        <f aca="false">N40*N21</f>
        <v>163313.262487312</v>
      </c>
      <c r="O42" s="57" t="n">
        <f aca="false">O40*O21</f>
        <v>206913.690440073</v>
      </c>
      <c r="P42" s="57" t="n">
        <f aca="false">P40*P21</f>
        <v>244156.836596846</v>
      </c>
      <c r="Q42" s="57" t="n">
        <f aca="false">Q40*Q21</f>
        <v>287661.016734329</v>
      </c>
      <c r="R42" s="57" t="n">
        <f aca="false">R40*R21</f>
        <v>339391.489354629</v>
      </c>
      <c r="S42" s="57" t="n">
        <f aca="false">S40*S21</f>
        <v>398031.709385469</v>
      </c>
      <c r="T42" s="57" t="n">
        <f aca="false">T40*T21</f>
        <v>461753.820160771</v>
      </c>
      <c r="U42" s="57" t="n">
        <f aca="false">U40*U21</f>
        <v>530049.540246288</v>
      </c>
      <c r="V42" s="57" t="n">
        <f aca="false">V40*V21</f>
        <v>602725.164164321</v>
      </c>
      <c r="W42" s="57" t="n">
        <f aca="false">W40*W21</f>
        <v>680424.000812004</v>
      </c>
      <c r="X42" s="57" t="n">
        <f aca="false">X40*X21</f>
        <v>766322.975551123</v>
      </c>
      <c r="Y42" s="57" t="n">
        <f aca="false">Y40*Y21</f>
        <v>859103.035596764</v>
      </c>
      <c r="Z42" s="57" t="n">
        <f aca="false">Z40*Z21</f>
        <v>956992.96026448</v>
      </c>
      <c r="AA42" s="57" t="n">
        <f aca="false">AA40*AA21</f>
        <v>3474878.75743004</v>
      </c>
      <c r="AB42" s="57" t="n">
        <f aca="false">AB40*AB21</f>
        <v>7600147.02003027</v>
      </c>
      <c r="AC42" s="57" t="n">
        <f aca="false">AC40*AC21</f>
        <v>13677150.8871483</v>
      </c>
      <c r="AD42" s="57" t="n">
        <f aca="false">AD40*AD21</f>
        <v>21470686.380551</v>
      </c>
      <c r="AE42" s="57" t="n">
        <f aca="false">AE40*AE21</f>
        <v>30254337.7741562</v>
      </c>
    </row>
    <row r="43" customFormat="false" ht="15" hidden="false" customHeight="false" outlineLevel="0" collapsed="false">
      <c r="A43" s="6" t="s">
        <v>469</v>
      </c>
      <c r="B43" s="23" t="s">
        <v>190</v>
      </c>
      <c r="C43" s="54" t="n">
        <f aca="false">C31+C33*Assumptions!$B$177</f>
        <v>79.1542941176471</v>
      </c>
      <c r="D43" s="54" t="n">
        <f aca="false">D31+D33*Assumptions!$B$177</f>
        <v>154.348307789801</v>
      </c>
      <c r="E43" s="54" t="n">
        <f aca="false">E31+E33*Assumptions!$B$177</f>
        <v>226.371228018938</v>
      </c>
      <c r="F43" s="54" t="n">
        <f aca="false">F31+F33*Assumptions!$B$177</f>
        <v>316.354370060513</v>
      </c>
      <c r="G43" s="54" t="n">
        <f aca="false">G31+G33*Assumptions!$B$177</f>
        <v>397.679010851702</v>
      </c>
      <c r="H43" s="54" t="n">
        <f aca="false">H31+H33*Assumptions!$B$177</f>
        <v>466.452847282075</v>
      </c>
      <c r="I43" s="54" t="n">
        <f aca="false">I31+I33*Assumptions!$B$177</f>
        <v>532.850001982533</v>
      </c>
      <c r="J43" s="54" t="n">
        <f aca="false">J31+J33*Assumptions!$B$177</f>
        <v>599.21614752925</v>
      </c>
      <c r="K43" s="54" t="n">
        <f aca="false">K31+K33*Assumptions!$B$177</f>
        <v>671.794606721936</v>
      </c>
      <c r="L43" s="54" t="n">
        <f aca="false">L31+L33*Assumptions!$B$177</f>
        <v>769.296452156441</v>
      </c>
      <c r="M43" s="54" t="n">
        <f aca="false">M31+M33*Assumptions!$B$177</f>
        <v>858.936542653387</v>
      </c>
      <c r="N43" s="54" t="n">
        <f aca="false">N31+N33*Assumptions!$B$177</f>
        <v>937.614181968588</v>
      </c>
      <c r="O43" s="54" t="n">
        <f aca="false">O31+O33*Assumptions!$B$177</f>
        <v>1205.19240055455</v>
      </c>
      <c r="P43" s="54" t="n">
        <f aca="false">P31+P33*Assumptions!$B$177</f>
        <v>1465.72843859039</v>
      </c>
      <c r="Q43" s="54" t="n">
        <f aca="false">Q31+Q33*Assumptions!$B$177</f>
        <v>1720.83843322797</v>
      </c>
      <c r="R43" s="54" t="n">
        <f aca="false">R31+R33*Assumptions!$B$177</f>
        <v>2045.95478248527</v>
      </c>
      <c r="S43" s="54" t="n">
        <f aca="false">S31+S33*Assumptions!$B$177</f>
        <v>2347.30619344651</v>
      </c>
      <c r="T43" s="54" t="n">
        <f aca="false">T31+T33*Assumptions!$B$177</f>
        <v>2607.56301891197</v>
      </c>
      <c r="U43" s="54" t="n">
        <f aca="false">U31+U33*Assumptions!$B$177</f>
        <v>2862.77691998179</v>
      </c>
      <c r="V43" s="54" t="n">
        <f aca="false">V31+V33*Assumptions!$B$177</f>
        <v>3121.47826285308</v>
      </c>
      <c r="W43" s="54" t="n">
        <f aca="false">W31+W33*Assumptions!$B$177</f>
        <v>3408.20681696739</v>
      </c>
      <c r="X43" s="54" t="n">
        <f aca="false">X31+X33*Assumptions!$B$177</f>
        <v>3799.19990332518</v>
      </c>
      <c r="Y43" s="54" t="n">
        <f aca="false">Y31+Y33*Assumptions!$B$177</f>
        <v>4167.01612686082</v>
      </c>
      <c r="Z43" s="54" t="n">
        <f aca="false">Z31+Z33*Assumptions!$B$177</f>
        <v>4496.10602709555</v>
      </c>
      <c r="AA43" s="54" t="n">
        <f aca="false">AA31+AA33*Assumptions!$B$177</f>
        <v>10597.701391675</v>
      </c>
      <c r="AB43" s="54" t="n">
        <f aca="false">AB31+AB33*Assumptions!$B$177</f>
        <v>20182.1202348866</v>
      </c>
      <c r="AC43" s="54" t="n">
        <f aca="false">AC31+AC33*Assumptions!$B$177</f>
        <v>33893.0458033923</v>
      </c>
      <c r="AD43" s="54" t="n">
        <f aca="false">AD31+AD33*Assumptions!$B$177</f>
        <v>50639.0081667535</v>
      </c>
      <c r="AE43" s="54" t="n">
        <f aca="false">AE31+AE33*Assumptions!$B$177</f>
        <v>68689.4910320406</v>
      </c>
    </row>
    <row r="44" customFormat="false" ht="15" hidden="false" customHeight="false" outlineLevel="0" collapsed="false">
      <c r="A44" s="6" t="s">
        <v>470</v>
      </c>
      <c r="B44" s="23" t="s">
        <v>190</v>
      </c>
      <c r="C44" s="45" t="n">
        <f aca="false">IF(C7&gt;1,C43*Assumptions!$B$134,IF(C2&gt;Assumptions!$B$135,INDEX($C$43:$AE$43,1,C2-Assumptions!$B$135)*Assumptions!$B$134,0))</f>
        <v>0</v>
      </c>
      <c r="D44" s="45" t="n">
        <f aca="false">IF(D7&gt;1,D43*Assumptions!$B$134,IF(D2&gt;Assumptions!$B$135,INDEX($C$43:$AE$43,1,D2-Assumptions!$B$135)*Assumptions!$B$134,0))</f>
        <v>0</v>
      </c>
      <c r="E44" s="45" t="n">
        <f aca="false">IF(E7&gt;1,E43*Assumptions!$B$134,IF(E2&gt;Assumptions!$B$135,INDEX($C$43:$AE$43,1,E2-Assumptions!$B$135)*Assumptions!$B$134,0))</f>
        <v>0</v>
      </c>
      <c r="F44" s="45" t="n">
        <f aca="false">IF(F7&gt;1,F43*Assumptions!$B$134,IF(F2&gt;Assumptions!$B$135,INDEX($C$43:$AE$43,1,F2-Assumptions!$B$135)*Assumptions!$B$134,0))</f>
        <v>0</v>
      </c>
      <c r="G44" s="45" t="n">
        <f aca="false">IF(G7&gt;1,G43*Assumptions!$B$134,IF(G2&gt;Assumptions!$B$135,INDEX($C$43:$AE$43,1,G2-Assumptions!$B$135)*Assumptions!$B$134,0))</f>
        <v>0</v>
      </c>
      <c r="H44" s="45" t="n">
        <f aca="false">IF(H7&gt;1,H43*Assumptions!$B$134,IF(H2&gt;Assumptions!$B$135,INDEX($C$43:$AE$43,1,H2-Assumptions!$B$135)*Assumptions!$B$134,0))</f>
        <v>0</v>
      </c>
      <c r="I44" s="45" t="n">
        <f aca="false">IF(I7&gt;1,I43*Assumptions!$B$134,IF(I2&gt;Assumptions!$B$135,INDEX($C$43:$AE$43,1,I2-Assumptions!$B$135)*Assumptions!$B$134,0))</f>
        <v>0</v>
      </c>
      <c r="J44" s="45" t="n">
        <f aca="false">IF(J7&gt;1,J43*Assumptions!$B$134,IF(J2&gt;Assumptions!$B$135,INDEX($C$43:$AE$43,1,J2-Assumptions!$B$135)*Assumptions!$B$134,0))</f>
        <v>0</v>
      </c>
      <c r="K44" s="45" t="n">
        <f aca="false">IF(K7&gt;1,K43*Assumptions!$B$134,IF(K2&gt;Assumptions!$B$135,INDEX($C$43:$AE$43,1,K2-Assumptions!$B$135)*Assumptions!$B$134,0))</f>
        <v>43.5348617647059</v>
      </c>
      <c r="L44" s="45" t="n">
        <f aca="false">IF(L7&gt;1,L43*Assumptions!$B$134,IF(L2&gt;Assumptions!$B$135,INDEX($C$43:$AE$43,1,L2-Assumptions!$B$135)*Assumptions!$B$134,0))</f>
        <v>84.8915692843906</v>
      </c>
      <c r="M44" s="45" t="n">
        <f aca="false">IF(M7&gt;1,M43*Assumptions!$B$134,IF(M2&gt;Assumptions!$B$135,INDEX($C$43:$AE$43,1,M2-Assumptions!$B$135)*Assumptions!$B$134,0))</f>
        <v>124.504175410416</v>
      </c>
      <c r="N44" s="45" t="n">
        <f aca="false">IF(N7&gt;1,N43*Assumptions!$B$134,IF(N2&gt;Assumptions!$B$135,INDEX($C$43:$AE$43,1,N2-Assumptions!$B$135)*Assumptions!$B$134,0))</f>
        <v>173.994903533282</v>
      </c>
      <c r="O44" s="45" t="n">
        <f aca="false">IF(O7&gt;1,O43*Assumptions!$B$134,IF(O2&gt;Assumptions!$B$135,INDEX($C$43:$AE$43,1,O2-Assumptions!$B$135)*Assumptions!$B$134,0))</f>
        <v>218.723455968436</v>
      </c>
      <c r="P44" s="45" t="n">
        <f aca="false">IF(P7&gt;1,P43*Assumptions!$B$134,IF(P2&gt;Assumptions!$B$135,INDEX($C$43:$AE$43,1,P2-Assumptions!$B$135)*Assumptions!$B$134,0))</f>
        <v>256.549066005141</v>
      </c>
      <c r="Q44" s="45" t="n">
        <f aca="false">IF(Q7&gt;1,Q43*Assumptions!$B$134,IF(Q2&gt;Assumptions!$B$135,INDEX($C$43:$AE$43,1,Q2-Assumptions!$B$135)*Assumptions!$B$134,0))</f>
        <v>293.067501090393</v>
      </c>
      <c r="R44" s="45" t="n">
        <f aca="false">IF(R7&gt;1,R43*Assumptions!$B$134,IF(R2&gt;Assumptions!$B$135,INDEX($C$43:$AE$43,1,R2-Assumptions!$B$135)*Assumptions!$B$134,0))</f>
        <v>329.568881141087</v>
      </c>
      <c r="S44" s="45" t="n">
        <f aca="false">IF(S7&gt;1,S43*Assumptions!$B$134,IF(S2&gt;Assumptions!$B$135,INDEX($C$43:$AE$43,1,S2-Assumptions!$B$135)*Assumptions!$B$134,0))</f>
        <v>369.487033697065</v>
      </c>
      <c r="T44" s="45" t="n">
        <f aca="false">IF(T7&gt;1,T43*Assumptions!$B$134,IF(T2&gt;Assumptions!$B$135,INDEX($C$43:$AE$43,1,T2-Assumptions!$B$135)*Assumptions!$B$134,0))</f>
        <v>423.113048686043</v>
      </c>
      <c r="U44" s="45" t="n">
        <f aca="false">IF(U7&gt;1,U43*Assumptions!$B$134,IF(U2&gt;Assumptions!$B$135,INDEX($C$43:$AE$43,1,U2-Assumptions!$B$135)*Assumptions!$B$134,0))</f>
        <v>472.415098459363</v>
      </c>
      <c r="V44" s="45" t="n">
        <f aca="false">IF(V7&gt;1,V43*Assumptions!$B$134,IF(V2&gt;Assumptions!$B$135,INDEX($C$43:$AE$43,1,V2-Assumptions!$B$135)*Assumptions!$B$134,0))</f>
        <v>515.687800082723</v>
      </c>
      <c r="W44" s="45" t="n">
        <f aca="false">IF(W7&gt;1,W43*Assumptions!$B$134,IF(W2&gt;Assumptions!$B$135,INDEX($C$43:$AE$43,1,W2-Assumptions!$B$135)*Assumptions!$B$134,0))</f>
        <v>662.855820305003</v>
      </c>
      <c r="X44" s="45" t="n">
        <f aca="false">IF(X7&gt;1,X43*Assumptions!$B$134,IF(X2&gt;Assumptions!$B$135,INDEX($C$43:$AE$43,1,X2-Assumptions!$B$135)*Assumptions!$B$134,0))</f>
        <v>806.150641224712</v>
      </c>
      <c r="Y44" s="45" t="n">
        <f aca="false">IF(Y7&gt;1,Y43*Assumptions!$B$134,IF(Y2&gt;Assumptions!$B$135,INDEX($C$43:$AE$43,1,Y2-Assumptions!$B$135)*Assumptions!$B$134,0))</f>
        <v>946.461138275385</v>
      </c>
      <c r="Z44" s="45" t="n">
        <f aca="false">IF(Z7&gt;1,Z43*Assumptions!$B$134,IF(Z2&gt;Assumptions!$B$135,INDEX($C$43:$AE$43,1,Z2-Assumptions!$B$135)*Assumptions!$B$134,0))</f>
        <v>1125.2751303669</v>
      </c>
      <c r="AA44" s="45" t="n">
        <f aca="false">IF(AA7&gt;1,AA43*Assumptions!$B$134,IF(AA2&gt;Assumptions!$B$135,INDEX($C$43:$AE$43,1,AA2-Assumptions!$B$135)*Assumptions!$B$134,0))</f>
        <v>5828.73576542126</v>
      </c>
      <c r="AB44" s="45" t="n">
        <f aca="false">IF(AB7&gt;1,AB43*Assumptions!$B$134,IF(AB2&gt;Assumptions!$B$135,INDEX($C$43:$AE$43,1,AB2-Assumptions!$B$135)*Assumptions!$B$134,0))</f>
        <v>11100.1661291876</v>
      </c>
      <c r="AC44" s="45" t="n">
        <f aca="false">IF(AC7&gt;1,AC43*Assumptions!$B$134,IF(AC2&gt;Assumptions!$B$135,INDEX($C$43:$AE$43,1,AC2-Assumptions!$B$135)*Assumptions!$B$134,0))</f>
        <v>18641.1751918658</v>
      </c>
      <c r="AD44" s="45" t="n">
        <f aca="false">IF(AD7&gt;1,AD43*Assumptions!$B$134,IF(AD2&gt;Assumptions!$B$135,INDEX($C$43:$AE$43,1,AD2-Assumptions!$B$135)*Assumptions!$B$134,0))</f>
        <v>27851.4544917144</v>
      </c>
      <c r="AE44" s="45" t="n">
        <f aca="false">IF(AE7&gt;1,AE43*Assumptions!$B$134,IF(AE2&gt;Assumptions!$B$135,INDEX($C$43:$AE$43,1,AE2-Assumptions!$B$135)*Assumptions!$B$134,0))</f>
        <v>37779.2200676223</v>
      </c>
    </row>
    <row r="45" customFormat="false" ht="15" hidden="false" customHeight="false" outlineLevel="0" collapsed="false">
      <c r="A45" s="6" t="s">
        <v>471</v>
      </c>
      <c r="B45" s="23" t="s">
        <v>472</v>
      </c>
      <c r="C45" s="28" t="n">
        <f aca="false">IF(C2&gt;=Assumptions!$B$51,C44*Assumptions!$B$143,0)</f>
        <v>0</v>
      </c>
      <c r="D45" s="28" t="n">
        <f aca="false">IF(D2&gt;=Assumptions!$B$51,D44*Assumptions!$B$143,0)</f>
        <v>0</v>
      </c>
      <c r="E45" s="28" t="n">
        <f aca="false">IF(E2&gt;=Assumptions!$B$51,E44*Assumptions!$B$143,0)</f>
        <v>0</v>
      </c>
      <c r="F45" s="28" t="n">
        <f aca="false">IF(F2&gt;=Assumptions!$B$51,F44*Assumptions!$B$143,0)</f>
        <v>0</v>
      </c>
      <c r="G45" s="28" t="n">
        <f aca="false">IF(G2&gt;=Assumptions!$B$51,G44*Assumptions!$B$143,0)</f>
        <v>0</v>
      </c>
      <c r="H45" s="28" t="n">
        <f aca="false">IF(H2&gt;=Assumptions!$B$51,H44*Assumptions!$B$143,0)</f>
        <v>0</v>
      </c>
      <c r="I45" s="28" t="n">
        <f aca="false">IF(I2&gt;=Assumptions!$B$51,I44*Assumptions!$B$143,0)</f>
        <v>0</v>
      </c>
      <c r="J45" s="28" t="n">
        <f aca="false">IF(J2&gt;=Assumptions!$B$51,J44*Assumptions!$B$143,0)</f>
        <v>0</v>
      </c>
      <c r="K45" s="28" t="n">
        <f aca="false">IF(K2&gt;=Assumptions!$B$51,K44*Assumptions!$B$143,0)</f>
        <v>0</v>
      </c>
      <c r="L45" s="28" t="n">
        <f aca="false">IF(L2&gt;=Assumptions!$B$51,L44*Assumptions!$B$143,0)</f>
        <v>0</v>
      </c>
      <c r="M45" s="28" t="n">
        <f aca="false">IF(M2&gt;=Assumptions!$B$51,M44*Assumptions!$B$143,0)</f>
        <v>0</v>
      </c>
      <c r="N45" s="28" t="n">
        <f aca="false">IF(N2&gt;=Assumptions!$B$51,N44*Assumptions!$B$143,0)</f>
        <v>0</v>
      </c>
      <c r="O45" s="28" t="n">
        <f aca="false">IF(O2&gt;=Assumptions!$B$51,O44*Assumptions!$B$143,0)</f>
        <v>39.3702220743185</v>
      </c>
      <c r="P45" s="28" t="n">
        <f aca="false">IF(P2&gt;=Assumptions!$B$51,P44*Assumptions!$B$143,0)</f>
        <v>46.1788318809254</v>
      </c>
      <c r="Q45" s="28" t="n">
        <f aca="false">IF(Q2&gt;=Assumptions!$B$51,Q44*Assumptions!$B$143,0)</f>
        <v>52.7521501962708</v>
      </c>
      <c r="R45" s="28" t="n">
        <f aca="false">IF(R2&gt;=Assumptions!$B$51,R44*Assumptions!$B$143,0)</f>
        <v>59.3223986053957</v>
      </c>
      <c r="S45" s="28" t="n">
        <f aca="false">IF(S2&gt;=Assumptions!$B$51,S44*Assumptions!$B$143,0)</f>
        <v>66.5076660654717</v>
      </c>
      <c r="T45" s="28" t="n">
        <f aca="false">IF(T2&gt;=Assumptions!$B$51,T44*Assumptions!$B$143,0)</f>
        <v>76.1603487634877</v>
      </c>
      <c r="U45" s="28" t="n">
        <f aca="false">IF(U2&gt;=Assumptions!$B$51,U44*Assumptions!$B$143,0)</f>
        <v>85.0347177226853</v>
      </c>
      <c r="V45" s="28" t="n">
        <f aca="false">IF(V2&gt;=Assumptions!$B$51,V44*Assumptions!$B$143,0)</f>
        <v>92.8238040148902</v>
      </c>
      <c r="W45" s="28" t="n">
        <f aca="false">IF(W2&gt;=Assumptions!$B$51,W44*Assumptions!$B$143,0)</f>
        <v>119.314047654901</v>
      </c>
      <c r="X45" s="28" t="n">
        <f aca="false">IF(X2&gt;=Assumptions!$B$51,X44*Assumptions!$B$143,0)</f>
        <v>145.107115420448</v>
      </c>
      <c r="Y45" s="28" t="n">
        <f aca="false">IF(Y2&gt;=Assumptions!$B$51,Y44*Assumptions!$B$143,0)</f>
        <v>170.363004889569</v>
      </c>
      <c r="Z45" s="28" t="n">
        <f aca="false">IF(Z2&gt;=Assumptions!$B$51,Z44*Assumptions!$B$143,0)</f>
        <v>202.549523466041</v>
      </c>
      <c r="AA45" s="28" t="n">
        <f aca="false">IF(AA2&gt;=Assumptions!$B$51,AA44*Assumptions!$B$143,0)</f>
        <v>1049.17243777583</v>
      </c>
      <c r="AB45" s="28" t="n">
        <f aca="false">IF(AB2&gt;=Assumptions!$B$51,AB44*Assumptions!$B$143,0)</f>
        <v>1998.02990325377</v>
      </c>
      <c r="AC45" s="28" t="n">
        <f aca="false">IF(AC2&gt;=Assumptions!$B$51,AC44*Assumptions!$B$143,0)</f>
        <v>3355.41153453584</v>
      </c>
      <c r="AD45" s="28" t="n">
        <f aca="false">IF(AD2&gt;=Assumptions!$B$51,AD44*Assumptions!$B$143,0)</f>
        <v>5013.2618085086</v>
      </c>
      <c r="AE45" s="28" t="n">
        <f aca="false">IF(AE2&gt;=Assumptions!$B$51,AE44*Assumptions!$B$143,0)</f>
        <v>6800.25961217202</v>
      </c>
    </row>
    <row r="46" customFormat="false" ht="15" hidden="false" customHeight="false" outlineLevel="0" collapsed="false">
      <c r="A46" s="6" t="s">
        <v>473</v>
      </c>
      <c r="B46" s="23" t="s">
        <v>114</v>
      </c>
      <c r="C46" s="55" t="n">
        <f aca="false">IF(C31=0,0,C42/C31*Assumptions!$B$31)</f>
        <v>17.2357142857143</v>
      </c>
      <c r="D46" s="55" t="n">
        <f aca="false">IF(D31=0,0,D42/D31*Assumptions!$B$31)</f>
        <v>26.2086346736326</v>
      </c>
      <c r="E46" s="55" t="n">
        <f aca="false">IF(E31=0,0,E42/E31*Assumptions!$B$31)</f>
        <v>35.3767428344902</v>
      </c>
      <c r="F46" s="55" t="n">
        <f aca="false">IF(F31=0,0,F42/F31*Assumptions!$B$31)</f>
        <v>42.8018468760896</v>
      </c>
      <c r="G46" s="55" t="n">
        <f aca="false">IF(G31=0,0,G42/G31*Assumptions!$B$31)</f>
        <v>51.7492362031911</v>
      </c>
      <c r="H46" s="55" t="n">
        <f aca="false">IF(H31=0,0,H42/H31*Assumptions!$B$31)</f>
        <v>62.0973147372007</v>
      </c>
      <c r="I46" s="55" t="n">
        <f aca="false">IF(I31=0,0,I42/I31*Assumptions!$B$31)</f>
        <v>72.4837418984152</v>
      </c>
      <c r="J46" s="55" t="n">
        <f aca="false">IF(J31=0,0,J42/J31*Assumptions!$B$31)</f>
        <v>82.6787926968667</v>
      </c>
      <c r="K46" s="55" t="n">
        <f aca="false">IF(K31=0,0,K42/K31*Assumptions!$B$31)</f>
        <v>91.9000092267017</v>
      </c>
      <c r="L46" s="55" t="n">
        <f aca="false">IF(L31=0,0,L42/L31*Assumptions!$B$31)</f>
        <v>97.825335126143</v>
      </c>
      <c r="M46" s="55" t="n">
        <f aca="false">IF(M31=0,0,M42/M31*Assumptions!$B$31)</f>
        <v>105.580613506913</v>
      </c>
      <c r="N46" s="55" t="n">
        <f aca="false">IF(N31=0,0,N42/N31*Assumptions!$B$31)</f>
        <v>115.139168910899</v>
      </c>
      <c r="O46" s="55" t="n">
        <f aca="false">IF(O31=0,0,O42/O31*Assumptions!$B$31)</f>
        <v>110.562926738355</v>
      </c>
      <c r="P46" s="55" t="n">
        <f aca="false">IF(P31=0,0,P42/P31*Assumptions!$B$31)</f>
        <v>106.676571636713</v>
      </c>
      <c r="Q46" s="55" t="n">
        <f aca="false">IF(Q31=0,0,Q42/Q31*Assumptions!$B$31)</f>
        <v>107.529042289278</v>
      </c>
      <c r="R46" s="55" t="n">
        <f aca="false">IF(R31=0,0,R42/R31*Assumptions!$B$31)</f>
        <v>106.746445331032</v>
      </c>
      <c r="S46" s="55" t="n">
        <f aca="false">IF(S31=0,0,S42/S31*Assumptions!$B$31)</f>
        <v>110.173387645164</v>
      </c>
      <c r="T46" s="55" t="n">
        <f aca="false">IF(T31=0,0,T42/T31*Assumptions!$B$31)</f>
        <v>117.050661610225</v>
      </c>
      <c r="U46" s="55" t="n">
        <f aca="false">IF(U31=0,0,U42/U31*Assumptions!$B$31)</f>
        <v>124.686529301028</v>
      </c>
      <c r="V46" s="55" t="n">
        <f aca="false">IF(V31=0,0,V42/V31*Assumptions!$B$31)</f>
        <v>132.492318921651</v>
      </c>
      <c r="W46" s="55" t="n">
        <f aca="false">IF(W31=0,0,W42/W31*Assumptions!$B$31)</f>
        <v>139.220094576248</v>
      </c>
      <c r="X46" s="55" t="n">
        <f aca="false">IF(X31=0,0,X42/X31*Assumptions!$B$31)</f>
        <v>141.580720331797</v>
      </c>
      <c r="Y46" s="55" t="n">
        <f aca="false">IF(Y31=0,0,Y42/Y31*Assumptions!$B$31)</f>
        <v>146.427000104056</v>
      </c>
      <c r="Z46" s="55" t="n">
        <f aca="false">IF(Z31=0,0,Z42/Z31*Assumptions!$B$31)</f>
        <v>153.759520863433</v>
      </c>
      <c r="AA46" s="55" t="n">
        <f aca="false">IF(AA31=0,0,AA42/AA31*Assumptions!$B$31)</f>
        <v>278.585226348563</v>
      </c>
      <c r="AB46" s="55" t="n">
        <f aca="false">IF(AB31=0,0,AB42/AB31*Assumptions!$B$31)</f>
        <v>360.601427086104</v>
      </c>
      <c r="AC46" s="55" t="n">
        <f aca="false">IF(AC31=0,0,AC42/AC31*Assumptions!$B$31)</f>
        <v>428.367309768721</v>
      </c>
      <c r="AD46" s="55" t="n">
        <f aca="false">IF(AD31=0,0,AD42/AD31*Assumptions!$B$31)</f>
        <v>506.396252500285</v>
      </c>
      <c r="AE46" s="55" t="n">
        <f aca="false">IF(AE31=0,0,AE42/AE31*Assumptions!$B$31)</f>
        <v>603.967800079626</v>
      </c>
    </row>
    <row r="47" customFormat="false" ht="15" hidden="false" customHeight="false" outlineLevel="0" collapsed="false">
      <c r="A47" s="6" t="s">
        <v>474</v>
      </c>
      <c r="B47" s="23" t="s">
        <v>76</v>
      </c>
      <c r="C47" s="55" t="n">
        <f aca="false">C46*Assumptions!$B$156*Assumptions!$B$158</f>
        <v>18.0975</v>
      </c>
      <c r="D47" s="55" t="n">
        <f aca="false">D46*Assumptions!$B$156*Assumptions!$B$158</f>
        <v>27.5190664073143</v>
      </c>
      <c r="E47" s="55" t="n">
        <f aca="false">E46*Assumptions!$B$156*Assumptions!$B$158</f>
        <v>37.1455799762147</v>
      </c>
      <c r="F47" s="55" t="n">
        <f aca="false">F46*Assumptions!$B$156*Assumptions!$B$158</f>
        <v>44.941939219894</v>
      </c>
      <c r="G47" s="55" t="n">
        <f aca="false">G46*Assumptions!$B$156*Assumptions!$B$158</f>
        <v>54.3366980133507</v>
      </c>
      <c r="H47" s="55" t="n">
        <f aca="false">H46*Assumptions!$B$156*Assumptions!$B$158</f>
        <v>65.2021804740607</v>
      </c>
      <c r="I47" s="55" t="n">
        <f aca="false">I46*Assumptions!$B$156*Assumptions!$B$158</f>
        <v>76.1079289933359</v>
      </c>
      <c r="J47" s="55" t="n">
        <f aca="false">J46*Assumptions!$B$156*Assumptions!$B$158</f>
        <v>86.8127323317101</v>
      </c>
      <c r="K47" s="55" t="n">
        <f aca="false">K46*Assumptions!$B$156*Assumptions!$B$158</f>
        <v>96.4950096880368</v>
      </c>
      <c r="L47" s="55" t="n">
        <f aca="false">L46*Assumptions!$B$156*Assumptions!$B$158</f>
        <v>102.71660188245</v>
      </c>
      <c r="M47" s="55" t="n">
        <f aca="false">M46*Assumptions!$B$156*Assumptions!$B$158</f>
        <v>110.859644182259</v>
      </c>
      <c r="N47" s="55" t="n">
        <f aca="false">N46*Assumptions!$B$156*Assumptions!$B$158</f>
        <v>120.896127356444</v>
      </c>
      <c r="O47" s="55" t="n">
        <f aca="false">O46*Assumptions!$B$156*Assumptions!$B$158</f>
        <v>116.091073075273</v>
      </c>
      <c r="P47" s="55" t="n">
        <f aca="false">P46*Assumptions!$B$156*Assumptions!$B$158</f>
        <v>112.010400218549</v>
      </c>
      <c r="Q47" s="55" t="n">
        <f aca="false">Q46*Assumptions!$B$156*Assumptions!$B$158</f>
        <v>112.905494403742</v>
      </c>
      <c r="R47" s="55" t="n">
        <f aca="false">R46*Assumptions!$B$156*Assumptions!$B$158</f>
        <v>112.083767597584</v>
      </c>
      <c r="S47" s="55" t="n">
        <f aca="false">S46*Assumptions!$B$156*Assumptions!$B$158</f>
        <v>115.682057027422</v>
      </c>
      <c r="T47" s="55" t="n">
        <f aca="false">T46*Assumptions!$B$156*Assumptions!$B$158</f>
        <v>122.903194690736</v>
      </c>
      <c r="U47" s="55" t="n">
        <f aca="false">U46*Assumptions!$B$156*Assumptions!$B$158</f>
        <v>130.920855766079</v>
      </c>
      <c r="V47" s="55" t="n">
        <f aca="false">V46*Assumptions!$B$156*Assumptions!$B$158</f>
        <v>139.116934867734</v>
      </c>
      <c r="W47" s="55" t="n">
        <f aca="false">W46*Assumptions!$B$156*Assumptions!$B$158</f>
        <v>146.18109930506</v>
      </c>
      <c r="X47" s="55" t="n">
        <f aca="false">X46*Assumptions!$B$156*Assumptions!$B$158</f>
        <v>148.659756348387</v>
      </c>
      <c r="Y47" s="55" t="n">
        <f aca="false">Y46*Assumptions!$B$156*Assumptions!$B$158</f>
        <v>153.748350109259</v>
      </c>
      <c r="Z47" s="55" t="n">
        <f aca="false">Z46*Assumptions!$B$156*Assumptions!$B$158</f>
        <v>161.447496906604</v>
      </c>
      <c r="AA47" s="55" t="n">
        <f aca="false">AA46*Assumptions!$B$156*Assumptions!$B$158</f>
        <v>292.514487665991</v>
      </c>
      <c r="AB47" s="55" t="n">
        <f aca="false">AB46*Assumptions!$B$156*Assumptions!$B$158</f>
        <v>378.631498440409</v>
      </c>
      <c r="AC47" s="55" t="n">
        <f aca="false">AC46*Assumptions!$B$156*Assumptions!$B$158</f>
        <v>449.785675257157</v>
      </c>
      <c r="AD47" s="55" t="n">
        <f aca="false">AD46*Assumptions!$B$156*Assumptions!$B$158</f>
        <v>531.716065125299</v>
      </c>
      <c r="AE47" s="55" t="n">
        <f aca="false">AE46*Assumptions!$B$156*Assumptions!$B$158</f>
        <v>634.166190083607</v>
      </c>
    </row>
    <row r="48" customFormat="false" ht="15" hidden="false" customHeight="false" outlineLevel="0" collapsed="false">
      <c r="A48" s="6" t="s">
        <v>475</v>
      </c>
      <c r="B48" s="23" t="s">
        <v>114</v>
      </c>
      <c r="C48" s="55" t="n">
        <f aca="false">C47/12*C16</f>
        <v>1.6589375</v>
      </c>
      <c r="D48" s="55" t="n">
        <f aca="false">D47/12*D16</f>
        <v>2.29325553394286</v>
      </c>
      <c r="E48" s="55" t="n">
        <f aca="false">E47/12*E16</f>
        <v>3.03355569805753</v>
      </c>
      <c r="F48" s="55" t="n">
        <f aca="false">F47/12*F16</f>
        <v>3.67025836962468</v>
      </c>
      <c r="G48" s="55" t="n">
        <f aca="false">G47/12*G16</f>
        <v>4.52805816777922</v>
      </c>
      <c r="H48" s="55" t="n">
        <f aca="false">H47/12*H16</f>
        <v>5.16183928752981</v>
      </c>
      <c r="I48" s="55" t="n">
        <f aca="false">I47/12*I16</f>
        <v>5.58124812617797</v>
      </c>
      <c r="J48" s="55" t="n">
        <f aca="false">J47/12*J16</f>
        <v>6.51095492487826</v>
      </c>
      <c r="K48" s="55" t="n">
        <f aca="false">K47/12*K16</f>
        <v>8.0412508073364</v>
      </c>
      <c r="L48" s="55" t="n">
        <f aca="false">L47/12*L16</f>
        <v>8.73091116000826</v>
      </c>
      <c r="M48" s="55" t="n">
        <f aca="false">M47/12*M16</f>
        <v>9.70021886594767</v>
      </c>
      <c r="N48" s="55" t="n">
        <f aca="false">N47/12*N16</f>
        <v>11.4851320988622</v>
      </c>
      <c r="O48" s="55" t="n">
        <f aca="false">O47/12*O16</f>
        <v>10.6416816985667</v>
      </c>
      <c r="P48" s="55" t="n">
        <f aca="false">P47/12*P16</f>
        <v>9.33420001821239</v>
      </c>
      <c r="Q48" s="55" t="n">
        <f aca="false">Q47/12*Q16</f>
        <v>9.22061537630562</v>
      </c>
      <c r="R48" s="55" t="n">
        <f aca="false">R47/12*R16</f>
        <v>9.15350768713601</v>
      </c>
      <c r="S48" s="55" t="n">
        <f aca="false">S47/12*S16</f>
        <v>9.64017141895184</v>
      </c>
      <c r="T48" s="55" t="n">
        <f aca="false">T47/12*T16</f>
        <v>9.72983624634997</v>
      </c>
      <c r="U48" s="55" t="n">
        <f aca="false">U47/12*U16</f>
        <v>9.60086275617915</v>
      </c>
      <c r="V48" s="55" t="n">
        <f aca="false">V47/12*V16</f>
        <v>10.43377011508</v>
      </c>
      <c r="W48" s="55" t="n">
        <f aca="false">W47/12*W16</f>
        <v>12.1817582754217</v>
      </c>
      <c r="X48" s="55" t="n">
        <f aca="false">X47/12*X16</f>
        <v>12.6360792896129</v>
      </c>
      <c r="Y48" s="55" t="n">
        <f aca="false">Y47/12*Y16</f>
        <v>13.4529806345601</v>
      </c>
      <c r="Z48" s="55" t="n">
        <f aca="false">Z47/12*Z16</f>
        <v>15.3375122061274</v>
      </c>
      <c r="AA48" s="55" t="n">
        <f aca="false">AA47/12*AA16</f>
        <v>24.3762073054993</v>
      </c>
      <c r="AB48" s="55" t="n">
        <f aca="false">AB47/12*AB16</f>
        <v>31.5526248700341</v>
      </c>
      <c r="AC48" s="55" t="n">
        <f aca="false">AC47/12*AC16</f>
        <v>37.4821396047631</v>
      </c>
      <c r="AD48" s="55" t="n">
        <f aca="false">AD47/12*AD16</f>
        <v>44.3096720937749</v>
      </c>
      <c r="AE48" s="55" t="n">
        <f aca="false">AE47/12*AE16</f>
        <v>52.8471825069673</v>
      </c>
    </row>
    <row r="49" customFormat="false" ht="15" hidden="false" customHeight="false" outlineLevel="0" collapsed="false">
      <c r="A49" s="6" t="s">
        <v>476</v>
      </c>
      <c r="B49" s="23" t="s">
        <v>477</v>
      </c>
      <c r="C49" s="45" t="n">
        <f aca="false">C45*C48*Assumptions!$B$7*C7</f>
        <v>0</v>
      </c>
      <c r="D49" s="45" t="n">
        <f aca="false">D45*D48*Assumptions!$B$7*D7</f>
        <v>0</v>
      </c>
      <c r="E49" s="45" t="n">
        <f aca="false">E45*E48*Assumptions!$B$7*E7</f>
        <v>0</v>
      </c>
      <c r="F49" s="45" t="n">
        <f aca="false">F45*F48*Assumptions!$B$7*F7</f>
        <v>0</v>
      </c>
      <c r="G49" s="45" t="n">
        <f aca="false">G45*G48*Assumptions!$B$7*G7</f>
        <v>0</v>
      </c>
      <c r="H49" s="45" t="n">
        <f aca="false">H45*H48*Assumptions!$B$7*H7</f>
        <v>0</v>
      </c>
      <c r="I49" s="45" t="n">
        <f aca="false">I45*I48*Assumptions!$B$7*I7</f>
        <v>0</v>
      </c>
      <c r="J49" s="45" t="n">
        <f aca="false">J45*J48*Assumptions!$B$7*J7</f>
        <v>0</v>
      </c>
      <c r="K49" s="45" t="n">
        <f aca="false">K45*K48*Assumptions!$B$7*K7</f>
        <v>0</v>
      </c>
      <c r="L49" s="45" t="n">
        <f aca="false">L45*L48*Assumptions!$B$7*L7</f>
        <v>0</v>
      </c>
      <c r="M49" s="45" t="n">
        <f aca="false">M45*M48*Assumptions!$B$7*M7</f>
        <v>0</v>
      </c>
      <c r="N49" s="45" t="n">
        <f aca="false">N45*N48*Assumptions!$B$7*N7</f>
        <v>0</v>
      </c>
      <c r="O49" s="45" t="n">
        <f aca="false">O45*O48*Assumptions!$B$7*O7</f>
        <v>1538.65032762988</v>
      </c>
      <c r="P49" s="45" t="n">
        <f aca="false">P45*P48*Assumptions!$B$7*P7</f>
        <v>1583.0034100526</v>
      </c>
      <c r="Q49" s="45" t="n">
        <f aca="false">Q45*Q48*Assumptions!$B$7*Q7</f>
        <v>1786.33076236289</v>
      </c>
      <c r="R49" s="45" t="n">
        <f aca="false">R45*R48*Assumptions!$B$7*R7</f>
        <v>1994.19699624871</v>
      </c>
      <c r="S49" s="45" t="n">
        <f aca="false">S45*S48*Assumptions!$B$7*S7</f>
        <v>2354.60611992604</v>
      </c>
      <c r="T49" s="45" t="n">
        <f aca="false">T45*T48*Assumptions!$B$7*T7</f>
        <v>2721.42430880128</v>
      </c>
      <c r="U49" s="45" t="n">
        <f aca="false">U45*U48*Assumptions!$B$7*U7</f>
        <v>2998.2534381589</v>
      </c>
      <c r="V49" s="45" t="n">
        <f aca="false">V45*V48*Assumptions!$B$7*V7</f>
        <v>3556.82444811664</v>
      </c>
      <c r="W49" s="45" t="n">
        <f aca="false">W45*W48*Assumptions!$B$7*W7</f>
        <v>5337.81307395498</v>
      </c>
      <c r="X49" s="45" t="n">
        <f aca="false">X45*X48*Assumptions!$B$7*X7</f>
        <v>6733.8409710389</v>
      </c>
      <c r="Y49" s="45" t="n">
        <f aca="false">Y45*Y48*Assumptions!$B$7*Y7</f>
        <v>8416.96678015725</v>
      </c>
      <c r="Z49" s="45" t="n">
        <f aca="false">Z45*Z48*Assumptions!$B$7*Z7</f>
        <v>11409.0097582872</v>
      </c>
      <c r="AA49" s="45" t="n">
        <f aca="false">AA45*AA48*Assumptions!$B$7*AA7</f>
        <v>1127083.41220631</v>
      </c>
      <c r="AB49" s="45" t="n">
        <f aca="false">AB45*AB48*Assumptions!$B$7*AB7</f>
        <v>2778308.88888613</v>
      </c>
      <c r="AC49" s="45" t="n">
        <f aca="false">AC45*AC48*Assumptions!$B$7*AC7</f>
        <v>5542595.91728162</v>
      </c>
      <c r="AD49" s="45" t="n">
        <f aca="false">AD45*AD48*Assumptions!$B$7*AD7</f>
        <v>9789532.94071135</v>
      </c>
      <c r="AE49" s="45" t="n">
        <f aca="false">AE45*AE48*Assumptions!$B$7*AE7</f>
        <v>15837636.8953027</v>
      </c>
    </row>
    <row r="50" customFormat="false" ht="15" hidden="false" customHeight="false" outlineLevel="0" collapsed="false">
      <c r="A50" s="6" t="s">
        <v>476</v>
      </c>
      <c r="B50" s="23" t="s">
        <v>114</v>
      </c>
      <c r="C50" s="55" t="n">
        <f aca="false">C49/Assumptions!$B$7</f>
        <v>0</v>
      </c>
      <c r="D50" s="55" t="n">
        <f aca="false">D49/Assumptions!$B$7</f>
        <v>0</v>
      </c>
      <c r="E50" s="55" t="n">
        <f aca="false">E49/Assumptions!$B$7</f>
        <v>0</v>
      </c>
      <c r="F50" s="55" t="n">
        <f aca="false">F49/Assumptions!$B$7</f>
        <v>0</v>
      </c>
      <c r="G50" s="55" t="n">
        <f aca="false">G49/Assumptions!$B$7</f>
        <v>0</v>
      </c>
      <c r="H50" s="55" t="n">
        <f aca="false">H49/Assumptions!$B$7</f>
        <v>0</v>
      </c>
      <c r="I50" s="55" t="n">
        <f aca="false">I49/Assumptions!$B$7</f>
        <v>0</v>
      </c>
      <c r="J50" s="55" t="n">
        <f aca="false">J49/Assumptions!$B$7</f>
        <v>0</v>
      </c>
      <c r="K50" s="55" t="n">
        <f aca="false">K49/Assumptions!$B$7</f>
        <v>0</v>
      </c>
      <c r="L50" s="55" t="n">
        <f aca="false">L49/Assumptions!$B$7</f>
        <v>0</v>
      </c>
      <c r="M50" s="55" t="n">
        <f aca="false">M49/Assumptions!$B$7</f>
        <v>0</v>
      </c>
      <c r="N50" s="55" t="n">
        <f aca="false">N49/Assumptions!$B$7</f>
        <v>0</v>
      </c>
      <c r="O50" s="55" t="n">
        <f aca="false">O49/Assumptions!$B$7</f>
        <v>418.965371716782</v>
      </c>
      <c r="P50" s="55" t="n">
        <f aca="false">P49/Assumptions!$B$7</f>
        <v>431.042453383961</v>
      </c>
      <c r="Q50" s="55" t="n">
        <f aca="false">Q49/Assumptions!$B$7</f>
        <v>486.407287232918</v>
      </c>
      <c r="R50" s="55" t="n">
        <f aca="false">R49/Assumptions!$B$7</f>
        <v>543.008031653836</v>
      </c>
      <c r="S50" s="55" t="n">
        <f aca="false">S49/Assumptions!$B$7</f>
        <v>641.145301545553</v>
      </c>
      <c r="T50" s="55" t="n">
        <f aca="false">T49/Assumptions!$B$7</f>
        <v>741.027721933638</v>
      </c>
      <c r="U50" s="55" t="n">
        <f aca="false">U49/Assumptions!$B$7</f>
        <v>816.406654365936</v>
      </c>
      <c r="V50" s="55" t="n">
        <f aca="false">V49/Assumptions!$B$7</f>
        <v>968.502232298608</v>
      </c>
      <c r="W50" s="55" t="n">
        <f aca="false">W49/Assumptions!$B$7</f>
        <v>1453.45488739414</v>
      </c>
      <c r="X50" s="55" t="n">
        <f aca="false">X49/Assumptions!$B$7</f>
        <v>1833.5850159398</v>
      </c>
      <c r="Y50" s="55" t="n">
        <f aca="false">Y49/Assumptions!$B$7</f>
        <v>2291.89020562485</v>
      </c>
      <c r="Z50" s="55" t="n">
        <f aca="false">Z49/Assumptions!$B$7</f>
        <v>3106.6057885057</v>
      </c>
      <c r="AA50" s="55" t="n">
        <f aca="false">AA49/Assumptions!$B$7</f>
        <v>306898.138109275</v>
      </c>
      <c r="AB50" s="55" t="n">
        <f aca="false">AB49/Assumptions!$B$7</f>
        <v>756517.056197721</v>
      </c>
      <c r="AC50" s="55" t="n">
        <f aca="false">AC49/Assumptions!$B$7</f>
        <v>1509216.04282685</v>
      </c>
      <c r="AD50" s="55" t="n">
        <f aca="false">AD49/Assumptions!$B$7</f>
        <v>2665631.84226313</v>
      </c>
      <c r="AE50" s="55" t="n">
        <f aca="false">AE49/Assumptions!$B$7</f>
        <v>4312494.72983056</v>
      </c>
    </row>
    <row r="51" customFormat="false" ht="15" hidden="false" customHeight="false" outlineLevel="0" collapsed="false">
      <c r="A51" s="6" t="s">
        <v>478</v>
      </c>
      <c r="B51" s="23" t="s">
        <v>477</v>
      </c>
      <c r="C51" s="45" t="n">
        <f aca="false">IF(Assumptions!$B$144=0,0,C46*Assumptions!$B$156*Assumptions!$B$7/Assumptions!$B$144)</f>
        <v>7.91227008928571</v>
      </c>
      <c r="D51" s="45" t="n">
        <f aca="false">IF(Assumptions!$B$144=0,0,D46*Assumptions!$B$156*Assumptions!$B$7/Assumptions!$B$144)</f>
        <v>12.0314013548645</v>
      </c>
      <c r="E51" s="45" t="n">
        <f aca="false">IF(Assumptions!$B$144=0,0,E46*Assumptions!$B$156*Assumptions!$B$7/Assumptions!$B$144)</f>
        <v>16.2401360074582</v>
      </c>
      <c r="F51" s="45" t="n">
        <f aca="false">IF(Assumptions!$B$144=0,0,F46*Assumptions!$B$156*Assumptions!$B$7/Assumptions!$B$144)</f>
        <v>19.6487228315549</v>
      </c>
      <c r="G51" s="45" t="n">
        <f aca="false">IF(Assumptions!$B$144=0,0,G46*Assumptions!$B$156*Assumptions!$B$7/Assumptions!$B$144)</f>
        <v>23.7561337445274</v>
      </c>
      <c r="H51" s="45" t="n">
        <f aca="false">IF(Assumptions!$B$144=0,0,H46*Assumptions!$B$156*Assumptions!$B$7/Assumptions!$B$144)</f>
        <v>28.5065485465462</v>
      </c>
      <c r="I51" s="45" t="n">
        <f aca="false">IF(Assumptions!$B$144=0,0,I46*Assumptions!$B$156*Assumptions!$B$7/Assumptions!$B$144)</f>
        <v>33.2745677652412</v>
      </c>
      <c r="J51" s="45" t="n">
        <f aca="false">IF(Assumptions!$B$144=0,0,J46*Assumptions!$B$156*Assumptions!$B$7/Assumptions!$B$144)</f>
        <v>37.9547332724054</v>
      </c>
      <c r="K51" s="45" t="n">
        <f aca="false">IF(Assumptions!$B$144=0,0,K46*Assumptions!$B$156*Assumptions!$B$7/Assumptions!$B$144)</f>
        <v>42.1878479856328</v>
      </c>
      <c r="L51" s="45" t="n">
        <f aca="false">IF(Assumptions!$B$144=0,0,L46*Assumptions!$B$156*Assumptions!$B$7/Assumptions!$B$144)</f>
        <v>44.907942906345</v>
      </c>
      <c r="M51" s="45" t="n">
        <f aca="false">IF(Assumptions!$B$144=0,0,M46*Assumptions!$B$156*Assumptions!$B$7/Assumptions!$B$144)</f>
        <v>48.4681003880174</v>
      </c>
      <c r="N51" s="45" t="n">
        <f aca="false">IF(Assumptions!$B$144=0,0,N46*Assumptions!$B$156*Assumptions!$B$7/Assumptions!$B$144)</f>
        <v>52.8560747281598</v>
      </c>
      <c r="O51" s="45" t="n">
        <f aca="false">IF(Assumptions!$B$144=0,0,O46*Assumptions!$B$156*Assumptions!$B$7/Assumptions!$B$144)</f>
        <v>50.7552935558263</v>
      </c>
      <c r="P51" s="45" t="n">
        <f aca="false">IF(Assumptions!$B$144=0,0,P46*Assumptions!$B$156*Assumptions!$B$7/Assumptions!$B$144)</f>
        <v>48.9712136669786</v>
      </c>
      <c r="Q51" s="45" t="n">
        <f aca="false">IF(Assumptions!$B$144=0,0,Q46*Assumptions!$B$156*Assumptions!$B$7/Assumptions!$B$144)</f>
        <v>49.3625509759219</v>
      </c>
      <c r="R51" s="45" t="n">
        <f aca="false">IF(Assumptions!$B$144=0,0,R46*Assumptions!$B$156*Assumptions!$B$7/Assumptions!$B$144)</f>
        <v>49.003290059777</v>
      </c>
      <c r="S51" s="45" t="n">
        <f aca="false">IF(Assumptions!$B$144=0,0,S46*Assumptions!$B$156*Assumptions!$B$7/Assumptions!$B$144)</f>
        <v>50.576470765858</v>
      </c>
      <c r="T51" s="45" t="n">
        <f aca="false">IF(Assumptions!$B$144=0,0,T46*Assumptions!$B$156*Assumptions!$B$7/Assumptions!$B$144)</f>
        <v>53.733569345444</v>
      </c>
      <c r="U51" s="45" t="n">
        <f aca="false">IF(Assumptions!$B$144=0,0,U46*Assumptions!$B$156*Assumptions!$B$7/Assumptions!$B$144)</f>
        <v>57.2389098572531</v>
      </c>
      <c r="V51" s="45" t="n">
        <f aca="false">IF(Assumptions!$B$144=0,0,V46*Assumptions!$B$156*Assumptions!$B$7/Assumptions!$B$144)</f>
        <v>60.8222551549705</v>
      </c>
      <c r="W51" s="45" t="n">
        <f aca="false">IF(Assumptions!$B$144=0,0,W46*Assumptions!$B$156*Assumptions!$B$7/Assumptions!$B$144)</f>
        <v>63.9107246664087</v>
      </c>
      <c r="X51" s="45" t="n">
        <f aca="false">IF(Assumptions!$B$144=0,0,X46*Assumptions!$B$156*Assumptions!$B$7/Assumptions!$B$144)</f>
        <v>64.9943994273157</v>
      </c>
      <c r="Y51" s="45" t="n">
        <f aca="false">IF(Assumptions!$B$144=0,0,Y46*Assumptions!$B$156*Assumptions!$B$7/Assumptions!$B$144)</f>
        <v>67.2191447352682</v>
      </c>
      <c r="Z51" s="45" t="n">
        <f aca="false">IF(Assumptions!$B$144=0,0,Z46*Assumptions!$B$156*Assumptions!$B$7/Assumptions!$B$144)</f>
        <v>70.5852300463696</v>
      </c>
      <c r="AA51" s="45" t="n">
        <f aca="false">IF(Assumptions!$B$144=0,0,AA46*Assumptions!$B$156*Assumptions!$B$7/Assumptions!$B$144)</f>
        <v>127.888030470637</v>
      </c>
      <c r="AB51" s="45" t="n">
        <f aca="false">IF(Assumptions!$B$144=0,0,AB46*Assumptions!$B$156*Assumptions!$B$7/Assumptions!$B$144)</f>
        <v>165.538592621714</v>
      </c>
      <c r="AC51" s="45" t="n">
        <f aca="false">IF(Assumptions!$B$144=0,0,AC46*Assumptions!$B$156*Assumptions!$B$7/Assumptions!$B$144)</f>
        <v>196.647368140703</v>
      </c>
      <c r="AD51" s="45" t="n">
        <f aca="false">IF(Assumptions!$B$144=0,0,AD46*Assumptions!$B$156*Assumptions!$B$7/Assumptions!$B$144)</f>
        <v>232.467529663412</v>
      </c>
      <c r="AE51" s="45" t="n">
        <f aca="false">IF(Assumptions!$B$144=0,0,AE46*Assumptions!$B$156*Assumptions!$B$7/Assumptions!$B$144)</f>
        <v>277.258968224053</v>
      </c>
    </row>
    <row r="52" customFormat="false" ht="15" hidden="false" customHeight="false" outlineLevel="0" collapsed="false">
      <c r="A52" s="6" t="s">
        <v>479</v>
      </c>
      <c r="B52" s="23" t="s">
        <v>480</v>
      </c>
      <c r="C52" s="45" t="n">
        <f aca="false">C45*Assumptions!$B$158*Assumptions!$B$144*C7/12*(1+Assumptions!$B$16)</f>
        <v>0</v>
      </c>
      <c r="D52" s="45" t="n">
        <f aca="false">D45*Assumptions!$B$158*Assumptions!$B$144*D7/12*(1+Assumptions!$B$16)</f>
        <v>0</v>
      </c>
      <c r="E52" s="45" t="n">
        <f aca="false">E45*Assumptions!$B$158*Assumptions!$B$144*E7/12*(1+Assumptions!$B$16)</f>
        <v>0</v>
      </c>
      <c r="F52" s="45" t="n">
        <f aca="false">F45*Assumptions!$B$158*Assumptions!$B$144*F7/12*(1+Assumptions!$B$16)</f>
        <v>0</v>
      </c>
      <c r="G52" s="45" t="n">
        <f aca="false">G45*Assumptions!$B$158*Assumptions!$B$144*G7/12*(1+Assumptions!$B$16)</f>
        <v>0</v>
      </c>
      <c r="H52" s="45" t="n">
        <f aca="false">H45*Assumptions!$B$158*Assumptions!$B$144*H7/12*(1+Assumptions!$B$16)</f>
        <v>0</v>
      </c>
      <c r="I52" s="45" t="n">
        <f aca="false">I45*Assumptions!$B$158*Assumptions!$B$144*I7/12*(1+Assumptions!$B$16)</f>
        <v>0</v>
      </c>
      <c r="J52" s="45" t="n">
        <f aca="false">J45*Assumptions!$B$158*Assumptions!$B$144*J7/12*(1+Assumptions!$B$16)</f>
        <v>0</v>
      </c>
      <c r="K52" s="45" t="n">
        <f aca="false">K45*Assumptions!$B$158*Assumptions!$B$144*K7/12*(1+Assumptions!$B$16)</f>
        <v>0</v>
      </c>
      <c r="L52" s="45" t="n">
        <f aca="false">L45*Assumptions!$B$158*Assumptions!$B$144*L7/12*(1+Assumptions!$B$16)</f>
        <v>0</v>
      </c>
      <c r="M52" s="45" t="n">
        <f aca="false">M45*Assumptions!$B$158*Assumptions!$B$144*M7/12*(1+Assumptions!$B$16)</f>
        <v>0</v>
      </c>
      <c r="N52" s="45" t="n">
        <f aca="false">N45*Assumptions!$B$158*Assumptions!$B$144*N7/12*(1+Assumptions!$B$16)</f>
        <v>0</v>
      </c>
      <c r="O52" s="45" t="n">
        <f aca="false">O45*Assumptions!$B$158*Assumptions!$B$144*O7/12*(1+Assumptions!$B$16)</f>
        <v>29.2127047791443</v>
      </c>
      <c r="P52" s="45" t="n">
        <f aca="false">P45*Assumptions!$B$158*Assumptions!$B$144*P7/12*(1+Assumptions!$B$16)</f>
        <v>34.2646932556467</v>
      </c>
      <c r="Q52" s="45" t="n">
        <f aca="false">Q45*Assumptions!$B$158*Assumptions!$B$144*Q7/12*(1+Assumptions!$B$16)</f>
        <v>39.1420954456329</v>
      </c>
      <c r="R52" s="45" t="n">
        <f aca="false">R45*Assumptions!$B$158*Assumptions!$B$144*R7/12*(1+Assumptions!$B$16)</f>
        <v>44.0172197652037</v>
      </c>
      <c r="S52" s="45" t="n">
        <f aca="false">S45*Assumptions!$B$158*Assumptions!$B$144*S7/12*(1+Assumptions!$B$16)</f>
        <v>49.34868822058</v>
      </c>
      <c r="T52" s="45" t="n">
        <f aca="false">T45*Assumptions!$B$158*Assumptions!$B$144*T7/12*(1+Assumptions!$B$16)</f>
        <v>56.5109787825079</v>
      </c>
      <c r="U52" s="45" t="n">
        <f aca="false">U45*Assumptions!$B$158*Assumptions!$B$144*U7/12*(1+Assumptions!$B$16)</f>
        <v>63.0957605502325</v>
      </c>
      <c r="V52" s="45" t="n">
        <f aca="false">V45*Assumptions!$B$158*Assumptions!$B$144*V7/12*(1+Assumptions!$B$16)</f>
        <v>68.8752625790485</v>
      </c>
      <c r="W52" s="45" t="n">
        <f aca="false">W45*Assumptions!$B$158*Assumptions!$B$144*W7/12*(1+Assumptions!$B$16)</f>
        <v>88.5310233599362</v>
      </c>
      <c r="X52" s="45" t="n">
        <f aca="false">X45*Assumptions!$B$158*Assumptions!$B$144*X7/12*(1+Assumptions!$B$16)</f>
        <v>107.669479641973</v>
      </c>
      <c r="Y52" s="45" t="n">
        <f aca="false">Y45*Assumptions!$B$158*Assumptions!$B$144*Y7/12*(1+Assumptions!$B$16)</f>
        <v>126.40934962806</v>
      </c>
      <c r="Z52" s="45" t="n">
        <f aca="false">Z45*Assumptions!$B$158*Assumptions!$B$144*Z7/12*(1+Assumptions!$B$16)</f>
        <v>150.291746411803</v>
      </c>
      <c r="AA52" s="45" t="n">
        <f aca="false">AA45*Assumptions!$B$158*Assumptions!$B$144*AA7/12*(1+Assumptions!$B$16)</f>
        <v>9341.83138595596</v>
      </c>
      <c r="AB52" s="45" t="n">
        <f aca="false">AB45*Assumptions!$B$158*Assumptions!$B$144*AB7/12*(1+Assumptions!$B$16)</f>
        <v>17790.4582585716</v>
      </c>
      <c r="AC52" s="45" t="n">
        <f aca="false">AC45*Assumptions!$B$158*Assumptions!$B$144*AC7/12*(1+Assumptions!$B$16)</f>
        <v>29876.5843035071</v>
      </c>
      <c r="AD52" s="45" t="n">
        <f aca="false">AD45*Assumptions!$B$158*Assumptions!$B$144*AD7/12*(1+Assumptions!$B$16)</f>
        <v>44638.0831429605</v>
      </c>
      <c r="AE52" s="45" t="n">
        <f aca="false">AE45*Assumptions!$B$158*Assumptions!$B$144*AE7/12*(1+Assumptions!$B$16)</f>
        <v>60549.5115867797</v>
      </c>
    </row>
    <row r="53" customFormat="false" ht="15" hidden="false" customHeight="false" outlineLevel="0" collapsed="false">
      <c r="A53" s="6" t="s">
        <v>481</v>
      </c>
      <c r="B53" s="23" t="s">
        <v>114</v>
      </c>
      <c r="C53" s="55" t="n">
        <f aca="false">C35*Assumptions!$B$8</f>
        <v>129.707634992439</v>
      </c>
      <c r="D53" s="55" t="n">
        <f aca="false">D35*Assumptions!$B$8</f>
        <v>246.622009385317</v>
      </c>
      <c r="E53" s="55" t="n">
        <f aca="false">E35*Assumptions!$B$8</f>
        <v>352.65807989044</v>
      </c>
      <c r="F53" s="55" t="n">
        <f aca="false">F35*Assumptions!$B$8</f>
        <v>482.971739387774</v>
      </c>
      <c r="G53" s="55" t="n">
        <f aca="false">G35*Assumptions!$B$8</f>
        <v>592.763860396822</v>
      </c>
      <c r="H53" s="55" t="n">
        <f aca="false">H35*Assumptions!$B$8</f>
        <v>676.653577399581</v>
      </c>
      <c r="I53" s="55" t="n">
        <f aca="false">I35*Assumptions!$B$8</f>
        <v>752.571736490261</v>
      </c>
      <c r="J53" s="55" t="n">
        <f aca="false">J35*Assumptions!$B$8</f>
        <v>824.749527581236</v>
      </c>
      <c r="K53" s="55" t="n">
        <f aca="false">K35*Assumptions!$B$8</f>
        <v>903.599464543585</v>
      </c>
      <c r="L53" s="55" t="n">
        <f aca="false">L35*Assumptions!$B$8</f>
        <v>1019.45852917842</v>
      </c>
      <c r="M53" s="55" t="n">
        <f aca="false">M35*Assumptions!$B$8</f>
        <v>1116.80413859089</v>
      </c>
      <c r="N53" s="55" t="n">
        <f aca="false">N35*Assumptions!$B$8</f>
        <v>1191.45501732344</v>
      </c>
      <c r="O53" s="55" t="n">
        <f aca="false">O35*Assumptions!$B$8</f>
        <v>1572.02332732176</v>
      </c>
      <c r="P53" s="55" t="n">
        <f aca="false">P35*Assumptions!$B$8</f>
        <v>1922.55656133936</v>
      </c>
      <c r="Q53" s="55" t="n">
        <f aca="false">Q35*Assumptions!$B$8</f>
        <v>2247.16270983592</v>
      </c>
      <c r="R53" s="55" t="n">
        <f aca="false">R35*Assumptions!$B$8</f>
        <v>2670.71048758389</v>
      </c>
      <c r="S53" s="55" t="n">
        <f aca="false">S35*Assumptions!$B$8</f>
        <v>3034.73137234036</v>
      </c>
      <c r="T53" s="55" t="n">
        <f aca="false">T35*Assumptions!$B$8</f>
        <v>3313.7207735455</v>
      </c>
      <c r="U53" s="55" t="n">
        <f aca="false">U35*Assumptions!$B$8</f>
        <v>3570.88786016287</v>
      </c>
      <c r="V53" s="55" t="n">
        <f aca="false">V35*Assumptions!$B$8</f>
        <v>3821.27161799788</v>
      </c>
      <c r="W53" s="55" t="n">
        <f aca="false">W35*Assumptions!$B$8</f>
        <v>4105.41425375239</v>
      </c>
      <c r="X53" s="55" t="n">
        <f aca="false">X35*Assumptions!$B$8</f>
        <v>4546.60279983315</v>
      </c>
      <c r="Y53" s="55" t="n">
        <f aca="false">Y35*Assumptions!$B$8</f>
        <v>4928.37078809547</v>
      </c>
      <c r="Z53" s="55" t="n">
        <f aca="false">Z35*Assumptions!$B$8</f>
        <v>5228.12559578769</v>
      </c>
      <c r="AA53" s="55" t="n">
        <f aca="false">AA35*Assumptions!$B$8</f>
        <v>125730.923832514</v>
      </c>
      <c r="AB53" s="55" t="n">
        <f aca="false">AB35*Assumptions!$B$8</f>
        <v>212449.192397712</v>
      </c>
      <c r="AC53" s="55" t="n">
        <f aca="false">AC35*Assumptions!$B$8</f>
        <v>321839.873861733</v>
      </c>
      <c r="AD53" s="55" t="n">
        <f aca="false">AD35*Assumptions!$B$8</f>
        <v>427381.754204099</v>
      </c>
      <c r="AE53" s="55" t="n">
        <f aca="false">AE35*Assumptions!$B$8</f>
        <v>504933.747665502</v>
      </c>
    </row>
    <row r="54" customFormat="false" ht="15" hidden="false" customHeight="false" outlineLevel="0" collapsed="false">
      <c r="A54" s="6" t="s">
        <v>482</v>
      </c>
      <c r="B54" s="23" t="s">
        <v>114</v>
      </c>
      <c r="C54" s="55" t="n">
        <f aca="false">C36*Assumptions!$B$8</f>
        <v>12.4689184829041</v>
      </c>
      <c r="D54" s="55" t="n">
        <f aca="false">D36*Assumptions!$B$8</f>
        <v>23.7080086403147</v>
      </c>
      <c r="E54" s="55" t="n">
        <f aca="false">E36*Assumptions!$B$8</f>
        <v>33.901357084706</v>
      </c>
      <c r="F54" s="55" t="n">
        <f aca="false">F36*Assumptions!$B$8</f>
        <v>46.4285332804318</v>
      </c>
      <c r="G54" s="55" t="n">
        <f aca="false">G36*Assumptions!$B$8</f>
        <v>56.9829544369564</v>
      </c>
      <c r="H54" s="55" t="n">
        <f aca="false">H36*Assumptions!$B$8</f>
        <v>65.0473528274002</v>
      </c>
      <c r="I54" s="55" t="n">
        <f aca="false">I36*Assumptions!$B$8</f>
        <v>72.345437763796</v>
      </c>
      <c r="J54" s="55" t="n">
        <f aca="false">J36*Assumptions!$B$8</f>
        <v>79.2839575621248</v>
      </c>
      <c r="K54" s="55" t="n">
        <f aca="false">K36*Assumptions!$B$8</f>
        <v>86.8638770974934</v>
      </c>
      <c r="L54" s="55" t="n">
        <f aca="false">L36*Assumptions!$B$8</f>
        <v>98.0015193228063</v>
      </c>
      <c r="M54" s="55" t="n">
        <f aca="false">M36*Assumptions!$B$8</f>
        <v>107.359445465731</v>
      </c>
      <c r="N54" s="55" t="n">
        <f aca="false">N36*Assumptions!$B$8</f>
        <v>114.535705534366</v>
      </c>
      <c r="O54" s="55" t="n">
        <f aca="false">O36*Assumptions!$B$8</f>
        <v>151.120099620514</v>
      </c>
      <c r="P54" s="55" t="n">
        <f aca="false">P36*Assumptions!$B$8</f>
        <v>184.817193247801</v>
      </c>
      <c r="Q54" s="55" t="n">
        <f aca="false">Q36*Assumptions!$B$8</f>
        <v>216.021891451489</v>
      </c>
      <c r="R54" s="55" t="n">
        <f aca="false">R36*Assumptions!$B$8</f>
        <v>256.737942705237</v>
      </c>
      <c r="S54" s="55" t="n">
        <f aca="false">S36*Assumptions!$B$8</f>
        <v>291.731617043433</v>
      </c>
      <c r="T54" s="55" t="n">
        <f aca="false">T36*Assumptions!$B$8</f>
        <v>318.551133885475</v>
      </c>
      <c r="U54" s="55" t="n">
        <f aca="false">U36*Assumptions!$B$8</f>
        <v>343.272850843038</v>
      </c>
      <c r="V54" s="55" t="n">
        <f aca="false">V36*Assumptions!$B$8</f>
        <v>367.342479944439</v>
      </c>
      <c r="W54" s="55" t="n">
        <f aca="false">W36*Assumptions!$B$8</f>
        <v>394.657382131554</v>
      </c>
      <c r="X54" s="55" t="n">
        <f aca="false">X36*Assumptions!$B$8</f>
        <v>437.069257245865</v>
      </c>
      <c r="Y54" s="55" t="n">
        <f aca="false">Y36*Assumptions!$B$8</f>
        <v>473.768977546083</v>
      </c>
      <c r="Z54" s="55" t="n">
        <f aca="false">Z36*Assumptions!$B$8</f>
        <v>502.584692690304</v>
      </c>
      <c r="AA54" s="55" t="n">
        <f aca="false">AA36*Assumptions!$B$8</f>
        <v>12086.6334517565</v>
      </c>
      <c r="AB54" s="55" t="n">
        <f aca="false">AB36*Assumptions!$B$8</f>
        <v>20422.9431977562</v>
      </c>
      <c r="AC54" s="55" t="n">
        <f aca="false">AC36*Assumptions!$B$8</f>
        <v>30938.773588494</v>
      </c>
      <c r="AD54" s="55" t="n">
        <f aca="false">AD36*Assumptions!$B$8</f>
        <v>41084.6150618822</v>
      </c>
      <c r="AE54" s="55" t="n">
        <f aca="false">AE36*Assumptions!$B$8</f>
        <v>48539.7620523682</v>
      </c>
    </row>
    <row r="55" customFormat="false" ht="15" hidden="false" customHeight="false" outlineLevel="0" collapsed="false">
      <c r="A55" s="6" t="s">
        <v>483</v>
      </c>
      <c r="B55" s="23" t="s">
        <v>114</v>
      </c>
      <c r="C55" s="55" t="n">
        <f aca="false">C50*IF(Assumptions!$B$176=1,MIN(Assumptions!$B$14,1%),Assumptions!$B$14)*(1-Assumptions!$B$142)</f>
        <v>0</v>
      </c>
      <c r="D55" s="55" t="n">
        <f aca="false">D50*IF(Assumptions!$B$176=1,MIN(Assumptions!$B$14,1%),Assumptions!$B$14)*(1-Assumptions!$B$142)</f>
        <v>0</v>
      </c>
      <c r="E55" s="55" t="n">
        <f aca="false">E50*IF(Assumptions!$B$176=1,MIN(Assumptions!$B$14,1%),Assumptions!$B$14)*(1-Assumptions!$B$142)</f>
        <v>0</v>
      </c>
      <c r="F55" s="55" t="n">
        <f aca="false">F50*IF(Assumptions!$B$176=1,MIN(Assumptions!$B$14,1%),Assumptions!$B$14)*(1-Assumptions!$B$142)</f>
        <v>0</v>
      </c>
      <c r="G55" s="55" t="n">
        <f aca="false">G50*IF(Assumptions!$B$176=1,MIN(Assumptions!$B$14,1%),Assumptions!$B$14)*(1-Assumptions!$B$142)</f>
        <v>0</v>
      </c>
      <c r="H55" s="55" t="n">
        <f aca="false">H50*IF(Assumptions!$B$176=1,MIN(Assumptions!$B$14,1%),Assumptions!$B$14)*(1-Assumptions!$B$142)</f>
        <v>0</v>
      </c>
      <c r="I55" s="55" t="n">
        <f aca="false">I50*IF(Assumptions!$B$176=1,MIN(Assumptions!$B$14,1%),Assumptions!$B$14)*(1-Assumptions!$B$142)</f>
        <v>0</v>
      </c>
      <c r="J55" s="55" t="n">
        <f aca="false">J50*IF(Assumptions!$B$176=1,MIN(Assumptions!$B$14,1%),Assumptions!$B$14)*(1-Assumptions!$B$142)</f>
        <v>0</v>
      </c>
      <c r="K55" s="55" t="n">
        <f aca="false">K50*IF(Assumptions!$B$176=1,MIN(Assumptions!$B$14,1%),Assumptions!$B$14)*(1-Assumptions!$B$142)</f>
        <v>0</v>
      </c>
      <c r="L55" s="55" t="n">
        <f aca="false">L50*IF(Assumptions!$B$176=1,MIN(Assumptions!$B$14,1%),Assumptions!$B$14)*(1-Assumptions!$B$142)</f>
        <v>0</v>
      </c>
      <c r="M55" s="55" t="n">
        <f aca="false">M50*IF(Assumptions!$B$176=1,MIN(Assumptions!$B$14,1%),Assumptions!$B$14)*(1-Assumptions!$B$142)</f>
        <v>0</v>
      </c>
      <c r="N55" s="55" t="n">
        <f aca="false">N50*IF(Assumptions!$B$176=1,MIN(Assumptions!$B$14,1%),Assumptions!$B$14)*(1-Assumptions!$B$142)</f>
        <v>0</v>
      </c>
      <c r="O55" s="55" t="n">
        <f aca="false">O50*IF(Assumptions!$B$176=1,MIN(Assumptions!$B$14,1%),Assumptions!$B$14)*(1-Assumptions!$B$142)</f>
        <v>2.11158547345258</v>
      </c>
      <c r="P55" s="55" t="n">
        <f aca="false">P50*IF(Assumptions!$B$176=1,MIN(Assumptions!$B$14,1%),Assumptions!$B$14)*(1-Assumptions!$B$142)</f>
        <v>2.17245396505516</v>
      </c>
      <c r="Q55" s="55" t="n">
        <f aca="false">Q50*IF(Assumptions!$B$176=1,MIN(Assumptions!$B$14,1%),Assumptions!$B$14)*(1-Assumptions!$B$142)</f>
        <v>2.45149272765391</v>
      </c>
      <c r="R55" s="55" t="n">
        <f aca="false">R50*IF(Assumptions!$B$176=1,MIN(Assumptions!$B$14,1%),Assumptions!$B$14)*(1-Assumptions!$B$142)</f>
        <v>2.73676047953534</v>
      </c>
      <c r="S55" s="55" t="n">
        <f aca="false">S50*IF(Assumptions!$B$176=1,MIN(Assumptions!$B$14,1%),Assumptions!$B$14)*(1-Assumptions!$B$142)</f>
        <v>3.23137231978959</v>
      </c>
      <c r="T55" s="55" t="n">
        <f aca="false">T50*IF(Assumptions!$B$176=1,MIN(Assumptions!$B$14,1%),Assumptions!$B$14)*(1-Assumptions!$B$142)</f>
        <v>3.73477971854553</v>
      </c>
      <c r="U55" s="55" t="n">
        <f aca="false">U50*IF(Assumptions!$B$176=1,MIN(Assumptions!$B$14,1%),Assumptions!$B$14)*(1-Assumptions!$B$142)</f>
        <v>4.11468953800432</v>
      </c>
      <c r="V55" s="55" t="n">
        <f aca="false">V50*IF(Assumptions!$B$176=1,MIN(Assumptions!$B$14,1%),Assumptions!$B$14)*(1-Assumptions!$B$142)</f>
        <v>4.88125125078498</v>
      </c>
      <c r="W55" s="55" t="n">
        <f aca="false">W50*IF(Assumptions!$B$176=1,MIN(Assumptions!$B$14,1%),Assumptions!$B$14)*(1-Assumptions!$B$142)</f>
        <v>7.32541263246647</v>
      </c>
      <c r="X55" s="55" t="n">
        <f aca="false">X50*IF(Assumptions!$B$176=1,MIN(Assumptions!$B$14,1%),Assumptions!$B$14)*(1-Assumptions!$B$142)</f>
        <v>9.24126848033657</v>
      </c>
      <c r="Y55" s="55" t="n">
        <f aca="false">Y50*IF(Assumptions!$B$176=1,MIN(Assumptions!$B$14,1%),Assumptions!$B$14)*(1-Assumptions!$B$142)</f>
        <v>11.5511266363492</v>
      </c>
      <c r="Z55" s="55" t="n">
        <f aca="false">Z50*IF(Assumptions!$B$176=1,MIN(Assumptions!$B$14,1%),Assumptions!$B$14)*(1-Assumptions!$B$142)</f>
        <v>15.6572931740687</v>
      </c>
      <c r="AA55" s="55" t="n">
        <f aca="false">AA50*IF(Assumptions!$B$176=1,MIN(Assumptions!$B$14,1%),Assumptions!$B$14)*(1-Assumptions!$B$142)</f>
        <v>1546.76661607075</v>
      </c>
      <c r="AB55" s="55" t="n">
        <f aca="false">AB50*IF(Assumptions!$B$176=1,MIN(Assumptions!$B$14,1%),Assumptions!$B$14)*(1-Assumptions!$B$142)</f>
        <v>3812.84596323652</v>
      </c>
      <c r="AC55" s="55" t="n">
        <f aca="false">AC50*IF(Assumptions!$B$176=1,MIN(Assumptions!$B$14,1%),Assumptions!$B$14)*(1-Assumptions!$B$142)</f>
        <v>7606.44885584735</v>
      </c>
      <c r="AD55" s="55" t="n">
        <f aca="false">AD50*IF(Assumptions!$B$176=1,MIN(Assumptions!$B$14,1%),Assumptions!$B$14)*(1-Assumptions!$B$142)</f>
        <v>13434.7844850062</v>
      </c>
      <c r="AE55" s="55" t="n">
        <f aca="false">AE50*IF(Assumptions!$B$176=1,MIN(Assumptions!$B$14,1%),Assumptions!$B$14)*(1-Assumptions!$B$142)</f>
        <v>21734.973438346</v>
      </c>
    </row>
    <row r="56" customFormat="false" ht="15" hidden="false" customHeight="false" outlineLevel="0" collapsed="false">
      <c r="A56" s="6" t="s">
        <v>484</v>
      </c>
      <c r="B56" s="23" t="s">
        <v>485</v>
      </c>
      <c r="C56" s="54" t="n">
        <f aca="false">IF(C2&gt;=Assumptions!$B$50,C30*Assumptions!$B$159*(1-Assumptions!$B$161)^(C7/2),0)</f>
        <v>0</v>
      </c>
      <c r="D56" s="54" t="n">
        <f aca="false">IF(D2&gt;=Assumptions!$B$50,C56*(1-Assumptions!$B$161)^D7+D30*Assumptions!$B$159*(1-Assumptions!$B$161)^(D7/2),0)</f>
        <v>0</v>
      </c>
      <c r="E56" s="54" t="n">
        <f aca="false">IF(E2&gt;=Assumptions!$B$50,D56*(1-Assumptions!$B$161)^E7+E30*Assumptions!$B$159*(1-Assumptions!$B$161)^(E7/2),0)</f>
        <v>0</v>
      </c>
      <c r="F56" s="54" t="n">
        <f aca="false">IF(F2&gt;=Assumptions!$B$50,E56*(1-Assumptions!$B$161)^F7+F30*Assumptions!$B$159*(1-Assumptions!$B$161)^(F7/2),0)</f>
        <v>0</v>
      </c>
      <c r="G56" s="54" t="n">
        <f aca="false">IF(G2&gt;=Assumptions!$B$50,F56*(1-Assumptions!$B$161)^G7+G30*Assumptions!$B$159*(1-Assumptions!$B$161)^(G7/2),0)</f>
        <v>0</v>
      </c>
      <c r="H56" s="54" t="n">
        <f aca="false">IF(H2&gt;=Assumptions!$B$50,G56*(1-Assumptions!$B$161)^H7+H30*Assumptions!$B$159*(1-Assumptions!$B$161)^(H7/2),0)</f>
        <v>0</v>
      </c>
      <c r="I56" s="54" t="n">
        <f aca="false">IF(I2&gt;=Assumptions!$B$50,H56*(1-Assumptions!$B$161)^I7+I30*Assumptions!$B$159*(1-Assumptions!$B$161)^(I7/2),0)</f>
        <v>5.11935744580203</v>
      </c>
      <c r="J56" s="54" t="n">
        <f aca="false">IF(J2&gt;=Assumptions!$B$50,I56*(1-Assumptions!$B$161)^J7+J30*Assumptions!$B$159*(1-Assumptions!$B$161)^(J7/2),0)</f>
        <v>9.87215193066684</v>
      </c>
      <c r="K56" s="54" t="n">
        <f aca="false">IF(K2&gt;=Assumptions!$B$50,J56*(1-Assumptions!$B$161)^K7+K30*Assumptions!$B$159*(1-Assumptions!$B$161)^(K7/2),0)</f>
        <v>14.7658324362463</v>
      </c>
      <c r="L56" s="54" t="n">
        <f aca="false">IF(L2&gt;=Assumptions!$B$50,K56*(1-Assumptions!$B$161)^L7+L30*Assumptions!$B$159*(1-Assumptions!$B$161)^(L7/2),0)</f>
        <v>21.2330391071345</v>
      </c>
      <c r="M56" s="54" t="n">
        <f aca="false">IF(M2&gt;=Assumptions!$B$50,L56*(1-Assumptions!$B$161)^M7+M30*Assumptions!$B$159*(1-Assumptions!$B$161)^(M7/2),0)</f>
        <v>26.634035188926</v>
      </c>
      <c r="N56" s="54" t="n">
        <f aca="false">IF(N2&gt;=Assumptions!$B$50,M56*(1-Assumptions!$B$161)^N7+N30*Assumptions!$B$159*(1-Assumptions!$B$161)^(N7/2),0)</f>
        <v>30.8055968765904</v>
      </c>
      <c r="O56" s="54" t="n">
        <f aca="false">IF(O2&gt;=Assumptions!$B$50,N56*(1-Assumptions!$B$161)^O7+O30*Assumptions!$B$159*(1-Assumptions!$B$161)^(O7/2),0)</f>
        <v>49.2450330575337</v>
      </c>
      <c r="P56" s="54" t="n">
        <f aca="false">IF(P2&gt;=Assumptions!$B$50,O56*(1-Assumptions!$B$161)^P7+P30*Assumptions!$B$159*(1-Assumptions!$B$161)^(P7/2),0)</f>
        <v>65.8297895438366</v>
      </c>
      <c r="Q56" s="54" t="n">
        <f aca="false">IF(Q2&gt;=Assumptions!$B$50,P56*(1-Assumptions!$B$161)^Q7+Q30*Assumptions!$B$159*(1-Assumptions!$B$161)^(Q7/2),0)</f>
        <v>80.8164088710829</v>
      </c>
      <c r="R56" s="54" t="n">
        <f aca="false">IF(R2&gt;=Assumptions!$B$50,Q56*(1-Assumptions!$B$161)^R7+R30*Assumptions!$B$159*(1-Assumptions!$B$161)^(R7/2),0)</f>
        <v>100.134569909906</v>
      </c>
      <c r="S56" s="54" t="n">
        <f aca="false">IF(S2&gt;=Assumptions!$B$50,R56*(1-Assumptions!$B$161)^S7+S30*Assumptions!$B$159*(1-Assumptions!$B$161)^(S7/2),0)</f>
        <v>116.246182947326</v>
      </c>
      <c r="T56" s="54" t="n">
        <f aca="false">IF(T2&gt;=Assumptions!$B$50,S56*(1-Assumptions!$B$161)^T7+T30*Assumptions!$B$159*(1-Assumptions!$B$161)^(T7/2),0)</f>
        <v>128.043198400313</v>
      </c>
      <c r="U56" s="54" t="n">
        <f aca="false">IF(U2&gt;=Assumptions!$B$50,T56*(1-Assumptions!$B$161)^U7+U30*Assumptions!$B$159*(1-Assumptions!$B$161)^(U7/2),0)</f>
        <v>138.612198089098</v>
      </c>
      <c r="V56" s="54" t="n">
        <f aca="false">IF(V2&gt;=Assumptions!$B$50,U56*(1-Assumptions!$B$161)^V7+V30*Assumptions!$B$159*(1-Assumptions!$B$161)^(V7/2),0)</f>
        <v>148.698247309631</v>
      </c>
      <c r="W56" s="54" t="n">
        <f aca="false">IF(W2&gt;=Assumptions!$B$50,V56*(1-Assumptions!$B$161)^W7+W30*Assumptions!$B$159*(1-Assumptions!$B$161)^(W7/2),0)</f>
        <v>160.227768156789</v>
      </c>
      <c r="X56" s="54" t="n">
        <f aca="false">IF(X2&gt;=Assumptions!$B$50,W56*(1-Assumptions!$B$161)^X7+X30*Assumptions!$B$159*(1-Assumptions!$B$161)^(X7/2),0)</f>
        <v>178.976131959872</v>
      </c>
      <c r="Y56" s="54" t="n">
        <f aca="false">IF(Y2&gt;=Assumptions!$B$50,X56*(1-Assumptions!$B$161)^Y7+Y30*Assumptions!$B$159*(1-Assumptions!$B$161)^(Y7/2),0)</f>
        <v>194.603822853274</v>
      </c>
      <c r="Z56" s="54" t="n">
        <f aca="false">IF(Z2&gt;=Assumptions!$B$50,Y56*(1-Assumptions!$B$161)^Z7+Z30*Assumptions!$B$159*(1-Assumptions!$B$161)^(Z7/2),0)</f>
        <v>206.133938483063</v>
      </c>
      <c r="AA56" s="54" t="n">
        <f aca="false">IF(AA2&gt;=Assumptions!$B$50,Z56*(1-Assumptions!$B$161)^AA7+AA30*Assumptions!$B$159*(1-Assumptions!$B$161)^(AA7/2),0)</f>
        <v>398.535895859977</v>
      </c>
      <c r="AB56" s="54" t="n">
        <f aca="false">IF(AB2&gt;=Assumptions!$B$50,AA56*(1-Assumptions!$B$161)^AB7+AB30*Assumptions!$B$159*(1-Assumptions!$B$161)^(AB7/2),0)</f>
        <v>656.852413731814</v>
      </c>
      <c r="AC56" s="54" t="n">
        <f aca="false">IF(AC2&gt;=Assumptions!$B$50,AB56*(1-Assumptions!$B$161)^AC7+AC30*Assumptions!$B$159*(1-Assumptions!$B$161)^(AC7/2),0)</f>
        <v>975.431731849261</v>
      </c>
      <c r="AD56" s="54" t="n">
        <f aca="false">IF(AD2&gt;=Assumptions!$B$50,AC56*(1-Assumptions!$B$161)^AD7+AD30*Assumptions!$B$159*(1-Assumptions!$B$161)^(AD7/2),0)</f>
        <v>1262.78871463161</v>
      </c>
      <c r="AE56" s="54" t="n">
        <f aca="false">IF(AE2&gt;=Assumptions!$B$50,AD56*(1-Assumptions!$B$161)^AE7+AE30*Assumptions!$B$159*(1-Assumptions!$B$161)^(AE7/2),0)</f>
        <v>1448.35094703283</v>
      </c>
    </row>
    <row r="57" customFormat="false" ht="15" hidden="false" customHeight="false" outlineLevel="0" collapsed="false">
      <c r="A57" s="6" t="s">
        <v>486</v>
      </c>
      <c r="B57" s="23" t="s">
        <v>114</v>
      </c>
      <c r="C57" s="55" t="n">
        <f aca="false">C56*Assumptions!$B$25/12*C7</f>
        <v>0</v>
      </c>
      <c r="D57" s="55" t="n">
        <f aca="false">D56*Assumptions!$B$25/12*D7</f>
        <v>0</v>
      </c>
      <c r="E57" s="55" t="n">
        <f aca="false">E56*Assumptions!$B$25/12*E7</f>
        <v>0</v>
      </c>
      <c r="F57" s="55" t="n">
        <f aca="false">F56*Assumptions!$B$25/12*F7</f>
        <v>0</v>
      </c>
      <c r="G57" s="55" t="n">
        <f aca="false">G56*Assumptions!$B$25/12*G7</f>
        <v>0</v>
      </c>
      <c r="H57" s="55" t="n">
        <f aca="false">H56*Assumptions!$B$25/12*H7</f>
        <v>0</v>
      </c>
      <c r="I57" s="55" t="n">
        <f aca="false">I56*Assumptions!$B$25/12*I7</f>
        <v>15.3580723374061</v>
      </c>
      <c r="J57" s="55" t="n">
        <f aca="false">J56*Assumptions!$B$25/12*J7</f>
        <v>29.6164557920005</v>
      </c>
      <c r="K57" s="55" t="n">
        <f aca="false">K56*Assumptions!$B$25/12*K7</f>
        <v>44.2974973087388</v>
      </c>
      <c r="L57" s="55" t="n">
        <f aca="false">L56*Assumptions!$B$25/12*L7</f>
        <v>63.6991173214036</v>
      </c>
      <c r="M57" s="55" t="n">
        <f aca="false">M56*Assumptions!$B$25/12*M7</f>
        <v>79.9021055667781</v>
      </c>
      <c r="N57" s="55" t="n">
        <f aca="false">N56*Assumptions!$B$25/12*N7</f>
        <v>92.4167906297711</v>
      </c>
      <c r="O57" s="55" t="n">
        <f aca="false">O56*Assumptions!$B$25/12*O7</f>
        <v>147.735099172601</v>
      </c>
      <c r="P57" s="55" t="n">
        <f aca="false">P56*Assumptions!$B$25/12*P7</f>
        <v>197.48936863151</v>
      </c>
      <c r="Q57" s="55" t="n">
        <f aca="false">Q56*Assumptions!$B$25/12*Q7</f>
        <v>242.449226613249</v>
      </c>
      <c r="R57" s="55" t="n">
        <f aca="false">R56*Assumptions!$B$25/12*R7</f>
        <v>300.403709729719</v>
      </c>
      <c r="S57" s="55" t="n">
        <f aca="false">S56*Assumptions!$B$25/12*S7</f>
        <v>348.738548841977</v>
      </c>
      <c r="T57" s="55" t="n">
        <f aca="false">T56*Assumptions!$B$25/12*T7</f>
        <v>384.12959520094</v>
      </c>
      <c r="U57" s="55" t="n">
        <f aca="false">U56*Assumptions!$B$25/12*U7</f>
        <v>415.836594267295</v>
      </c>
      <c r="V57" s="55" t="n">
        <f aca="false">V56*Assumptions!$B$25/12*V7</f>
        <v>446.094741928892</v>
      </c>
      <c r="W57" s="55" t="n">
        <f aca="false">W56*Assumptions!$B$25/12*W7</f>
        <v>480.683304470367</v>
      </c>
      <c r="X57" s="55" t="n">
        <f aca="false">X56*Assumptions!$B$25/12*X7</f>
        <v>536.928395879617</v>
      </c>
      <c r="Y57" s="55" t="n">
        <f aca="false">Y56*Assumptions!$B$25/12*Y7</f>
        <v>583.811468559822</v>
      </c>
      <c r="Z57" s="55" t="n">
        <f aca="false">Z56*Assumptions!$B$25/12*Z7</f>
        <v>618.401815449189</v>
      </c>
      <c r="AA57" s="55" t="n">
        <f aca="false">AA56*Assumptions!$B$25/12*AA7</f>
        <v>14347.2922509592</v>
      </c>
      <c r="AB57" s="55" t="n">
        <f aca="false">AB56*Assumptions!$B$25/12*AB7</f>
        <v>23646.6868943453</v>
      </c>
      <c r="AC57" s="55" t="n">
        <f aca="false">AC56*Assumptions!$B$25/12*AC7</f>
        <v>35115.5423465734</v>
      </c>
      <c r="AD57" s="55" t="n">
        <f aca="false">AD56*Assumptions!$B$25/12*AD7</f>
        <v>45460.3937267379</v>
      </c>
      <c r="AE57" s="55" t="n">
        <f aca="false">AE56*Assumptions!$B$25/12*AE7</f>
        <v>52140.6340931819</v>
      </c>
    </row>
    <row r="58" customFormat="false" ht="15" hidden="false" customHeight="false" outlineLevel="0" collapsed="false">
      <c r="A58" s="6" t="s">
        <v>487</v>
      </c>
      <c r="B58" s="23" t="s">
        <v>114</v>
      </c>
      <c r="C58" s="55" t="n">
        <f aca="false">IF(C2&gt;=Assumptions!$B$52,C50*C17*Assumptions!$B$17+C45*(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0</v>
      </c>
      <c r="D58" s="55" t="n">
        <f aca="false">IF(D2&gt;=Assumptions!$B$52,D50*D17*Assumptions!$B$17+D45*(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0</v>
      </c>
      <c r="E58" s="55" t="n">
        <f aca="false">IF(E2&gt;=Assumptions!$B$52,E50*E17*Assumptions!$B$17+E45*(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0</v>
      </c>
      <c r="F58" s="55" t="n">
        <f aca="false">IF(F2&gt;=Assumptions!$B$52,F50*F17*Assumptions!$B$17+F45*(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0</v>
      </c>
      <c r="G58" s="55" t="n">
        <f aca="false">IF(G2&gt;=Assumptions!$B$52,G50*G17*Assumptions!$B$17+G45*(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0</v>
      </c>
      <c r="H58" s="55" t="n">
        <f aca="false">IF(H2&gt;=Assumptions!$B$52,H50*H17*Assumptions!$B$17+H45*(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0</v>
      </c>
      <c r="I58" s="55" t="n">
        <f aca="false">IF(I2&gt;=Assumptions!$B$52,I50*I17*Assumptions!$B$17+I45*(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0</v>
      </c>
      <c r="J58" s="55" t="n">
        <f aca="false">IF(J2&gt;=Assumptions!$B$52,J50*J17*Assumptions!$B$17+J45*(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0</v>
      </c>
      <c r="K58" s="55" t="n">
        <f aca="false">IF(K2&gt;=Assumptions!$B$52,K50*K17*Assumptions!$B$17+K45*(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0</v>
      </c>
      <c r="L58" s="55" t="n">
        <f aca="false">IF(L2&gt;=Assumptions!$B$52,L50*L17*Assumptions!$B$17+L45*(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0</v>
      </c>
      <c r="M58" s="55" t="n">
        <f aca="false">IF(M2&gt;=Assumptions!$B$52,M50*M17*Assumptions!$B$17+M45*(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0</v>
      </c>
      <c r="N58" s="55" t="n">
        <f aca="false">IF(N2&gt;=Assumptions!$B$52,N50*N17*Assumptions!$B$17+N45*(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0</v>
      </c>
      <c r="O58" s="55" t="n">
        <f aca="false">IF(O2&gt;=Assumptions!$B$52,O50*O17*Assumptions!$B$17+O45*(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134.456263319219</v>
      </c>
      <c r="P58" s="55" t="n">
        <f aca="false">IF(P2&gt;=Assumptions!$B$52,P50*P17*Assumptions!$B$17+P45*(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157.399004248541</v>
      </c>
      <c r="Q58" s="55" t="n">
        <f aca="false">IF(Q2&gt;=Assumptions!$B$52,Q50*Q17*Assumptions!$B$17+Q45*(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179.77318937023</v>
      </c>
      <c r="R58" s="55" t="n">
        <f aca="false">IF(R2&gt;=Assumptions!$B$52,R50*R17*Assumptions!$B$17+R45*(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202.329184545801</v>
      </c>
      <c r="S58" s="55" t="n">
        <f aca="false">IF(S2&gt;=Assumptions!$B$52,S50*S17*Assumptions!$B$17+S45*(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227.232311462698</v>
      </c>
      <c r="T58" s="55" t="n">
        <f aca="false">IF(T2&gt;=Assumptions!$B$52,T50*T17*Assumptions!$B$17+T45*(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262.91381576185</v>
      </c>
      <c r="U58" s="55" t="n">
        <f aca="false">IF(U2&gt;=Assumptions!$B$52,U50*U17*Assumptions!$B$17+U45*(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294.144225209883</v>
      </c>
      <c r="V58" s="55" t="n">
        <f aca="false">IF(V2&gt;=Assumptions!$B$52,V50*V17*Assumptions!$B$17+V45*(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321.218346820266</v>
      </c>
      <c r="W58" s="55" t="n">
        <f aca="false">IF(W2&gt;=Assumptions!$B$52,W50*W17*Assumptions!$B$17+W45*(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409.913431250317</v>
      </c>
      <c r="X58" s="55" t="n">
        <f aca="false">IF(X2&gt;=Assumptions!$B$52,X50*X17*Assumptions!$B$17+X45*(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500.815700909352</v>
      </c>
      <c r="Y58" s="55" t="n">
        <f aca="false">IF(Y2&gt;=Assumptions!$B$52,Y50*Y17*Assumptions!$B$17+Y45*(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588.198438036803</v>
      </c>
      <c r="Z58" s="55" t="n">
        <f aca="false">IF(Z2&gt;=Assumptions!$B$52,Z50*Z17*Assumptions!$B$17+Z45*(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697.686606178187</v>
      </c>
      <c r="AA58" s="55" t="n">
        <f aca="false">IF(AA2&gt;=Assumptions!$B$52,AA50*AA17*Assumptions!$B$17+AA45*(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44396.624979606</v>
      </c>
      <c r="AB58" s="55" t="n">
        <f aca="false">IF(AB2&gt;=Assumptions!$B$52,AB50*AB17*Assumptions!$B$17+AB45*(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85718.374163733</v>
      </c>
      <c r="AC58" s="55" t="n">
        <f aca="false">IF(AC2&gt;=Assumptions!$B$52,AC50*AC17*Assumptions!$B$17+AC45*(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145575.520899189</v>
      </c>
      <c r="AD58" s="55" t="n">
        <f aca="false">IF(AD2&gt;=Assumptions!$B$52,AD50*AD17*Assumptions!$B$17+AD45*(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220294.866667654</v>
      </c>
      <c r="AE58" s="55" t="n">
        <f aca="false">IF(AE2&gt;=Assumptions!$B$52,AE50*AE17*Assumptions!$B$17+AE45*(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303557.353152004</v>
      </c>
    </row>
    <row r="59" customFormat="false" ht="15" hidden="false" customHeight="false" outlineLevel="0" collapsed="false">
      <c r="A59" s="6" t="s">
        <v>488</v>
      </c>
      <c r="B59" s="23" t="s">
        <v>114</v>
      </c>
      <c r="C59" s="55" t="n">
        <f aca="false">IF(C2&gt;=Assumptions!$B$53,C45*C46*(1-Assumptions!$B$176)*Assumptions!$B$156*Assumptions!$B$157,0)</f>
        <v>0</v>
      </c>
      <c r="D59" s="55" t="n">
        <f aca="false">IF(D2&gt;=Assumptions!$B$53,D45*D46*(1-Assumptions!$B$176)*Assumptions!$B$156*Assumptions!$B$157,0)</f>
        <v>0</v>
      </c>
      <c r="E59" s="55" t="n">
        <f aca="false">IF(E2&gt;=Assumptions!$B$53,E45*E46*(1-Assumptions!$B$176)*Assumptions!$B$156*Assumptions!$B$157,0)</f>
        <v>0</v>
      </c>
      <c r="F59" s="55" t="n">
        <f aca="false">IF(F2&gt;=Assumptions!$B$53,F45*F46*(1-Assumptions!$B$176)*Assumptions!$B$156*Assumptions!$B$157,0)</f>
        <v>0</v>
      </c>
      <c r="G59" s="55" t="n">
        <f aca="false">IF(G2&gt;=Assumptions!$B$53,G45*G46*(1-Assumptions!$B$176)*Assumptions!$B$156*Assumptions!$B$157,0)</f>
        <v>0</v>
      </c>
      <c r="H59" s="55" t="n">
        <f aca="false">IF(H2&gt;=Assumptions!$B$53,H45*H46*(1-Assumptions!$B$176)*Assumptions!$B$156*Assumptions!$B$157,0)</f>
        <v>0</v>
      </c>
      <c r="I59" s="55" t="n">
        <f aca="false">IF(I2&gt;=Assumptions!$B$53,I45*I46*(1-Assumptions!$B$176)*Assumptions!$B$156*Assumptions!$B$157,0)</f>
        <v>0</v>
      </c>
      <c r="J59" s="55" t="n">
        <f aca="false">IF(J2&gt;=Assumptions!$B$53,J45*J46*(1-Assumptions!$B$176)*Assumptions!$B$156*Assumptions!$B$157,0)</f>
        <v>0</v>
      </c>
      <c r="K59" s="55" t="n">
        <f aca="false">IF(K2&gt;=Assumptions!$B$53,K45*K46*(1-Assumptions!$B$176)*Assumptions!$B$156*Assumptions!$B$157,0)</f>
        <v>0</v>
      </c>
      <c r="L59" s="55" t="n">
        <f aca="false">IF(L2&gt;=Assumptions!$B$53,L45*L46*(1-Assumptions!$B$176)*Assumptions!$B$156*Assumptions!$B$157,0)</f>
        <v>0</v>
      </c>
      <c r="M59" s="55" t="n">
        <f aca="false">IF(M2&gt;=Assumptions!$B$53,M45*M46*(1-Assumptions!$B$176)*Assumptions!$B$156*Assumptions!$B$157,0)</f>
        <v>0</v>
      </c>
      <c r="N59" s="55" t="n">
        <f aca="false">IF(N2&gt;=Assumptions!$B$53,N45*N46*(1-Assumptions!$B$176)*Assumptions!$B$156*Assumptions!$B$157,0)</f>
        <v>0</v>
      </c>
      <c r="O59" s="55" t="n">
        <f aca="false">IF(O2&gt;=Assumptions!$B$53,O45*O46*(1-Assumptions!$B$176)*Assumptions!$B$156*Assumptions!$B$157,0)</f>
        <v>914.106265563888</v>
      </c>
      <c r="P59" s="55" t="n">
        <f aca="false">IF(P2&gt;=Assumptions!$B$53,P45*P46*(1-Assumptions!$B$176)*Assumptions!$B$156*Assumptions!$B$157,0)</f>
        <v>1034.50188812151</v>
      </c>
      <c r="Q59" s="55" t="n">
        <f aca="false">IF(Q2&gt;=Assumptions!$B$53,Q45*Q46*(1-Assumptions!$B$176)*Assumptions!$B$156*Assumptions!$B$157,0)</f>
        <v>1191.20151975408</v>
      </c>
      <c r="R59" s="55" t="n">
        <f aca="false">IF(R2&gt;=Assumptions!$B$53,R45*R46*(1-Assumptions!$B$176)*Assumptions!$B$156*Assumptions!$B$157,0)</f>
        <v>1329.81558772368</v>
      </c>
      <c r="S59" s="55" t="n">
        <f aca="false">IF(S2&gt;=Assumptions!$B$53,S45*S46*(1-Assumptions!$B$176)*Assumptions!$B$156*Assumptions!$B$157,0)</f>
        <v>1538.74872370933</v>
      </c>
      <c r="T59" s="55" t="n">
        <f aca="false">IF(T2&gt;=Assumptions!$B$53,T45*T46*(1-Assumptions!$B$176)*Assumptions!$B$156*Assumptions!$B$157,0)</f>
        <v>1872.07003435866</v>
      </c>
      <c r="U59" s="55" t="n">
        <f aca="false">IF(U2&gt;=Assumptions!$B$53,U45*U46*(1-Assumptions!$B$176)*Assumptions!$B$156*Assumptions!$B$157,0)</f>
        <v>2226.56360281619</v>
      </c>
      <c r="V59" s="55" t="n">
        <f aca="false">IF(V2&gt;=Assumptions!$B$53,V45*V46*(1-Assumptions!$B$176)*Assumptions!$B$156*Assumptions!$B$157,0)</f>
        <v>2582.67261946295</v>
      </c>
      <c r="W59" s="55" t="n">
        <f aca="false">IF(W2&gt;=Assumptions!$B$53,W45*W46*(1-Assumptions!$B$176)*Assumptions!$B$156*Assumptions!$B$157,0)</f>
        <v>3488.29172974594</v>
      </c>
      <c r="X59" s="55" t="n">
        <f aca="false">IF(X2&gt;=Assumptions!$B$53,X45*X46*(1-Assumptions!$B$176)*Assumptions!$B$156*Assumptions!$B$157,0)</f>
        <v>4314.31768456423</v>
      </c>
      <c r="Y59" s="55" t="n">
        <f aca="false">IF(Y2&gt;=Assumptions!$B$53,Y45*Y46*(1-Assumptions!$B$176)*Assumptions!$B$156*Assumptions!$B$157,0)</f>
        <v>5238.60618428537</v>
      </c>
      <c r="Z59" s="55" t="n">
        <f aca="false">IF(Z2&gt;=Assumptions!$B$53,Z45*Z46*(1-Assumptions!$B$176)*Assumptions!$B$156*Assumptions!$B$157,0)</f>
        <v>6540.22271264358</v>
      </c>
      <c r="AA59" s="55" t="n">
        <f aca="false">IF(AA2&gt;=Assumptions!$B$53,AA45*AA46*(1-Assumptions!$B$176)*Assumptions!$B$156*Assumptions!$B$157,0)</f>
        <v>61379.627621855</v>
      </c>
      <c r="AB59" s="55" t="n">
        <f aca="false">IF(AB2&gt;=Assumptions!$B$53,AB45*AB46*(1-Assumptions!$B$176)*Assumptions!$B$156*Assumptions!$B$157,0)</f>
        <v>151303.411239544</v>
      </c>
      <c r="AC59" s="55" t="n">
        <f aca="false">IF(AC2&gt;=Assumptions!$B$53,AC45*AC46*(1-Assumptions!$B$176)*Assumptions!$B$156*Assumptions!$B$157,0)</f>
        <v>301843.208565371</v>
      </c>
      <c r="AD59" s="55" t="n">
        <f aca="false">IF(AD2&gt;=Assumptions!$B$53,AD45*AD46*(1-Assumptions!$B$176)*Assumptions!$B$156*Assumptions!$B$157,0)</f>
        <v>533126.368452626</v>
      </c>
      <c r="AE59" s="55" t="n">
        <f aca="false">IF(AE2&gt;=Assumptions!$B$53,AE45*AE46*(1-Assumptions!$B$176)*Assumptions!$B$156*Assumptions!$B$157,0)</f>
        <v>862498.945966112</v>
      </c>
    </row>
    <row r="60" customFormat="false" ht="15" hidden="false" customHeight="false" outlineLevel="0" collapsed="false">
      <c r="A60" s="6" t="s">
        <v>489</v>
      </c>
      <c r="B60" s="23" t="s">
        <v>114</v>
      </c>
      <c r="C60" s="55" t="n">
        <f aca="false">IF(C2&gt;=Assumptions!$B$53,(C59*Assumptions!$B$29*Assumptions!$B$30+C45*C47*(1-Assumptions!$B$176)*Assumptions!$B$27*Assumptions!$B$28)*C7/12,0)</f>
        <v>0</v>
      </c>
      <c r="D60" s="55" t="n">
        <f aca="false">IF(D2&gt;=Assumptions!$B$53,(D59*Assumptions!$B$29*Assumptions!$B$30+D45*D47*(1-Assumptions!$B$176)*Assumptions!$B$27*Assumptions!$B$28)*D7/12,0)</f>
        <v>0</v>
      </c>
      <c r="E60" s="55" t="n">
        <f aca="false">IF(E2&gt;=Assumptions!$B$53,(E59*Assumptions!$B$29*Assumptions!$B$30+E45*E47*(1-Assumptions!$B$176)*Assumptions!$B$27*Assumptions!$B$28)*E7/12,0)</f>
        <v>0</v>
      </c>
      <c r="F60" s="55" t="n">
        <f aca="false">IF(F2&gt;=Assumptions!$B$53,(F59*Assumptions!$B$29*Assumptions!$B$30+F45*F47*(1-Assumptions!$B$176)*Assumptions!$B$27*Assumptions!$B$28)*F7/12,0)</f>
        <v>0</v>
      </c>
      <c r="G60" s="55" t="n">
        <f aca="false">IF(G2&gt;=Assumptions!$B$53,(G59*Assumptions!$B$29*Assumptions!$B$30+G45*G47*(1-Assumptions!$B$176)*Assumptions!$B$27*Assumptions!$B$28)*G7/12,0)</f>
        <v>0</v>
      </c>
      <c r="H60" s="55" t="n">
        <f aca="false">IF(H2&gt;=Assumptions!$B$53,(H59*Assumptions!$B$29*Assumptions!$B$30+H45*H47*(1-Assumptions!$B$176)*Assumptions!$B$27*Assumptions!$B$28)*H7/12,0)</f>
        <v>0</v>
      </c>
      <c r="I60" s="55" t="n">
        <f aca="false">IF(I2&gt;=Assumptions!$B$53,(I59*Assumptions!$B$29*Assumptions!$B$30+I45*I47*(1-Assumptions!$B$176)*Assumptions!$B$27*Assumptions!$B$28)*I7/12,0)</f>
        <v>0</v>
      </c>
      <c r="J60" s="55" t="n">
        <f aca="false">IF(J2&gt;=Assumptions!$B$53,(J59*Assumptions!$B$29*Assumptions!$B$30+J45*J47*(1-Assumptions!$B$176)*Assumptions!$B$27*Assumptions!$B$28)*J7/12,0)</f>
        <v>0</v>
      </c>
      <c r="K60" s="55" t="n">
        <f aca="false">IF(K2&gt;=Assumptions!$B$53,(K59*Assumptions!$B$29*Assumptions!$B$30+K45*K47*(1-Assumptions!$B$176)*Assumptions!$B$27*Assumptions!$B$28)*K7/12,0)</f>
        <v>0</v>
      </c>
      <c r="L60" s="55" t="n">
        <f aca="false">IF(L2&gt;=Assumptions!$B$53,(L59*Assumptions!$B$29*Assumptions!$B$30+L45*L47*(1-Assumptions!$B$176)*Assumptions!$B$27*Assumptions!$B$28)*L7/12,0)</f>
        <v>0</v>
      </c>
      <c r="M60" s="55" t="n">
        <f aca="false">IF(M2&gt;=Assumptions!$B$53,(M59*Assumptions!$B$29*Assumptions!$B$30+M45*M47*(1-Assumptions!$B$176)*Assumptions!$B$27*Assumptions!$B$28)*M7/12,0)</f>
        <v>0</v>
      </c>
      <c r="N60" s="55" t="n">
        <f aca="false">IF(N2&gt;=Assumptions!$B$53,(N59*Assumptions!$B$29*Assumptions!$B$30+N45*N47*(1-Assumptions!$B$176)*Assumptions!$B$27*Assumptions!$B$28)*N7/12,0)</f>
        <v>0</v>
      </c>
      <c r="O60" s="55" t="n">
        <f aca="false">IF(O2&gt;=Assumptions!$B$53,(O59*Assumptions!$B$29*Assumptions!$B$30+O45*O47*(1-Assumptions!$B$176)*Assumptions!$B$27*Assumptions!$B$28)*O7/12,0)</f>
        <v>2.17100238071424</v>
      </c>
      <c r="P60" s="55" t="n">
        <f aca="false">IF(P2&gt;=Assumptions!$B$53,(P59*Assumptions!$B$29*Assumptions!$B$30+P45*P47*(1-Assumptions!$B$176)*Assumptions!$B$27*Assumptions!$B$28)*P7/12,0)</f>
        <v>2.45694198428858</v>
      </c>
      <c r="Q60" s="55" t="n">
        <f aca="false">IF(Q2&gt;=Assumptions!$B$53,(Q59*Assumptions!$B$29*Assumptions!$B$30+Q45*Q47*(1-Assumptions!$B$176)*Assumptions!$B$27*Assumptions!$B$28)*Q7/12,0)</f>
        <v>2.82910360941595</v>
      </c>
      <c r="R60" s="55" t="n">
        <f aca="false">IF(R2&gt;=Assumptions!$B$53,(R59*Assumptions!$B$29*Assumptions!$B$30+R45*R47*(1-Assumptions!$B$176)*Assumptions!$B$27*Assumptions!$B$28)*R7/12,0)</f>
        <v>3.15831202084374</v>
      </c>
      <c r="S60" s="55" t="n">
        <f aca="false">IF(S2&gt;=Assumptions!$B$53,(S59*Assumptions!$B$29*Assumptions!$B$30+S45*S47*(1-Assumptions!$B$176)*Assumptions!$B$27*Assumptions!$B$28)*S7/12,0)</f>
        <v>3.65452821880965</v>
      </c>
      <c r="T60" s="55" t="n">
        <f aca="false">IF(T2&gt;=Assumptions!$B$53,(T59*Assumptions!$B$29*Assumptions!$B$30+T45*T47*(1-Assumptions!$B$176)*Assumptions!$B$27*Assumptions!$B$28)*T7/12,0)</f>
        <v>4.44616633160183</v>
      </c>
      <c r="U60" s="55" t="n">
        <f aca="false">IF(U2&gt;=Assumptions!$B$53,(U59*Assumptions!$B$29*Assumptions!$B$30+U45*U47*(1-Assumptions!$B$176)*Assumptions!$B$27*Assumptions!$B$28)*U7/12,0)</f>
        <v>5.28808855668845</v>
      </c>
      <c r="V60" s="55" t="n">
        <f aca="false">IF(V2&gt;=Assumptions!$B$53,(V59*Assumptions!$B$29*Assumptions!$B$30+V45*V47*(1-Assumptions!$B$176)*Assumptions!$B$27*Assumptions!$B$28)*V7/12,0)</f>
        <v>6.13384747122452</v>
      </c>
      <c r="W60" s="55" t="n">
        <f aca="false">IF(W2&gt;=Assumptions!$B$53,(W59*Assumptions!$B$29*Assumptions!$B$30+W45*W47*(1-Assumptions!$B$176)*Assumptions!$B$27*Assumptions!$B$28)*W7/12,0)</f>
        <v>8.28469285814661</v>
      </c>
      <c r="X60" s="55" t="n">
        <f aca="false">IF(X2&gt;=Assumptions!$B$53,(X59*Assumptions!$B$29*Assumptions!$B$30+X45*X47*(1-Assumptions!$B$176)*Assumptions!$B$27*Assumptions!$B$28)*X7/12,0)</f>
        <v>10.24650450084</v>
      </c>
      <c r="Y60" s="55" t="n">
        <f aca="false">IF(Y2&gt;=Assumptions!$B$53,(Y59*Assumptions!$B$29*Assumptions!$B$30+Y45*Y47*(1-Assumptions!$B$176)*Assumptions!$B$27*Assumptions!$B$28)*Y7/12,0)</f>
        <v>12.4416896876777</v>
      </c>
      <c r="Z60" s="55" t="n">
        <f aca="false">IF(Z2&gt;=Assumptions!$B$53,(Z59*Assumptions!$B$29*Assumptions!$B$30+Z45*Z47*(1-Assumptions!$B$176)*Assumptions!$B$27*Assumptions!$B$28)*Z7/12,0)</f>
        <v>15.5330289425285</v>
      </c>
      <c r="AA60" s="55" t="n">
        <f aca="false">IF(AA2&gt;=Assumptions!$B$53,(AA59*Assumptions!$B$29*Assumptions!$B$30+AA45*AA47*(1-Assumptions!$B$176)*Assumptions!$B$27*Assumptions!$B$28)*AA7/12,0)</f>
        <v>1749.31938722287</v>
      </c>
      <c r="AB60" s="55" t="n">
        <f aca="false">IF(AB2&gt;=Assumptions!$B$53,(AB59*Assumptions!$B$29*Assumptions!$B$30+AB45*AB47*(1-Assumptions!$B$176)*Assumptions!$B$27*Assumptions!$B$28)*AB7/12,0)</f>
        <v>4312.14722032701</v>
      </c>
      <c r="AC60" s="55" t="n">
        <f aca="false">IF(AC2&gt;=Assumptions!$B$53,(AC59*Assumptions!$B$29*Assumptions!$B$30+AC45*AC47*(1-Assumptions!$B$176)*Assumptions!$B$27*Assumptions!$B$28)*AC7/12,0)</f>
        <v>8602.53144411307</v>
      </c>
      <c r="AD60" s="55" t="n">
        <f aca="false">IF(AD2&gt;=Assumptions!$B$53,(AD59*Assumptions!$B$29*Assumptions!$B$30+AD45*AD47*(1-Assumptions!$B$176)*Assumptions!$B$27*Assumptions!$B$28)*AD7/12,0)</f>
        <v>15194.1015008999</v>
      </c>
      <c r="AE60" s="55" t="n">
        <f aca="false">IF(AE2&gt;=Assumptions!$B$53,(AE59*Assumptions!$B$29*Assumptions!$B$30+AE45*AE47*(1-Assumptions!$B$176)*Assumptions!$B$27*Assumptions!$B$28)*AE7/12,0)</f>
        <v>24581.2199600342</v>
      </c>
    </row>
    <row r="61" customFormat="false" ht="15" hidden="false" customHeight="false" outlineLevel="0" collapsed="false">
      <c r="A61" s="6" t="s">
        <v>490</v>
      </c>
      <c r="B61" s="23" t="s">
        <v>491</v>
      </c>
      <c r="C61" s="45" t="n">
        <f aca="false">IF(C2&gt;=Assumptions!$B$49,(C31+C33*Assumptions!$B$138)*Assumptions!$B$137*C7/12,0)</f>
        <v>0.401613576168964</v>
      </c>
      <c r="D61" s="45" t="n">
        <f aca="false">IF(D2&gt;=Assumptions!$B$49,(D31+D33*Assumptions!$B$138)*Assumptions!$B$137*D7/12,0)</f>
        <v>0.794390016987486</v>
      </c>
      <c r="E61" s="45" t="n">
        <f aca="false">IF(E2&gt;=Assumptions!$B$49,(E31+E33*Assumptions!$B$138)*Assumptions!$B$137*E7/12,0)</f>
        <v>1.18122325291858</v>
      </c>
      <c r="F61" s="45" t="n">
        <f aca="false">IF(F2&gt;=Assumptions!$B$49,(F31+F33*Assumptions!$B$138)*Assumptions!$B$137*F7/12,0)</f>
        <v>1.66838542586308</v>
      </c>
      <c r="G61" s="45" t="n">
        <f aca="false">IF(G2&gt;=Assumptions!$B$49,(G31+G33*Assumptions!$B$138)*Assumptions!$B$137*G7/12,0)</f>
        <v>2.12292519324786</v>
      </c>
      <c r="H61" s="45" t="n">
        <f aca="false">IF(H2&gt;=Assumptions!$B$49,(H31+H33*Assumptions!$B$138)*Assumptions!$B$137*H7/12,0)</f>
        <v>2.52331281861449</v>
      </c>
      <c r="I61" s="45" t="n">
        <f aca="false">IF(I2&gt;=Assumptions!$B$49,(I31+I33*Assumptions!$B$138)*Assumptions!$B$137*I7/12,0)</f>
        <v>2.9189219149848</v>
      </c>
      <c r="J61" s="45" t="n">
        <f aca="false">IF(J2&gt;=Assumptions!$B$49,(J31+J33*Assumptions!$B$138)*Assumptions!$B$137*J7/12,0)</f>
        <v>3.32096216669608</v>
      </c>
      <c r="K61" s="45" t="n">
        <f aca="false">IF(K2&gt;=Assumptions!$B$49,(K31+K33*Assumptions!$B$138)*Assumptions!$B$137*K7/12,0)</f>
        <v>3.76078638137623</v>
      </c>
      <c r="L61" s="45" t="n">
        <f aca="false">IF(L2&gt;=Assumptions!$B$49,(L31+L33*Assumptions!$B$138)*Assumptions!$B$137*L7/12,0)</f>
        <v>4.33390995800435</v>
      </c>
      <c r="M61" s="45" t="n">
        <f aca="false">IF(M2&gt;=Assumptions!$B$49,(M31+M33*Assumptions!$B$138)*Assumptions!$B$137*M7/12,0)</f>
        <v>4.87719923660051</v>
      </c>
      <c r="N61" s="45" t="n">
        <f aca="false">IF(N2&gt;=Assumptions!$B$49,(N31+N33*Assumptions!$B$138)*Assumptions!$B$137*N7/12,0)</f>
        <v>5.37331521052828</v>
      </c>
      <c r="O61" s="45" t="n">
        <f aca="false">IF(O2&gt;=Assumptions!$B$49,(O31+O33*Assumptions!$B$138)*Assumptions!$B$137*O7/12,0)</f>
        <v>6.83435469136184</v>
      </c>
      <c r="P61" s="45" t="n">
        <f aca="false">IF(P2&gt;=Assumptions!$B$49,(P31+P33*Assumptions!$B$138)*Assumptions!$B$137*P7/12,0)</f>
        <v>8.29269079204567</v>
      </c>
      <c r="Q61" s="45" t="n">
        <f aca="false">IF(Q2&gt;=Assumptions!$B$49,(Q31+Q33*Assumptions!$B$138)*Assumptions!$B$137*Q7/12,0)</f>
        <v>9.75391691254535</v>
      </c>
      <c r="R61" s="45" t="n">
        <f aca="false">IF(R2&gt;=Assumptions!$B$49,(R31+R33*Assumptions!$B$138)*Assumptions!$B$137*R7/12,0)</f>
        <v>11.5985123891966</v>
      </c>
      <c r="S61" s="45" t="n">
        <f aca="false">IF(S2&gt;=Assumptions!$B$49,(S31+S33*Assumptions!$B$138)*Assumptions!$B$137*S7/12,0)</f>
        <v>13.3592863826785</v>
      </c>
      <c r="T61" s="45" t="n">
        <f aca="false">IF(T2&gt;=Assumptions!$B$49,(T31+T33*Assumptions!$B$138)*Assumptions!$B$137*T7/12,0)</f>
        <v>14.9431456271074</v>
      </c>
      <c r="U61" s="45" t="n">
        <f aca="false">IF(U2&gt;=Assumptions!$B$49,(U31+U33*Assumptions!$B$138)*Assumptions!$B$137*U7/12,0)</f>
        <v>16.5256298952778</v>
      </c>
      <c r="V61" s="45" t="n">
        <f aca="false">IF(V2&gt;=Assumptions!$B$49,(V31+V33*Assumptions!$B$138)*Assumptions!$B$137*V7/12,0)</f>
        <v>18.1481267849713</v>
      </c>
      <c r="W61" s="45" t="n">
        <f aca="false">IF(W2&gt;=Assumptions!$B$49,(W31+W33*Assumptions!$B$138)*Assumptions!$B$137*W7/12,0)</f>
        <v>19.9345576540384</v>
      </c>
      <c r="X61" s="45" t="n">
        <f aca="false">IF(X2&gt;=Assumptions!$B$49,(X31+X33*Assumptions!$B$138)*Assumptions!$B$137*X7/12,0)</f>
        <v>22.2746656554708</v>
      </c>
      <c r="Y61" s="45" t="n">
        <f aca="false">IF(Y2&gt;=Assumptions!$B$49,(Y31+Y33*Assumptions!$B$138)*Assumptions!$B$137*Y7/12,0)</f>
        <v>24.5354668932875</v>
      </c>
      <c r="Z61" s="45" t="n">
        <f aca="false">IF(Z2&gt;=Assumptions!$B$49,(Z31+Z33*Assumptions!$B$138)*Assumptions!$B$137*Z7/12,0)</f>
        <v>26.6329096528578</v>
      </c>
      <c r="AA61" s="45" t="n">
        <f aca="false">IF(AA2&gt;=Assumptions!$B$49,(AA31+AA33*Assumptions!$B$138)*Assumptions!$B$137*AA7/12,0)</f>
        <v>792.859826757027</v>
      </c>
      <c r="AB61" s="45" t="n">
        <f aca="false">IF(AB2&gt;=Assumptions!$B$49,(AB31+AB33*Assumptions!$B$138)*Assumptions!$B$137*AB7/12,0)</f>
        <v>1558.10998469606</v>
      </c>
      <c r="AC61" s="45" t="n">
        <f aca="false">IF(AC2&gt;=Assumptions!$B$49,(AC31+AC33*Assumptions!$B$138)*Assumptions!$B$137*AC7/12,0)</f>
        <v>2679.01833665828</v>
      </c>
      <c r="AD61" s="45" t="n">
        <f aca="false">IF(AD2&gt;=Assumptions!$B$49,(AD31+AD33*Assumptions!$B$138)*Assumptions!$B$137*AD7/12,0)</f>
        <v>4098.16308007244</v>
      </c>
      <c r="AE61" s="45" t="n">
        <f aca="false">IF(AE2&gt;=Assumptions!$B$49,(AE31+AE33*Assumptions!$B$138)*Assumptions!$B$137*AE7/12,0)</f>
        <v>5692.52373253036</v>
      </c>
    </row>
    <row r="62" customFormat="false" ht="15" hidden="false" customHeight="false" outlineLevel="0" collapsed="false">
      <c r="A62" s="3" t="s">
        <v>492</v>
      </c>
      <c r="B62" s="23" t="s">
        <v>114</v>
      </c>
      <c r="C62" s="57" t="n">
        <f aca="false">C53+C54+C55+C57+C58+C60</f>
        <v>142.176553475343</v>
      </c>
      <c r="D62" s="57" t="n">
        <f aca="false">D53+D54+D55+D57+D58+D60</f>
        <v>270.330018025632</v>
      </c>
      <c r="E62" s="57" t="n">
        <f aca="false">E53+E54+E55+E57+E58+E60</f>
        <v>386.559436975146</v>
      </c>
      <c r="F62" s="57" t="n">
        <f aca="false">F53+F54+F55+F57+F58+F60</f>
        <v>529.400272668206</v>
      </c>
      <c r="G62" s="57" t="n">
        <f aca="false">G53+G54+G55+G57+G58+G60</f>
        <v>649.746814833778</v>
      </c>
      <c r="H62" s="57" t="n">
        <f aca="false">H53+H54+H55+H57+H58+H60</f>
        <v>741.700930226981</v>
      </c>
      <c r="I62" s="57" t="n">
        <f aca="false">I53+I54+I55+I57+I58+I60</f>
        <v>840.275246591463</v>
      </c>
      <c r="J62" s="57" t="n">
        <f aca="false">J53+J54+J55+J57+J58+J60</f>
        <v>933.649940935362</v>
      </c>
      <c r="K62" s="57" t="n">
        <f aca="false">K53+K54+K55+K57+K58+K60</f>
        <v>1034.76083894982</v>
      </c>
      <c r="L62" s="57" t="n">
        <f aca="false">L53+L54+L55+L57+L58+L60</f>
        <v>1181.15916582263</v>
      </c>
      <c r="M62" s="57" t="n">
        <f aca="false">M53+M54+M55+M57+M58+M60</f>
        <v>1304.0656896234</v>
      </c>
      <c r="N62" s="57" t="n">
        <f aca="false">N53+N54+N55+N57+N58+N60</f>
        <v>1398.40751348757</v>
      </c>
      <c r="O62" s="57" t="n">
        <f aca="false">O53+O54+O55+O57+O58+O60</f>
        <v>2009.61737728826</v>
      </c>
      <c r="P62" s="57" t="n">
        <f aca="false">P53+P54+P55+P57+P58+P60</f>
        <v>2466.89152341655</v>
      </c>
      <c r="Q62" s="57" t="n">
        <f aca="false">Q53+Q54+Q55+Q57+Q58+Q60</f>
        <v>2890.68761360796</v>
      </c>
      <c r="R62" s="57" t="n">
        <f aca="false">R53+R54+R55+R57+R58+R60</f>
        <v>3436.07639706503</v>
      </c>
      <c r="S62" s="57" t="n">
        <f aca="false">S53+S54+S55+S57+S58+S60</f>
        <v>3909.31975022706</v>
      </c>
      <c r="T62" s="57" t="n">
        <f aca="false">T53+T54+T55+T57+T58+T60</f>
        <v>4287.49626444391</v>
      </c>
      <c r="U62" s="57" t="n">
        <f aca="false">U53+U54+U55+U57+U58+U60</f>
        <v>4633.54430857778</v>
      </c>
      <c r="V62" s="57" t="n">
        <f aca="false">V53+V54+V55+V57+V58+V60</f>
        <v>4966.94228541349</v>
      </c>
      <c r="W62" s="57" t="n">
        <f aca="false">W53+W54+W55+W57+W58+W60</f>
        <v>5406.27847709524</v>
      </c>
      <c r="X62" s="57" t="n">
        <f aca="false">X53+X54+X55+X57+X58+X60</f>
        <v>6040.90392684916</v>
      </c>
      <c r="Y62" s="57" t="n">
        <f aca="false">Y53+Y54+Y55+Y57+Y58+Y60</f>
        <v>6598.14248856221</v>
      </c>
      <c r="Z62" s="57" t="n">
        <f aca="false">Z53+Z54+Z55+Z57+Z58+Z60</f>
        <v>7077.98903222197</v>
      </c>
      <c r="AA62" s="57" t="n">
        <f aca="false">AA53+AA54+AA55+AA57+AA58+AA60</f>
        <v>199857.560518129</v>
      </c>
      <c r="AB62" s="57" t="n">
        <f aca="false">AB53+AB54+AB55+AB57+AB58+AB60</f>
        <v>350362.18983711</v>
      </c>
      <c r="AC62" s="57" t="n">
        <f aca="false">AC53+AC54+AC55+AC57+AC58+AC60</f>
        <v>549678.69099595</v>
      </c>
      <c r="AD62" s="57" t="n">
        <f aca="false">AD53+AD54+AD55+AD57+AD58+AD60</f>
        <v>762850.51564628</v>
      </c>
      <c r="AE62" s="57" t="n">
        <f aca="false">AE53+AE54+AE55+AE57+AE58+AE60</f>
        <v>955487.690361437</v>
      </c>
    </row>
    <row r="64" customFormat="false" ht="15" hidden="false" customHeight="false" outlineLevel="0" collapsed="false">
      <c r="A64" s="46" t="s">
        <v>493</v>
      </c>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c r="AD64" s="47"/>
      <c r="AE64" s="47"/>
    </row>
    <row r="65" customFormat="false" ht="15" hidden="false" customHeight="false" outlineLevel="0" collapsed="false">
      <c r="A65" s="6" t="s">
        <v>451</v>
      </c>
      <c r="B65" s="23" t="s">
        <v>190</v>
      </c>
      <c r="C65" s="53" t="n">
        <f aca="false">INDEX(Assumptions!$B$100:$B$106,C5)*Assumptions!$B$128/12*C7/Assumptions!$B$125*(1+Assumptions!$B$132)*IF(C2&gt;=Assumptions!$B$56,1,0)</f>
        <v>0</v>
      </c>
      <c r="D65" s="53" t="n">
        <f aca="false">INDEX(Assumptions!$B$100:$B$106,D5)*Assumptions!$B$128/12*D7/Assumptions!$B$125*(1+Assumptions!$B$132)*IF(D2&gt;=Assumptions!$B$56,1,0)</f>
        <v>0</v>
      </c>
      <c r="E65" s="53" t="n">
        <f aca="false">INDEX(Assumptions!$B$100:$B$106,E5)*Assumptions!$B$128/12*E7/Assumptions!$B$125*(1+Assumptions!$B$132)*IF(E2&gt;=Assumptions!$B$56,1,0)</f>
        <v>0</v>
      </c>
      <c r="F65" s="53" t="n">
        <f aca="false">INDEX(Assumptions!$B$100:$B$106,F5)*Assumptions!$B$128/12*F7/Assumptions!$B$125*(1+Assumptions!$B$132)*IF(F2&gt;=Assumptions!$B$56,1,0)</f>
        <v>0</v>
      </c>
      <c r="G65" s="53" t="n">
        <f aca="false">INDEX(Assumptions!$B$100:$B$106,G5)*Assumptions!$B$128/12*G7/Assumptions!$B$125*(1+Assumptions!$B$132)*IF(G2&gt;=Assumptions!$B$56,1,0)</f>
        <v>0</v>
      </c>
      <c r="H65" s="53" t="n">
        <f aca="false">INDEX(Assumptions!$B$100:$B$106,H5)*Assumptions!$B$128/12*H7/Assumptions!$B$125*(1+Assumptions!$B$132)*IF(H2&gt;=Assumptions!$B$56,1,0)</f>
        <v>0</v>
      </c>
      <c r="I65" s="53" t="n">
        <f aca="false">INDEX(Assumptions!$B$100:$B$106,I5)*Assumptions!$B$128/12*I7/Assumptions!$B$125*(1+Assumptions!$B$132)*IF(I2&gt;=Assumptions!$B$56,1,0)</f>
        <v>0</v>
      </c>
      <c r="J65" s="53" t="n">
        <f aca="false">INDEX(Assumptions!$B$100:$B$106,J5)*Assumptions!$B$128/12*J7/Assumptions!$B$125*(1+Assumptions!$B$132)*IF(J2&gt;=Assumptions!$B$56,1,0)</f>
        <v>0</v>
      </c>
      <c r="K65" s="53" t="n">
        <f aca="false">INDEX(Assumptions!$B$100:$B$106,K5)*Assumptions!$B$128/12*K7/Assumptions!$B$125*(1+Assumptions!$B$132)*IF(K2&gt;=Assumptions!$B$56,1,0)</f>
        <v>0</v>
      </c>
      <c r="L65" s="53" t="n">
        <f aca="false">INDEX(Assumptions!$B$100:$B$106,L5)*Assumptions!$B$128/12*L7/Assumptions!$B$125*(1+Assumptions!$B$132)*IF(L2&gt;=Assumptions!$B$56,1,0)</f>
        <v>0</v>
      </c>
      <c r="M65" s="53" t="n">
        <f aca="false">INDEX(Assumptions!$B$100:$B$106,M5)*Assumptions!$B$128/12*M7/Assumptions!$B$125*(1+Assumptions!$B$132)*IF(M2&gt;=Assumptions!$B$56,1,0)</f>
        <v>0</v>
      </c>
      <c r="N65" s="53" t="n">
        <f aca="false">INDEX(Assumptions!$B$100:$B$106,N5)*Assumptions!$B$128/12*N7/Assumptions!$B$125*(1+Assumptions!$B$132)*IF(N2&gt;=Assumptions!$B$56,1,0)</f>
        <v>0</v>
      </c>
      <c r="O65" s="53" t="n">
        <f aca="false">INDEX(Assumptions!$B$100:$B$106,O5)*Assumptions!$B$128/12*O7/Assumptions!$B$125*(1+Assumptions!$B$132)*IF(O2&gt;=Assumptions!$B$56,1,0)</f>
        <v>60</v>
      </c>
      <c r="P65" s="53" t="n">
        <f aca="false">INDEX(Assumptions!$B$100:$B$106,P5)*Assumptions!$B$128/12*P7/Assumptions!$B$125*(1+Assumptions!$B$132)*IF(P2&gt;=Assumptions!$B$56,1,0)</f>
        <v>60</v>
      </c>
      <c r="Q65" s="53" t="n">
        <f aca="false">INDEX(Assumptions!$B$100:$B$106,Q5)*Assumptions!$B$128/12*Q7/Assumptions!$B$125*(1+Assumptions!$B$132)*IF(Q2&gt;=Assumptions!$B$56,1,0)</f>
        <v>60</v>
      </c>
      <c r="R65" s="53" t="n">
        <f aca="false">INDEX(Assumptions!$B$100:$B$106,R5)*Assumptions!$B$128/12*R7/Assumptions!$B$125*(1+Assumptions!$B$132)*IF(R2&gt;=Assumptions!$B$56,1,0)</f>
        <v>60</v>
      </c>
      <c r="S65" s="53" t="n">
        <f aca="false">INDEX(Assumptions!$B$100:$B$106,S5)*Assumptions!$B$128/12*S7/Assumptions!$B$125*(1+Assumptions!$B$132)*IF(S2&gt;=Assumptions!$B$56,1,0)</f>
        <v>60</v>
      </c>
      <c r="T65" s="53" t="n">
        <f aca="false">INDEX(Assumptions!$B$100:$B$106,T5)*Assumptions!$B$128/12*T7/Assumptions!$B$125*(1+Assumptions!$B$132)*IF(T2&gt;=Assumptions!$B$56,1,0)</f>
        <v>60</v>
      </c>
      <c r="U65" s="53" t="n">
        <f aca="false">INDEX(Assumptions!$B$100:$B$106,U5)*Assumptions!$B$128/12*U7/Assumptions!$B$125*(1+Assumptions!$B$132)*IF(U2&gt;=Assumptions!$B$56,1,0)</f>
        <v>60</v>
      </c>
      <c r="V65" s="53" t="n">
        <f aca="false">INDEX(Assumptions!$B$100:$B$106,V5)*Assumptions!$B$128/12*V7/Assumptions!$B$125*(1+Assumptions!$B$132)*IF(V2&gt;=Assumptions!$B$56,1,0)</f>
        <v>60</v>
      </c>
      <c r="W65" s="53" t="n">
        <f aca="false">INDEX(Assumptions!$B$100:$B$106,W5)*Assumptions!$B$128/12*W7/Assumptions!$B$125*(1+Assumptions!$B$132)*IF(W2&gt;=Assumptions!$B$56,1,0)</f>
        <v>60</v>
      </c>
      <c r="X65" s="53" t="n">
        <f aca="false">INDEX(Assumptions!$B$100:$B$106,X5)*Assumptions!$B$128/12*X7/Assumptions!$B$125*(1+Assumptions!$B$132)*IF(X2&gt;=Assumptions!$B$56,1,0)</f>
        <v>60</v>
      </c>
      <c r="Y65" s="53" t="n">
        <f aca="false">INDEX(Assumptions!$B$100:$B$106,Y5)*Assumptions!$B$128/12*Y7/Assumptions!$B$125*(1+Assumptions!$B$132)*IF(Y2&gt;=Assumptions!$B$56,1,0)</f>
        <v>60</v>
      </c>
      <c r="Z65" s="53" t="n">
        <f aca="false">INDEX(Assumptions!$B$100:$B$106,Z5)*Assumptions!$B$128/12*Z7/Assumptions!$B$125*(1+Assumptions!$B$132)*IF(Z2&gt;=Assumptions!$B$56,1,0)</f>
        <v>60</v>
      </c>
      <c r="AA65" s="53" t="n">
        <f aca="false">INDEX(Assumptions!$B$100:$B$106,AA5)*Assumptions!$B$128/12*AA7/Assumptions!$B$125*(1+Assumptions!$B$132)*IF(AA2&gt;=Assumptions!$B$56,1,0)</f>
        <v>1000</v>
      </c>
      <c r="AB65" s="53" t="n">
        <f aca="false">INDEX(Assumptions!$B$100:$B$106,AB5)*Assumptions!$B$128/12*AB7/Assumptions!$B$125*(1+Assumptions!$B$132)*IF(AB2&gt;=Assumptions!$B$56,1,0)</f>
        <v>1600</v>
      </c>
      <c r="AC65" s="53" t="n">
        <f aca="false">INDEX(Assumptions!$B$100:$B$106,AC5)*Assumptions!$B$128/12*AC7/Assumptions!$B$125*(1+Assumptions!$B$132)*IF(AC2&gt;=Assumptions!$B$56,1,0)</f>
        <v>2400</v>
      </c>
      <c r="AD65" s="53" t="n">
        <f aca="false">INDEX(Assumptions!$B$100:$B$106,AD5)*Assumptions!$B$128/12*AD7/Assumptions!$B$125*(1+Assumptions!$B$132)*IF(AD2&gt;=Assumptions!$B$56,1,0)</f>
        <v>3400</v>
      </c>
      <c r="AE65" s="53" t="n">
        <f aca="false">INDEX(Assumptions!$B$100:$B$106,AE5)*Assumptions!$B$128/12*AE7/Assumptions!$B$125*(1+Assumptions!$B$132)*IF(AE2&gt;=Assumptions!$B$56,1,0)</f>
        <v>4400</v>
      </c>
    </row>
    <row r="66" customFormat="false" ht="15" hidden="false" customHeight="false" outlineLevel="0" collapsed="false">
      <c r="A66" s="6" t="s">
        <v>452</v>
      </c>
      <c r="B66" s="23" t="s">
        <v>190</v>
      </c>
      <c r="C66" s="54" t="n">
        <v>0</v>
      </c>
      <c r="D66" s="54" t="n">
        <f aca="false">IF(D2&gt;=Assumptions!$B$55,C70*Assumptions!$B$130/12*Assumptions!$B$131*D7,0)</f>
        <v>0</v>
      </c>
      <c r="E66" s="54" t="n">
        <f aca="false">IF(E2&gt;=Assumptions!$B$55,D70*Assumptions!$B$130/12*Assumptions!$B$131*E7,0)</f>
        <v>0</v>
      </c>
      <c r="F66" s="54" t="n">
        <f aca="false">IF(F2&gt;=Assumptions!$B$55,E70*Assumptions!$B$130/12*Assumptions!$B$131*F7,0)</f>
        <v>0</v>
      </c>
      <c r="G66" s="54" t="n">
        <f aca="false">IF(G2&gt;=Assumptions!$B$55,F70*Assumptions!$B$130/12*Assumptions!$B$131*G7,0)</f>
        <v>0</v>
      </c>
      <c r="H66" s="54" t="n">
        <f aca="false">IF(H2&gt;=Assumptions!$B$55,G70*Assumptions!$B$130/12*Assumptions!$B$131*H7,0)</f>
        <v>0</v>
      </c>
      <c r="I66" s="54" t="n">
        <f aca="false">IF(I2&gt;=Assumptions!$B$55,H70*Assumptions!$B$130/12*Assumptions!$B$131*I7,0)</f>
        <v>0</v>
      </c>
      <c r="J66" s="54" t="n">
        <f aca="false">IF(J2&gt;=Assumptions!$B$55,I70*Assumptions!$B$130/12*Assumptions!$B$131*J7,0)</f>
        <v>0</v>
      </c>
      <c r="K66" s="54" t="n">
        <f aca="false">IF(K2&gt;=Assumptions!$B$55,J70*Assumptions!$B$130/12*Assumptions!$B$131*K7,0)</f>
        <v>0</v>
      </c>
      <c r="L66" s="54" t="n">
        <f aca="false">IF(L2&gt;=Assumptions!$B$55,K70*Assumptions!$B$130/12*Assumptions!$B$131*L7,0)</f>
        <v>0</v>
      </c>
      <c r="M66" s="54" t="n">
        <f aca="false">IF(M2&gt;=Assumptions!$B$55,L70*Assumptions!$B$130/12*Assumptions!$B$131*M7,0)</f>
        <v>0</v>
      </c>
      <c r="N66" s="54" t="n">
        <f aca="false">IF(N2&gt;=Assumptions!$B$55,M70*Assumptions!$B$130/12*Assumptions!$B$131*N7,0)</f>
        <v>0</v>
      </c>
      <c r="O66" s="54" t="n">
        <f aca="false">IF(O2&gt;=Assumptions!$B$55,N70*Assumptions!$B$130/12*Assumptions!$B$131*O7,0)</f>
        <v>0</v>
      </c>
      <c r="P66" s="54" t="n">
        <f aca="false">IF(P2&gt;=Assumptions!$B$55,O70*Assumptions!$B$130/12*Assumptions!$B$131*P7,0)</f>
        <v>2.19061308351921</v>
      </c>
      <c r="Q66" s="54" t="n">
        <f aca="false">IF(Q2&gt;=Assumptions!$B$55,P70*Assumptions!$B$130/12*Assumptions!$B$131*Q7,0)</f>
        <v>4.22558614739354</v>
      </c>
      <c r="R66" s="54" t="n">
        <f aca="false">IF(R2&gt;=Assumptions!$B$55,Q70*Assumptions!$B$130/12*Assumptions!$B$131*R7,0)</f>
        <v>6.12477128190748</v>
      </c>
      <c r="S66" s="54" t="n">
        <f aca="false">IF(S2&gt;=Assumptions!$B$55,R70*Assumptions!$B$130/12*Assumptions!$B$131*S7,0)</f>
        <v>8.5183339883982</v>
      </c>
      <c r="T66" s="54" t="n">
        <f aca="false">IF(T2&gt;=Assumptions!$B$55,S70*Assumptions!$B$130/12*Assumptions!$B$131*T7,0)</f>
        <v>10.6067323965539</v>
      </c>
      <c r="U66" s="54" t="n">
        <f aca="false">IF(U2&gt;=Assumptions!$B$55,T70*Assumptions!$B$130/12*Assumptions!$B$131*U7,0)</f>
        <v>12.2587188330178</v>
      </c>
      <c r="V66" s="54" t="n">
        <f aca="false">IF(V2&gt;=Assumptions!$B$55,U70*Assumptions!$B$130/12*Assumptions!$B$131*V7,0)</f>
        <v>13.7942335879474</v>
      </c>
      <c r="W66" s="54" t="n">
        <f aca="false">IF(W2&gt;=Assumptions!$B$55,V70*Assumptions!$B$130/12*Assumptions!$B$131*W7,0)</f>
        <v>15.2897822385801</v>
      </c>
      <c r="X66" s="54" t="n">
        <f aca="false">IF(X2&gt;=Assumptions!$B$55,W70*Assumptions!$B$130/12*Assumptions!$B$131*X7,0)</f>
        <v>16.9530695175768</v>
      </c>
      <c r="Y66" s="54" t="n">
        <f aca="false">IF(Y2&gt;=Assumptions!$B$55,X70*Assumptions!$B$130/12*Assumptions!$B$131*Y7,0)</f>
        <v>19.4179230918315</v>
      </c>
      <c r="Z66" s="54" t="n">
        <f aca="false">IF(Z2&gt;=Assumptions!$B$55,Y70*Assumptions!$B$130/12*Assumptions!$B$131*Z7,0)</f>
        <v>21.5743998559042</v>
      </c>
      <c r="AA66" s="54" t="n">
        <f aca="false">IF(AA2&gt;=Assumptions!$B$55,Z70*Assumptions!$B$130/12*Assumptions!$B$131*AA7,0)</f>
        <v>279.659514162347</v>
      </c>
      <c r="AB66" s="54" t="n">
        <f aca="false">IF(AB2&gt;=Assumptions!$B$55,AA70*Assumptions!$B$130/12*Assumptions!$B$131*AB7,0)</f>
        <v>613.151367831539</v>
      </c>
      <c r="AC66" s="54" t="n">
        <f aca="false">IF(AC2&gt;=Assumptions!$B$55,AB70*Assumptions!$B$130/12*Assumptions!$B$131*AC7,0)</f>
        <v>1068.51945787118</v>
      </c>
      <c r="AD66" s="54" t="n">
        <f aca="false">IF(AD2&gt;=Assumptions!$B$55,AC70*Assumptions!$B$130/12*Assumptions!$B$131*AD7,0)</f>
        <v>1632.38842533771</v>
      </c>
      <c r="AE66" s="54" t="n">
        <f aca="false">IF(AE2&gt;=Assumptions!$B$55,AD70*Assumptions!$B$130/12*Assumptions!$B$131*AE7,0)</f>
        <v>2171.72864887927</v>
      </c>
    </row>
    <row r="67" customFormat="false" ht="15" hidden="false" customHeight="false" outlineLevel="0" collapsed="false">
      <c r="A67" s="6" t="s">
        <v>453</v>
      </c>
      <c r="B67" s="23" t="s">
        <v>190</v>
      </c>
      <c r="C67" s="54" t="n">
        <f aca="false">C65+C66+IF(C23=0,0,C20*Assumptions!$B$115/C23*IF(C2&gt;=Assumptions!$B$56,1,0))</f>
        <v>0</v>
      </c>
      <c r="D67" s="54" t="n">
        <f aca="false">D65+D66+IF(D23=0,0,D20*Assumptions!$B$115/D23*IF(D2&gt;=Assumptions!$B$56,1,0))</f>
        <v>0</v>
      </c>
      <c r="E67" s="54" t="n">
        <f aca="false">E65+E66+IF(E23=0,0,E20*Assumptions!$B$115/E23*IF(E2&gt;=Assumptions!$B$56,1,0))</f>
        <v>0</v>
      </c>
      <c r="F67" s="54" t="n">
        <f aca="false">F65+F66+IF(F23=0,0,F20*Assumptions!$B$115/F23*IF(F2&gt;=Assumptions!$B$56,1,0))</f>
        <v>0</v>
      </c>
      <c r="G67" s="54" t="n">
        <f aca="false">G65+G66+IF(G23=0,0,G20*Assumptions!$B$115/G23*IF(G2&gt;=Assumptions!$B$56,1,0))</f>
        <v>0</v>
      </c>
      <c r="H67" s="54" t="n">
        <f aca="false">H65+H66+IF(H23=0,0,H20*Assumptions!$B$115/H23*IF(H2&gt;=Assumptions!$B$56,1,0))</f>
        <v>0</v>
      </c>
      <c r="I67" s="54" t="n">
        <f aca="false">I65+I66+IF(I23=0,0,I20*Assumptions!$B$115/I23*IF(I2&gt;=Assumptions!$B$56,1,0))</f>
        <v>0</v>
      </c>
      <c r="J67" s="54" t="n">
        <f aca="false">J65+J66+IF(J23=0,0,J20*Assumptions!$B$115/J23*IF(J2&gt;=Assumptions!$B$56,1,0))</f>
        <v>0</v>
      </c>
      <c r="K67" s="54" t="n">
        <f aca="false">K65+K66+IF(K23=0,0,K20*Assumptions!$B$115/K23*IF(K2&gt;=Assumptions!$B$56,1,0))</f>
        <v>0</v>
      </c>
      <c r="L67" s="54" t="n">
        <f aca="false">L65+L66+IF(L23=0,0,L20*Assumptions!$B$115/L23*IF(L2&gt;=Assumptions!$B$56,1,0))</f>
        <v>0</v>
      </c>
      <c r="M67" s="54" t="n">
        <f aca="false">M65+M66+IF(M23=0,0,M20*Assumptions!$B$115/M23*IF(M2&gt;=Assumptions!$B$56,1,0))</f>
        <v>0</v>
      </c>
      <c r="N67" s="54" t="n">
        <f aca="false">N65+N66+IF(N23=0,0,N20*Assumptions!$B$115/N23*IF(N2&gt;=Assumptions!$B$56,1,0))</f>
        <v>0</v>
      </c>
      <c r="O67" s="54" t="n">
        <f aca="false">O65+O66+IF(O23=0,0,O20*Assumptions!$B$115/O23*IF(O2&gt;=Assumptions!$B$56,1,0))</f>
        <v>71.73</v>
      </c>
      <c r="P67" s="54" t="n">
        <f aca="false">P65+P66+IF(P23=0,0,P20*Assumptions!$B$115/P23*IF(P2&gt;=Assumptions!$B$56,1,0))</f>
        <v>73.9206130835192</v>
      </c>
      <c r="Q67" s="54" t="n">
        <f aca="false">Q65+Q66+IF(Q23=0,0,Q20*Assumptions!$B$115/Q23*IF(Q2&gt;=Assumptions!$B$56,1,0))</f>
        <v>75.9555861473936</v>
      </c>
      <c r="R67" s="54" t="n">
        <f aca="false">R65+R66+IF(R23=0,0,R20*Assumptions!$B$115/R23*IF(R2&gt;=Assumptions!$B$56,1,0))</f>
        <v>77.8547712819075</v>
      </c>
      <c r="S67" s="54" t="n">
        <f aca="false">S65+S66+IF(S23=0,0,S20*Assumptions!$B$115/S23*IF(S2&gt;=Assumptions!$B$56,1,0))</f>
        <v>80.2483339883982</v>
      </c>
      <c r="T67" s="54" t="n">
        <f aca="false">T65+T66+IF(T23=0,0,T20*Assumptions!$B$115/T23*IF(T2&gt;=Assumptions!$B$56,1,0))</f>
        <v>82.3367323965539</v>
      </c>
      <c r="U67" s="54" t="n">
        <f aca="false">U65+U66+IF(U23=0,0,U20*Assumptions!$B$115/U23*IF(U2&gt;=Assumptions!$B$56,1,0))</f>
        <v>83.9887188330178</v>
      </c>
      <c r="V67" s="54" t="n">
        <f aca="false">V65+V66+IF(V23=0,0,V20*Assumptions!$B$115/V23*IF(V2&gt;=Assumptions!$B$56,1,0))</f>
        <v>85.5242335879475</v>
      </c>
      <c r="W67" s="54" t="n">
        <f aca="false">W65+W66+IF(W23=0,0,W20*Assumptions!$B$115/W23*IF(W2&gt;=Assumptions!$B$56,1,0))</f>
        <v>87.0197822385801</v>
      </c>
      <c r="X67" s="54" t="n">
        <f aca="false">X65+X66+IF(X23=0,0,X20*Assumptions!$B$115/X23*IF(X2&gt;=Assumptions!$B$56,1,0))</f>
        <v>88.6830695175768</v>
      </c>
      <c r="Y67" s="54" t="n">
        <f aca="false">Y65+Y66+IF(Y23=0,0,Y20*Assumptions!$B$115/Y23*IF(Y2&gt;=Assumptions!$B$56,1,0))</f>
        <v>91.1479230918315</v>
      </c>
      <c r="Z67" s="54" t="n">
        <f aca="false">Z65+Z66+IF(Z23=0,0,Z20*Assumptions!$B$115/Z23*IF(Z2&gt;=Assumptions!$B$56,1,0))</f>
        <v>93.3043998559043</v>
      </c>
      <c r="AA67" s="54" t="n">
        <f aca="false">AA65+AA66+IF(AA23=0,0,AA20*Assumptions!$B$115/AA23*IF(AA2&gt;=Assumptions!$B$56,1,0))</f>
        <v>1711.65951416235</v>
      </c>
      <c r="AB67" s="54" t="n">
        <f aca="false">AB65+AB66+IF(AB23=0,0,AB20*Assumptions!$B$115/AB23*IF(AB2&gt;=Assumptions!$B$56,1,0))</f>
        <v>2861.15136783154</v>
      </c>
      <c r="AC67" s="54" t="n">
        <f aca="false">AC65+AC66+IF(AC23=0,0,AC20*Assumptions!$B$115/AC23*IF(AC2&gt;=Assumptions!$B$56,1,0))</f>
        <v>4440.51945787118</v>
      </c>
      <c r="AD67" s="54" t="n">
        <f aca="false">AD65+AD66+IF(AD23=0,0,AD20*Assumptions!$B$115/AD23*IF(AD2&gt;=Assumptions!$B$56,1,0))</f>
        <v>6177.18842533771</v>
      </c>
      <c r="AE67" s="54" t="n">
        <f aca="false">AE65+AE66+IF(AE23=0,0,AE20*Assumptions!$B$115/AE23*IF(AE2&gt;=Assumptions!$B$56,1,0))</f>
        <v>7910.92864887927</v>
      </c>
    </row>
    <row r="68" customFormat="false" ht="15" hidden="false" customHeight="false" outlineLevel="0" collapsed="false">
      <c r="A68" s="6" t="s">
        <v>454</v>
      </c>
      <c r="B68" s="23" t="s">
        <v>449</v>
      </c>
      <c r="C68" s="51" t="n">
        <v>1</v>
      </c>
      <c r="D68" s="51" t="n">
        <f aca="false">MAX(0,1-C73/Assumptions!$B$85)</f>
        <v>1</v>
      </c>
      <c r="E68" s="51" t="n">
        <f aca="false">MAX(0,1-D73/Assumptions!$B$85)</f>
        <v>1</v>
      </c>
      <c r="F68" s="51" t="n">
        <f aca="false">MAX(0,1-E73/Assumptions!$B$85)</f>
        <v>1</v>
      </c>
      <c r="G68" s="51" t="n">
        <f aca="false">MAX(0,1-F73/Assumptions!$B$85)</f>
        <v>1</v>
      </c>
      <c r="H68" s="51" t="n">
        <f aca="false">MAX(0,1-G73/Assumptions!$B$85)</f>
        <v>1</v>
      </c>
      <c r="I68" s="51" t="n">
        <f aca="false">MAX(0,1-H73/Assumptions!$B$85)</f>
        <v>1</v>
      </c>
      <c r="J68" s="51" t="n">
        <f aca="false">MAX(0,1-I73/Assumptions!$B$85)</f>
        <v>1</v>
      </c>
      <c r="K68" s="51" t="n">
        <f aca="false">MAX(0,1-J73/Assumptions!$B$85)</f>
        <v>1</v>
      </c>
      <c r="L68" s="51" t="n">
        <f aca="false">MAX(0,1-K73/Assumptions!$B$85)</f>
        <v>1</v>
      </c>
      <c r="M68" s="51" t="n">
        <f aca="false">MAX(0,1-L73/Assumptions!$B$85)</f>
        <v>1</v>
      </c>
      <c r="N68" s="51" t="n">
        <f aca="false">MAX(0,1-M73/Assumptions!$B$85)</f>
        <v>1</v>
      </c>
      <c r="O68" s="51" t="n">
        <f aca="false">MAX(0,1-N73/Assumptions!$B$85)</f>
        <v>1</v>
      </c>
      <c r="P68" s="51" t="n">
        <f aca="false">MAX(0,1-O73/Assumptions!$B$85)</f>
        <v>0.997986366820092</v>
      </c>
      <c r="Q68" s="51" t="n">
        <f aca="false">MAX(0,1-P73/Assumptions!$B$85)</f>
        <v>0.996017938720984</v>
      </c>
      <c r="R68" s="51" t="n">
        <f aca="false">MAX(0,1-Q73/Assumptions!$B$85)</f>
        <v>0.994083420336593</v>
      </c>
      <c r="S68" s="51" t="n">
        <f aca="false">MAX(0,1-R73/Assumptions!$B$85)</f>
        <v>0.991609623338276</v>
      </c>
      <c r="T68" s="51" t="n">
        <f aca="false">MAX(0,1-S73/Assumptions!$B$85)</f>
        <v>0.98930940929181</v>
      </c>
      <c r="U68" s="51" t="n">
        <f aca="false">MAX(0,1-T73/Assumptions!$B$85)</f>
        <v>0.987317054890297</v>
      </c>
      <c r="V68" s="51" t="n">
        <f aca="false">MAX(0,1-U73/Assumptions!$B$85)</f>
        <v>0.985357963592632</v>
      </c>
      <c r="W68" s="51" t="n">
        <f aca="false">MAX(0,1-V73/Assumptions!$B$85)</f>
        <v>0.983367013829743</v>
      </c>
      <c r="X68" s="51" t="n">
        <f aca="false">MAX(0,1-W73/Assumptions!$B$85)</f>
        <v>0.981155066756894</v>
      </c>
      <c r="Y68" s="51" t="n">
        <f aca="false">MAX(0,1-X73/Assumptions!$B$85)</f>
        <v>0.978132008373506</v>
      </c>
      <c r="Z68" s="51" t="n">
        <f aca="false">MAX(0,1-Y73/Assumptions!$B$85)</f>
        <v>0.97528230115379</v>
      </c>
      <c r="AA68" s="51" t="n">
        <f aca="false">MAX(0,1-Z73/Assumptions!$B$85)</f>
        <v>0.972727765346271</v>
      </c>
      <c r="AB68" s="51" t="n">
        <f aca="false">MAX(0,1-AA73/Assumptions!$B$85)</f>
        <v>0.926450589756339</v>
      </c>
      <c r="AC68" s="51" t="n">
        <f aca="false">MAX(0,1-AB73/Assumptions!$B$85)</f>
        <v>0.852775402085134</v>
      </c>
      <c r="AD68" s="51" t="n">
        <f aca="false">MAX(0,1-AC73/Assumptions!$B$85)</f>
        <v>0.747524313483279</v>
      </c>
      <c r="AE68" s="51" t="n">
        <f aca="false">MAX(0,1-AD73/Assumptions!$B$85)</f>
        <v>0.61918068127875</v>
      </c>
    </row>
    <row r="69" customFormat="false" ht="15" hidden="false" customHeight="false" outlineLevel="0" collapsed="false">
      <c r="A69" s="6" t="s">
        <v>455</v>
      </c>
      <c r="B69" s="23" t="s">
        <v>190</v>
      </c>
      <c r="C69" s="54" t="n">
        <f aca="false">C67*C68*C15</f>
        <v>0</v>
      </c>
      <c r="D69" s="54" t="n">
        <f aca="false">D67*D68*D15</f>
        <v>0</v>
      </c>
      <c r="E69" s="54" t="n">
        <f aca="false">E67*E68*E15</f>
        <v>0</v>
      </c>
      <c r="F69" s="54" t="n">
        <f aca="false">F67*F68*F15</f>
        <v>0</v>
      </c>
      <c r="G69" s="54" t="n">
        <f aca="false">G67*G68*G15</f>
        <v>0</v>
      </c>
      <c r="H69" s="54" t="n">
        <f aca="false">H67*H68*H15</f>
        <v>0</v>
      </c>
      <c r="I69" s="54" t="n">
        <f aca="false">I67*I68*I15</f>
        <v>0</v>
      </c>
      <c r="J69" s="54" t="n">
        <f aca="false">J67*J68*J15</f>
        <v>0</v>
      </c>
      <c r="K69" s="54" t="n">
        <f aca="false">K67*K68*K15</f>
        <v>0</v>
      </c>
      <c r="L69" s="54" t="n">
        <f aca="false">L67*L68*L15</f>
        <v>0</v>
      </c>
      <c r="M69" s="54" t="n">
        <f aca="false">M67*M68*M15</f>
        <v>0</v>
      </c>
      <c r="N69" s="54" t="n">
        <f aca="false">N67*N68*N15</f>
        <v>0</v>
      </c>
      <c r="O69" s="54" t="n">
        <f aca="false">O67*O68*O15</f>
        <v>72.4473</v>
      </c>
      <c r="P69" s="54" t="n">
        <f aca="false">P67*P68*P15</f>
        <v>70.8208935209617</v>
      </c>
      <c r="Q69" s="54" t="n">
        <f aca="false">Q67*Q68*Q15</f>
        <v>69.6008762409613</v>
      </c>
      <c r="R69" s="54" t="n">
        <f aca="false">R67*R68*R15</f>
        <v>89.003257924258</v>
      </c>
      <c r="S69" s="54" t="n">
        <f aca="false">S67*S68*S15</f>
        <v>82.7580210493501</v>
      </c>
      <c r="T69" s="54" t="n">
        <f aca="false">T67*T68*T15</f>
        <v>71.6817235994223</v>
      </c>
      <c r="U69" s="54" t="n">
        <f aca="false">U67*U68*U15</f>
        <v>70.4849703438907</v>
      </c>
      <c r="V69" s="54" t="n">
        <f aca="false">V67*V68*V15</f>
        <v>71.6311869491344</v>
      </c>
      <c r="W69" s="54" t="n">
        <f aca="false">W67*W68*W15</f>
        <v>79.5823165657824</v>
      </c>
      <c r="X69" s="54" t="n">
        <f aca="false">X67*X68*X15</f>
        <v>108.764803740905</v>
      </c>
      <c r="Y69" s="54" t="n">
        <f aca="false">Y67*Y68*Y15</f>
        <v>102.52790623382</v>
      </c>
      <c r="Z69" s="54" t="n">
        <f aca="false">Z67*Z68*Z15</f>
        <v>91.908111097232</v>
      </c>
      <c r="AA69" s="54" t="n">
        <f aca="false">AA67*AA68*AA15</f>
        <v>1664.97873424482</v>
      </c>
      <c r="AB69" s="54" t="n">
        <f aca="false">AB67*AB68*AB15</f>
        <v>2650.71537210968</v>
      </c>
      <c r="AC69" s="54" t="n">
        <f aca="false">AC67*AC68*AC15</f>
        <v>3786.76576615295</v>
      </c>
      <c r="AD69" s="54" t="n">
        <f aca="false">AD67*AD68*AD15</f>
        <v>4617.59853690743</v>
      </c>
      <c r="AE69" s="54" t="n">
        <f aca="false">AE67*AE68*AE15</f>
        <v>4898.29419036065</v>
      </c>
    </row>
    <row r="70" customFormat="false" ht="15" hidden="false" customHeight="false" outlineLevel="0" collapsed="false">
      <c r="A70" s="6" t="s">
        <v>456</v>
      </c>
      <c r="B70" s="23" t="s">
        <v>190</v>
      </c>
      <c r="C70" s="28" t="n">
        <f aca="false">C69*(1-Assumptions!$B$122)^(C7/2)</f>
        <v>0</v>
      </c>
      <c r="D70" s="28" t="n">
        <f aca="false">C70*(1-Assumptions!$B$122)^D7+D69*(1-Assumptions!$B$122)^(D7/2)</f>
        <v>0</v>
      </c>
      <c r="E70" s="28" t="n">
        <f aca="false">D70*(1-Assumptions!$B$122)^E7+E69*(1-Assumptions!$B$122)^(E7/2)</f>
        <v>0</v>
      </c>
      <c r="F70" s="28" t="n">
        <f aca="false">E70*(1-Assumptions!$B$122)^F7+F69*(1-Assumptions!$B$122)^(F7/2)</f>
        <v>0</v>
      </c>
      <c r="G70" s="28" t="n">
        <f aca="false">F70*(1-Assumptions!$B$122)^G7+G69*(1-Assumptions!$B$122)^(G7/2)</f>
        <v>0</v>
      </c>
      <c r="H70" s="28" t="n">
        <f aca="false">G70*(1-Assumptions!$B$122)^H7+H69*(1-Assumptions!$B$122)^(H7/2)</f>
        <v>0</v>
      </c>
      <c r="I70" s="28" t="n">
        <f aca="false">H70*(1-Assumptions!$B$122)^I7+I69*(1-Assumptions!$B$122)^(I7/2)</f>
        <v>0</v>
      </c>
      <c r="J70" s="28" t="n">
        <f aca="false">I70*(1-Assumptions!$B$122)^J7+J69*(1-Assumptions!$B$122)^(J7/2)</f>
        <v>0</v>
      </c>
      <c r="K70" s="28" t="n">
        <f aca="false">J70*(1-Assumptions!$B$122)^K7+K69*(1-Assumptions!$B$122)^(K7/2)</f>
        <v>0</v>
      </c>
      <c r="L70" s="28" t="n">
        <f aca="false">K70*(1-Assumptions!$B$122)^L7+L69*(1-Assumptions!$B$122)^(L7/2)</f>
        <v>0</v>
      </c>
      <c r="M70" s="28" t="n">
        <f aca="false">L70*(1-Assumptions!$B$122)^M7+M69*(1-Assumptions!$B$122)^(M7/2)</f>
        <v>0</v>
      </c>
      <c r="N70" s="28" t="n">
        <f aca="false">M70*(1-Assumptions!$B$122)^N7+N69*(1-Assumptions!$B$122)^(N7/2)</f>
        <v>0</v>
      </c>
      <c r="O70" s="28" t="n">
        <f aca="false">N70*(1-Assumptions!$B$122)^O7+O69*(1-Assumptions!$B$122)^(O7/2)</f>
        <v>70.664938178039</v>
      </c>
      <c r="P70" s="28" t="n">
        <f aca="false">O70*(1-Assumptions!$B$122)^P7+P69*(1-Assumptions!$B$122)^(P7/2)</f>
        <v>136.309230561082</v>
      </c>
      <c r="Q70" s="28" t="n">
        <f aca="false">P70*(1-Assumptions!$B$122)^Q7+Q69*(1-Assumptions!$B$122)^(Q7/2)</f>
        <v>197.573267158306</v>
      </c>
      <c r="R70" s="28" t="n">
        <f aca="false">Q70*(1-Assumptions!$B$122)^R7+R69*(1-Assumptions!$B$122)^(R7/2)</f>
        <v>274.784967367684</v>
      </c>
      <c r="S70" s="28" t="n">
        <f aca="false">R70*(1-Assumptions!$B$122)^S7+S69*(1-Assumptions!$B$122)^(S7/2)</f>
        <v>342.152657953353</v>
      </c>
      <c r="T70" s="28" t="n">
        <f aca="false">S70*(1-Assumptions!$B$122)^T7+T69*(1-Assumptions!$B$122)^(T7/2)</f>
        <v>395.442543000576</v>
      </c>
      <c r="U70" s="28" t="n">
        <f aca="false">T70*(1-Assumptions!$B$122)^U7+U69*(1-Assumptions!$B$122)^(U7/2)</f>
        <v>444.975277030563</v>
      </c>
      <c r="V70" s="28" t="n">
        <f aca="false">U70*(1-Assumptions!$B$122)^V7+V69*(1-Assumptions!$B$122)^(V7/2)</f>
        <v>493.218781889682</v>
      </c>
      <c r="W70" s="28" t="n">
        <f aca="false">V70*(1-Assumptions!$B$122)^W7+W69*(1-Assumptions!$B$122)^(W7/2)</f>
        <v>546.873210244413</v>
      </c>
      <c r="X70" s="28" t="n">
        <f aca="false">W70*(1-Assumptions!$B$122)^X7+X69*(1-Assumptions!$B$122)^(X7/2)</f>
        <v>626.384615865534</v>
      </c>
      <c r="Y70" s="28" t="n">
        <f aca="false">X70*(1-Assumptions!$B$122)^Y7+Y69*(1-Assumptions!$B$122)^(Y7/2)</f>
        <v>695.948382448524</v>
      </c>
      <c r="Z70" s="28" t="n">
        <f aca="false">Y70*(1-Assumptions!$B$122)^Z7+Z69*(1-Assumptions!$B$122)^(Z7/2)</f>
        <v>751.772887533191</v>
      </c>
      <c r="AA70" s="28" t="n">
        <f aca="false">Z70*(1-Assumptions!$B$122)^AA7+AA69*(1-Assumptions!$B$122)^(AA7/2)</f>
        <v>1648.25636513855</v>
      </c>
      <c r="AB70" s="28" t="n">
        <f aca="false">AA70*(1-Assumptions!$B$122)^AB7+AB69*(1-Assumptions!$B$122)^(AB7/2)</f>
        <v>2872.36413406231</v>
      </c>
      <c r="AC70" s="28" t="n">
        <f aca="false">AB70*(1-Assumptions!$B$122)^AC7+AC69*(1-Assumptions!$B$122)^(AC7/2)</f>
        <v>4388.14092832719</v>
      </c>
      <c r="AD70" s="28" t="n">
        <f aca="false">AC70*(1-Assumptions!$B$122)^AD7+AD69*(1-Assumptions!$B$122)^(AD7/2)</f>
        <v>5837.98023892276</v>
      </c>
      <c r="AE70" s="28" t="n">
        <f aca="false">AD70*(1-Assumptions!$B$122)^AE7+AE69*(1-Assumptions!$B$122)^(AE7/2)</f>
        <v>6843.56132779773</v>
      </c>
    </row>
    <row r="71" customFormat="false" ht="15" hidden="false" customHeight="false" outlineLevel="0" collapsed="false">
      <c r="A71" s="6" t="s">
        <v>457</v>
      </c>
      <c r="B71" s="23" t="s">
        <v>190</v>
      </c>
      <c r="C71" s="54" t="n">
        <f aca="false">C69-C70</f>
        <v>0</v>
      </c>
      <c r="D71" s="54" t="n">
        <f aca="false">C70+D69-D70</f>
        <v>0</v>
      </c>
      <c r="E71" s="54" t="n">
        <f aca="false">D70+E69-E70</f>
        <v>0</v>
      </c>
      <c r="F71" s="54" t="n">
        <f aca="false">E70+F69-F70</f>
        <v>0</v>
      </c>
      <c r="G71" s="54" t="n">
        <f aca="false">F70+G69-G70</f>
        <v>0</v>
      </c>
      <c r="H71" s="54" t="n">
        <f aca="false">G70+H69-H70</f>
        <v>0</v>
      </c>
      <c r="I71" s="54" t="n">
        <f aca="false">H70+I69-I70</f>
        <v>0</v>
      </c>
      <c r="J71" s="54" t="n">
        <f aca="false">I70+J69-J70</f>
        <v>0</v>
      </c>
      <c r="K71" s="54" t="n">
        <f aca="false">J70+K69-K70</f>
        <v>0</v>
      </c>
      <c r="L71" s="54" t="n">
        <f aca="false">K70+L69-L70</f>
        <v>0</v>
      </c>
      <c r="M71" s="54" t="n">
        <f aca="false">L70+M69-M70</f>
        <v>0</v>
      </c>
      <c r="N71" s="54" t="n">
        <f aca="false">M70+N69-N70</f>
        <v>0</v>
      </c>
      <c r="O71" s="54" t="n">
        <f aca="false">N70+O69-O70</f>
        <v>1.78236182196102</v>
      </c>
      <c r="P71" s="54" t="n">
        <f aca="false">O70+P69-P70</f>
        <v>5.17660113791877</v>
      </c>
      <c r="Q71" s="54" t="n">
        <f aca="false">P70+Q69-Q70</f>
        <v>8.33683964373751</v>
      </c>
      <c r="R71" s="54" t="n">
        <f aca="false">Q70+R69-R70</f>
        <v>11.7915577148798</v>
      </c>
      <c r="S71" s="54" t="n">
        <f aca="false">R70+S69-S70</f>
        <v>15.3903304636815</v>
      </c>
      <c r="T71" s="54" t="n">
        <f aca="false">S70+T69-T70</f>
        <v>18.3918385521991</v>
      </c>
      <c r="U71" s="54" t="n">
        <f aca="false">T70+U69-U70</f>
        <v>20.9522363139037</v>
      </c>
      <c r="V71" s="54" t="n">
        <f aca="false">U70+V69-V70</f>
        <v>23.3876820900157</v>
      </c>
      <c r="W71" s="54" t="n">
        <f aca="false">V70+W69-W70</f>
        <v>25.9278882110509</v>
      </c>
      <c r="X71" s="54" t="n">
        <f aca="false">W70+X69-X70</f>
        <v>29.2533981197847</v>
      </c>
      <c r="Y71" s="54" t="n">
        <f aca="false">X70+Y69-Y70</f>
        <v>32.9641396508296</v>
      </c>
      <c r="Z71" s="54" t="n">
        <f aca="false">Y70+Z69-Z70</f>
        <v>36.0836060125652</v>
      </c>
      <c r="AA71" s="54" t="n">
        <f aca="false">Z70+AA69-AA70</f>
        <v>768.495256639469</v>
      </c>
      <c r="AB71" s="54" t="n">
        <f aca="false">AA70+AB69-AB70</f>
        <v>1426.60760318592</v>
      </c>
      <c r="AC71" s="54" t="n">
        <f aca="false">AB70+AC69-AC70</f>
        <v>2270.98897188807</v>
      </c>
      <c r="AD71" s="54" t="n">
        <f aca="false">AC70+AD69-AD70</f>
        <v>3167.75922631186</v>
      </c>
      <c r="AE71" s="54" t="n">
        <f aca="false">AD70+AE69-AE70</f>
        <v>3892.71310148568</v>
      </c>
    </row>
    <row r="72" customFormat="false" ht="15" hidden="false" customHeight="false" outlineLevel="0" collapsed="false">
      <c r="A72" s="6" t="s">
        <v>458</v>
      </c>
      <c r="B72" s="23" t="s">
        <v>190</v>
      </c>
      <c r="C72" s="45" t="n">
        <f aca="false">C71</f>
        <v>0</v>
      </c>
      <c r="D72" s="45" t="n">
        <f aca="false">C72+D71</f>
        <v>0</v>
      </c>
      <c r="E72" s="45" t="n">
        <f aca="false">D72+E71</f>
        <v>0</v>
      </c>
      <c r="F72" s="45" t="n">
        <f aca="false">E72+F71</f>
        <v>0</v>
      </c>
      <c r="G72" s="45" t="n">
        <f aca="false">F72+G71</f>
        <v>0</v>
      </c>
      <c r="H72" s="45" t="n">
        <f aca="false">G72+H71</f>
        <v>0</v>
      </c>
      <c r="I72" s="45" t="n">
        <f aca="false">H72+I71</f>
        <v>0</v>
      </c>
      <c r="J72" s="45" t="n">
        <f aca="false">I72+J71</f>
        <v>0</v>
      </c>
      <c r="K72" s="45" t="n">
        <f aca="false">J72+K71</f>
        <v>0</v>
      </c>
      <c r="L72" s="45" t="n">
        <f aca="false">K72+L71</f>
        <v>0</v>
      </c>
      <c r="M72" s="45" t="n">
        <f aca="false">L72+M71</f>
        <v>0</v>
      </c>
      <c r="N72" s="45" t="n">
        <f aca="false">M72+N71</f>
        <v>0</v>
      </c>
      <c r="O72" s="45" t="n">
        <f aca="false">N72+O71</f>
        <v>1.78236182196102</v>
      </c>
      <c r="P72" s="45" t="n">
        <f aca="false">O72+P71</f>
        <v>6.95896295987978</v>
      </c>
      <c r="Q72" s="45" t="n">
        <f aca="false">P72+Q71</f>
        <v>15.2958026036173</v>
      </c>
      <c r="R72" s="45" t="n">
        <f aca="false">Q72+R71</f>
        <v>27.0873603184971</v>
      </c>
      <c r="S72" s="45" t="n">
        <f aca="false">R72+S71</f>
        <v>42.4776907821786</v>
      </c>
      <c r="T72" s="45" t="n">
        <f aca="false">S72+T71</f>
        <v>60.8695293343777</v>
      </c>
      <c r="U72" s="45" t="n">
        <f aca="false">T72+U71</f>
        <v>81.8217656482813</v>
      </c>
      <c r="V72" s="45" t="n">
        <f aca="false">U72+V71</f>
        <v>105.209447738297</v>
      </c>
      <c r="W72" s="45" t="n">
        <f aca="false">V72+W71</f>
        <v>131.137335949348</v>
      </c>
      <c r="X72" s="45" t="n">
        <f aca="false">W72+X71</f>
        <v>160.390734069133</v>
      </c>
      <c r="Y72" s="45" t="n">
        <f aca="false">X72+Y71</f>
        <v>193.354873719962</v>
      </c>
      <c r="Z72" s="45" t="n">
        <f aca="false">Y72+Z71</f>
        <v>229.438479732527</v>
      </c>
      <c r="AA72" s="45" t="n">
        <f aca="false">Z72+AA71</f>
        <v>997.933736371996</v>
      </c>
      <c r="AB72" s="45" t="n">
        <f aca="false">AA72+AB71</f>
        <v>2424.54133955792</v>
      </c>
      <c r="AC72" s="45" t="n">
        <f aca="false">AB72+AC71</f>
        <v>4695.53031144599</v>
      </c>
      <c r="AD72" s="45" t="n">
        <f aca="false">AC72+AD71</f>
        <v>7863.28953775786</v>
      </c>
      <c r="AE72" s="45" t="n">
        <f aca="false">AD72+AE71</f>
        <v>11756.0026392435</v>
      </c>
    </row>
    <row r="73" customFormat="false" ht="15" hidden="false" customHeight="false" outlineLevel="0" collapsed="false">
      <c r="A73" s="6" t="s">
        <v>459</v>
      </c>
      <c r="B73" s="23" t="s">
        <v>190</v>
      </c>
      <c r="C73" s="45" t="n">
        <f aca="false">C69</f>
        <v>0</v>
      </c>
      <c r="D73" s="45" t="n">
        <f aca="false">C73+D69</f>
        <v>0</v>
      </c>
      <c r="E73" s="45" t="n">
        <f aca="false">D73+E69</f>
        <v>0</v>
      </c>
      <c r="F73" s="45" t="n">
        <f aca="false">E73+F69</f>
        <v>0</v>
      </c>
      <c r="G73" s="45" t="n">
        <f aca="false">F73+G69</f>
        <v>0</v>
      </c>
      <c r="H73" s="45" t="n">
        <f aca="false">G73+H69</f>
        <v>0</v>
      </c>
      <c r="I73" s="45" t="n">
        <f aca="false">H73+I69</f>
        <v>0</v>
      </c>
      <c r="J73" s="45" t="n">
        <f aca="false">I73+J69</f>
        <v>0</v>
      </c>
      <c r="K73" s="45" t="n">
        <f aca="false">J73+K69</f>
        <v>0</v>
      </c>
      <c r="L73" s="45" t="n">
        <f aca="false">K73+L69</f>
        <v>0</v>
      </c>
      <c r="M73" s="45" t="n">
        <f aca="false">L73+M69</f>
        <v>0</v>
      </c>
      <c r="N73" s="45" t="n">
        <f aca="false">M73+N69</f>
        <v>0</v>
      </c>
      <c r="O73" s="45" t="n">
        <f aca="false">N73+O69</f>
        <v>72.4473</v>
      </c>
      <c r="P73" s="45" t="n">
        <f aca="false">O73+P69</f>
        <v>143.268193520962</v>
      </c>
      <c r="Q73" s="45" t="n">
        <f aca="false">P73+Q69</f>
        <v>212.869069761923</v>
      </c>
      <c r="R73" s="45" t="n">
        <f aca="false">Q73+R69</f>
        <v>301.872327686181</v>
      </c>
      <c r="S73" s="45" t="n">
        <f aca="false">R73+S69</f>
        <v>384.630348735531</v>
      </c>
      <c r="T73" s="45" t="n">
        <f aca="false">S73+T69</f>
        <v>456.312072334953</v>
      </c>
      <c r="U73" s="45" t="n">
        <f aca="false">T73+U69</f>
        <v>526.797042678844</v>
      </c>
      <c r="V73" s="45" t="n">
        <f aca="false">U73+V69</f>
        <v>598.428229627979</v>
      </c>
      <c r="W73" s="45" t="n">
        <f aca="false">V73+W69</f>
        <v>678.010546193761</v>
      </c>
      <c r="X73" s="45" t="n">
        <f aca="false">W73+X69</f>
        <v>786.775349934666</v>
      </c>
      <c r="Y73" s="45" t="n">
        <f aca="false">X73+Y69</f>
        <v>889.303256168486</v>
      </c>
      <c r="Z73" s="45" t="n">
        <f aca="false">Y73+Z69</f>
        <v>981.211367265718</v>
      </c>
      <c r="AA73" s="45" t="n">
        <f aca="false">Z73+AA69</f>
        <v>2646.19010151054</v>
      </c>
      <c r="AB73" s="45" t="n">
        <f aca="false">AA73+AB69</f>
        <v>5296.90547362023</v>
      </c>
      <c r="AC73" s="45" t="n">
        <f aca="false">AB73+AC69</f>
        <v>9083.67123977318</v>
      </c>
      <c r="AD73" s="45" t="n">
        <f aca="false">AC73+AD69</f>
        <v>13701.2697766806</v>
      </c>
      <c r="AE73" s="45" t="n">
        <f aca="false">AD73+AE69</f>
        <v>18599.5639670413</v>
      </c>
    </row>
    <row r="74" customFormat="false" ht="15" hidden="false" customHeight="false" outlineLevel="0" collapsed="false">
      <c r="A74" s="6" t="s">
        <v>460</v>
      </c>
      <c r="B74" s="23" t="s">
        <v>114</v>
      </c>
      <c r="C74" s="55" t="n">
        <f aca="false">IF(C2&gt;=Assumptions!$B$47,C70*Assumptions!$B$174*C7,0)</f>
        <v>0</v>
      </c>
      <c r="D74" s="55" t="n">
        <f aca="false">IF(D2&gt;=Assumptions!$B$47,D70*Assumptions!$B$174*D7,0)</f>
        <v>0</v>
      </c>
      <c r="E74" s="55" t="n">
        <f aca="false">IF(E2&gt;=Assumptions!$B$47,E70*Assumptions!$B$174*E7,0)</f>
        <v>0</v>
      </c>
      <c r="F74" s="55" t="n">
        <f aca="false">IF(F2&gt;=Assumptions!$B$47,F70*Assumptions!$B$174*F7,0)</f>
        <v>0</v>
      </c>
      <c r="G74" s="55" t="n">
        <f aca="false">IF(G2&gt;=Assumptions!$B$47,G70*Assumptions!$B$174*G7,0)</f>
        <v>0</v>
      </c>
      <c r="H74" s="55" t="n">
        <f aca="false">IF(H2&gt;=Assumptions!$B$47,H70*Assumptions!$B$174*H7,0)</f>
        <v>0</v>
      </c>
      <c r="I74" s="55" t="n">
        <f aca="false">IF(I2&gt;=Assumptions!$B$47,I70*Assumptions!$B$174*I7,0)</f>
        <v>0</v>
      </c>
      <c r="J74" s="55" t="n">
        <f aca="false">IF(J2&gt;=Assumptions!$B$47,J70*Assumptions!$B$174*J7,0)</f>
        <v>0</v>
      </c>
      <c r="K74" s="55" t="n">
        <f aca="false">IF(K2&gt;=Assumptions!$B$47,K70*Assumptions!$B$174*K7,0)</f>
        <v>0</v>
      </c>
      <c r="L74" s="55" t="n">
        <f aca="false">IF(L2&gt;=Assumptions!$B$47,L70*Assumptions!$B$174*L7,0)</f>
        <v>0</v>
      </c>
      <c r="M74" s="55" t="n">
        <f aca="false">IF(M2&gt;=Assumptions!$B$47,M70*Assumptions!$B$174*M7,0)</f>
        <v>0</v>
      </c>
      <c r="N74" s="55" t="n">
        <f aca="false">IF(N2&gt;=Assumptions!$B$47,N70*Assumptions!$B$174*N7,0)</f>
        <v>0</v>
      </c>
      <c r="O74" s="55" t="n">
        <f aca="false">IF(O2&gt;=Assumptions!$B$47,O70*Assumptions!$B$174*O7,0)</f>
        <v>1837.28839262901</v>
      </c>
      <c r="P74" s="55" t="n">
        <f aca="false">IF(P2&gt;=Assumptions!$B$47,P70*Assumptions!$B$174*P7,0)</f>
        <v>3544.03999458813</v>
      </c>
      <c r="Q74" s="55" t="n">
        <f aca="false">IF(Q2&gt;=Assumptions!$B$47,Q70*Assumptions!$B$174*Q7,0)</f>
        <v>5136.90494611595</v>
      </c>
      <c r="R74" s="55" t="n">
        <f aca="false">IF(R2&gt;=Assumptions!$B$47,R70*Assumptions!$B$174*R7,0)</f>
        <v>7144.40915155978</v>
      </c>
      <c r="S74" s="55" t="n">
        <f aca="false">IF(S2&gt;=Assumptions!$B$47,S70*Assumptions!$B$174*S7,0)</f>
        <v>8895.96910678716</v>
      </c>
      <c r="T74" s="55" t="n">
        <f aca="false">IF(T2&gt;=Assumptions!$B$47,T70*Assumptions!$B$174*T7,0)</f>
        <v>10281.506118015</v>
      </c>
      <c r="U74" s="55" t="n">
        <f aca="false">IF(U2&gt;=Assumptions!$B$47,U70*Assumptions!$B$174*U7,0)</f>
        <v>11569.3572027946</v>
      </c>
      <c r="V74" s="55" t="n">
        <f aca="false">IF(V2&gt;=Assumptions!$B$47,V70*Assumptions!$B$174*V7,0)</f>
        <v>12823.6883291317</v>
      </c>
      <c r="W74" s="55" t="n">
        <f aca="false">IF(W2&gt;=Assumptions!$B$47,W70*Assumptions!$B$174*W7,0)</f>
        <v>14218.7034663547</v>
      </c>
      <c r="X74" s="55" t="n">
        <f aca="false">IF(X2&gt;=Assumptions!$B$47,X70*Assumptions!$B$174*X7,0)</f>
        <v>16286.0000125039</v>
      </c>
      <c r="Y74" s="55" t="n">
        <f aca="false">IF(Y2&gt;=Assumptions!$B$47,Y70*Assumptions!$B$174*Y7,0)</f>
        <v>18094.6579436616</v>
      </c>
      <c r="Z74" s="55" t="n">
        <f aca="false">IF(Z2&gt;=Assumptions!$B$47,Z70*Assumptions!$B$174*Z7,0)</f>
        <v>19546.095075863</v>
      </c>
      <c r="AA74" s="55" t="n">
        <f aca="false">IF(AA2&gt;=Assumptions!$B$47,AA70*Assumptions!$B$174*AA7,0)</f>
        <v>514255.985923226</v>
      </c>
      <c r="AB74" s="55" t="n">
        <f aca="false">IF(AB2&gt;=Assumptions!$B$47,AB70*Assumptions!$B$174*AB7,0)</f>
        <v>896177.60982744</v>
      </c>
      <c r="AC74" s="55" t="n">
        <f aca="false">IF(AC2&gt;=Assumptions!$B$47,AC70*Assumptions!$B$174*AC7,0)</f>
        <v>1369099.96963808</v>
      </c>
      <c r="AD74" s="55" t="n">
        <f aca="false">IF(AD2&gt;=Assumptions!$B$47,AD70*Assumptions!$B$174*AD7,0)</f>
        <v>1821449.8345439</v>
      </c>
      <c r="AE74" s="55" t="n">
        <f aca="false">IF(AE2&gt;=Assumptions!$B$47,AE70*Assumptions!$B$174*AE7,0)</f>
        <v>2135191.13427289</v>
      </c>
    </row>
    <row r="75" customFormat="false" ht="15" hidden="false" customHeight="false" outlineLevel="0" collapsed="false">
      <c r="A75" s="6" t="s">
        <v>461</v>
      </c>
      <c r="B75" s="23" t="s">
        <v>114</v>
      </c>
      <c r="C75" s="55" t="n">
        <f aca="false">IF(C2&gt;=Assumptions!$B$48,C70*Assumptions!$B$36*Assumptions!$B$139*Assumptions!$B$141*Assumptions!$B$33*Assumptions!$B$140/12*C7,0)</f>
        <v>0</v>
      </c>
      <c r="D75" s="55" t="n">
        <f aca="false">IF(D2&gt;=Assumptions!$B$48,D70*Assumptions!$B$36*Assumptions!$B$139*Assumptions!$B$141*Assumptions!$B$33*Assumptions!$B$140/12*D7,0)</f>
        <v>0</v>
      </c>
      <c r="E75" s="55" t="n">
        <f aca="false">IF(E2&gt;=Assumptions!$B$48,E70*Assumptions!$B$36*Assumptions!$B$139*Assumptions!$B$141*Assumptions!$B$33*Assumptions!$B$140/12*E7,0)</f>
        <v>0</v>
      </c>
      <c r="F75" s="55" t="n">
        <f aca="false">IF(F2&gt;=Assumptions!$B$48,F70*Assumptions!$B$36*Assumptions!$B$139*Assumptions!$B$141*Assumptions!$B$33*Assumptions!$B$140/12*F7,0)</f>
        <v>0</v>
      </c>
      <c r="G75" s="55" t="n">
        <f aca="false">IF(G2&gt;=Assumptions!$B$48,G70*Assumptions!$B$36*Assumptions!$B$139*Assumptions!$B$141*Assumptions!$B$33*Assumptions!$B$140/12*G7,0)</f>
        <v>0</v>
      </c>
      <c r="H75" s="55" t="n">
        <f aca="false">IF(H2&gt;=Assumptions!$B$48,H70*Assumptions!$B$36*Assumptions!$B$139*Assumptions!$B$141*Assumptions!$B$33*Assumptions!$B$140/12*H7,0)</f>
        <v>0</v>
      </c>
      <c r="I75" s="55" t="n">
        <f aca="false">IF(I2&gt;=Assumptions!$B$48,I70*Assumptions!$B$36*Assumptions!$B$139*Assumptions!$B$141*Assumptions!$B$33*Assumptions!$B$140/12*I7,0)</f>
        <v>0</v>
      </c>
      <c r="J75" s="55" t="n">
        <f aca="false">IF(J2&gt;=Assumptions!$B$48,J70*Assumptions!$B$36*Assumptions!$B$139*Assumptions!$B$141*Assumptions!$B$33*Assumptions!$B$140/12*J7,0)</f>
        <v>0</v>
      </c>
      <c r="K75" s="55" t="n">
        <f aca="false">IF(K2&gt;=Assumptions!$B$48,K70*Assumptions!$B$36*Assumptions!$B$139*Assumptions!$B$141*Assumptions!$B$33*Assumptions!$B$140/12*K7,0)</f>
        <v>0</v>
      </c>
      <c r="L75" s="55" t="n">
        <f aca="false">IF(L2&gt;=Assumptions!$B$48,L70*Assumptions!$B$36*Assumptions!$B$139*Assumptions!$B$141*Assumptions!$B$33*Assumptions!$B$140/12*L7,0)</f>
        <v>0</v>
      </c>
      <c r="M75" s="55" t="n">
        <f aca="false">IF(M2&gt;=Assumptions!$B$48,M70*Assumptions!$B$36*Assumptions!$B$139*Assumptions!$B$141*Assumptions!$B$33*Assumptions!$B$140/12*M7,0)</f>
        <v>0</v>
      </c>
      <c r="N75" s="55" t="n">
        <f aca="false">IF(N2&gt;=Assumptions!$B$48,N70*Assumptions!$B$36*Assumptions!$B$139*Assumptions!$B$141*Assumptions!$B$33*Assumptions!$B$140/12*N7,0)</f>
        <v>0</v>
      </c>
      <c r="O75" s="55" t="n">
        <f aca="false">IF(O2&gt;=Assumptions!$B$48,O70*Assumptions!$B$36*Assumptions!$B$139*Assumptions!$B$141*Assumptions!$B$33*Assumptions!$B$140/12*O7,0)</f>
        <v>145.157560507388</v>
      </c>
      <c r="P75" s="55" t="n">
        <f aca="false">IF(P2&gt;=Assumptions!$B$48,P70*Assumptions!$B$36*Assumptions!$B$139*Assumptions!$B$141*Assumptions!$B$33*Assumptions!$B$140/12*P7,0)</f>
        <v>280.001877777556</v>
      </c>
      <c r="Q75" s="55" t="n">
        <f aca="false">IF(Q2&gt;=Assumptions!$B$48,Q70*Assumptions!$B$36*Assumptions!$B$139*Assumptions!$B$141*Assumptions!$B$33*Assumptions!$B$140/12*Q7,0)</f>
        <v>405.84841962102</v>
      </c>
      <c r="R75" s="55" t="n">
        <f aca="false">IF(R2&gt;=Assumptions!$B$48,R70*Assumptions!$B$36*Assumptions!$B$139*Assumptions!$B$141*Assumptions!$B$33*Assumptions!$B$140/12*R7,0)</f>
        <v>564.454120467784</v>
      </c>
      <c r="S75" s="55" t="n">
        <f aca="false">IF(S2&gt;=Assumptions!$B$48,S70*Assumptions!$B$36*Assumptions!$B$139*Assumptions!$B$141*Assumptions!$B$33*Assumptions!$B$140/12*S7,0)</f>
        <v>702.838584879178</v>
      </c>
      <c r="T75" s="55" t="n">
        <f aca="false">IF(T2&gt;=Assumptions!$B$48,T70*Assumptions!$B$36*Assumptions!$B$139*Assumptions!$B$141*Assumptions!$B$33*Assumptions!$B$140/12*T7,0)</f>
        <v>812.304890413683</v>
      </c>
      <c r="U75" s="55" t="n">
        <f aca="false">IF(U2&gt;=Assumptions!$B$48,U70*Assumptions!$B$36*Assumptions!$B$139*Assumptions!$B$141*Assumptions!$B$33*Assumptions!$B$140/12*U7,0)</f>
        <v>914.053381566948</v>
      </c>
      <c r="V75" s="55" t="n">
        <f aca="false">IF(V2&gt;=Assumptions!$B$48,V70*Assumptions!$B$36*Assumptions!$B$139*Assumptions!$B$141*Assumptions!$B$33*Assumptions!$B$140/12*V7,0)</f>
        <v>1013.15358113172</v>
      </c>
      <c r="W75" s="55" t="n">
        <f aca="false">IF(W2&gt;=Assumptions!$B$48,W70*Assumptions!$B$36*Assumptions!$B$139*Assumptions!$B$141*Assumptions!$B$33*Assumptions!$B$140/12*W7,0)</f>
        <v>1123.36871937707</v>
      </c>
      <c r="X75" s="55" t="n">
        <f aca="false">IF(X2&gt;=Assumptions!$B$48,X70*Assumptions!$B$36*Assumptions!$B$139*Assumptions!$B$141*Assumptions!$B$33*Assumptions!$B$140/12*X7,0)</f>
        <v>1286.69839842378</v>
      </c>
      <c r="Y75" s="55" t="n">
        <f aca="false">IF(Y2&gt;=Assumptions!$B$48,Y70*Assumptions!$B$36*Assumptions!$B$139*Assumptions!$B$141*Assumptions!$B$33*Assumptions!$B$140/12*Y7,0)</f>
        <v>1429.59396894634</v>
      </c>
      <c r="Z75" s="55" t="n">
        <f aca="false">IF(Z2&gt;=Assumptions!$B$48,Z70*Assumptions!$B$36*Assumptions!$B$139*Assumptions!$B$141*Assumptions!$B$33*Assumptions!$B$140/12*Z7,0)</f>
        <v>1544.26680647443</v>
      </c>
      <c r="AA75" s="55" t="n">
        <f aca="false">IF(AA2&gt;=Assumptions!$B$48,AA70*Assumptions!$B$36*Assumptions!$B$139*Assumptions!$B$141*Assumptions!$B$33*Assumptions!$B$140/12*AA7,0)</f>
        <v>40629.5194006652</v>
      </c>
      <c r="AB75" s="55" t="n">
        <f aca="false">IF(AB2&gt;=Assumptions!$B$48,AB70*Assumptions!$B$36*Assumptions!$B$139*Assumptions!$B$141*Assumptions!$B$33*Assumptions!$B$140/12*AB7,0)</f>
        <v>70803.7759046358</v>
      </c>
      <c r="AC75" s="55" t="n">
        <f aca="false">IF(AC2&gt;=Assumptions!$B$48,AC70*Assumptions!$B$36*Assumptions!$B$139*Assumptions!$B$141*Assumptions!$B$33*Assumptions!$B$140/12*AC7,0)</f>
        <v>108167.673883265</v>
      </c>
      <c r="AD75" s="55" t="n">
        <f aca="false">IF(AD2&gt;=Assumptions!$B$48,AD70*Assumptions!$B$36*Assumptions!$B$139*Assumptions!$B$141*Assumptions!$B$33*Assumptions!$B$140/12*AD7,0)</f>
        <v>143906.212889446</v>
      </c>
      <c r="AE75" s="55" t="n">
        <f aca="false">IF(AE2&gt;=Assumptions!$B$48,AE70*Assumptions!$B$36*Assumptions!$B$139*Assumptions!$B$141*Assumptions!$B$33*Assumptions!$B$140/12*AE7,0)</f>
        <v>168693.786730214</v>
      </c>
    </row>
    <row r="76" customFormat="false" ht="15" hidden="false" customHeight="false" outlineLevel="0" collapsed="false">
      <c r="A76" s="6" t="s">
        <v>462</v>
      </c>
      <c r="B76" s="23" t="s">
        <v>47</v>
      </c>
      <c r="C76" s="54" t="n">
        <f aca="false">(C74+C75)*(1-Assumptions!$B$8)/C21/(1+Assumptions!$B$9)</f>
        <v>0</v>
      </c>
      <c r="D76" s="54" t="n">
        <f aca="false">(D74+D75)*(1-Assumptions!$B$8)/D21/(1+Assumptions!$B$9)</f>
        <v>0</v>
      </c>
      <c r="E76" s="54" t="n">
        <f aca="false">(E74+E75)*(1-Assumptions!$B$8)/E21/(1+Assumptions!$B$9)</f>
        <v>0</v>
      </c>
      <c r="F76" s="54" t="n">
        <f aca="false">(F74+F75)*(1-Assumptions!$B$8)/F21/(1+Assumptions!$B$9)</f>
        <v>0</v>
      </c>
      <c r="G76" s="54" t="n">
        <f aca="false">(G74+G75)*(1-Assumptions!$B$8)/G21/(1+Assumptions!$B$9)</f>
        <v>0</v>
      </c>
      <c r="H76" s="54" t="n">
        <f aca="false">(H74+H75)*(1-Assumptions!$B$8)/H21/(1+Assumptions!$B$9)</f>
        <v>0</v>
      </c>
      <c r="I76" s="54" t="n">
        <f aca="false">(I74+I75)*(1-Assumptions!$B$8)/I21/(1+Assumptions!$B$9)</f>
        <v>0</v>
      </c>
      <c r="J76" s="54" t="n">
        <f aca="false">(J74+J75)*(1-Assumptions!$B$8)/J21/(1+Assumptions!$B$9)</f>
        <v>0</v>
      </c>
      <c r="K76" s="54" t="n">
        <f aca="false">(K74+K75)*(1-Assumptions!$B$8)/K21/(1+Assumptions!$B$9)</f>
        <v>0</v>
      </c>
      <c r="L76" s="54" t="n">
        <f aca="false">(L74+L75)*(1-Assumptions!$B$8)/L21/(1+Assumptions!$B$9)</f>
        <v>0</v>
      </c>
      <c r="M76" s="54" t="n">
        <f aca="false">(M74+M75)*(1-Assumptions!$B$8)/M21/(1+Assumptions!$B$9)</f>
        <v>0</v>
      </c>
      <c r="N76" s="54" t="n">
        <f aca="false">(N74+N75)*(1-Assumptions!$B$8)/N21/(1+Assumptions!$B$9)</f>
        <v>0</v>
      </c>
      <c r="O76" s="54" t="n">
        <f aca="false">(O74+O75)*(1-Assumptions!$B$8)/O21/(1+Assumptions!$B$9)</f>
        <v>12.1338765310747</v>
      </c>
      <c r="P76" s="54" t="n">
        <f aca="false">(P74+P75)*(1-Assumptions!$B$8)/P21/(1+Assumptions!$B$9)</f>
        <v>23.4056579729376</v>
      </c>
      <c r="Q76" s="54" t="n">
        <f aca="false">(Q74+Q75)*(1-Assumptions!$B$8)/Q21/(1+Assumptions!$B$9)</f>
        <v>33.925305694033</v>
      </c>
      <c r="R76" s="54" t="n">
        <f aca="false">(R74+R75)*(1-Assumptions!$B$8)/R21/(1+Assumptions!$B$9)</f>
        <v>47.1833267331869</v>
      </c>
      <c r="S76" s="54" t="n">
        <f aca="false">(S74+S75)*(1-Assumptions!$B$8)/S21/(1+Assumptions!$B$9)</f>
        <v>58.7510328803379</v>
      </c>
      <c r="T76" s="54" t="n">
        <f aca="false">(T74+T75)*(1-Assumptions!$B$8)/T21/(1+Assumptions!$B$9)</f>
        <v>67.901439039175</v>
      </c>
      <c r="U76" s="54" t="n">
        <f aca="false">(U74+U75)*(1-Assumptions!$B$8)/U21/(1+Assumptions!$B$9)</f>
        <v>76.4067047970273</v>
      </c>
      <c r="V76" s="54" t="n">
        <f aca="false">(V74+V75)*(1-Assumptions!$B$8)/V21/(1+Assumptions!$B$9)</f>
        <v>84.6905970140133</v>
      </c>
      <c r="W76" s="54" t="n">
        <f aca="false">(W74+W75)*(1-Assumptions!$B$8)/W21/(1+Assumptions!$B$9)</f>
        <v>93.9035989041647</v>
      </c>
      <c r="X76" s="54" t="n">
        <f aca="false">(X74+X75)*(1-Assumptions!$B$8)/X21/(1+Assumptions!$B$9)</f>
        <v>107.556502359456</v>
      </c>
      <c r="Y76" s="54" t="n">
        <f aca="false">(Y74+Y75)*(1-Assumptions!$B$8)/Y21/(1+Assumptions!$B$9)</f>
        <v>119.501296715999</v>
      </c>
      <c r="Z76" s="54" t="n">
        <f aca="false">(Z74+Z75)*(1-Assumptions!$B$8)/Z21/(1+Assumptions!$B$9)</f>
        <v>129.086922481341</v>
      </c>
      <c r="AA76" s="54" t="n">
        <f aca="false">(AA74+AA75)*(1-Assumptions!$B$8)/AA21/(1+Assumptions!$B$9)</f>
        <v>3141.78094775416</v>
      </c>
      <c r="AB76" s="54" t="n">
        <f aca="false">(AB74+AB75)*(1-Assumptions!$B$8)/AB21/(1+Assumptions!$B$9)</f>
        <v>5064.83079943828</v>
      </c>
      <c r="AC76" s="54" t="n">
        <f aca="false">(AC74+AC75)*(1-Assumptions!$B$8)/AC21/(1+Assumptions!$B$9)</f>
        <v>7157.81252143415</v>
      </c>
      <c r="AD76" s="54" t="n">
        <f aca="false">(AD74+AD75)*(1-Assumptions!$B$8)/AD21/(1+Assumptions!$B$9)</f>
        <v>8809.2042355971</v>
      </c>
      <c r="AE76" s="54" t="n">
        <f aca="false">(AE74+AE75)*(1-Assumptions!$B$8)/AE21/(1+Assumptions!$B$9)</f>
        <v>9552.79653633173</v>
      </c>
    </row>
    <row r="77" customFormat="false" ht="15" hidden="false" customHeight="false" outlineLevel="0" collapsed="false">
      <c r="A77" s="6" t="s">
        <v>463</v>
      </c>
      <c r="B77" s="23" t="s">
        <v>464</v>
      </c>
      <c r="C77" s="56" t="n">
        <f aca="false">(Assumptions!$B$136+Assumptions!$B$137*IF(C70+C72=0,1,(C70+C72*Assumptions!$B$138)/(C70+C72)))*C7/12</f>
        <v>0.01</v>
      </c>
      <c r="D77" s="56" t="n">
        <f aca="false">(Assumptions!$B$136+Assumptions!$B$137*IF(D70+D72=0,1,(D70+D72*Assumptions!$B$138)/(D70+D72)))*D7/12</f>
        <v>0.01</v>
      </c>
      <c r="E77" s="56" t="n">
        <f aca="false">(Assumptions!$B$136+Assumptions!$B$137*IF(E70+E72=0,1,(E70+E72*Assumptions!$B$138)/(E70+E72)))*E7/12</f>
        <v>0.01</v>
      </c>
      <c r="F77" s="56" t="n">
        <f aca="false">(Assumptions!$B$136+Assumptions!$B$137*IF(F70+F72=0,1,(F70+F72*Assumptions!$B$138)/(F70+F72)))*F7/12</f>
        <v>0.01</v>
      </c>
      <c r="G77" s="56" t="n">
        <f aca="false">(Assumptions!$B$136+Assumptions!$B$137*IF(G70+G72=0,1,(G70+G72*Assumptions!$B$138)/(G70+G72)))*G7/12</f>
        <v>0.01</v>
      </c>
      <c r="H77" s="56" t="n">
        <f aca="false">(Assumptions!$B$136+Assumptions!$B$137*IF(H70+H72=0,1,(H70+H72*Assumptions!$B$138)/(H70+H72)))*H7/12</f>
        <v>0.01</v>
      </c>
      <c r="I77" s="56" t="n">
        <f aca="false">(Assumptions!$B$136+Assumptions!$B$137*IF(I70+I72=0,1,(I70+I72*Assumptions!$B$138)/(I70+I72)))*I7/12</f>
        <v>0.01</v>
      </c>
      <c r="J77" s="56" t="n">
        <f aca="false">(Assumptions!$B$136+Assumptions!$B$137*IF(J70+J72=0,1,(J70+J72*Assumptions!$B$138)/(J70+J72)))*J7/12</f>
        <v>0.01</v>
      </c>
      <c r="K77" s="56" t="n">
        <f aca="false">(Assumptions!$B$136+Assumptions!$B$137*IF(K70+K72=0,1,(K70+K72*Assumptions!$B$138)/(K70+K72)))*K7/12</f>
        <v>0.01</v>
      </c>
      <c r="L77" s="56" t="n">
        <f aca="false">(Assumptions!$B$136+Assumptions!$B$137*IF(L70+L72=0,1,(L70+L72*Assumptions!$B$138)/(L70+L72)))*L7/12</f>
        <v>0.01</v>
      </c>
      <c r="M77" s="56" t="n">
        <f aca="false">(Assumptions!$B$136+Assumptions!$B$137*IF(M70+M72=0,1,(M70+M72*Assumptions!$B$138)/(M70+M72)))*M7/12</f>
        <v>0.01</v>
      </c>
      <c r="N77" s="56" t="n">
        <f aca="false">(Assumptions!$B$136+Assumptions!$B$137*IF(N70+N72=0,1,(N70+N72*Assumptions!$B$138)/(N70+N72)))*N7/12</f>
        <v>0.01</v>
      </c>
      <c r="O77" s="56" t="n">
        <f aca="false">(Assumptions!$B$136+Assumptions!$B$137*IF(O70+O72=0,1,(O70+O72*Assumptions!$B$138)/(O70+O72)))*O7/12</f>
        <v>0.0100738065527064</v>
      </c>
      <c r="P77" s="56" t="n">
        <f aca="false">(Assumptions!$B$136+Assumptions!$B$137*IF(P70+P72=0,1,(P70+P72*Assumptions!$B$138)/(P70+P72)))*P7/12</f>
        <v>0.0101457189370967</v>
      </c>
      <c r="Q77" s="56" t="n">
        <f aca="false">(Assumptions!$B$136+Assumptions!$B$137*IF(Q70+Q72=0,1,(Q70+Q72*Assumptions!$B$138)/(Q70+Q72)))*Q7/12</f>
        <v>0.0102155663472489</v>
      </c>
      <c r="R77" s="56" t="n">
        <f aca="false">(Assumptions!$B$136+Assumptions!$B$137*IF(R70+R72=0,1,(R70+R72*Assumptions!$B$138)/(R70+R72)))*R7/12</f>
        <v>0.0102691935414496</v>
      </c>
      <c r="S77" s="56" t="n">
        <f aca="false">(Assumptions!$B$136+Assumptions!$B$137*IF(S70+S72=0,1,(S70+S72*Assumptions!$B$138)/(S70+S72)))*S7/12</f>
        <v>0.0103313130977976</v>
      </c>
      <c r="T77" s="56" t="n">
        <f aca="false">(Assumptions!$B$136+Assumptions!$B$137*IF(T70+T72=0,1,(T70+T72*Assumptions!$B$138)/(T70+T72)))*T7/12</f>
        <v>0.0104001835565488</v>
      </c>
      <c r="U77" s="56" t="n">
        <f aca="false">(Assumptions!$B$136+Assumptions!$B$137*IF(U70+U72=0,1,(U70+U72*Assumptions!$B$138)/(U70+U72)))*U7/12</f>
        <v>0.0104659580010104</v>
      </c>
      <c r="V77" s="56" t="n">
        <f aca="false">(Assumptions!$B$136+Assumptions!$B$137*IF(V70+V72=0,1,(V70+V72*Assumptions!$B$138)/(V70+V72)))*V7/12</f>
        <v>0.0105274289005569</v>
      </c>
      <c r="W77" s="56" t="n">
        <f aca="false">(Assumptions!$B$136+Assumptions!$B$137*IF(W70+W72=0,1,(W70+W72*Assumptions!$B$138)/(W70+W72)))*W7/12</f>
        <v>0.0105802446732674</v>
      </c>
      <c r="X77" s="56" t="n">
        <f aca="false">(Assumptions!$B$136+Assumptions!$B$137*IF(X70+X72=0,1,(X70+X72*Assumptions!$B$138)/(X70+X72)))*X7/12</f>
        <v>0.0106115750858836</v>
      </c>
      <c r="Y77" s="56" t="n">
        <f aca="false">(Assumptions!$B$136+Assumptions!$B$137*IF(Y70+Y72=0,1,(Y70+Y72*Assumptions!$B$138)/(Y70+Y72)))*Y7/12</f>
        <v>0.0106522686351775</v>
      </c>
      <c r="Z77" s="56" t="n">
        <f aca="false">(Assumptions!$B$136+Assumptions!$B$137*IF(Z70+Z72=0,1,(Z70+Z72*Assumptions!$B$138)/(Z70+Z72)))*Z7/12</f>
        <v>0.0107014955820535</v>
      </c>
      <c r="AA77" s="56" t="n">
        <f aca="false">(Assumptions!$B$136+Assumptions!$B$137*IF(AA70+AA72=0,1,(AA70+AA72*Assumptions!$B$138)/(AA70+AA72)))*AA7/12</f>
        <v>0.133576354355223</v>
      </c>
      <c r="AB77" s="56" t="n">
        <f aca="false">(Assumptions!$B$136+Assumptions!$B$137*IF(AB70+AB72=0,1,(AB70+AB72*Assumptions!$B$138)/(AB70+AB72)))*AB7/12</f>
        <v>0.136478203860495</v>
      </c>
      <c r="AC77" s="56" t="n">
        <f aca="false">(Assumptions!$B$136+Assumptions!$B$137*IF(AC70+AC72=0,1,(AC70+AC72*Assumptions!$B$138)/(AC70+AC72)))*AC7/12</f>
        <v>0.138609115934526</v>
      </c>
      <c r="AD77" s="56" t="n">
        <f aca="false">(Assumptions!$B$136+Assumptions!$B$137*IF(AD70+AD72=0,1,(AD70+AD72*Assumptions!$B$138)/(AD70+AD72)))*AD7/12</f>
        <v>0.140660743710125</v>
      </c>
      <c r="AE77" s="56" t="n">
        <f aca="false">(Assumptions!$B$136+Assumptions!$B$137*IF(AE70+AE72=0,1,(AE70+AE72*Assumptions!$B$138)/(AE70+AE72)))*AE7/12</f>
        <v>0.142754086911</v>
      </c>
    </row>
    <row r="78" customFormat="false" ht="15" hidden="false" customHeight="false" outlineLevel="0" collapsed="false">
      <c r="A78" s="6" t="s">
        <v>465</v>
      </c>
      <c r="B78" s="23" t="s">
        <v>464</v>
      </c>
      <c r="C78" s="56" t="n">
        <f aca="false">Assumptions!$B$137*IF(C70+C72=0,1,(C70+C72*Assumptions!$B$138)/(C70+C72))*C7/12</f>
        <v>0.005</v>
      </c>
      <c r="D78" s="56" t="n">
        <f aca="false">Assumptions!$B$137*IF(D70+D72=0,1,(D70+D72*Assumptions!$B$138)/(D70+D72))*D7/12</f>
        <v>0.005</v>
      </c>
      <c r="E78" s="56" t="n">
        <f aca="false">Assumptions!$B$137*IF(E70+E72=0,1,(E70+E72*Assumptions!$B$138)/(E70+E72))*E7/12</f>
        <v>0.005</v>
      </c>
      <c r="F78" s="56" t="n">
        <f aca="false">Assumptions!$B$137*IF(F70+F72=0,1,(F70+F72*Assumptions!$B$138)/(F70+F72))*F7/12</f>
        <v>0.005</v>
      </c>
      <c r="G78" s="56" t="n">
        <f aca="false">Assumptions!$B$137*IF(G70+G72=0,1,(G70+G72*Assumptions!$B$138)/(G70+G72))*G7/12</f>
        <v>0.005</v>
      </c>
      <c r="H78" s="56" t="n">
        <f aca="false">Assumptions!$B$137*IF(H70+H72=0,1,(H70+H72*Assumptions!$B$138)/(H70+H72))*H7/12</f>
        <v>0.005</v>
      </c>
      <c r="I78" s="56" t="n">
        <f aca="false">Assumptions!$B$137*IF(I70+I72=0,1,(I70+I72*Assumptions!$B$138)/(I70+I72))*I7/12</f>
        <v>0.005</v>
      </c>
      <c r="J78" s="56" t="n">
        <f aca="false">Assumptions!$B$137*IF(J70+J72=0,1,(J70+J72*Assumptions!$B$138)/(J70+J72))*J7/12</f>
        <v>0.005</v>
      </c>
      <c r="K78" s="56" t="n">
        <f aca="false">Assumptions!$B$137*IF(K70+K72=0,1,(K70+K72*Assumptions!$B$138)/(K70+K72))*K7/12</f>
        <v>0.005</v>
      </c>
      <c r="L78" s="56" t="n">
        <f aca="false">Assumptions!$B$137*IF(L70+L72=0,1,(L70+L72*Assumptions!$B$138)/(L70+L72))*L7/12</f>
        <v>0.005</v>
      </c>
      <c r="M78" s="56" t="n">
        <f aca="false">Assumptions!$B$137*IF(M70+M72=0,1,(M70+M72*Assumptions!$B$138)/(M70+M72))*M7/12</f>
        <v>0.005</v>
      </c>
      <c r="N78" s="56" t="n">
        <f aca="false">Assumptions!$B$137*IF(N70+N72=0,1,(N70+N72*Assumptions!$B$138)/(N70+N72))*N7/12</f>
        <v>0.005</v>
      </c>
      <c r="O78" s="56" t="n">
        <f aca="false">Assumptions!$B$137*IF(O70+O72=0,1,(O70+O72*Assumptions!$B$138)/(O70+O72))*O7/12</f>
        <v>0.00507380655270636</v>
      </c>
      <c r="P78" s="56" t="n">
        <f aca="false">Assumptions!$B$137*IF(P70+P72=0,1,(P70+P72*Assumptions!$B$138)/(P70+P72))*P7/12</f>
        <v>0.0051457189370967</v>
      </c>
      <c r="Q78" s="56" t="n">
        <f aca="false">Assumptions!$B$137*IF(Q70+Q72=0,1,(Q70+Q72*Assumptions!$B$138)/(Q70+Q72))*Q7/12</f>
        <v>0.00521556634724891</v>
      </c>
      <c r="R78" s="56" t="n">
        <f aca="false">Assumptions!$B$137*IF(R70+R72=0,1,(R70+R72*Assumptions!$B$138)/(R70+R72))*R7/12</f>
        <v>0.00526919354144965</v>
      </c>
      <c r="S78" s="56" t="n">
        <f aca="false">Assumptions!$B$137*IF(S70+S72=0,1,(S70+S72*Assumptions!$B$138)/(S70+S72))*S7/12</f>
        <v>0.00533131309779759</v>
      </c>
      <c r="T78" s="56" t="n">
        <f aca="false">Assumptions!$B$137*IF(T70+T72=0,1,(T70+T72*Assumptions!$B$138)/(T70+T72))*T7/12</f>
        <v>0.00540018355654875</v>
      </c>
      <c r="U78" s="56" t="n">
        <f aca="false">Assumptions!$B$137*IF(U70+U72=0,1,(U70+U72*Assumptions!$B$138)/(U70+U72))*U7/12</f>
        <v>0.00546595800101044</v>
      </c>
      <c r="V78" s="56" t="n">
        <f aca="false">Assumptions!$B$137*IF(V70+V72=0,1,(V70+V72*Assumptions!$B$138)/(V70+V72))*V7/12</f>
        <v>0.00552742890055689</v>
      </c>
      <c r="W78" s="56" t="n">
        <f aca="false">Assumptions!$B$137*IF(W70+W72=0,1,(W70+W72*Assumptions!$B$138)/(W70+W72))*W7/12</f>
        <v>0.00558024467326739</v>
      </c>
      <c r="X78" s="56" t="n">
        <f aca="false">Assumptions!$B$137*IF(X70+X72=0,1,(X70+X72*Assumptions!$B$138)/(X70+X72))*X7/12</f>
        <v>0.00561157508588361</v>
      </c>
      <c r="Y78" s="56" t="n">
        <f aca="false">Assumptions!$B$137*IF(Y70+Y72=0,1,(Y70+Y72*Assumptions!$B$138)/(Y70+Y72))*Y7/12</f>
        <v>0.00565226863517746</v>
      </c>
      <c r="Z78" s="56" t="n">
        <f aca="false">Assumptions!$B$137*IF(Z70+Z72=0,1,(Z70+Z72*Assumptions!$B$138)/(Z70+Z72))*Z7/12</f>
        <v>0.00570149558205351</v>
      </c>
      <c r="AA78" s="56" t="n">
        <f aca="false">Assumptions!$B$137*IF(AA70+AA72=0,1,(AA70+AA72*Assumptions!$B$138)/(AA70+AA72))*AA7/12</f>
        <v>0.0735763543552235</v>
      </c>
      <c r="AB78" s="56" t="n">
        <f aca="false">Assumptions!$B$137*IF(AB70+AB72=0,1,(AB70+AB72*Assumptions!$B$138)/(AB70+AB72))*AB7/12</f>
        <v>0.0764782038604949</v>
      </c>
      <c r="AC78" s="56" t="n">
        <f aca="false">Assumptions!$B$137*IF(AC70+AC72=0,1,(AC70+AC72*Assumptions!$B$138)/(AC70+AC72))*AC7/12</f>
        <v>0.0786091159345257</v>
      </c>
      <c r="AD78" s="56" t="n">
        <f aca="false">Assumptions!$B$137*IF(AD70+AD72=0,1,(AD70+AD72*Assumptions!$B$138)/(AD70+AD72))*AD7/12</f>
        <v>0.0806607437101252</v>
      </c>
      <c r="AE78" s="56" t="n">
        <f aca="false">Assumptions!$B$137*IF(AE70+AE72=0,1,(AE70+AE72*Assumptions!$B$138)/(AE70+AE72))*AE7/12</f>
        <v>0.0827540869110003</v>
      </c>
    </row>
    <row r="79" customFormat="false" ht="15" hidden="false" customHeight="false" outlineLevel="0" collapsed="false">
      <c r="A79" s="6" t="s">
        <v>466</v>
      </c>
      <c r="B79" s="23" t="s">
        <v>47</v>
      </c>
      <c r="C79" s="45" t="n">
        <f aca="false">C76</f>
        <v>0</v>
      </c>
      <c r="D79" s="45" t="n">
        <f aca="false">C79*(1-D77)+D76</f>
        <v>0</v>
      </c>
      <c r="E79" s="45" t="n">
        <f aca="false">D79*(1-E77)+E76</f>
        <v>0</v>
      </c>
      <c r="F79" s="45" t="n">
        <f aca="false">E79*(1-F77)+F76</f>
        <v>0</v>
      </c>
      <c r="G79" s="45" t="n">
        <f aca="false">F79*(1-G77)+G76</f>
        <v>0</v>
      </c>
      <c r="H79" s="45" t="n">
        <f aca="false">G79*(1-H77)+H76</f>
        <v>0</v>
      </c>
      <c r="I79" s="45" t="n">
        <f aca="false">H79*(1-I77)+I76</f>
        <v>0</v>
      </c>
      <c r="J79" s="45" t="n">
        <f aca="false">I79*(1-J77)+J76</f>
        <v>0</v>
      </c>
      <c r="K79" s="45" t="n">
        <f aca="false">J79*(1-K77)+K76</f>
        <v>0</v>
      </c>
      <c r="L79" s="45" t="n">
        <f aca="false">K79*(1-L77)+L76</f>
        <v>0</v>
      </c>
      <c r="M79" s="45" t="n">
        <f aca="false">L79*(1-M77)+M76</f>
        <v>0</v>
      </c>
      <c r="N79" s="45" t="n">
        <f aca="false">M79*(1-N77)+N76</f>
        <v>0</v>
      </c>
      <c r="O79" s="45" t="n">
        <f aca="false">N79*(1-O77)+O76</f>
        <v>12.1338765310747</v>
      </c>
      <c r="P79" s="45" t="n">
        <f aca="false">O79*(1-P77)+P76</f>
        <v>35.4164276031106</v>
      </c>
      <c r="Q79" s="45" t="n">
        <f aca="false">P79*(1-Q77)+Q76</f>
        <v>68.9799344311816</v>
      </c>
      <c r="R79" s="45" t="n">
        <f aca="false">Q79*(1-R77)+R76</f>
        <v>115.454892867218</v>
      </c>
      <c r="S79" s="45" t="n">
        <f aca="false">R79*(1-S77)+S76</f>
        <v>173.013125100672</v>
      </c>
      <c r="T79" s="45" t="n">
        <f aca="false">S79*(1-T77)+T76</f>
        <v>239.115195881108</v>
      </c>
      <c r="U79" s="45" t="n">
        <f aca="false">T79*(1-U77)+U76</f>
        <v>313.01933108064</v>
      </c>
      <c r="V79" s="45" t="n">
        <f aca="false">U79*(1-V77)+V76</f>
        <v>394.414639342202</v>
      </c>
      <c r="W79" s="45" t="n">
        <f aca="false">V79*(1-W77)+W76</f>
        <v>484.145234859408</v>
      </c>
      <c r="X79" s="45" t="n">
        <f aca="false">W79*(1-X77)+X76</f>
        <v>586.564193706681</v>
      </c>
      <c r="Y79" s="45" t="n">
        <f aca="false">X79*(1-Y77)+Y76</f>
        <v>699.81725105954</v>
      </c>
      <c r="Z79" s="45" t="n">
        <f aca="false">Y79*(1-Z77)+Z76</f>
        <v>821.415082320422</v>
      </c>
      <c r="AA79" s="45" t="n">
        <f aca="false">Z79*(1-AA77)+AA76</f>
        <v>3853.47439796582</v>
      </c>
      <c r="AB79" s="45" t="n">
        <f aca="false">AA79*(1-AB77)+AB76</f>
        <v>8392.38993294732</v>
      </c>
      <c r="AC79" s="45" t="n">
        <f aca="false">AB79*(1-AC77)+AC76</f>
        <v>14386.9407051978</v>
      </c>
      <c r="AD79" s="45" t="n">
        <f aca="false">AC79*(1-AD77)+AD76</f>
        <v>21172.4671614883</v>
      </c>
      <c r="AE79" s="45" t="n">
        <f aca="false">AD79*(1-AE77)+AE76</f>
        <v>27702.8074805287</v>
      </c>
    </row>
    <row r="80" customFormat="false" ht="15" hidden="false" customHeight="false" outlineLevel="0" collapsed="false">
      <c r="A80" s="6" t="s">
        <v>467</v>
      </c>
      <c r="B80" s="23" t="s">
        <v>47</v>
      </c>
      <c r="C80" s="45" t="n">
        <f aca="false">C76</f>
        <v>0</v>
      </c>
      <c r="D80" s="45" t="n">
        <f aca="false">C80*(1-D78)+D76</f>
        <v>0</v>
      </c>
      <c r="E80" s="45" t="n">
        <f aca="false">D80*(1-E78)+E76</f>
        <v>0</v>
      </c>
      <c r="F80" s="45" t="n">
        <f aca="false">E80*(1-F78)+F76</f>
        <v>0</v>
      </c>
      <c r="G80" s="45" t="n">
        <f aca="false">F80*(1-G78)+G76</f>
        <v>0</v>
      </c>
      <c r="H80" s="45" t="n">
        <f aca="false">G80*(1-H78)+H76</f>
        <v>0</v>
      </c>
      <c r="I80" s="45" t="n">
        <f aca="false">H80*(1-I78)+I76</f>
        <v>0</v>
      </c>
      <c r="J80" s="45" t="n">
        <f aca="false">I80*(1-J78)+J76</f>
        <v>0</v>
      </c>
      <c r="K80" s="45" t="n">
        <f aca="false">J80*(1-K78)+K76</f>
        <v>0</v>
      </c>
      <c r="L80" s="45" t="n">
        <f aca="false">K80*(1-L78)+L76</f>
        <v>0</v>
      </c>
      <c r="M80" s="45" t="n">
        <f aca="false">L80*(1-M78)+M76</f>
        <v>0</v>
      </c>
      <c r="N80" s="45" t="n">
        <f aca="false">M80*(1-N78)+N76</f>
        <v>0</v>
      </c>
      <c r="O80" s="45" t="n">
        <f aca="false">N80*(1-O78)+O76</f>
        <v>12.1338765310747</v>
      </c>
      <c r="P80" s="45" t="n">
        <f aca="false">O80*(1-P78)+P76</f>
        <v>35.477096985766</v>
      </c>
      <c r="Q80" s="45" t="n">
        <f aca="false">P80*(1-Q78)+Q76</f>
        <v>69.217369526662</v>
      </c>
      <c r="R80" s="45" t="n">
        <f aca="false">Q80*(1-R78)+R76</f>
        <v>116.035976543383</v>
      </c>
      <c r="S80" s="45" t="n">
        <f aca="false">R80*(1-S78)+S76</f>
        <v>174.168385302159</v>
      </c>
      <c r="T80" s="45" t="n">
        <f aca="false">S80*(1-T78)+T76</f>
        <v>241.129283090955</v>
      </c>
      <c r="U80" s="45" t="n">
        <f aca="false">T80*(1-U78)+U76</f>
        <v>316.217985353794</v>
      </c>
      <c r="V80" s="45" t="n">
        <f aca="false">U80*(1-V78)+V76</f>
        <v>399.160709936686</v>
      </c>
      <c r="W80" s="45" t="n">
        <f aca="false">V80*(1-W78)+W76</f>
        <v>490.836894415449</v>
      </c>
      <c r="X80" s="45" t="n">
        <f aca="false">W80*(1-X78)+X76</f>
        <v>595.639028686971</v>
      </c>
      <c r="Y80" s="45" t="n">
        <f aca="false">X80*(1-Y78)+Y76</f>
        <v>711.773613603235</v>
      </c>
      <c r="Z80" s="45" t="n">
        <f aca="false">Y80*(1-Z78)+Z76</f>
        <v>836.802361971194</v>
      </c>
      <c r="AA80" s="45" t="n">
        <f aca="false">Z80*(1-AA78)+AA76</f>
        <v>3917.01444261567</v>
      </c>
      <c r="AB80" s="45" t="n">
        <f aca="false">AA80*(1-AB78)+AB76</f>
        <v>8682.27901298708</v>
      </c>
      <c r="AC80" s="45" t="n">
        <f aca="false">AB80*(1-AC78)+AC76</f>
        <v>15157.5852569134</v>
      </c>
      <c r="AD80" s="45" t="n">
        <f aca="false">AC80*(1-AD78)+AD76</f>
        <v>22744.1673928383</v>
      </c>
      <c r="AE80" s="45" t="n">
        <f aca="false">AD80*(1-AE78)+AE76</f>
        <v>30414.7911240247</v>
      </c>
    </row>
    <row r="81" customFormat="false" ht="15" hidden="false" customHeight="false" outlineLevel="0" collapsed="false">
      <c r="A81" s="6" t="s">
        <v>468</v>
      </c>
      <c r="B81" s="23" t="s">
        <v>114</v>
      </c>
      <c r="C81" s="57" t="n">
        <f aca="false">C79*C21</f>
        <v>0</v>
      </c>
      <c r="D81" s="57" t="n">
        <f aca="false">D79*D21</f>
        <v>0</v>
      </c>
      <c r="E81" s="57" t="n">
        <f aca="false">E79*E21</f>
        <v>0</v>
      </c>
      <c r="F81" s="57" t="n">
        <f aca="false">F79*F21</f>
        <v>0</v>
      </c>
      <c r="G81" s="57" t="n">
        <f aca="false">G79*G21</f>
        <v>0</v>
      </c>
      <c r="H81" s="57" t="n">
        <f aca="false">H79*H21</f>
        <v>0</v>
      </c>
      <c r="I81" s="57" t="n">
        <f aca="false">I79*I21</f>
        <v>0</v>
      </c>
      <c r="J81" s="57" t="n">
        <f aca="false">J79*J21</f>
        <v>0</v>
      </c>
      <c r="K81" s="57" t="n">
        <f aca="false">K79*K21</f>
        <v>0</v>
      </c>
      <c r="L81" s="57" t="n">
        <f aca="false">L79*L21</f>
        <v>0</v>
      </c>
      <c r="M81" s="57" t="n">
        <f aca="false">M79*M21</f>
        <v>0</v>
      </c>
      <c r="N81" s="57" t="n">
        <f aca="false">N79*N21</f>
        <v>0</v>
      </c>
      <c r="O81" s="57" t="n">
        <f aca="false">O79*O21</f>
        <v>1855.49128618678</v>
      </c>
      <c r="P81" s="57" t="n">
        <f aca="false">P79*P21</f>
        <v>5415.81848448365</v>
      </c>
      <c r="Q81" s="57" t="n">
        <f aca="false">Q79*Q21</f>
        <v>10548.2915481304</v>
      </c>
      <c r="R81" s="57" t="n">
        <f aca="false">R79*R21</f>
        <v>17655.1613257414</v>
      </c>
      <c r="S81" s="57" t="n">
        <f aca="false">S79*S21</f>
        <v>26456.8660475571</v>
      </c>
      <c r="T81" s="57" t="n">
        <f aca="false">T79*T21</f>
        <v>36565.0796936982</v>
      </c>
      <c r="U81" s="57" t="n">
        <f aca="false">U79*U21</f>
        <v>47866.3714552155</v>
      </c>
      <c r="V81" s="57" t="n">
        <f aca="false">V79*V21</f>
        <v>60313.2003667371</v>
      </c>
      <c r="W81" s="57" t="n">
        <f aca="false">W79*W21</f>
        <v>74034.646901992</v>
      </c>
      <c r="X81" s="57" t="n">
        <f aca="false">X79*X21</f>
        <v>89696.3758799285</v>
      </c>
      <c r="Y81" s="57" t="n">
        <f aca="false">Y79*Y21</f>
        <v>107014.836350008</v>
      </c>
      <c r="Z81" s="57" t="n">
        <f aca="false">Z79*Z21</f>
        <v>125609.365126196</v>
      </c>
      <c r="AA81" s="57" t="n">
        <f aca="false">AA79*AA21</f>
        <v>636997.194482691</v>
      </c>
      <c r="AB81" s="57" t="n">
        <f aca="false">AB79*AB21</f>
        <v>1499672.36880268</v>
      </c>
      <c r="AC81" s="57" t="n">
        <f aca="false">AC79*AC21</f>
        <v>2779104.5371767</v>
      </c>
      <c r="AD81" s="57" t="n">
        <f aca="false">AD79*AD21</f>
        <v>4421133.11778825</v>
      </c>
      <c r="AE81" s="57" t="n">
        <f aca="false">AE79*AE21</f>
        <v>6253333.65102305</v>
      </c>
    </row>
    <row r="82" customFormat="false" ht="15" hidden="false" customHeight="false" outlineLevel="0" collapsed="false">
      <c r="A82" s="6" t="s">
        <v>469</v>
      </c>
      <c r="B82" s="23" t="s">
        <v>190</v>
      </c>
      <c r="C82" s="54" t="n">
        <f aca="false">C70+C72*Assumptions!$B$177</f>
        <v>0</v>
      </c>
      <c r="D82" s="54" t="n">
        <f aca="false">D70+D72*Assumptions!$B$177</f>
        <v>0</v>
      </c>
      <c r="E82" s="54" t="n">
        <f aca="false">E70+E72*Assumptions!$B$177</f>
        <v>0</v>
      </c>
      <c r="F82" s="54" t="n">
        <f aca="false">F70+F72*Assumptions!$B$177</f>
        <v>0</v>
      </c>
      <c r="G82" s="54" t="n">
        <f aca="false">G70+G72*Assumptions!$B$177</f>
        <v>0</v>
      </c>
      <c r="H82" s="54" t="n">
        <f aca="false">H70+H72*Assumptions!$B$177</f>
        <v>0</v>
      </c>
      <c r="I82" s="54" t="n">
        <f aca="false">I70+I72*Assumptions!$B$177</f>
        <v>0</v>
      </c>
      <c r="J82" s="54" t="n">
        <f aca="false">J70+J72*Assumptions!$B$177</f>
        <v>0</v>
      </c>
      <c r="K82" s="54" t="n">
        <f aca="false">K70+K72*Assumptions!$B$177</f>
        <v>0</v>
      </c>
      <c r="L82" s="54" t="n">
        <f aca="false">L70+L72*Assumptions!$B$177</f>
        <v>0</v>
      </c>
      <c r="M82" s="54" t="n">
        <f aca="false">M70+M72*Assumptions!$B$177</f>
        <v>0</v>
      </c>
      <c r="N82" s="54" t="n">
        <f aca="false">N70+N72*Assumptions!$B$177</f>
        <v>0</v>
      </c>
      <c r="O82" s="54" t="n">
        <f aca="false">O70+O72*Assumptions!$B$177</f>
        <v>72.4473</v>
      </c>
      <c r="P82" s="54" t="n">
        <f aca="false">P70+P72*Assumptions!$B$177</f>
        <v>143.268193520962</v>
      </c>
      <c r="Q82" s="54" t="n">
        <f aca="false">Q70+Q72*Assumptions!$B$177</f>
        <v>212.869069761923</v>
      </c>
      <c r="R82" s="54" t="n">
        <f aca="false">R70+R72*Assumptions!$B$177</f>
        <v>301.872327686181</v>
      </c>
      <c r="S82" s="54" t="n">
        <f aca="false">S70+S72*Assumptions!$B$177</f>
        <v>384.630348735531</v>
      </c>
      <c r="T82" s="54" t="n">
        <f aca="false">T70+T72*Assumptions!$B$177</f>
        <v>456.312072334953</v>
      </c>
      <c r="U82" s="54" t="n">
        <f aca="false">U70+U72*Assumptions!$B$177</f>
        <v>526.797042678844</v>
      </c>
      <c r="V82" s="54" t="n">
        <f aca="false">V70+V72*Assumptions!$B$177</f>
        <v>598.428229627979</v>
      </c>
      <c r="W82" s="54" t="n">
        <f aca="false">W70+W72*Assumptions!$B$177</f>
        <v>678.010546193761</v>
      </c>
      <c r="X82" s="54" t="n">
        <f aca="false">X70+X72*Assumptions!$B$177</f>
        <v>786.775349934666</v>
      </c>
      <c r="Y82" s="54" t="n">
        <f aca="false">Y70+Y72*Assumptions!$B$177</f>
        <v>889.303256168486</v>
      </c>
      <c r="Z82" s="54" t="n">
        <f aca="false">Z70+Z72*Assumptions!$B$177</f>
        <v>981.211367265718</v>
      </c>
      <c r="AA82" s="54" t="n">
        <f aca="false">AA70+AA72*Assumptions!$B$177</f>
        <v>2646.19010151054</v>
      </c>
      <c r="AB82" s="54" t="n">
        <f aca="false">AB70+AB72*Assumptions!$B$177</f>
        <v>5296.90547362023</v>
      </c>
      <c r="AC82" s="54" t="n">
        <f aca="false">AC70+AC72*Assumptions!$B$177</f>
        <v>9083.67123977318</v>
      </c>
      <c r="AD82" s="54" t="n">
        <f aca="false">AD70+AD72*Assumptions!$B$177</f>
        <v>13701.2697766806</v>
      </c>
      <c r="AE82" s="54" t="n">
        <f aca="false">AE70+AE72*Assumptions!$B$177</f>
        <v>18599.5639670413</v>
      </c>
    </row>
    <row r="83" customFormat="false" ht="15" hidden="false" customHeight="false" outlineLevel="0" collapsed="false">
      <c r="A83" s="6" t="s">
        <v>470</v>
      </c>
      <c r="B83" s="23" t="s">
        <v>190</v>
      </c>
      <c r="C83" s="45" t="n">
        <f aca="false">IF(C7&gt;1,C82*Assumptions!$B$134,IF(C2&gt;Assumptions!$B$135,INDEX($C$82:$AE$82,1,C2-Assumptions!$B$135)*Assumptions!$B$134,0))</f>
        <v>0</v>
      </c>
      <c r="D83" s="45" t="n">
        <f aca="false">IF(D7&gt;1,D82*Assumptions!$B$134,IF(D2&gt;Assumptions!$B$135,INDEX($C$82:$AE$82,1,D2-Assumptions!$B$135)*Assumptions!$B$134,0))</f>
        <v>0</v>
      </c>
      <c r="E83" s="45" t="n">
        <f aca="false">IF(E7&gt;1,E82*Assumptions!$B$134,IF(E2&gt;Assumptions!$B$135,INDEX($C$82:$AE$82,1,E2-Assumptions!$B$135)*Assumptions!$B$134,0))</f>
        <v>0</v>
      </c>
      <c r="F83" s="45" t="n">
        <f aca="false">IF(F7&gt;1,F82*Assumptions!$B$134,IF(F2&gt;Assumptions!$B$135,INDEX($C$82:$AE$82,1,F2-Assumptions!$B$135)*Assumptions!$B$134,0))</f>
        <v>0</v>
      </c>
      <c r="G83" s="45" t="n">
        <f aca="false">IF(G7&gt;1,G82*Assumptions!$B$134,IF(G2&gt;Assumptions!$B$135,INDEX($C$82:$AE$82,1,G2-Assumptions!$B$135)*Assumptions!$B$134,0))</f>
        <v>0</v>
      </c>
      <c r="H83" s="45" t="n">
        <f aca="false">IF(H7&gt;1,H82*Assumptions!$B$134,IF(H2&gt;Assumptions!$B$135,INDEX($C$82:$AE$82,1,H2-Assumptions!$B$135)*Assumptions!$B$134,0))</f>
        <v>0</v>
      </c>
      <c r="I83" s="45" t="n">
        <f aca="false">IF(I7&gt;1,I82*Assumptions!$B$134,IF(I2&gt;Assumptions!$B$135,INDEX($C$82:$AE$82,1,I2-Assumptions!$B$135)*Assumptions!$B$134,0))</f>
        <v>0</v>
      </c>
      <c r="J83" s="45" t="n">
        <f aca="false">IF(J7&gt;1,J82*Assumptions!$B$134,IF(J2&gt;Assumptions!$B$135,INDEX($C$82:$AE$82,1,J2-Assumptions!$B$135)*Assumptions!$B$134,0))</f>
        <v>0</v>
      </c>
      <c r="K83" s="45" t="n">
        <f aca="false">IF(K7&gt;1,K82*Assumptions!$B$134,IF(K2&gt;Assumptions!$B$135,INDEX($C$82:$AE$82,1,K2-Assumptions!$B$135)*Assumptions!$B$134,0))</f>
        <v>0</v>
      </c>
      <c r="L83" s="45" t="n">
        <f aca="false">IF(L7&gt;1,L82*Assumptions!$B$134,IF(L2&gt;Assumptions!$B$135,INDEX($C$82:$AE$82,1,L2-Assumptions!$B$135)*Assumptions!$B$134,0))</f>
        <v>0</v>
      </c>
      <c r="M83" s="45" t="n">
        <f aca="false">IF(M7&gt;1,M82*Assumptions!$B$134,IF(M2&gt;Assumptions!$B$135,INDEX($C$82:$AE$82,1,M2-Assumptions!$B$135)*Assumptions!$B$134,0))</f>
        <v>0</v>
      </c>
      <c r="N83" s="45" t="n">
        <f aca="false">IF(N7&gt;1,N82*Assumptions!$B$134,IF(N2&gt;Assumptions!$B$135,INDEX($C$82:$AE$82,1,N2-Assumptions!$B$135)*Assumptions!$B$134,0))</f>
        <v>0</v>
      </c>
      <c r="O83" s="45" t="n">
        <f aca="false">IF(O7&gt;1,O82*Assumptions!$B$134,IF(O2&gt;Assumptions!$B$135,INDEX($C$82:$AE$82,1,O2-Assumptions!$B$135)*Assumptions!$B$134,0))</f>
        <v>0</v>
      </c>
      <c r="P83" s="45" t="n">
        <f aca="false">IF(P7&gt;1,P82*Assumptions!$B$134,IF(P2&gt;Assumptions!$B$135,INDEX($C$82:$AE$82,1,P2-Assumptions!$B$135)*Assumptions!$B$134,0))</f>
        <v>0</v>
      </c>
      <c r="Q83" s="45" t="n">
        <f aca="false">IF(Q7&gt;1,Q82*Assumptions!$B$134,IF(Q2&gt;Assumptions!$B$135,INDEX($C$82:$AE$82,1,Q2-Assumptions!$B$135)*Assumptions!$B$134,0))</f>
        <v>0</v>
      </c>
      <c r="R83" s="45" t="n">
        <f aca="false">IF(R7&gt;1,R82*Assumptions!$B$134,IF(R2&gt;Assumptions!$B$135,INDEX($C$82:$AE$82,1,R2-Assumptions!$B$135)*Assumptions!$B$134,0))</f>
        <v>0</v>
      </c>
      <c r="S83" s="45" t="n">
        <f aca="false">IF(S7&gt;1,S82*Assumptions!$B$134,IF(S2&gt;Assumptions!$B$135,INDEX($C$82:$AE$82,1,S2-Assumptions!$B$135)*Assumptions!$B$134,0))</f>
        <v>0</v>
      </c>
      <c r="T83" s="45" t="n">
        <f aca="false">IF(T7&gt;1,T82*Assumptions!$B$134,IF(T2&gt;Assumptions!$B$135,INDEX($C$82:$AE$82,1,T2-Assumptions!$B$135)*Assumptions!$B$134,0))</f>
        <v>0</v>
      </c>
      <c r="U83" s="45" t="n">
        <f aca="false">IF(U7&gt;1,U82*Assumptions!$B$134,IF(U2&gt;Assumptions!$B$135,INDEX($C$82:$AE$82,1,U2-Assumptions!$B$135)*Assumptions!$B$134,0))</f>
        <v>0</v>
      </c>
      <c r="V83" s="45" t="n">
        <f aca="false">IF(V7&gt;1,V82*Assumptions!$B$134,IF(V2&gt;Assumptions!$B$135,INDEX($C$82:$AE$82,1,V2-Assumptions!$B$135)*Assumptions!$B$134,0))</f>
        <v>0</v>
      </c>
      <c r="W83" s="45" t="n">
        <f aca="false">IF(W7&gt;1,W82*Assumptions!$B$134,IF(W2&gt;Assumptions!$B$135,INDEX($C$82:$AE$82,1,W2-Assumptions!$B$135)*Assumptions!$B$134,0))</f>
        <v>39.846015</v>
      </c>
      <c r="X83" s="45" t="n">
        <f aca="false">IF(X7&gt;1,X82*Assumptions!$B$134,IF(X2&gt;Assumptions!$B$135,INDEX($C$82:$AE$82,1,X2-Assumptions!$B$135)*Assumptions!$B$134,0))</f>
        <v>78.7975064365289</v>
      </c>
      <c r="Y83" s="45" t="n">
        <f aca="false">IF(Y7&gt;1,Y82*Assumptions!$B$134,IF(Y2&gt;Assumptions!$B$135,INDEX($C$82:$AE$82,1,Y2-Assumptions!$B$135)*Assumptions!$B$134,0))</f>
        <v>117.077988369058</v>
      </c>
      <c r="Z83" s="45" t="n">
        <f aca="false">IF(Z7&gt;1,Z82*Assumptions!$B$134,IF(Z2&gt;Assumptions!$B$135,INDEX($C$82:$AE$82,1,Z2-Assumptions!$B$135)*Assumptions!$B$134,0))</f>
        <v>166.0297802274</v>
      </c>
      <c r="AA83" s="45" t="n">
        <f aca="false">IF(AA7&gt;1,AA82*Assumptions!$B$134,IF(AA2&gt;Assumptions!$B$135,INDEX($C$82:$AE$82,1,AA2-Assumptions!$B$135)*Assumptions!$B$134,0))</f>
        <v>1455.4045558308</v>
      </c>
      <c r="AB83" s="45" t="n">
        <f aca="false">IF(AB7&gt;1,AB82*Assumptions!$B$134,IF(AB2&gt;Assumptions!$B$135,INDEX($C$82:$AE$82,1,AB2-Assumptions!$B$135)*Assumptions!$B$134,0))</f>
        <v>2913.29801049113</v>
      </c>
      <c r="AC83" s="45" t="n">
        <f aca="false">IF(AC7&gt;1,AC82*Assumptions!$B$134,IF(AC2&gt;Assumptions!$B$135,INDEX($C$82:$AE$82,1,AC2-Assumptions!$B$135)*Assumptions!$B$134,0))</f>
        <v>4996.01918187525</v>
      </c>
      <c r="AD83" s="45" t="n">
        <f aca="false">IF(AD7&gt;1,AD82*Assumptions!$B$134,IF(AD2&gt;Assumptions!$B$135,INDEX($C$82:$AE$82,1,AD2-Assumptions!$B$135)*Assumptions!$B$134,0))</f>
        <v>7535.69837717434</v>
      </c>
      <c r="AE83" s="45" t="n">
        <f aca="false">IF(AE7&gt;1,AE82*Assumptions!$B$134,IF(AE2&gt;Assumptions!$B$135,INDEX($C$82:$AE$82,1,AE2-Assumptions!$B$135)*Assumptions!$B$134,0))</f>
        <v>10229.7601818727</v>
      </c>
    </row>
    <row r="84" customFormat="false" ht="15" hidden="false" customHeight="false" outlineLevel="0" collapsed="false">
      <c r="A84" s="6" t="s">
        <v>471</v>
      </c>
      <c r="B84" s="23" t="s">
        <v>472</v>
      </c>
      <c r="C84" s="28" t="n">
        <f aca="false">IF(C2&gt;=Assumptions!$B$51,C83*Assumptions!$B$143,0)</f>
        <v>0</v>
      </c>
      <c r="D84" s="28" t="n">
        <f aca="false">IF(D2&gt;=Assumptions!$B$51,D83*Assumptions!$B$143,0)</f>
        <v>0</v>
      </c>
      <c r="E84" s="28" t="n">
        <f aca="false">IF(E2&gt;=Assumptions!$B$51,E83*Assumptions!$B$143,0)</f>
        <v>0</v>
      </c>
      <c r="F84" s="28" t="n">
        <f aca="false">IF(F2&gt;=Assumptions!$B$51,F83*Assumptions!$B$143,0)</f>
        <v>0</v>
      </c>
      <c r="G84" s="28" t="n">
        <f aca="false">IF(G2&gt;=Assumptions!$B$51,G83*Assumptions!$B$143,0)</f>
        <v>0</v>
      </c>
      <c r="H84" s="28" t="n">
        <f aca="false">IF(H2&gt;=Assumptions!$B$51,H83*Assumptions!$B$143,0)</f>
        <v>0</v>
      </c>
      <c r="I84" s="28" t="n">
        <f aca="false">IF(I2&gt;=Assumptions!$B$51,I83*Assumptions!$B$143,0)</f>
        <v>0</v>
      </c>
      <c r="J84" s="28" t="n">
        <f aca="false">IF(J2&gt;=Assumptions!$B$51,J83*Assumptions!$B$143,0)</f>
        <v>0</v>
      </c>
      <c r="K84" s="28" t="n">
        <f aca="false">IF(K2&gt;=Assumptions!$B$51,K83*Assumptions!$B$143,0)</f>
        <v>0</v>
      </c>
      <c r="L84" s="28" t="n">
        <f aca="false">IF(L2&gt;=Assumptions!$B$51,L83*Assumptions!$B$143,0)</f>
        <v>0</v>
      </c>
      <c r="M84" s="28" t="n">
        <f aca="false">IF(M2&gt;=Assumptions!$B$51,M83*Assumptions!$B$143,0)</f>
        <v>0</v>
      </c>
      <c r="N84" s="28" t="n">
        <f aca="false">IF(N2&gt;=Assumptions!$B$51,N83*Assumptions!$B$143,0)</f>
        <v>0</v>
      </c>
      <c r="O84" s="28" t="n">
        <f aca="false">IF(O2&gt;=Assumptions!$B$51,O83*Assumptions!$B$143,0)</f>
        <v>0</v>
      </c>
      <c r="P84" s="28" t="n">
        <f aca="false">IF(P2&gt;=Assumptions!$B$51,P83*Assumptions!$B$143,0)</f>
        <v>0</v>
      </c>
      <c r="Q84" s="28" t="n">
        <f aca="false">IF(Q2&gt;=Assumptions!$B$51,Q83*Assumptions!$B$143,0)</f>
        <v>0</v>
      </c>
      <c r="R84" s="28" t="n">
        <f aca="false">IF(R2&gt;=Assumptions!$B$51,R83*Assumptions!$B$143,0)</f>
        <v>0</v>
      </c>
      <c r="S84" s="28" t="n">
        <f aca="false">IF(S2&gt;=Assumptions!$B$51,S83*Assumptions!$B$143,0)</f>
        <v>0</v>
      </c>
      <c r="T84" s="28" t="n">
        <f aca="false">IF(T2&gt;=Assumptions!$B$51,T83*Assumptions!$B$143,0)</f>
        <v>0</v>
      </c>
      <c r="U84" s="28" t="n">
        <f aca="false">IF(U2&gt;=Assumptions!$B$51,U83*Assumptions!$B$143,0)</f>
        <v>0</v>
      </c>
      <c r="V84" s="28" t="n">
        <f aca="false">IF(V2&gt;=Assumptions!$B$51,V83*Assumptions!$B$143,0)</f>
        <v>0</v>
      </c>
      <c r="W84" s="28" t="n">
        <f aca="false">IF(W2&gt;=Assumptions!$B$51,W83*Assumptions!$B$143,0)</f>
        <v>7.1722827</v>
      </c>
      <c r="X84" s="28" t="n">
        <f aca="false">IF(X2&gt;=Assumptions!$B$51,X83*Assumptions!$B$143,0)</f>
        <v>14.1835511585752</v>
      </c>
      <c r="Y84" s="28" t="n">
        <f aca="false">IF(Y2&gt;=Assumptions!$B$51,Y83*Assumptions!$B$143,0)</f>
        <v>21.0740379064304</v>
      </c>
      <c r="Z84" s="28" t="n">
        <f aca="false">IF(Z2&gt;=Assumptions!$B$51,Z83*Assumptions!$B$143,0)</f>
        <v>29.8853604409319</v>
      </c>
      <c r="AA84" s="28" t="n">
        <f aca="false">IF(AA2&gt;=Assumptions!$B$51,AA83*Assumptions!$B$143,0)</f>
        <v>261.972820049544</v>
      </c>
      <c r="AB84" s="28" t="n">
        <f aca="false">IF(AB2&gt;=Assumptions!$B$51,AB83*Assumptions!$B$143,0)</f>
        <v>524.393641888403</v>
      </c>
      <c r="AC84" s="28" t="n">
        <f aca="false">IF(AC2&gt;=Assumptions!$B$51,AC83*Assumptions!$B$143,0)</f>
        <v>899.283452737545</v>
      </c>
      <c r="AD84" s="28" t="n">
        <f aca="false">IF(AD2&gt;=Assumptions!$B$51,AD83*Assumptions!$B$143,0)</f>
        <v>1356.42570789138</v>
      </c>
      <c r="AE84" s="28" t="n">
        <f aca="false">IF(AE2&gt;=Assumptions!$B$51,AE83*Assumptions!$B$143,0)</f>
        <v>1841.35683273709</v>
      </c>
    </row>
    <row r="85" customFormat="false" ht="15" hidden="false" customHeight="false" outlineLevel="0" collapsed="false">
      <c r="A85" s="6" t="s">
        <v>473</v>
      </c>
      <c r="B85" s="23" t="s">
        <v>114</v>
      </c>
      <c r="C85" s="55" t="n">
        <f aca="false">IF(C70=0,0,C81/C70*Assumptions!$B$31)</f>
        <v>0</v>
      </c>
      <c r="D85" s="55" t="n">
        <f aca="false">IF(D70=0,0,D81/D70*Assumptions!$B$31)</f>
        <v>0</v>
      </c>
      <c r="E85" s="55" t="n">
        <f aca="false">IF(E70=0,0,E81/E70*Assumptions!$B$31)</f>
        <v>0</v>
      </c>
      <c r="F85" s="55" t="n">
        <f aca="false">IF(F70=0,0,F81/F70*Assumptions!$B$31)</f>
        <v>0</v>
      </c>
      <c r="G85" s="55" t="n">
        <f aca="false">IF(G70=0,0,G81/G70*Assumptions!$B$31)</f>
        <v>0</v>
      </c>
      <c r="H85" s="55" t="n">
        <f aca="false">IF(H70=0,0,H81/H70*Assumptions!$B$31)</f>
        <v>0</v>
      </c>
      <c r="I85" s="55" t="n">
        <f aca="false">IF(I70=0,0,I81/I70*Assumptions!$B$31)</f>
        <v>0</v>
      </c>
      <c r="J85" s="55" t="n">
        <f aca="false">IF(J70=0,0,J81/J70*Assumptions!$B$31)</f>
        <v>0</v>
      </c>
      <c r="K85" s="55" t="n">
        <f aca="false">IF(K70=0,0,K81/K70*Assumptions!$B$31)</f>
        <v>0</v>
      </c>
      <c r="L85" s="55" t="n">
        <f aca="false">IF(L70=0,0,L81/L70*Assumptions!$B$31)</f>
        <v>0</v>
      </c>
      <c r="M85" s="55" t="n">
        <f aca="false">IF(M70=0,0,M81/M70*Assumptions!$B$31)</f>
        <v>0</v>
      </c>
      <c r="N85" s="55" t="n">
        <f aca="false">IF(N70=0,0,N81/N70*Assumptions!$B$31)</f>
        <v>0</v>
      </c>
      <c r="O85" s="55" t="n">
        <f aca="false">IF(O70=0,0,O81/O70*Assumptions!$B$31)</f>
        <v>13.1287972085386</v>
      </c>
      <c r="P85" s="55" t="n">
        <f aca="false">IF(P70=0,0,P81/P70*Assumptions!$B$31)</f>
        <v>19.8659271356416</v>
      </c>
      <c r="Q85" s="55" t="n">
        <f aca="false">IF(Q70=0,0,Q81/Q70*Assumptions!$B$31)</f>
        <v>26.6946325781983</v>
      </c>
      <c r="R85" s="55" t="n">
        <f aca="false">IF(R70=0,0,R81/R70*Assumptions!$B$31)</f>
        <v>32.1254133638931</v>
      </c>
      <c r="S85" s="55" t="n">
        <f aca="false">IF(S70=0,0,S81/S70*Assumptions!$B$31)</f>
        <v>38.6623710682442</v>
      </c>
      <c r="T85" s="55" t="n">
        <f aca="false">IF(T70=0,0,T81/T70*Assumptions!$B$31)</f>
        <v>46.2331131802946</v>
      </c>
      <c r="U85" s="55" t="n">
        <f aca="false">IF(U70=0,0,U81/U70*Assumptions!$B$31)</f>
        <v>53.7854280069674</v>
      </c>
      <c r="V85" s="55" t="n">
        <f aca="false">IF(V70=0,0,V81/V70*Assumptions!$B$31)</f>
        <v>61.1424408207425</v>
      </c>
      <c r="W85" s="55" t="n">
        <f aca="false">IF(W70=0,0,W81/W70*Assumptions!$B$31)</f>
        <v>67.6890415503293</v>
      </c>
      <c r="X85" s="55" t="n">
        <f aca="false">IF(X70=0,0,X81/X70*Assumptions!$B$31)</f>
        <v>71.598482472296</v>
      </c>
      <c r="Y85" s="55" t="n">
        <f aca="false">IF(Y70=0,0,Y81/Y70*Assumptions!$B$31)</f>
        <v>76.8841763619756</v>
      </c>
      <c r="Z85" s="55" t="n">
        <f aca="false">IF(Z70=0,0,Z81/Z70*Assumptions!$B$31)</f>
        <v>83.5420957640282</v>
      </c>
      <c r="AA85" s="55" t="n">
        <f aca="false">IF(AA70=0,0,AA81/AA70*Assumptions!$B$31)</f>
        <v>193.23365222653</v>
      </c>
      <c r="AB85" s="55" t="n">
        <f aca="false">IF(AB70=0,0,AB81/AB70*Assumptions!$B$31)</f>
        <v>261.051924270085</v>
      </c>
      <c r="AC85" s="55" t="n">
        <f aca="false">IF(AC70=0,0,AC81/AC70*Assumptions!$B$31)</f>
        <v>316.66081178438</v>
      </c>
      <c r="AD85" s="55" t="n">
        <f aca="false">IF(AD70=0,0,AD81/AD70*Assumptions!$B$31)</f>
        <v>378.652627865357</v>
      </c>
      <c r="AE85" s="55" t="n">
        <f aca="false">IF(AE70=0,0,AE81/AE70*Assumptions!$B$31)</f>
        <v>456.877154415403</v>
      </c>
    </row>
    <row r="86" customFormat="false" ht="15" hidden="false" customHeight="false" outlineLevel="0" collapsed="false">
      <c r="A86" s="6" t="s">
        <v>474</v>
      </c>
      <c r="B86" s="23" t="s">
        <v>76</v>
      </c>
      <c r="C86" s="55" t="n">
        <f aca="false">C85*Assumptions!$B$156*Assumptions!$B$158</f>
        <v>0</v>
      </c>
      <c r="D86" s="55" t="n">
        <f aca="false">D85*Assumptions!$B$156*Assumptions!$B$158</f>
        <v>0</v>
      </c>
      <c r="E86" s="55" t="n">
        <f aca="false">E85*Assumptions!$B$156*Assumptions!$B$158</f>
        <v>0</v>
      </c>
      <c r="F86" s="55" t="n">
        <f aca="false">F85*Assumptions!$B$156*Assumptions!$B$158</f>
        <v>0</v>
      </c>
      <c r="G86" s="55" t="n">
        <f aca="false">G85*Assumptions!$B$156*Assumptions!$B$158</f>
        <v>0</v>
      </c>
      <c r="H86" s="55" t="n">
        <f aca="false">H85*Assumptions!$B$156*Assumptions!$B$158</f>
        <v>0</v>
      </c>
      <c r="I86" s="55" t="n">
        <f aca="false">I85*Assumptions!$B$156*Assumptions!$B$158</f>
        <v>0</v>
      </c>
      <c r="J86" s="55" t="n">
        <f aca="false">J85*Assumptions!$B$156*Assumptions!$B$158</f>
        <v>0</v>
      </c>
      <c r="K86" s="55" t="n">
        <f aca="false">K85*Assumptions!$B$156*Assumptions!$B$158</f>
        <v>0</v>
      </c>
      <c r="L86" s="55" t="n">
        <f aca="false">L85*Assumptions!$B$156*Assumptions!$B$158</f>
        <v>0</v>
      </c>
      <c r="M86" s="55" t="n">
        <f aca="false">M85*Assumptions!$B$156*Assumptions!$B$158</f>
        <v>0</v>
      </c>
      <c r="N86" s="55" t="n">
        <f aca="false">N85*Assumptions!$B$156*Assumptions!$B$158</f>
        <v>0</v>
      </c>
      <c r="O86" s="55" t="n">
        <f aca="false">O85*Assumptions!$B$156*Assumptions!$B$158</f>
        <v>13.7852370689655</v>
      </c>
      <c r="P86" s="55" t="n">
        <f aca="false">P85*Assumptions!$B$156*Assumptions!$B$158</f>
        <v>20.8592234924237</v>
      </c>
      <c r="Q86" s="55" t="n">
        <f aca="false">Q85*Assumptions!$B$156*Assumptions!$B$158</f>
        <v>28.0293642071082</v>
      </c>
      <c r="R86" s="55" t="n">
        <f aca="false">R85*Assumptions!$B$156*Assumptions!$B$158</f>
        <v>33.7316840320877</v>
      </c>
      <c r="S86" s="55" t="n">
        <f aca="false">S85*Assumptions!$B$156*Assumptions!$B$158</f>
        <v>40.5954896216565</v>
      </c>
      <c r="T86" s="55" t="n">
        <f aca="false">T85*Assumptions!$B$156*Assumptions!$B$158</f>
        <v>48.5447688393093</v>
      </c>
      <c r="U86" s="55" t="n">
        <f aca="false">U85*Assumptions!$B$156*Assumptions!$B$158</f>
        <v>56.4746994073158</v>
      </c>
      <c r="V86" s="55" t="n">
        <f aca="false">V85*Assumptions!$B$156*Assumptions!$B$158</f>
        <v>64.1995628617797</v>
      </c>
      <c r="W86" s="55" t="n">
        <f aca="false">W85*Assumptions!$B$156*Assumptions!$B$158</f>
        <v>71.0734936278457</v>
      </c>
      <c r="X86" s="55" t="n">
        <f aca="false">X85*Assumptions!$B$156*Assumptions!$B$158</f>
        <v>75.1784065959108</v>
      </c>
      <c r="Y86" s="55" t="n">
        <f aca="false">Y85*Assumptions!$B$156*Assumptions!$B$158</f>
        <v>80.7283851800744</v>
      </c>
      <c r="Z86" s="55" t="n">
        <f aca="false">Z85*Assumptions!$B$156*Assumptions!$B$158</f>
        <v>87.7192005522296</v>
      </c>
      <c r="AA86" s="55" t="n">
        <f aca="false">AA85*Assumptions!$B$156*Assumptions!$B$158</f>
        <v>202.895334837856</v>
      </c>
      <c r="AB86" s="55" t="n">
        <f aca="false">AB85*Assumptions!$B$156*Assumptions!$B$158</f>
        <v>274.104520483589</v>
      </c>
      <c r="AC86" s="55" t="n">
        <f aca="false">AC85*Assumptions!$B$156*Assumptions!$B$158</f>
        <v>332.493852373599</v>
      </c>
      <c r="AD86" s="55" t="n">
        <f aca="false">AD85*Assumptions!$B$156*Assumptions!$B$158</f>
        <v>397.585259258625</v>
      </c>
      <c r="AE86" s="55" t="n">
        <f aca="false">AE85*Assumptions!$B$156*Assumptions!$B$158</f>
        <v>479.721012136173</v>
      </c>
    </row>
    <row r="87" customFormat="false" ht="15" hidden="false" customHeight="false" outlineLevel="0" collapsed="false">
      <c r="A87" s="6" t="s">
        <v>475</v>
      </c>
      <c r="B87" s="23" t="s">
        <v>114</v>
      </c>
      <c r="C87" s="55" t="n">
        <f aca="false">C86/12*C16</f>
        <v>0</v>
      </c>
      <c r="D87" s="55" t="n">
        <f aca="false">D86/12*D16</f>
        <v>0</v>
      </c>
      <c r="E87" s="55" t="n">
        <f aca="false">E86/12*E16</f>
        <v>0</v>
      </c>
      <c r="F87" s="55" t="n">
        <f aca="false">F86/12*F16</f>
        <v>0</v>
      </c>
      <c r="G87" s="55" t="n">
        <f aca="false">G86/12*G16</f>
        <v>0</v>
      </c>
      <c r="H87" s="55" t="n">
        <f aca="false">H86/12*H16</f>
        <v>0</v>
      </c>
      <c r="I87" s="55" t="n">
        <f aca="false">I86/12*I16</f>
        <v>0</v>
      </c>
      <c r="J87" s="55" t="n">
        <f aca="false">J86/12*J16</f>
        <v>0</v>
      </c>
      <c r="K87" s="55" t="n">
        <f aca="false">K86/12*K16</f>
        <v>0</v>
      </c>
      <c r="L87" s="55" t="n">
        <f aca="false">L86/12*L16</f>
        <v>0</v>
      </c>
      <c r="M87" s="55" t="n">
        <f aca="false">M86/12*M16</f>
        <v>0</v>
      </c>
      <c r="N87" s="55" t="n">
        <f aca="false">N86/12*N16</f>
        <v>0</v>
      </c>
      <c r="O87" s="55" t="n">
        <f aca="false">O86/12*O16</f>
        <v>1.26364673132184</v>
      </c>
      <c r="P87" s="55" t="n">
        <f aca="false">P86/12*P16</f>
        <v>1.73826862436864</v>
      </c>
      <c r="Q87" s="55" t="n">
        <f aca="false">Q86/12*Q16</f>
        <v>2.28906474358051</v>
      </c>
      <c r="R87" s="55" t="n">
        <f aca="false">R86/12*R16</f>
        <v>2.75475419595383</v>
      </c>
      <c r="S87" s="55" t="n">
        <f aca="false">S86/12*S16</f>
        <v>3.38295746847137</v>
      </c>
      <c r="T87" s="55" t="n">
        <f aca="false">T86/12*T16</f>
        <v>3.84312753311198</v>
      </c>
      <c r="U87" s="55" t="n">
        <f aca="false">U86/12*U16</f>
        <v>4.14147795653649</v>
      </c>
      <c r="V87" s="55" t="n">
        <f aca="false">V86/12*V16</f>
        <v>4.81496721463347</v>
      </c>
      <c r="W87" s="55" t="n">
        <f aca="false">W86/12*W16</f>
        <v>5.92279113565381</v>
      </c>
      <c r="X87" s="55" t="n">
        <f aca="false">X86/12*X16</f>
        <v>6.39016456065242</v>
      </c>
      <c r="Y87" s="55" t="n">
        <f aca="false">Y86/12*Y16</f>
        <v>7.06373370325651</v>
      </c>
      <c r="Z87" s="55" t="n">
        <f aca="false">Z86/12*Z16</f>
        <v>8.33332405246181</v>
      </c>
      <c r="AA87" s="55" t="n">
        <f aca="false">AA86/12*AA16</f>
        <v>16.9079445698213</v>
      </c>
      <c r="AB87" s="55" t="n">
        <f aca="false">AB86/12*AB16</f>
        <v>22.8420433736324</v>
      </c>
      <c r="AC87" s="55" t="n">
        <f aca="false">AC86/12*AC16</f>
        <v>27.7078210311333</v>
      </c>
      <c r="AD87" s="55" t="n">
        <f aca="false">AD86/12*AD16</f>
        <v>33.1321049382187</v>
      </c>
      <c r="AE87" s="55" t="n">
        <f aca="false">AE86/12*AE16</f>
        <v>39.9767510113478</v>
      </c>
    </row>
    <row r="88" customFormat="false" ht="15" hidden="false" customHeight="false" outlineLevel="0" collapsed="false">
      <c r="A88" s="6" t="s">
        <v>476</v>
      </c>
      <c r="B88" s="23" t="s">
        <v>477</v>
      </c>
      <c r="C88" s="45" t="n">
        <f aca="false">C84*C87*Assumptions!$B$7*C7</f>
        <v>0</v>
      </c>
      <c r="D88" s="45" t="n">
        <f aca="false">D84*D87*Assumptions!$B$7*D7</f>
        <v>0</v>
      </c>
      <c r="E88" s="45" t="n">
        <f aca="false">E84*E87*Assumptions!$B$7*E7</f>
        <v>0</v>
      </c>
      <c r="F88" s="45" t="n">
        <f aca="false">F84*F87*Assumptions!$B$7*F7</f>
        <v>0</v>
      </c>
      <c r="G88" s="45" t="n">
        <f aca="false">G84*G87*Assumptions!$B$7*G7</f>
        <v>0</v>
      </c>
      <c r="H88" s="45" t="n">
        <f aca="false">H84*H87*Assumptions!$B$7*H7</f>
        <v>0</v>
      </c>
      <c r="I88" s="45" t="n">
        <f aca="false">I84*I87*Assumptions!$B$7*I7</f>
        <v>0</v>
      </c>
      <c r="J88" s="45" t="n">
        <f aca="false">J84*J87*Assumptions!$B$7*J7</f>
        <v>0</v>
      </c>
      <c r="K88" s="45" t="n">
        <f aca="false">K84*K87*Assumptions!$B$7*K7</f>
        <v>0</v>
      </c>
      <c r="L88" s="45" t="n">
        <f aca="false">L84*L87*Assumptions!$B$7*L7</f>
        <v>0</v>
      </c>
      <c r="M88" s="45" t="n">
        <f aca="false">M84*M87*Assumptions!$B$7*M7</f>
        <v>0</v>
      </c>
      <c r="N88" s="45" t="n">
        <f aca="false">N84*N87*Assumptions!$B$7*N7</f>
        <v>0</v>
      </c>
      <c r="O88" s="45" t="n">
        <f aca="false">O84*O87*Assumptions!$B$7*O7</f>
        <v>0</v>
      </c>
      <c r="P88" s="45" t="n">
        <f aca="false">P84*P87*Assumptions!$B$7*P7</f>
        <v>0</v>
      </c>
      <c r="Q88" s="45" t="n">
        <f aca="false">Q84*Q87*Assumptions!$B$7*Q7</f>
        <v>0</v>
      </c>
      <c r="R88" s="45" t="n">
        <f aca="false">R84*R87*Assumptions!$B$7*R7</f>
        <v>0</v>
      </c>
      <c r="S88" s="45" t="n">
        <f aca="false">S84*S87*Assumptions!$B$7*S7</f>
        <v>0</v>
      </c>
      <c r="T88" s="45" t="n">
        <f aca="false">T84*T87*Assumptions!$B$7*T7</f>
        <v>0</v>
      </c>
      <c r="U88" s="45" t="n">
        <f aca="false">U84*U87*Assumptions!$B$7*U7</f>
        <v>0</v>
      </c>
      <c r="V88" s="45" t="n">
        <f aca="false">V84*V87*Assumptions!$B$7*V7</f>
        <v>0</v>
      </c>
      <c r="W88" s="45" t="n">
        <f aca="false">W84*W87*Assumptions!$B$7*W7</f>
        <v>156.00755173152</v>
      </c>
      <c r="X88" s="45" t="n">
        <f aca="false">X84*X87*Assumptions!$B$7*X7</f>
        <v>332.857867329755</v>
      </c>
      <c r="Y88" s="45" t="n">
        <f aca="false">Y84*Y87*Assumptions!$B$7*Y7</f>
        <v>546.69346147128</v>
      </c>
      <c r="Z88" s="45" t="n">
        <f aca="false">Z84*Z87*Assumptions!$B$7*Z7</f>
        <v>914.615533215042</v>
      </c>
      <c r="AA88" s="45" t="n">
        <f aca="false">AA84*AA87*Assumptions!$B$7*AA7</f>
        <v>195204.624023102</v>
      </c>
      <c r="AB88" s="45" t="n">
        <f aca="false">AB84*AB87*Assumptions!$B$7*AB7</f>
        <v>527880.257328267</v>
      </c>
      <c r="AC88" s="45" t="n">
        <f aca="false">AC84*AC87*Assumptions!$B$7*AC7</f>
        <v>1098100.34139483</v>
      </c>
      <c r="AD88" s="45" t="n">
        <f aca="false">AD84*AD87*Assumptions!$B$7*AD7</f>
        <v>1980560.39809185</v>
      </c>
      <c r="AE88" s="45" t="n">
        <f aca="false">AE84*AE87*Assumptions!$B$7*AE7</f>
        <v>3244057.20197025</v>
      </c>
    </row>
    <row r="89" customFormat="false" ht="15" hidden="false" customHeight="false" outlineLevel="0" collapsed="false">
      <c r="A89" s="6" t="s">
        <v>476</v>
      </c>
      <c r="B89" s="23" t="s">
        <v>114</v>
      </c>
      <c r="C89" s="55" t="n">
        <f aca="false">C88/Assumptions!$B$7</f>
        <v>0</v>
      </c>
      <c r="D89" s="55" t="n">
        <f aca="false">D88/Assumptions!$B$7</f>
        <v>0</v>
      </c>
      <c r="E89" s="55" t="n">
        <f aca="false">E88/Assumptions!$B$7</f>
        <v>0</v>
      </c>
      <c r="F89" s="55" t="n">
        <f aca="false">F88/Assumptions!$B$7</f>
        <v>0</v>
      </c>
      <c r="G89" s="55" t="n">
        <f aca="false">G88/Assumptions!$B$7</f>
        <v>0</v>
      </c>
      <c r="H89" s="55" t="n">
        <f aca="false">H88/Assumptions!$B$7</f>
        <v>0</v>
      </c>
      <c r="I89" s="55" t="n">
        <f aca="false">I88/Assumptions!$B$7</f>
        <v>0</v>
      </c>
      <c r="J89" s="55" t="n">
        <f aca="false">J88/Assumptions!$B$7</f>
        <v>0</v>
      </c>
      <c r="K89" s="55" t="n">
        <f aca="false">K88/Assumptions!$B$7</f>
        <v>0</v>
      </c>
      <c r="L89" s="55" t="n">
        <f aca="false">L88/Assumptions!$B$7</f>
        <v>0</v>
      </c>
      <c r="M89" s="55" t="n">
        <f aca="false">M88/Assumptions!$B$7</f>
        <v>0</v>
      </c>
      <c r="N89" s="55" t="n">
        <f aca="false">N88/Assumptions!$B$7</f>
        <v>0</v>
      </c>
      <c r="O89" s="55" t="n">
        <f aca="false">O88/Assumptions!$B$7</f>
        <v>0</v>
      </c>
      <c r="P89" s="55" t="n">
        <f aca="false">P88/Assumptions!$B$7</f>
        <v>0</v>
      </c>
      <c r="Q89" s="55" t="n">
        <f aca="false">Q88/Assumptions!$B$7</f>
        <v>0</v>
      </c>
      <c r="R89" s="55" t="n">
        <f aca="false">R88/Assumptions!$B$7</f>
        <v>0</v>
      </c>
      <c r="S89" s="55" t="n">
        <f aca="false">S88/Assumptions!$B$7</f>
        <v>0</v>
      </c>
      <c r="T89" s="55" t="n">
        <f aca="false">T88/Assumptions!$B$7</f>
        <v>0</v>
      </c>
      <c r="U89" s="55" t="n">
        <f aca="false">U88/Assumptions!$B$7</f>
        <v>0</v>
      </c>
      <c r="V89" s="55" t="n">
        <f aca="false">V88/Assumptions!$B$7</f>
        <v>0</v>
      </c>
      <c r="W89" s="55" t="n">
        <f aca="false">W88/Assumptions!$B$7</f>
        <v>42.4799323979632</v>
      </c>
      <c r="X89" s="55" t="n">
        <f aca="false">X88/Assumptions!$B$7</f>
        <v>90.6352259577278</v>
      </c>
      <c r="Y89" s="55" t="n">
        <f aca="false">Y88/Assumptions!$B$7</f>
        <v>148.861391823358</v>
      </c>
      <c r="Z89" s="55" t="n">
        <f aca="false">Z88/Assumptions!$B$7</f>
        <v>249.044392978909</v>
      </c>
      <c r="AA89" s="55" t="n">
        <f aca="false">AA88/Assumptions!$B$7</f>
        <v>53153.0630423696</v>
      </c>
      <c r="AB89" s="55" t="n">
        <f aca="false">AB88/Assumptions!$B$7</f>
        <v>143738.667754464</v>
      </c>
      <c r="AC89" s="55" t="n">
        <f aca="false">AC88/Assumptions!$B$7</f>
        <v>299006.219576538</v>
      </c>
      <c r="AD89" s="55" t="n">
        <f aca="false">AD88/Assumptions!$B$7</f>
        <v>539294.866737058</v>
      </c>
      <c r="AE89" s="55" t="n">
        <f aca="false">AE88/Assumptions!$B$7</f>
        <v>883337.563504493</v>
      </c>
    </row>
    <row r="90" customFormat="false" ht="15" hidden="false" customHeight="false" outlineLevel="0" collapsed="false">
      <c r="A90" s="6" t="s">
        <v>478</v>
      </c>
      <c r="B90" s="23" t="s">
        <v>477</v>
      </c>
      <c r="C90" s="45" t="n">
        <f aca="false">IF(Assumptions!$B$144=0,0,C85*Assumptions!$B$156*Assumptions!$B$7/Assumptions!$B$144)</f>
        <v>0</v>
      </c>
      <c r="D90" s="45" t="n">
        <f aca="false">IF(Assumptions!$B$144=0,0,D85*Assumptions!$B$156*Assumptions!$B$7/Assumptions!$B$144)</f>
        <v>0</v>
      </c>
      <c r="E90" s="45" t="n">
        <f aca="false">IF(Assumptions!$B$144=0,0,E85*Assumptions!$B$156*Assumptions!$B$7/Assumptions!$B$144)</f>
        <v>0</v>
      </c>
      <c r="F90" s="45" t="n">
        <f aca="false">IF(Assumptions!$B$144=0,0,F85*Assumptions!$B$156*Assumptions!$B$7/Assumptions!$B$144)</f>
        <v>0</v>
      </c>
      <c r="G90" s="45" t="n">
        <f aca="false">IF(Assumptions!$B$144=0,0,G85*Assumptions!$B$156*Assumptions!$B$7/Assumptions!$B$144)</f>
        <v>0</v>
      </c>
      <c r="H90" s="45" t="n">
        <f aca="false">IF(Assumptions!$B$144=0,0,H85*Assumptions!$B$156*Assumptions!$B$7/Assumptions!$B$144)</f>
        <v>0</v>
      </c>
      <c r="I90" s="45" t="n">
        <f aca="false">IF(Assumptions!$B$144=0,0,I85*Assumptions!$B$156*Assumptions!$B$7/Assumptions!$B$144)</f>
        <v>0</v>
      </c>
      <c r="J90" s="45" t="n">
        <f aca="false">IF(Assumptions!$B$144=0,0,J85*Assumptions!$B$156*Assumptions!$B$7/Assumptions!$B$144)</f>
        <v>0</v>
      </c>
      <c r="K90" s="45" t="n">
        <f aca="false">IF(Assumptions!$B$144=0,0,K85*Assumptions!$B$156*Assumptions!$B$7/Assumptions!$B$144)</f>
        <v>0</v>
      </c>
      <c r="L90" s="45" t="n">
        <f aca="false">IF(Assumptions!$B$144=0,0,L85*Assumptions!$B$156*Assumptions!$B$7/Assumptions!$B$144)</f>
        <v>0</v>
      </c>
      <c r="M90" s="45" t="n">
        <f aca="false">IF(Assumptions!$B$144=0,0,M85*Assumptions!$B$156*Assumptions!$B$7/Assumptions!$B$144)</f>
        <v>0</v>
      </c>
      <c r="N90" s="45" t="n">
        <f aca="false">IF(Assumptions!$B$144=0,0,N85*Assumptions!$B$156*Assumptions!$B$7/Assumptions!$B$144)</f>
        <v>0</v>
      </c>
      <c r="O90" s="45" t="n">
        <f aca="false">IF(Assumptions!$B$144=0,0,O85*Assumptions!$B$156*Assumptions!$B$7/Assumptions!$B$144)</f>
        <v>6.02693846854475</v>
      </c>
      <c r="P90" s="45" t="n">
        <f aca="false">IF(Assumptions!$B$144=0,0,P85*Assumptions!$B$156*Assumptions!$B$7/Assumptions!$B$144)</f>
        <v>9.11970217570547</v>
      </c>
      <c r="Q90" s="45" t="n">
        <f aca="false">IF(Assumptions!$B$144=0,0,Q85*Assumptions!$B$156*Assumptions!$B$7/Assumptions!$B$144)</f>
        <v>12.2545047679292</v>
      </c>
      <c r="R90" s="45" t="n">
        <f aca="false">IF(Assumptions!$B$144=0,0,R85*Assumptions!$B$156*Assumptions!$B$7/Assumptions!$B$144)</f>
        <v>14.7475725723622</v>
      </c>
      <c r="S90" s="45" t="n">
        <f aca="false">IF(Assumptions!$B$144=0,0,S85*Assumptions!$B$156*Assumptions!$B$7/Assumptions!$B$144)</f>
        <v>17.7484447185159</v>
      </c>
      <c r="T90" s="45" t="n">
        <f aca="false">IF(Assumptions!$B$144=0,0,T85*Assumptions!$B$156*Assumptions!$B$7/Assumptions!$B$144)</f>
        <v>21.223888519329</v>
      </c>
      <c r="U90" s="45" t="n">
        <f aca="false">IF(Assumptions!$B$144=0,0,U85*Assumptions!$B$156*Assumptions!$B$7/Assumptions!$B$144)</f>
        <v>24.6908730444485</v>
      </c>
      <c r="V90" s="45" t="n">
        <f aca="false">IF(Assumptions!$B$144=0,0,V85*Assumptions!$B$156*Assumptions!$B$7/Assumptions!$B$144)</f>
        <v>28.0682017392721</v>
      </c>
      <c r="W90" s="45" t="n">
        <f aca="false">IF(Assumptions!$B$144=0,0,W85*Assumptions!$B$156*Assumptions!$B$7/Assumptions!$B$144)</f>
        <v>31.073500636698</v>
      </c>
      <c r="X90" s="45" t="n">
        <f aca="false">IF(Assumptions!$B$144=0,0,X85*Assumptions!$B$156*Assumptions!$B$7/Assumptions!$B$144)</f>
        <v>32.8681783599384</v>
      </c>
      <c r="Y90" s="45" t="n">
        <f aca="false">IF(Assumptions!$B$144=0,0,Y85*Assumptions!$B$156*Assumptions!$B$7/Assumptions!$B$144)</f>
        <v>35.2946422111694</v>
      </c>
      <c r="Z90" s="45" t="n">
        <f aca="false">IF(Assumptions!$B$144=0,0,Z85*Assumptions!$B$156*Assumptions!$B$7/Assumptions!$B$144)</f>
        <v>38.3510433366742</v>
      </c>
      <c r="AA90" s="45" t="n">
        <f aca="false">IF(Assumptions!$B$144=0,0,AA85*Assumptions!$B$156*Assumptions!$B$7/Assumptions!$B$144)</f>
        <v>88.7063234752412</v>
      </c>
      <c r="AB90" s="45" t="n">
        <f aca="false">IF(Assumptions!$B$144=0,0,AB85*Assumptions!$B$156*Assumptions!$B$7/Assumptions!$B$144)</f>
        <v>119.839148985236</v>
      </c>
      <c r="AC90" s="45" t="n">
        <f aca="false">IF(Assumptions!$B$144=0,0,AC85*Assumptions!$B$156*Assumptions!$B$7/Assumptions!$B$144)</f>
        <v>145.367103909767</v>
      </c>
      <c r="AD90" s="45" t="n">
        <f aca="false">IF(Assumptions!$B$144=0,0,AD85*Assumptions!$B$156*Assumptions!$B$7/Assumptions!$B$144)</f>
        <v>173.82522197944</v>
      </c>
      <c r="AE90" s="45" t="n">
        <f aca="false">IF(Assumptions!$B$144=0,0,AE85*Assumptions!$B$156*Assumptions!$B$7/Assumptions!$B$144)</f>
        <v>209.735168698821</v>
      </c>
    </row>
    <row r="91" customFormat="false" ht="15" hidden="false" customHeight="false" outlineLevel="0" collapsed="false">
      <c r="A91" s="6" t="s">
        <v>479</v>
      </c>
      <c r="B91" s="23" t="s">
        <v>480</v>
      </c>
      <c r="C91" s="45" t="n">
        <f aca="false">C84*Assumptions!$B$158*Assumptions!$B$144*C7/12*(1+Assumptions!$B$16)</f>
        <v>0</v>
      </c>
      <c r="D91" s="45" t="n">
        <f aca="false">D84*Assumptions!$B$158*Assumptions!$B$144*D7/12*(1+Assumptions!$B$16)</f>
        <v>0</v>
      </c>
      <c r="E91" s="45" t="n">
        <f aca="false">E84*Assumptions!$B$158*Assumptions!$B$144*E7/12*(1+Assumptions!$B$16)</f>
        <v>0</v>
      </c>
      <c r="F91" s="45" t="n">
        <f aca="false">F84*Assumptions!$B$158*Assumptions!$B$144*F7/12*(1+Assumptions!$B$16)</f>
        <v>0</v>
      </c>
      <c r="G91" s="45" t="n">
        <f aca="false">G84*Assumptions!$B$158*Assumptions!$B$144*G7/12*(1+Assumptions!$B$16)</f>
        <v>0</v>
      </c>
      <c r="H91" s="45" t="n">
        <f aca="false">H84*Assumptions!$B$158*Assumptions!$B$144*H7/12*(1+Assumptions!$B$16)</f>
        <v>0</v>
      </c>
      <c r="I91" s="45" t="n">
        <f aca="false">I84*Assumptions!$B$158*Assumptions!$B$144*I7/12*(1+Assumptions!$B$16)</f>
        <v>0</v>
      </c>
      <c r="J91" s="45" t="n">
        <f aca="false">J84*Assumptions!$B$158*Assumptions!$B$144*J7/12*(1+Assumptions!$B$16)</f>
        <v>0</v>
      </c>
      <c r="K91" s="45" t="n">
        <f aca="false">K84*Assumptions!$B$158*Assumptions!$B$144*K7/12*(1+Assumptions!$B$16)</f>
        <v>0</v>
      </c>
      <c r="L91" s="45" t="n">
        <f aca="false">L84*Assumptions!$B$158*Assumptions!$B$144*L7/12*(1+Assumptions!$B$16)</f>
        <v>0</v>
      </c>
      <c r="M91" s="45" t="n">
        <f aca="false">M84*Assumptions!$B$158*Assumptions!$B$144*M7/12*(1+Assumptions!$B$16)</f>
        <v>0</v>
      </c>
      <c r="N91" s="45" t="n">
        <f aca="false">N84*Assumptions!$B$158*Assumptions!$B$144*N7/12*(1+Assumptions!$B$16)</f>
        <v>0</v>
      </c>
      <c r="O91" s="45" t="n">
        <f aca="false">O84*Assumptions!$B$158*Assumptions!$B$144*O7/12*(1+Assumptions!$B$16)</f>
        <v>0</v>
      </c>
      <c r="P91" s="45" t="n">
        <f aca="false">P84*Assumptions!$B$158*Assumptions!$B$144*P7/12*(1+Assumptions!$B$16)</f>
        <v>0</v>
      </c>
      <c r="Q91" s="45" t="n">
        <f aca="false">Q84*Assumptions!$B$158*Assumptions!$B$144*Q7/12*(1+Assumptions!$B$16)</f>
        <v>0</v>
      </c>
      <c r="R91" s="45" t="n">
        <f aca="false">R84*Assumptions!$B$158*Assumptions!$B$144*R7/12*(1+Assumptions!$B$16)</f>
        <v>0</v>
      </c>
      <c r="S91" s="45" t="n">
        <f aca="false">S84*Assumptions!$B$158*Assumptions!$B$144*S7/12*(1+Assumptions!$B$16)</f>
        <v>0</v>
      </c>
      <c r="T91" s="45" t="n">
        <f aca="false">T84*Assumptions!$B$158*Assumptions!$B$144*T7/12*(1+Assumptions!$B$16)</f>
        <v>0</v>
      </c>
      <c r="U91" s="45" t="n">
        <f aca="false">U84*Assumptions!$B$158*Assumptions!$B$144*U7/12*(1+Assumptions!$B$16)</f>
        <v>0</v>
      </c>
      <c r="V91" s="45" t="n">
        <f aca="false">V84*Assumptions!$B$158*Assumptions!$B$144*V7/12*(1+Assumptions!$B$16)</f>
        <v>0</v>
      </c>
      <c r="W91" s="45" t="n">
        <f aca="false">W84*Assumptions!$B$158*Assumptions!$B$144*W7/12*(1+Assumptions!$B$16)</f>
        <v>5.3218337634</v>
      </c>
      <c r="X91" s="45" t="n">
        <f aca="false">X84*Assumptions!$B$158*Assumptions!$B$144*X7/12*(1+Assumptions!$B$16)</f>
        <v>10.5241949596628</v>
      </c>
      <c r="Y91" s="45" t="n">
        <f aca="false">Y84*Assumptions!$B$158*Assumptions!$B$144*Y7/12*(1+Assumptions!$B$16)</f>
        <v>15.6369361265713</v>
      </c>
      <c r="Z91" s="45" t="n">
        <f aca="false">Z84*Assumptions!$B$158*Assumptions!$B$144*Z7/12*(1+Assumptions!$B$16)</f>
        <v>22.1749374471715</v>
      </c>
      <c r="AA91" s="45" t="n">
        <f aca="false">AA84*Assumptions!$B$158*Assumptions!$B$144*AA7/12*(1+Assumptions!$B$16)</f>
        <v>2332.60598972114</v>
      </c>
      <c r="AB91" s="45" t="n">
        <f aca="false">AB84*Assumptions!$B$158*Assumptions!$B$144*AB7/12*(1+Assumptions!$B$16)</f>
        <v>4669.20098737434</v>
      </c>
      <c r="AC91" s="45" t="n">
        <f aca="false">AC84*Assumptions!$B$158*Assumptions!$B$144*AC7/12*(1+Assumptions!$B$16)</f>
        <v>8007.2198631751</v>
      </c>
      <c r="AD91" s="45" t="n">
        <f aca="false">AD84*Assumptions!$B$158*Assumptions!$B$144*AD7/12*(1+Assumptions!$B$16)</f>
        <v>12077.6145030649</v>
      </c>
      <c r="AE91" s="45" t="n">
        <f aca="false">AE84*Assumptions!$B$158*Assumptions!$B$144*AE7/12*(1+Assumptions!$B$16)</f>
        <v>16395.441238691</v>
      </c>
    </row>
    <row r="92" customFormat="false" ht="15" hidden="false" customHeight="false" outlineLevel="0" collapsed="false">
      <c r="A92" s="6" t="s">
        <v>481</v>
      </c>
      <c r="B92" s="23" t="s">
        <v>114</v>
      </c>
      <c r="C92" s="55" t="n">
        <f aca="false">C74*Assumptions!$B$8</f>
        <v>0</v>
      </c>
      <c r="D92" s="55" t="n">
        <f aca="false">D74*Assumptions!$B$8</f>
        <v>0</v>
      </c>
      <c r="E92" s="55" t="n">
        <f aca="false">E74*Assumptions!$B$8</f>
        <v>0</v>
      </c>
      <c r="F92" s="55" t="n">
        <f aca="false">F74*Assumptions!$B$8</f>
        <v>0</v>
      </c>
      <c r="G92" s="55" t="n">
        <f aca="false">G74*Assumptions!$B$8</f>
        <v>0</v>
      </c>
      <c r="H92" s="55" t="n">
        <f aca="false">H74*Assumptions!$B$8</f>
        <v>0</v>
      </c>
      <c r="I92" s="55" t="n">
        <f aca="false">I74*Assumptions!$B$8</f>
        <v>0</v>
      </c>
      <c r="J92" s="55" t="n">
        <f aca="false">J74*Assumptions!$B$8</f>
        <v>0</v>
      </c>
      <c r="K92" s="55" t="n">
        <f aca="false">K74*Assumptions!$B$8</f>
        <v>0</v>
      </c>
      <c r="L92" s="55" t="n">
        <f aca="false">L74*Assumptions!$B$8</f>
        <v>0</v>
      </c>
      <c r="M92" s="55" t="n">
        <f aca="false">M74*Assumptions!$B$8</f>
        <v>0</v>
      </c>
      <c r="N92" s="55" t="n">
        <f aca="false">N74*Assumptions!$B$8</f>
        <v>0</v>
      </c>
      <c r="O92" s="55" t="n">
        <f aca="false">O74*Assumptions!$B$8</f>
        <v>91.8644196314507</v>
      </c>
      <c r="P92" s="55" t="n">
        <f aca="false">P74*Assumptions!$B$8</f>
        <v>177.201999729406</v>
      </c>
      <c r="Q92" s="55" t="n">
        <f aca="false">Q74*Assumptions!$B$8</f>
        <v>256.845247305797</v>
      </c>
      <c r="R92" s="55" t="n">
        <f aca="false">R74*Assumptions!$B$8</f>
        <v>357.220457577989</v>
      </c>
      <c r="S92" s="55" t="n">
        <f aca="false">S74*Assumptions!$B$8</f>
        <v>444.798455339358</v>
      </c>
      <c r="T92" s="55" t="n">
        <f aca="false">T74*Assumptions!$B$8</f>
        <v>514.075305900748</v>
      </c>
      <c r="U92" s="55" t="n">
        <f aca="false">U74*Assumptions!$B$8</f>
        <v>578.467860139732</v>
      </c>
      <c r="V92" s="55" t="n">
        <f aca="false">V74*Assumptions!$B$8</f>
        <v>641.184416456586</v>
      </c>
      <c r="W92" s="55" t="n">
        <f aca="false">W74*Assumptions!$B$8</f>
        <v>710.935173317737</v>
      </c>
      <c r="X92" s="55" t="n">
        <f aca="false">X74*Assumptions!$B$8</f>
        <v>814.300000625194</v>
      </c>
      <c r="Y92" s="55" t="n">
        <f aca="false">Y74*Assumptions!$B$8</f>
        <v>904.732897183082</v>
      </c>
      <c r="Z92" s="55" t="n">
        <f aca="false">Z74*Assumptions!$B$8</f>
        <v>977.304753793148</v>
      </c>
      <c r="AA92" s="55" t="n">
        <f aca="false">AA74*Assumptions!$B$8</f>
        <v>25712.7992961613</v>
      </c>
      <c r="AB92" s="55" t="n">
        <f aca="false">AB74*Assumptions!$B$8</f>
        <v>44808.880491372</v>
      </c>
      <c r="AC92" s="55" t="n">
        <f aca="false">AC74*Assumptions!$B$8</f>
        <v>68454.9984819041</v>
      </c>
      <c r="AD92" s="55" t="n">
        <f aca="false">AD74*Assumptions!$B$8</f>
        <v>91072.491727195</v>
      </c>
      <c r="AE92" s="55" t="n">
        <f aca="false">AE74*Assumptions!$B$8</f>
        <v>106759.556713645</v>
      </c>
    </row>
    <row r="93" customFormat="false" ht="15" hidden="false" customHeight="false" outlineLevel="0" collapsed="false">
      <c r="A93" s="6" t="s">
        <v>482</v>
      </c>
      <c r="B93" s="23" t="s">
        <v>114</v>
      </c>
      <c r="C93" s="55" t="n">
        <f aca="false">C75*Assumptions!$B$8</f>
        <v>0</v>
      </c>
      <c r="D93" s="55" t="n">
        <f aca="false">D75*Assumptions!$B$8</f>
        <v>0</v>
      </c>
      <c r="E93" s="55" t="n">
        <f aca="false">E75*Assumptions!$B$8</f>
        <v>0</v>
      </c>
      <c r="F93" s="55" t="n">
        <f aca="false">F75*Assumptions!$B$8</f>
        <v>0</v>
      </c>
      <c r="G93" s="55" t="n">
        <f aca="false">G75*Assumptions!$B$8</f>
        <v>0</v>
      </c>
      <c r="H93" s="55" t="n">
        <f aca="false">H75*Assumptions!$B$8</f>
        <v>0</v>
      </c>
      <c r="I93" s="55" t="n">
        <f aca="false">I75*Assumptions!$B$8</f>
        <v>0</v>
      </c>
      <c r="J93" s="55" t="n">
        <f aca="false">J75*Assumptions!$B$8</f>
        <v>0</v>
      </c>
      <c r="K93" s="55" t="n">
        <f aca="false">K75*Assumptions!$B$8</f>
        <v>0</v>
      </c>
      <c r="L93" s="55" t="n">
        <f aca="false">L75*Assumptions!$B$8</f>
        <v>0</v>
      </c>
      <c r="M93" s="55" t="n">
        <f aca="false">M75*Assumptions!$B$8</f>
        <v>0</v>
      </c>
      <c r="N93" s="55" t="n">
        <f aca="false">N75*Assumptions!$B$8</f>
        <v>0</v>
      </c>
      <c r="O93" s="55" t="n">
        <f aca="false">O75*Assumptions!$B$8</f>
        <v>7.25787802536942</v>
      </c>
      <c r="P93" s="55" t="n">
        <f aca="false">P75*Assumptions!$B$8</f>
        <v>14.0000938888778</v>
      </c>
      <c r="Q93" s="55" t="n">
        <f aca="false">Q75*Assumptions!$B$8</f>
        <v>20.292420981051</v>
      </c>
      <c r="R93" s="55" t="n">
        <f aca="false">R75*Assumptions!$B$8</f>
        <v>28.2227060233892</v>
      </c>
      <c r="S93" s="55" t="n">
        <f aca="false">S75*Assumptions!$B$8</f>
        <v>35.1419292439589</v>
      </c>
      <c r="T93" s="55" t="n">
        <f aca="false">T75*Assumptions!$B$8</f>
        <v>40.6152445206841</v>
      </c>
      <c r="U93" s="55" t="n">
        <f aca="false">U75*Assumptions!$B$8</f>
        <v>45.7026690783474</v>
      </c>
      <c r="V93" s="55" t="n">
        <f aca="false">V75*Assumptions!$B$8</f>
        <v>50.657679056586</v>
      </c>
      <c r="W93" s="55" t="n">
        <f aca="false">W75*Assumptions!$B$8</f>
        <v>56.1684359688533</v>
      </c>
      <c r="X93" s="55" t="n">
        <f aca="false">X75*Assumptions!$B$8</f>
        <v>64.3349199211892</v>
      </c>
      <c r="Y93" s="55" t="n">
        <f aca="false">Y75*Assumptions!$B$8</f>
        <v>71.4796984473172</v>
      </c>
      <c r="Z93" s="55" t="n">
        <f aca="false">Z75*Assumptions!$B$8</f>
        <v>77.2133403237215</v>
      </c>
      <c r="AA93" s="55" t="n">
        <f aca="false">AA75*Assumptions!$B$8</f>
        <v>2031.47597003326</v>
      </c>
      <c r="AB93" s="55" t="n">
        <f aca="false">AB75*Assumptions!$B$8</f>
        <v>3540.18879523179</v>
      </c>
      <c r="AC93" s="55" t="n">
        <f aca="false">AC75*Assumptions!$B$8</f>
        <v>5408.38369416326</v>
      </c>
      <c r="AD93" s="55" t="n">
        <f aca="false">AD75*Assumptions!$B$8</f>
        <v>7195.3106444723</v>
      </c>
      <c r="AE93" s="55" t="n">
        <f aca="false">AE75*Assumptions!$B$8</f>
        <v>8434.6893365107</v>
      </c>
    </row>
    <row r="94" customFormat="false" ht="15" hidden="false" customHeight="false" outlineLevel="0" collapsed="false">
      <c r="A94" s="6" t="s">
        <v>483</v>
      </c>
      <c r="B94" s="23" t="s">
        <v>114</v>
      </c>
      <c r="C94" s="55" t="n">
        <f aca="false">C89*IF(Assumptions!$B$176=1,MIN(Assumptions!$B$14,1%),Assumptions!$B$14)*(1-Assumptions!$B$142)</f>
        <v>0</v>
      </c>
      <c r="D94" s="55" t="n">
        <f aca="false">D89*IF(Assumptions!$B$176=1,MIN(Assumptions!$B$14,1%),Assumptions!$B$14)*(1-Assumptions!$B$142)</f>
        <v>0</v>
      </c>
      <c r="E94" s="55" t="n">
        <f aca="false">E89*IF(Assumptions!$B$176=1,MIN(Assumptions!$B$14,1%),Assumptions!$B$14)*(1-Assumptions!$B$142)</f>
        <v>0</v>
      </c>
      <c r="F94" s="55" t="n">
        <f aca="false">F89*IF(Assumptions!$B$176=1,MIN(Assumptions!$B$14,1%),Assumptions!$B$14)*(1-Assumptions!$B$142)</f>
        <v>0</v>
      </c>
      <c r="G94" s="55" t="n">
        <f aca="false">G89*IF(Assumptions!$B$176=1,MIN(Assumptions!$B$14,1%),Assumptions!$B$14)*(1-Assumptions!$B$142)</f>
        <v>0</v>
      </c>
      <c r="H94" s="55" t="n">
        <f aca="false">H89*IF(Assumptions!$B$176=1,MIN(Assumptions!$B$14,1%),Assumptions!$B$14)*(1-Assumptions!$B$142)</f>
        <v>0</v>
      </c>
      <c r="I94" s="55" t="n">
        <f aca="false">I89*IF(Assumptions!$B$176=1,MIN(Assumptions!$B$14,1%),Assumptions!$B$14)*(1-Assumptions!$B$142)</f>
        <v>0</v>
      </c>
      <c r="J94" s="55" t="n">
        <f aca="false">J89*IF(Assumptions!$B$176=1,MIN(Assumptions!$B$14,1%),Assumptions!$B$14)*(1-Assumptions!$B$142)</f>
        <v>0</v>
      </c>
      <c r="K94" s="55" t="n">
        <f aca="false">K89*IF(Assumptions!$B$176=1,MIN(Assumptions!$B$14,1%),Assumptions!$B$14)*(1-Assumptions!$B$142)</f>
        <v>0</v>
      </c>
      <c r="L94" s="55" t="n">
        <f aca="false">L89*IF(Assumptions!$B$176=1,MIN(Assumptions!$B$14,1%),Assumptions!$B$14)*(1-Assumptions!$B$142)</f>
        <v>0</v>
      </c>
      <c r="M94" s="55" t="n">
        <f aca="false">M89*IF(Assumptions!$B$176=1,MIN(Assumptions!$B$14,1%),Assumptions!$B$14)*(1-Assumptions!$B$142)</f>
        <v>0</v>
      </c>
      <c r="N94" s="55" t="n">
        <f aca="false">N89*IF(Assumptions!$B$176=1,MIN(Assumptions!$B$14,1%),Assumptions!$B$14)*(1-Assumptions!$B$142)</f>
        <v>0</v>
      </c>
      <c r="O94" s="55" t="n">
        <f aca="false">O89*IF(Assumptions!$B$176=1,MIN(Assumptions!$B$14,1%),Assumptions!$B$14)*(1-Assumptions!$B$142)</f>
        <v>0</v>
      </c>
      <c r="P94" s="55" t="n">
        <f aca="false">P89*IF(Assumptions!$B$176=1,MIN(Assumptions!$B$14,1%),Assumptions!$B$14)*(1-Assumptions!$B$142)</f>
        <v>0</v>
      </c>
      <c r="Q94" s="55" t="n">
        <f aca="false">Q89*IF(Assumptions!$B$176=1,MIN(Assumptions!$B$14,1%),Assumptions!$B$14)*(1-Assumptions!$B$142)</f>
        <v>0</v>
      </c>
      <c r="R94" s="55" t="n">
        <f aca="false">R89*IF(Assumptions!$B$176=1,MIN(Assumptions!$B$14,1%),Assumptions!$B$14)*(1-Assumptions!$B$142)</f>
        <v>0</v>
      </c>
      <c r="S94" s="55" t="n">
        <f aca="false">S89*IF(Assumptions!$B$176=1,MIN(Assumptions!$B$14,1%),Assumptions!$B$14)*(1-Assumptions!$B$142)</f>
        <v>0</v>
      </c>
      <c r="T94" s="55" t="n">
        <f aca="false">T89*IF(Assumptions!$B$176=1,MIN(Assumptions!$B$14,1%),Assumptions!$B$14)*(1-Assumptions!$B$142)</f>
        <v>0</v>
      </c>
      <c r="U94" s="55" t="n">
        <f aca="false">U89*IF(Assumptions!$B$176=1,MIN(Assumptions!$B$14,1%),Assumptions!$B$14)*(1-Assumptions!$B$142)</f>
        <v>0</v>
      </c>
      <c r="V94" s="55" t="n">
        <f aca="false">V89*IF(Assumptions!$B$176=1,MIN(Assumptions!$B$14,1%),Assumptions!$B$14)*(1-Assumptions!$B$142)</f>
        <v>0</v>
      </c>
      <c r="W94" s="55" t="n">
        <f aca="false">W89*IF(Assumptions!$B$176=1,MIN(Assumptions!$B$14,1%),Assumptions!$B$14)*(1-Assumptions!$B$142)</f>
        <v>0.214098859285734</v>
      </c>
      <c r="X94" s="55" t="n">
        <f aca="false">X89*IF(Assumptions!$B$176=1,MIN(Assumptions!$B$14,1%),Assumptions!$B$14)*(1-Assumptions!$B$142)</f>
        <v>0.456801538826948</v>
      </c>
      <c r="Y94" s="55" t="n">
        <f aca="false">Y89*IF(Assumptions!$B$176=1,MIN(Assumptions!$B$14,1%),Assumptions!$B$14)*(1-Assumptions!$B$142)</f>
        <v>0.750261414789722</v>
      </c>
      <c r="Z94" s="55" t="n">
        <f aca="false">Z89*IF(Assumptions!$B$176=1,MIN(Assumptions!$B$14,1%),Assumptions!$B$14)*(1-Assumptions!$B$142)</f>
        <v>1.2551837406137</v>
      </c>
      <c r="AA94" s="55" t="n">
        <f aca="false">AA89*IF(Assumptions!$B$176=1,MIN(Assumptions!$B$14,1%),Assumptions!$B$14)*(1-Assumptions!$B$142)</f>
        <v>267.891437733543</v>
      </c>
      <c r="AB94" s="55" t="n">
        <f aca="false">AB89*IF(Assumptions!$B$176=1,MIN(Assumptions!$B$14,1%),Assumptions!$B$14)*(1-Assumptions!$B$142)</f>
        <v>724.442885482496</v>
      </c>
      <c r="AC94" s="55" t="n">
        <f aca="false">AC89*IF(Assumptions!$B$176=1,MIN(Assumptions!$B$14,1%),Assumptions!$B$14)*(1-Assumptions!$B$142)</f>
        <v>1506.99134666575</v>
      </c>
      <c r="AD94" s="55" t="n">
        <f aca="false">AD89*IF(Assumptions!$B$176=1,MIN(Assumptions!$B$14,1%),Assumptions!$B$14)*(1-Assumptions!$B$142)</f>
        <v>2718.04612835477</v>
      </c>
      <c r="AE94" s="55" t="n">
        <f aca="false">AE89*IF(Assumptions!$B$176=1,MIN(Assumptions!$B$14,1%),Assumptions!$B$14)*(1-Assumptions!$B$142)</f>
        <v>4452.02132006264</v>
      </c>
    </row>
    <row r="95" customFormat="false" ht="15" hidden="false" customHeight="false" outlineLevel="0" collapsed="false">
      <c r="A95" s="6" t="s">
        <v>484</v>
      </c>
      <c r="B95" s="23" t="s">
        <v>485</v>
      </c>
      <c r="C95" s="54" t="n">
        <f aca="false">IF(C2&gt;=Assumptions!$B$50,C69*Assumptions!$B$159*(1-Assumptions!$B$161)^(C7/2),0)</f>
        <v>0</v>
      </c>
      <c r="D95" s="54" t="n">
        <f aca="false">IF(D2&gt;=Assumptions!$B$50,C95*(1-Assumptions!$B$161)^D7+D69*Assumptions!$B$159*(1-Assumptions!$B$161)^(D7/2),0)</f>
        <v>0</v>
      </c>
      <c r="E95" s="54" t="n">
        <f aca="false">IF(E2&gt;=Assumptions!$B$50,D95*(1-Assumptions!$B$161)^E7+E69*Assumptions!$B$159*(1-Assumptions!$B$161)^(E7/2),0)</f>
        <v>0</v>
      </c>
      <c r="F95" s="54" t="n">
        <f aca="false">IF(F2&gt;=Assumptions!$B$50,E95*(1-Assumptions!$B$161)^F7+F69*Assumptions!$B$159*(1-Assumptions!$B$161)^(F7/2),0)</f>
        <v>0</v>
      </c>
      <c r="G95" s="54" t="n">
        <f aca="false">IF(G2&gt;=Assumptions!$B$50,F95*(1-Assumptions!$B$161)^G7+G69*Assumptions!$B$159*(1-Assumptions!$B$161)^(G7/2),0)</f>
        <v>0</v>
      </c>
      <c r="H95" s="54" t="n">
        <f aca="false">IF(H2&gt;=Assumptions!$B$50,G95*(1-Assumptions!$B$161)^H7+H69*Assumptions!$B$159*(1-Assumptions!$B$161)^(H7/2),0)</f>
        <v>0</v>
      </c>
      <c r="I95" s="54" t="n">
        <f aca="false">IF(I2&gt;=Assumptions!$B$50,H95*(1-Assumptions!$B$161)^I7+I69*Assumptions!$B$159*(1-Assumptions!$B$161)^(I7/2),0)</f>
        <v>0</v>
      </c>
      <c r="J95" s="54" t="n">
        <f aca="false">IF(J2&gt;=Assumptions!$B$50,I95*(1-Assumptions!$B$161)^J7+J69*Assumptions!$B$159*(1-Assumptions!$B$161)^(J7/2),0)</f>
        <v>0</v>
      </c>
      <c r="K95" s="54" t="n">
        <f aca="false">IF(K2&gt;=Assumptions!$B$50,J95*(1-Assumptions!$B$161)^K7+K69*Assumptions!$B$159*(1-Assumptions!$B$161)^(K7/2),0)</f>
        <v>0</v>
      </c>
      <c r="L95" s="54" t="n">
        <f aca="false">IF(L2&gt;=Assumptions!$B$50,K95*(1-Assumptions!$B$161)^L7+L69*Assumptions!$B$159*(1-Assumptions!$B$161)^(L7/2),0)</f>
        <v>0</v>
      </c>
      <c r="M95" s="54" t="n">
        <f aca="false">IF(M2&gt;=Assumptions!$B$50,L95*(1-Assumptions!$B$161)^M7+M69*Assumptions!$B$159*(1-Assumptions!$B$161)^(M7/2),0)</f>
        <v>0</v>
      </c>
      <c r="N95" s="54" t="n">
        <f aca="false">IF(N2&gt;=Assumptions!$B$50,M95*(1-Assumptions!$B$161)^N7+N69*Assumptions!$B$159*(1-Assumptions!$B$161)^(N7/2),0)</f>
        <v>0</v>
      </c>
      <c r="O95" s="54" t="n">
        <f aca="false">IF(O2&gt;=Assumptions!$B$50,N95*(1-Assumptions!$B$161)^O7+O69*Assumptions!$B$159*(1-Assumptions!$B$161)^(O7/2),0)</f>
        <v>5.58583611536436</v>
      </c>
      <c r="P95" s="54" t="n">
        <f aca="false">IF(P2&gt;=Assumptions!$B$50,O95*(1-Assumptions!$B$161)^P7+P69*Assumptions!$B$159*(1-Assumptions!$B$161)^(P7/2),0)</f>
        <v>10.6489172870269</v>
      </c>
      <c r="Q95" s="54" t="n">
        <f aca="false">IF(Q2&gt;=Assumptions!$B$50,P95*(1-Assumptions!$B$161)^Q7+Q69*Assumptions!$B$159*(1-Assumptions!$B$161)^(Q7/2),0)</f>
        <v>15.2577638064469</v>
      </c>
      <c r="R95" s="54" t="n">
        <f aca="false">IF(R2&gt;=Assumptions!$B$50,Q95*(1-Assumptions!$B$161)^R7+R69*Assumptions!$B$159*(1-Assumptions!$B$161)^(R7/2),0)</f>
        <v>21.0347176958826</v>
      </c>
      <c r="S95" s="54" t="n">
        <f aca="false">IF(S2&gt;=Assumptions!$B$50,R95*(1-Assumptions!$B$161)^S7+S69*Assumptions!$B$159*(1-Assumptions!$B$161)^(S7/2),0)</f>
        <v>25.9191998912747</v>
      </c>
      <c r="T95" s="54" t="n">
        <f aca="false">IF(T2&gt;=Assumptions!$B$50,S95*(1-Assumptions!$B$161)^T7+T69*Assumptions!$B$159*(1-Assumptions!$B$161)^(T7/2),0)</f>
        <v>29.6022127918191</v>
      </c>
      <c r="U95" s="54" t="n">
        <f aca="false">IF(U2&gt;=Assumptions!$B$50,T95*(1-Assumptions!$B$161)^U7+U69*Assumptions!$B$159*(1-Assumptions!$B$161)^(U7/2),0)</f>
        <v>32.9309576798616</v>
      </c>
      <c r="V95" s="54" t="n">
        <f aca="false">IF(V2&gt;=Assumptions!$B$50,U95*(1-Assumptions!$B$161)^V7+V69*Assumptions!$B$159*(1-Assumptions!$B$161)^(V7/2),0)</f>
        <v>36.1112836713636</v>
      </c>
      <c r="W95" s="54" t="n">
        <f aca="false">IF(W2&gt;=Assumptions!$B$50,V95*(1-Assumptions!$B$161)^W7+W69*Assumptions!$B$159*(1-Assumptions!$B$161)^(W7/2),0)</f>
        <v>39.6784215512839</v>
      </c>
      <c r="X95" s="54" t="n">
        <f aca="false">IF(X2&gt;=Assumptions!$B$50,W95*(1-Assumptions!$B$161)^X7+X69*Assumptions!$B$159*(1-Assumptions!$B$161)^(X7/2),0)</f>
        <v>45.2418363745275</v>
      </c>
      <c r="Y95" s="54" t="n">
        <f aca="false">IF(Y2&gt;=Assumptions!$B$50,X95*(1-Assumptions!$B$161)^Y7+Y69*Assumptions!$B$159*(1-Assumptions!$B$161)^(Y7/2),0)</f>
        <v>49.9286128629183</v>
      </c>
      <c r="Z95" s="54" t="n">
        <f aca="false">IF(Z2&gt;=Assumptions!$B$50,Y95*(1-Assumptions!$B$161)^Z7+Z69*Assumptions!$B$159*(1-Assumptions!$B$161)^(Z7/2),0)</f>
        <v>53.4631813758219</v>
      </c>
      <c r="AA95" s="54" t="n">
        <f aca="false">IF(AA2&gt;=Assumptions!$B$50,Z95*(1-Assumptions!$B$161)^AA7+AA69*Assumptions!$B$159*(1-Assumptions!$B$161)^(AA7/2),0)</f>
        <v>107.601718637152</v>
      </c>
      <c r="AB95" s="54" t="n">
        <f aca="false">IF(AB2&gt;=Assumptions!$B$50,AA95*(1-Assumptions!$B$161)^AB7+AB69*Assumptions!$B$159*(1-Assumptions!$B$161)^(AB7/2),0)</f>
        <v>180.581930756192</v>
      </c>
      <c r="AC95" s="54" t="n">
        <f aca="false">IF(AC2&gt;=Assumptions!$B$50,AB95*(1-Assumptions!$B$161)^AC7+AC69*Assumptions!$B$159*(1-Assumptions!$B$161)^(AC7/2),0)</f>
        <v>269.057594385576</v>
      </c>
      <c r="AD95" s="54" t="n">
        <f aca="false">IF(AD2&gt;=Assumptions!$B$50,AC95*(1-Assumptions!$B$161)^AD7+AD69*Assumptions!$B$159*(1-Assumptions!$B$161)^(AD7/2),0)</f>
        <v>348.242766329969</v>
      </c>
      <c r="AE95" s="54" t="n">
        <f aca="false">IF(AE2&gt;=Assumptions!$B$50,AD95*(1-Assumptions!$B$161)^AE7+AE69*Assumptions!$B$159*(1-Assumptions!$B$161)^(AE7/2),0)</f>
        <v>395.329053566739</v>
      </c>
    </row>
    <row r="96" customFormat="false" ht="15" hidden="false" customHeight="false" outlineLevel="0" collapsed="false">
      <c r="A96" s="6" t="s">
        <v>486</v>
      </c>
      <c r="B96" s="23" t="s">
        <v>114</v>
      </c>
      <c r="C96" s="55" t="n">
        <f aca="false">C95*Assumptions!$B$25/12*C7</f>
        <v>0</v>
      </c>
      <c r="D96" s="55" t="n">
        <f aca="false">D95*Assumptions!$B$25/12*D7</f>
        <v>0</v>
      </c>
      <c r="E96" s="55" t="n">
        <f aca="false">E95*Assumptions!$B$25/12*E7</f>
        <v>0</v>
      </c>
      <c r="F96" s="55" t="n">
        <f aca="false">F95*Assumptions!$B$25/12*F7</f>
        <v>0</v>
      </c>
      <c r="G96" s="55" t="n">
        <f aca="false">G95*Assumptions!$B$25/12*G7</f>
        <v>0</v>
      </c>
      <c r="H96" s="55" t="n">
        <f aca="false">H95*Assumptions!$B$25/12*H7</f>
        <v>0</v>
      </c>
      <c r="I96" s="55" t="n">
        <f aca="false">I95*Assumptions!$B$25/12*I7</f>
        <v>0</v>
      </c>
      <c r="J96" s="55" t="n">
        <f aca="false">J95*Assumptions!$B$25/12*J7</f>
        <v>0</v>
      </c>
      <c r="K96" s="55" t="n">
        <f aca="false">K95*Assumptions!$B$25/12*K7</f>
        <v>0</v>
      </c>
      <c r="L96" s="55" t="n">
        <f aca="false">L95*Assumptions!$B$25/12*L7</f>
        <v>0</v>
      </c>
      <c r="M96" s="55" t="n">
        <f aca="false">M95*Assumptions!$B$25/12*M7</f>
        <v>0</v>
      </c>
      <c r="N96" s="55" t="n">
        <f aca="false">N95*Assumptions!$B$25/12*N7</f>
        <v>0</v>
      </c>
      <c r="O96" s="55" t="n">
        <f aca="false">O95*Assumptions!$B$25/12*O7</f>
        <v>16.7575083460931</v>
      </c>
      <c r="P96" s="55" t="n">
        <f aca="false">P95*Assumptions!$B$25/12*P7</f>
        <v>31.9467518610808</v>
      </c>
      <c r="Q96" s="55" t="n">
        <f aca="false">Q95*Assumptions!$B$25/12*Q7</f>
        <v>45.7732914193406</v>
      </c>
      <c r="R96" s="55" t="n">
        <f aca="false">R95*Assumptions!$B$25/12*R7</f>
        <v>63.1041530876477</v>
      </c>
      <c r="S96" s="55" t="n">
        <f aca="false">S95*Assumptions!$B$25/12*S7</f>
        <v>77.7575996738243</v>
      </c>
      <c r="T96" s="55" t="n">
        <f aca="false">T95*Assumptions!$B$25/12*T7</f>
        <v>88.8066383754574</v>
      </c>
      <c r="U96" s="55" t="n">
        <f aca="false">U95*Assumptions!$B$25/12*U7</f>
        <v>98.7928730395847</v>
      </c>
      <c r="V96" s="55" t="n">
        <f aca="false">V95*Assumptions!$B$25/12*V7</f>
        <v>108.333851014091</v>
      </c>
      <c r="W96" s="55" t="n">
        <f aca="false">W95*Assumptions!$B$25/12*W7</f>
        <v>119.035264653852</v>
      </c>
      <c r="X96" s="55" t="n">
        <f aca="false">X95*Assumptions!$B$25/12*X7</f>
        <v>135.725509123583</v>
      </c>
      <c r="Y96" s="55" t="n">
        <f aca="false">Y95*Assumptions!$B$25/12*Y7</f>
        <v>149.785838588755</v>
      </c>
      <c r="Z96" s="55" t="n">
        <f aca="false">Z95*Assumptions!$B$25/12*Z7</f>
        <v>160.389544127466</v>
      </c>
      <c r="AA96" s="55" t="n">
        <f aca="false">AA95*Assumptions!$B$25/12*AA7</f>
        <v>3873.66187093745</v>
      </c>
      <c r="AB96" s="55" t="n">
        <f aca="false">AB95*Assumptions!$B$25/12*AB7</f>
        <v>6500.94950722292</v>
      </c>
      <c r="AC96" s="55" t="n">
        <f aca="false">AC95*Assumptions!$B$25/12*AC7</f>
        <v>9686.07339788075</v>
      </c>
      <c r="AD96" s="55" t="n">
        <f aca="false">AD95*Assumptions!$B$25/12*AD7</f>
        <v>12536.7395878789</v>
      </c>
      <c r="AE96" s="55" t="n">
        <f aca="false">AE95*Assumptions!$B$25/12*AE7</f>
        <v>14231.8459284026</v>
      </c>
    </row>
    <row r="97" customFormat="false" ht="15" hidden="false" customHeight="false" outlineLevel="0" collapsed="false">
      <c r="A97" s="6" t="s">
        <v>487</v>
      </c>
      <c r="B97" s="23" t="s">
        <v>114</v>
      </c>
      <c r="C97" s="55" t="n">
        <f aca="false">IF(C2&gt;=Assumptions!$B$52,C89*C17*Assumptions!$B$17+C84*(Assumptions!$B$148*MAX(0,Assumptions!$B$152-Assumptions!$B$18)+Assumptions!$B$149*MAX(0,Assumptions!$B$153-Assumptions!$B$18)+Assumptions!$B$150*MAX(0,Assumptions!$B$154-Assumptions!$B$18)+Assumptions!$B$151*MAX(0,Assumptions!$B$155-Assumptions!$B$18))*Assumptions!$B$19/Assumptions!$B$7*C7+C84*(Assumptions!$B$146*Assumptions!$B$20+Assumptions!$B$147*Assumptions!$B$21)/12/Assumptions!$B$7*C7,0)</f>
        <v>0</v>
      </c>
      <c r="D97" s="55" t="n">
        <f aca="false">IF(D2&gt;=Assumptions!$B$52,D89*D17*Assumptions!$B$17+D84*(Assumptions!$B$148*MAX(0,Assumptions!$B$152-Assumptions!$B$18)+Assumptions!$B$149*MAX(0,Assumptions!$B$153-Assumptions!$B$18)+Assumptions!$B$150*MAX(0,Assumptions!$B$154-Assumptions!$B$18)+Assumptions!$B$151*MAX(0,Assumptions!$B$155-Assumptions!$B$18))*Assumptions!$B$19/Assumptions!$B$7*D7+D84*(Assumptions!$B$146*Assumptions!$B$20+Assumptions!$B$147*Assumptions!$B$21)/12/Assumptions!$B$7*D7,0)</f>
        <v>0</v>
      </c>
      <c r="E97" s="55" t="n">
        <f aca="false">IF(E2&gt;=Assumptions!$B$52,E89*E17*Assumptions!$B$17+E84*(Assumptions!$B$148*MAX(0,Assumptions!$B$152-Assumptions!$B$18)+Assumptions!$B$149*MAX(0,Assumptions!$B$153-Assumptions!$B$18)+Assumptions!$B$150*MAX(0,Assumptions!$B$154-Assumptions!$B$18)+Assumptions!$B$151*MAX(0,Assumptions!$B$155-Assumptions!$B$18))*Assumptions!$B$19/Assumptions!$B$7*E7+E84*(Assumptions!$B$146*Assumptions!$B$20+Assumptions!$B$147*Assumptions!$B$21)/12/Assumptions!$B$7*E7,0)</f>
        <v>0</v>
      </c>
      <c r="F97" s="55" t="n">
        <f aca="false">IF(F2&gt;=Assumptions!$B$52,F89*F17*Assumptions!$B$17+F84*(Assumptions!$B$148*MAX(0,Assumptions!$B$152-Assumptions!$B$18)+Assumptions!$B$149*MAX(0,Assumptions!$B$153-Assumptions!$B$18)+Assumptions!$B$150*MAX(0,Assumptions!$B$154-Assumptions!$B$18)+Assumptions!$B$151*MAX(0,Assumptions!$B$155-Assumptions!$B$18))*Assumptions!$B$19/Assumptions!$B$7*F7+F84*(Assumptions!$B$146*Assumptions!$B$20+Assumptions!$B$147*Assumptions!$B$21)/12/Assumptions!$B$7*F7,0)</f>
        <v>0</v>
      </c>
      <c r="G97" s="55" t="n">
        <f aca="false">IF(G2&gt;=Assumptions!$B$52,G89*G17*Assumptions!$B$17+G84*(Assumptions!$B$148*MAX(0,Assumptions!$B$152-Assumptions!$B$18)+Assumptions!$B$149*MAX(0,Assumptions!$B$153-Assumptions!$B$18)+Assumptions!$B$150*MAX(0,Assumptions!$B$154-Assumptions!$B$18)+Assumptions!$B$151*MAX(0,Assumptions!$B$155-Assumptions!$B$18))*Assumptions!$B$19/Assumptions!$B$7*G7+G84*(Assumptions!$B$146*Assumptions!$B$20+Assumptions!$B$147*Assumptions!$B$21)/12/Assumptions!$B$7*G7,0)</f>
        <v>0</v>
      </c>
      <c r="H97" s="55" t="n">
        <f aca="false">IF(H2&gt;=Assumptions!$B$52,H89*H17*Assumptions!$B$17+H84*(Assumptions!$B$148*MAX(0,Assumptions!$B$152-Assumptions!$B$18)+Assumptions!$B$149*MAX(0,Assumptions!$B$153-Assumptions!$B$18)+Assumptions!$B$150*MAX(0,Assumptions!$B$154-Assumptions!$B$18)+Assumptions!$B$151*MAX(0,Assumptions!$B$155-Assumptions!$B$18))*Assumptions!$B$19/Assumptions!$B$7*H7+H84*(Assumptions!$B$146*Assumptions!$B$20+Assumptions!$B$147*Assumptions!$B$21)/12/Assumptions!$B$7*H7,0)</f>
        <v>0</v>
      </c>
      <c r="I97" s="55" t="n">
        <f aca="false">IF(I2&gt;=Assumptions!$B$52,I89*I17*Assumptions!$B$17+I84*(Assumptions!$B$148*MAX(0,Assumptions!$B$152-Assumptions!$B$18)+Assumptions!$B$149*MAX(0,Assumptions!$B$153-Assumptions!$B$18)+Assumptions!$B$150*MAX(0,Assumptions!$B$154-Assumptions!$B$18)+Assumptions!$B$151*MAX(0,Assumptions!$B$155-Assumptions!$B$18))*Assumptions!$B$19/Assumptions!$B$7*I7+I84*(Assumptions!$B$146*Assumptions!$B$20+Assumptions!$B$147*Assumptions!$B$21)/12/Assumptions!$B$7*I7,0)</f>
        <v>0</v>
      </c>
      <c r="J97" s="55" t="n">
        <f aca="false">IF(J2&gt;=Assumptions!$B$52,J89*J17*Assumptions!$B$17+J84*(Assumptions!$B$148*MAX(0,Assumptions!$B$152-Assumptions!$B$18)+Assumptions!$B$149*MAX(0,Assumptions!$B$153-Assumptions!$B$18)+Assumptions!$B$150*MAX(0,Assumptions!$B$154-Assumptions!$B$18)+Assumptions!$B$151*MAX(0,Assumptions!$B$155-Assumptions!$B$18))*Assumptions!$B$19/Assumptions!$B$7*J7+J84*(Assumptions!$B$146*Assumptions!$B$20+Assumptions!$B$147*Assumptions!$B$21)/12/Assumptions!$B$7*J7,0)</f>
        <v>0</v>
      </c>
      <c r="K97" s="55" t="n">
        <f aca="false">IF(K2&gt;=Assumptions!$B$52,K89*K17*Assumptions!$B$17+K84*(Assumptions!$B$148*MAX(0,Assumptions!$B$152-Assumptions!$B$18)+Assumptions!$B$149*MAX(0,Assumptions!$B$153-Assumptions!$B$18)+Assumptions!$B$150*MAX(0,Assumptions!$B$154-Assumptions!$B$18)+Assumptions!$B$151*MAX(0,Assumptions!$B$155-Assumptions!$B$18))*Assumptions!$B$19/Assumptions!$B$7*K7+K84*(Assumptions!$B$146*Assumptions!$B$20+Assumptions!$B$147*Assumptions!$B$21)/12/Assumptions!$B$7*K7,0)</f>
        <v>0</v>
      </c>
      <c r="L97" s="55" t="n">
        <f aca="false">IF(L2&gt;=Assumptions!$B$52,L89*L17*Assumptions!$B$17+L84*(Assumptions!$B$148*MAX(0,Assumptions!$B$152-Assumptions!$B$18)+Assumptions!$B$149*MAX(0,Assumptions!$B$153-Assumptions!$B$18)+Assumptions!$B$150*MAX(0,Assumptions!$B$154-Assumptions!$B$18)+Assumptions!$B$151*MAX(0,Assumptions!$B$155-Assumptions!$B$18))*Assumptions!$B$19/Assumptions!$B$7*L7+L84*(Assumptions!$B$146*Assumptions!$B$20+Assumptions!$B$147*Assumptions!$B$21)/12/Assumptions!$B$7*L7,0)</f>
        <v>0</v>
      </c>
      <c r="M97" s="55" t="n">
        <f aca="false">IF(M2&gt;=Assumptions!$B$52,M89*M17*Assumptions!$B$17+M84*(Assumptions!$B$148*MAX(0,Assumptions!$B$152-Assumptions!$B$18)+Assumptions!$B$149*MAX(0,Assumptions!$B$153-Assumptions!$B$18)+Assumptions!$B$150*MAX(0,Assumptions!$B$154-Assumptions!$B$18)+Assumptions!$B$151*MAX(0,Assumptions!$B$155-Assumptions!$B$18))*Assumptions!$B$19/Assumptions!$B$7*M7+M84*(Assumptions!$B$146*Assumptions!$B$20+Assumptions!$B$147*Assumptions!$B$21)/12/Assumptions!$B$7*M7,0)</f>
        <v>0</v>
      </c>
      <c r="N97" s="55" t="n">
        <f aca="false">IF(N2&gt;=Assumptions!$B$52,N89*N17*Assumptions!$B$17+N84*(Assumptions!$B$148*MAX(0,Assumptions!$B$152-Assumptions!$B$18)+Assumptions!$B$149*MAX(0,Assumptions!$B$153-Assumptions!$B$18)+Assumptions!$B$150*MAX(0,Assumptions!$B$154-Assumptions!$B$18)+Assumptions!$B$151*MAX(0,Assumptions!$B$155-Assumptions!$B$18))*Assumptions!$B$19/Assumptions!$B$7*N7+N84*(Assumptions!$B$146*Assumptions!$B$20+Assumptions!$B$147*Assumptions!$B$21)/12/Assumptions!$B$7*N7,0)</f>
        <v>0</v>
      </c>
      <c r="O97" s="55" t="n">
        <f aca="false">IF(O2&gt;=Assumptions!$B$52,O89*O17*Assumptions!$B$17+O84*(Assumptions!$B$148*MAX(0,Assumptions!$B$152-Assumptions!$B$18)+Assumptions!$B$149*MAX(0,Assumptions!$B$153-Assumptions!$B$18)+Assumptions!$B$150*MAX(0,Assumptions!$B$154-Assumptions!$B$18)+Assumptions!$B$151*MAX(0,Assumptions!$B$155-Assumptions!$B$18))*Assumptions!$B$19/Assumptions!$B$7*O7+O84*(Assumptions!$B$146*Assumptions!$B$20+Assumptions!$B$147*Assumptions!$B$21)/12/Assumptions!$B$7*O7,0)</f>
        <v>0</v>
      </c>
      <c r="P97" s="55" t="n">
        <f aca="false">IF(P2&gt;=Assumptions!$B$52,P89*P17*Assumptions!$B$17+P84*(Assumptions!$B$148*MAX(0,Assumptions!$B$152-Assumptions!$B$18)+Assumptions!$B$149*MAX(0,Assumptions!$B$153-Assumptions!$B$18)+Assumptions!$B$150*MAX(0,Assumptions!$B$154-Assumptions!$B$18)+Assumptions!$B$151*MAX(0,Assumptions!$B$155-Assumptions!$B$18))*Assumptions!$B$19/Assumptions!$B$7*P7+P84*(Assumptions!$B$146*Assumptions!$B$20+Assumptions!$B$147*Assumptions!$B$21)/12/Assumptions!$B$7*P7,0)</f>
        <v>0</v>
      </c>
      <c r="Q97" s="55" t="n">
        <f aca="false">IF(Q2&gt;=Assumptions!$B$52,Q89*Q17*Assumptions!$B$17+Q84*(Assumptions!$B$148*MAX(0,Assumptions!$B$152-Assumptions!$B$18)+Assumptions!$B$149*MAX(0,Assumptions!$B$153-Assumptions!$B$18)+Assumptions!$B$150*MAX(0,Assumptions!$B$154-Assumptions!$B$18)+Assumptions!$B$151*MAX(0,Assumptions!$B$155-Assumptions!$B$18))*Assumptions!$B$19/Assumptions!$B$7*Q7+Q84*(Assumptions!$B$146*Assumptions!$B$20+Assumptions!$B$147*Assumptions!$B$21)/12/Assumptions!$B$7*Q7,0)</f>
        <v>0</v>
      </c>
      <c r="R97" s="55" t="n">
        <f aca="false">IF(R2&gt;=Assumptions!$B$52,R89*R17*Assumptions!$B$17+R84*(Assumptions!$B$148*MAX(0,Assumptions!$B$152-Assumptions!$B$18)+Assumptions!$B$149*MAX(0,Assumptions!$B$153-Assumptions!$B$18)+Assumptions!$B$150*MAX(0,Assumptions!$B$154-Assumptions!$B$18)+Assumptions!$B$151*MAX(0,Assumptions!$B$155-Assumptions!$B$18))*Assumptions!$B$19/Assumptions!$B$7*R7+R84*(Assumptions!$B$146*Assumptions!$B$20+Assumptions!$B$147*Assumptions!$B$21)/12/Assumptions!$B$7*R7,0)</f>
        <v>0</v>
      </c>
      <c r="S97" s="55" t="n">
        <f aca="false">IF(S2&gt;=Assumptions!$B$52,S89*S17*Assumptions!$B$17+S84*(Assumptions!$B$148*MAX(0,Assumptions!$B$152-Assumptions!$B$18)+Assumptions!$B$149*MAX(0,Assumptions!$B$153-Assumptions!$B$18)+Assumptions!$B$150*MAX(0,Assumptions!$B$154-Assumptions!$B$18)+Assumptions!$B$151*MAX(0,Assumptions!$B$155-Assumptions!$B$18))*Assumptions!$B$19/Assumptions!$B$7*S7+S84*(Assumptions!$B$146*Assumptions!$B$20+Assumptions!$B$147*Assumptions!$B$21)/12/Assumptions!$B$7*S7,0)</f>
        <v>0</v>
      </c>
      <c r="T97" s="55" t="n">
        <f aca="false">IF(T2&gt;=Assumptions!$B$52,T89*T17*Assumptions!$B$17+T84*(Assumptions!$B$148*MAX(0,Assumptions!$B$152-Assumptions!$B$18)+Assumptions!$B$149*MAX(0,Assumptions!$B$153-Assumptions!$B$18)+Assumptions!$B$150*MAX(0,Assumptions!$B$154-Assumptions!$B$18)+Assumptions!$B$151*MAX(0,Assumptions!$B$155-Assumptions!$B$18))*Assumptions!$B$19/Assumptions!$B$7*T7+T84*(Assumptions!$B$146*Assumptions!$B$20+Assumptions!$B$147*Assumptions!$B$21)/12/Assumptions!$B$7*T7,0)</f>
        <v>0</v>
      </c>
      <c r="U97" s="55" t="n">
        <f aca="false">IF(U2&gt;=Assumptions!$B$52,U89*U17*Assumptions!$B$17+U84*(Assumptions!$B$148*MAX(0,Assumptions!$B$152-Assumptions!$B$18)+Assumptions!$B$149*MAX(0,Assumptions!$B$153-Assumptions!$B$18)+Assumptions!$B$150*MAX(0,Assumptions!$B$154-Assumptions!$B$18)+Assumptions!$B$151*MAX(0,Assumptions!$B$155-Assumptions!$B$18))*Assumptions!$B$19/Assumptions!$B$7*U7+U84*(Assumptions!$B$146*Assumptions!$B$20+Assumptions!$B$147*Assumptions!$B$21)/12/Assumptions!$B$7*U7,0)</f>
        <v>0</v>
      </c>
      <c r="V97" s="55" t="n">
        <f aca="false">IF(V2&gt;=Assumptions!$B$52,V89*V17*Assumptions!$B$17+V84*(Assumptions!$B$148*MAX(0,Assumptions!$B$152-Assumptions!$B$18)+Assumptions!$B$149*MAX(0,Assumptions!$B$153-Assumptions!$B$18)+Assumptions!$B$150*MAX(0,Assumptions!$B$154-Assumptions!$B$18)+Assumptions!$B$151*MAX(0,Assumptions!$B$155-Assumptions!$B$18))*Assumptions!$B$19/Assumptions!$B$7*V7+V84*(Assumptions!$B$146*Assumptions!$B$20+Assumptions!$B$147*Assumptions!$B$21)/12/Assumptions!$B$7*V7,0)</f>
        <v>0</v>
      </c>
      <c r="W97" s="55" t="n">
        <f aca="false">IF(W2&gt;=Assumptions!$B$52,W89*W17*Assumptions!$B$17+W84*(Assumptions!$B$148*MAX(0,Assumptions!$B$152-Assumptions!$B$18)+Assumptions!$B$149*MAX(0,Assumptions!$B$153-Assumptions!$B$18)+Assumptions!$B$150*MAX(0,Assumptions!$B$154-Assumptions!$B$18)+Assumptions!$B$151*MAX(0,Assumptions!$B$155-Assumptions!$B$18))*Assumptions!$B$19/Assumptions!$B$7*W7+W84*(Assumptions!$B$146*Assumptions!$B$20+Assumptions!$B$147*Assumptions!$B$21)/12/Assumptions!$B$7*W7,0)</f>
        <v>24.3645182731298</v>
      </c>
      <c r="X97" s="55" t="n">
        <f aca="false">IF(X2&gt;=Assumptions!$B$52,X89*X17*Assumptions!$B$17+X84*(Assumptions!$B$148*MAX(0,Assumptions!$B$152-Assumptions!$B$18)+Assumptions!$B$149*MAX(0,Assumptions!$B$153-Assumptions!$B$18)+Assumptions!$B$150*MAX(0,Assumptions!$B$154-Assumptions!$B$18)+Assumptions!$B$151*MAX(0,Assumptions!$B$155-Assumptions!$B$18))*Assumptions!$B$19/Assumptions!$B$7*X7+X84*(Assumptions!$B$146*Assumptions!$B$20+Assumptions!$B$147*Assumptions!$B$21)/12/Assumptions!$B$7*X7,0)</f>
        <v>48.3159191079177</v>
      </c>
      <c r="Y97" s="55" t="n">
        <f aca="false">IF(Y2&gt;=Assumptions!$B$52,Y89*Y17*Assumptions!$B$17+Y84*(Assumptions!$B$148*MAX(0,Assumptions!$B$152-Assumptions!$B$18)+Assumptions!$B$149*MAX(0,Assumptions!$B$153-Assumptions!$B$18)+Assumptions!$B$150*MAX(0,Assumptions!$B$154-Assumptions!$B$18)+Assumptions!$B$151*MAX(0,Assumptions!$B$155-Assumptions!$B$18))*Assumptions!$B$19/Assumptions!$B$7*Y7+Y84*(Assumptions!$B$146*Assumptions!$B$20+Assumptions!$B$147*Assumptions!$B$21)/12/Assumptions!$B$7*Y7,0)</f>
        <v>71.8392504562925</v>
      </c>
      <c r="Z97" s="55" t="n">
        <f aca="false">IF(Z2&gt;=Assumptions!$B$52,Z89*Z17*Assumptions!$B$17+Z84*(Assumptions!$B$148*MAX(0,Assumptions!$B$152-Assumptions!$B$18)+Assumptions!$B$149*MAX(0,Assumptions!$B$153-Assumptions!$B$18)+Assumptions!$B$150*MAX(0,Assumptions!$B$154-Assumptions!$B$18)+Assumptions!$B$151*MAX(0,Assumptions!$B$155-Assumptions!$B$18))*Assumptions!$B$19/Assumptions!$B$7*Z7+Z84*(Assumptions!$B$146*Assumptions!$B$20+Assumptions!$B$147*Assumptions!$B$21)/12/Assumptions!$B$7*Z7,0)</f>
        <v>101.794951063894</v>
      </c>
      <c r="AA97" s="55" t="n">
        <f aca="false">IF(AA2&gt;=Assumptions!$B$52,AA89*AA17*Assumptions!$B$17+AA84*(Assumptions!$B$148*MAX(0,Assumptions!$B$152-Assumptions!$B$18)+Assumptions!$B$149*MAX(0,Assumptions!$B$153-Assumptions!$B$18)+Assumptions!$B$150*MAX(0,Assumptions!$B$154-Assumptions!$B$18)+Assumptions!$B$151*MAX(0,Assumptions!$B$155-Assumptions!$B$18))*Assumptions!$B$19/Assumptions!$B$7*AA7+AA84*(Assumptions!$B$146*Assumptions!$B$20+Assumptions!$B$147*Assumptions!$B$21)/12/Assumptions!$B$7*AA7,0)</f>
        <v>10925.9540075411</v>
      </c>
      <c r="AB97" s="55" t="n">
        <f aca="false">IF(AB2&gt;=Assumptions!$B$52,AB89*AB17*Assumptions!$B$17+AB84*(Assumptions!$B$148*MAX(0,Assumptions!$B$152-Assumptions!$B$18)+Assumptions!$B$149*MAX(0,Assumptions!$B$153-Assumptions!$B$18)+Assumptions!$B$150*MAX(0,Assumptions!$B$154-Assumptions!$B$18)+Assumptions!$B$151*MAX(0,Assumptions!$B$155-Assumptions!$B$18))*Assumptions!$B$19/Assumptions!$B$7*AB7+AB84*(Assumptions!$B$146*Assumptions!$B$20+Assumptions!$B$147*Assumptions!$B$21)/12/Assumptions!$B$7*AB7,0)</f>
        <v>22124.5157558896</v>
      </c>
      <c r="AC97" s="55" t="n">
        <f aca="false">IF(AC2&gt;=Assumptions!$B$52,AC89*AC17*Assumptions!$B$17+AC84*(Assumptions!$B$148*MAX(0,Assumptions!$B$152-Assumptions!$B$18)+Assumptions!$B$149*MAX(0,Assumptions!$B$153-Assumptions!$B$18)+Assumptions!$B$150*MAX(0,Assumptions!$B$154-Assumptions!$B$18)+Assumptions!$B$151*MAX(0,Assumptions!$B$155-Assumptions!$B$18))*Assumptions!$B$19/Assumptions!$B$7*AC7+AC84*(Assumptions!$B$146*Assumptions!$B$20+Assumptions!$B$147*Assumptions!$B$21)/12/Assumptions!$B$7*AC7,0)</f>
        <v>38298.4238725433</v>
      </c>
      <c r="AD97" s="55" t="n">
        <f aca="false">IF(AD2&gt;=Assumptions!$B$52,AD89*AD17*Assumptions!$B$17+AD84*(Assumptions!$B$148*MAX(0,Assumptions!$B$152-Assumptions!$B$18)+Assumptions!$B$149*MAX(0,Assumptions!$B$153-Assumptions!$B$18)+Assumptions!$B$150*MAX(0,Assumptions!$B$154-Assumptions!$B$18)+Assumptions!$B$151*MAX(0,Assumptions!$B$155-Assumptions!$B$18))*Assumptions!$B$19/Assumptions!$B$7*AD7+AD84*(Assumptions!$B$146*Assumptions!$B$20+Assumptions!$B$147*Assumptions!$B$21)/12/Assumptions!$B$7*AD7,0)</f>
        <v>58367.4494338293</v>
      </c>
      <c r="AE97" s="55" t="n">
        <f aca="false">IF(AE2&gt;=Assumptions!$B$52,AE89*AE17*Assumptions!$B$17+AE84*(Assumptions!$B$148*MAX(0,Assumptions!$B$152-Assumptions!$B$18)+Assumptions!$B$149*MAX(0,Assumptions!$B$153-Assumptions!$B$18)+Assumptions!$B$150*MAX(0,Assumptions!$B$154-Assumptions!$B$18)+Assumptions!$B$151*MAX(0,Assumptions!$B$155-Assumptions!$B$18))*Assumptions!$B$19/Assumptions!$B$7*AE7+AE84*(Assumptions!$B$146*Assumptions!$B$20+Assumptions!$B$147*Assumptions!$B$21)/12/Assumptions!$B$7*AE7,0)</f>
        <v>80262.6374136855</v>
      </c>
    </row>
    <row r="98" customFormat="false" ht="15" hidden="false" customHeight="false" outlineLevel="0" collapsed="false">
      <c r="A98" s="6" t="s">
        <v>488</v>
      </c>
      <c r="B98" s="23" t="s">
        <v>114</v>
      </c>
      <c r="C98" s="55" t="n">
        <f aca="false">IF(C2&gt;=Assumptions!$B$53,C84*C85*(1-Assumptions!$B$176)*Assumptions!$B$156*Assumptions!$B$157,0)</f>
        <v>0</v>
      </c>
      <c r="D98" s="55" t="n">
        <f aca="false">IF(D2&gt;=Assumptions!$B$53,D84*D85*(1-Assumptions!$B$176)*Assumptions!$B$156*Assumptions!$B$157,0)</f>
        <v>0</v>
      </c>
      <c r="E98" s="55" t="n">
        <f aca="false">IF(E2&gt;=Assumptions!$B$53,E84*E85*(1-Assumptions!$B$176)*Assumptions!$B$156*Assumptions!$B$157,0)</f>
        <v>0</v>
      </c>
      <c r="F98" s="55" t="n">
        <f aca="false">IF(F2&gt;=Assumptions!$B$53,F84*F85*(1-Assumptions!$B$176)*Assumptions!$B$156*Assumptions!$B$157,0)</f>
        <v>0</v>
      </c>
      <c r="G98" s="55" t="n">
        <f aca="false">IF(G2&gt;=Assumptions!$B$53,G84*G85*(1-Assumptions!$B$176)*Assumptions!$B$156*Assumptions!$B$157,0)</f>
        <v>0</v>
      </c>
      <c r="H98" s="55" t="n">
        <f aca="false">IF(H2&gt;=Assumptions!$B$53,H84*H85*(1-Assumptions!$B$176)*Assumptions!$B$156*Assumptions!$B$157,0)</f>
        <v>0</v>
      </c>
      <c r="I98" s="55" t="n">
        <f aca="false">IF(I2&gt;=Assumptions!$B$53,I84*I85*(1-Assumptions!$B$176)*Assumptions!$B$156*Assumptions!$B$157,0)</f>
        <v>0</v>
      </c>
      <c r="J98" s="55" t="n">
        <f aca="false">IF(J2&gt;=Assumptions!$B$53,J84*J85*(1-Assumptions!$B$176)*Assumptions!$B$156*Assumptions!$B$157,0)</f>
        <v>0</v>
      </c>
      <c r="K98" s="55" t="n">
        <f aca="false">IF(K2&gt;=Assumptions!$B$53,K84*K85*(1-Assumptions!$B$176)*Assumptions!$B$156*Assumptions!$B$157,0)</f>
        <v>0</v>
      </c>
      <c r="L98" s="55" t="n">
        <f aca="false">IF(L2&gt;=Assumptions!$B$53,L84*L85*(1-Assumptions!$B$176)*Assumptions!$B$156*Assumptions!$B$157,0)</f>
        <v>0</v>
      </c>
      <c r="M98" s="55" t="n">
        <f aca="false">IF(M2&gt;=Assumptions!$B$53,M84*M85*(1-Assumptions!$B$176)*Assumptions!$B$156*Assumptions!$B$157,0)</f>
        <v>0</v>
      </c>
      <c r="N98" s="55" t="n">
        <f aca="false">IF(N2&gt;=Assumptions!$B$53,N84*N85*(1-Assumptions!$B$176)*Assumptions!$B$156*Assumptions!$B$157,0)</f>
        <v>0</v>
      </c>
      <c r="O98" s="55" t="n">
        <f aca="false">IF(O2&gt;=Assumptions!$B$53,O84*O85*(1-Assumptions!$B$176)*Assumptions!$B$156*Assumptions!$B$157,0)</f>
        <v>0</v>
      </c>
      <c r="P98" s="55" t="n">
        <f aca="false">IF(P2&gt;=Assumptions!$B$53,P84*P85*(1-Assumptions!$B$176)*Assumptions!$B$156*Assumptions!$B$157,0)</f>
        <v>0</v>
      </c>
      <c r="Q98" s="55" t="n">
        <f aca="false">IF(Q2&gt;=Assumptions!$B$53,Q84*Q85*(1-Assumptions!$B$176)*Assumptions!$B$156*Assumptions!$B$157,0)</f>
        <v>0</v>
      </c>
      <c r="R98" s="55" t="n">
        <f aca="false">IF(R2&gt;=Assumptions!$B$53,R84*R85*(1-Assumptions!$B$176)*Assumptions!$B$156*Assumptions!$B$157,0)</f>
        <v>0</v>
      </c>
      <c r="S98" s="55" t="n">
        <f aca="false">IF(S2&gt;=Assumptions!$B$53,S84*S85*(1-Assumptions!$B$176)*Assumptions!$B$156*Assumptions!$B$157,0)</f>
        <v>0</v>
      </c>
      <c r="T98" s="55" t="n">
        <f aca="false">IF(T2&gt;=Assumptions!$B$53,T84*T85*(1-Assumptions!$B$176)*Assumptions!$B$156*Assumptions!$B$157,0)</f>
        <v>0</v>
      </c>
      <c r="U98" s="55" t="n">
        <f aca="false">IF(U2&gt;=Assumptions!$B$53,U84*U85*(1-Assumptions!$B$176)*Assumptions!$B$156*Assumptions!$B$157,0)</f>
        <v>0</v>
      </c>
      <c r="V98" s="55" t="n">
        <f aca="false">IF(V2&gt;=Assumptions!$B$53,V84*V85*(1-Assumptions!$B$176)*Assumptions!$B$156*Assumptions!$B$157,0)</f>
        <v>0</v>
      </c>
      <c r="W98" s="55" t="n">
        <f aca="false">IF(W2&gt;=Assumptions!$B$53,W84*W85*(1-Assumptions!$B$176)*Assumptions!$B$156*Assumptions!$B$157,0)</f>
        <v>101.951837755112</v>
      </c>
      <c r="X98" s="55" t="n">
        <f aca="false">IF(X2&gt;=Assumptions!$B$53,X84*X85*(1-Assumptions!$B$176)*Assumptions!$B$156*Assumptions!$B$157,0)</f>
        <v>213.259355194654</v>
      </c>
      <c r="Y98" s="55" t="n">
        <f aca="false">IF(Y2&gt;=Assumptions!$B$53,Y84*Y85*(1-Assumptions!$B$176)*Assumptions!$B$156*Assumptions!$B$157,0)</f>
        <v>340.25460988196</v>
      </c>
      <c r="Z98" s="55" t="n">
        <f aca="false">IF(Z2&gt;=Assumptions!$B$53,Z84*Z85*(1-Assumptions!$B$176)*Assumptions!$B$156*Assumptions!$B$157,0)</f>
        <v>524.303985218755</v>
      </c>
      <c r="AA98" s="55" t="n">
        <f aca="false">IF(AA2&gt;=Assumptions!$B$53,AA84*AA85*(1-Assumptions!$B$176)*Assumptions!$B$156*Assumptions!$B$157,0)</f>
        <v>10630.6126084739</v>
      </c>
      <c r="AB98" s="55" t="n">
        <f aca="false">IF(AB2&gt;=Assumptions!$B$53,AB84*AB85*(1-Assumptions!$B$176)*Assumptions!$B$156*Assumptions!$B$157,0)</f>
        <v>28747.7335508927</v>
      </c>
      <c r="AC98" s="55" t="n">
        <f aca="false">IF(AC2&gt;=Assumptions!$B$53,AC84*AC85*(1-Assumptions!$B$176)*Assumptions!$B$156*Assumptions!$B$157,0)</f>
        <v>59801.2439153075</v>
      </c>
      <c r="AD98" s="55" t="n">
        <f aca="false">IF(AD2&gt;=Assumptions!$B$53,AD84*AD85*(1-Assumptions!$B$176)*Assumptions!$B$156*Assumptions!$B$157,0)</f>
        <v>107858.973347412</v>
      </c>
      <c r="AE98" s="55" t="n">
        <f aca="false">IF(AE2&gt;=Assumptions!$B$53,AE84*AE85*(1-Assumptions!$B$176)*Assumptions!$B$156*Assumptions!$B$157,0)</f>
        <v>176667.512700899</v>
      </c>
    </row>
    <row r="99" customFormat="false" ht="15" hidden="false" customHeight="false" outlineLevel="0" collapsed="false">
      <c r="A99" s="6" t="s">
        <v>489</v>
      </c>
      <c r="B99" s="23" t="s">
        <v>114</v>
      </c>
      <c r="C99" s="55" t="n">
        <f aca="false">IF(C2&gt;=Assumptions!$B$53,(C98*Assumptions!$B$29*Assumptions!$B$30+C84*C86*(1-Assumptions!$B$176)*Assumptions!$B$27*Assumptions!$B$28)*C7/12,0)</f>
        <v>0</v>
      </c>
      <c r="D99" s="55" t="n">
        <f aca="false">IF(D2&gt;=Assumptions!$B$53,(D98*Assumptions!$B$29*Assumptions!$B$30+D84*D86*(1-Assumptions!$B$176)*Assumptions!$B$27*Assumptions!$B$28)*D7/12,0)</f>
        <v>0</v>
      </c>
      <c r="E99" s="55" t="n">
        <f aca="false">IF(E2&gt;=Assumptions!$B$53,(E98*Assumptions!$B$29*Assumptions!$B$30+E84*E86*(1-Assumptions!$B$176)*Assumptions!$B$27*Assumptions!$B$28)*E7/12,0)</f>
        <v>0</v>
      </c>
      <c r="F99" s="55" t="n">
        <f aca="false">IF(F2&gt;=Assumptions!$B$53,(F98*Assumptions!$B$29*Assumptions!$B$30+F84*F86*(1-Assumptions!$B$176)*Assumptions!$B$27*Assumptions!$B$28)*F7/12,0)</f>
        <v>0</v>
      </c>
      <c r="G99" s="55" t="n">
        <f aca="false">IF(G2&gt;=Assumptions!$B$53,(G98*Assumptions!$B$29*Assumptions!$B$30+G84*G86*(1-Assumptions!$B$176)*Assumptions!$B$27*Assumptions!$B$28)*G7/12,0)</f>
        <v>0</v>
      </c>
      <c r="H99" s="55" t="n">
        <f aca="false">IF(H2&gt;=Assumptions!$B$53,(H98*Assumptions!$B$29*Assumptions!$B$30+H84*H86*(1-Assumptions!$B$176)*Assumptions!$B$27*Assumptions!$B$28)*H7/12,0)</f>
        <v>0</v>
      </c>
      <c r="I99" s="55" t="n">
        <f aca="false">IF(I2&gt;=Assumptions!$B$53,(I98*Assumptions!$B$29*Assumptions!$B$30+I84*I86*(1-Assumptions!$B$176)*Assumptions!$B$27*Assumptions!$B$28)*I7/12,0)</f>
        <v>0</v>
      </c>
      <c r="J99" s="55" t="n">
        <f aca="false">IF(J2&gt;=Assumptions!$B$53,(J98*Assumptions!$B$29*Assumptions!$B$30+J84*J86*(1-Assumptions!$B$176)*Assumptions!$B$27*Assumptions!$B$28)*J7/12,0)</f>
        <v>0</v>
      </c>
      <c r="K99" s="55" t="n">
        <f aca="false">IF(K2&gt;=Assumptions!$B$53,(K98*Assumptions!$B$29*Assumptions!$B$30+K84*K86*(1-Assumptions!$B$176)*Assumptions!$B$27*Assumptions!$B$28)*K7/12,0)</f>
        <v>0</v>
      </c>
      <c r="L99" s="55" t="n">
        <f aca="false">IF(L2&gt;=Assumptions!$B$53,(L98*Assumptions!$B$29*Assumptions!$B$30+L84*L86*(1-Assumptions!$B$176)*Assumptions!$B$27*Assumptions!$B$28)*L7/12,0)</f>
        <v>0</v>
      </c>
      <c r="M99" s="55" t="n">
        <f aca="false">IF(M2&gt;=Assumptions!$B$53,(M98*Assumptions!$B$29*Assumptions!$B$30+M84*M86*(1-Assumptions!$B$176)*Assumptions!$B$27*Assumptions!$B$28)*M7/12,0)</f>
        <v>0</v>
      </c>
      <c r="N99" s="55" t="n">
        <f aca="false">IF(N2&gt;=Assumptions!$B$53,(N98*Assumptions!$B$29*Assumptions!$B$30+N84*N86*(1-Assumptions!$B$176)*Assumptions!$B$27*Assumptions!$B$28)*N7/12,0)</f>
        <v>0</v>
      </c>
      <c r="O99" s="55" t="n">
        <f aca="false">IF(O2&gt;=Assumptions!$B$53,(O98*Assumptions!$B$29*Assumptions!$B$30+O84*O86*(1-Assumptions!$B$176)*Assumptions!$B$27*Assumptions!$B$28)*O7/12,0)</f>
        <v>0</v>
      </c>
      <c r="P99" s="55" t="n">
        <f aca="false">IF(P2&gt;=Assumptions!$B$53,(P98*Assumptions!$B$29*Assumptions!$B$30+P84*P86*(1-Assumptions!$B$176)*Assumptions!$B$27*Assumptions!$B$28)*P7/12,0)</f>
        <v>0</v>
      </c>
      <c r="Q99" s="55" t="n">
        <f aca="false">IF(Q2&gt;=Assumptions!$B$53,(Q98*Assumptions!$B$29*Assumptions!$B$30+Q84*Q86*(1-Assumptions!$B$176)*Assumptions!$B$27*Assumptions!$B$28)*Q7/12,0)</f>
        <v>0</v>
      </c>
      <c r="R99" s="55" t="n">
        <f aca="false">IF(R2&gt;=Assumptions!$B$53,(R98*Assumptions!$B$29*Assumptions!$B$30+R84*R86*(1-Assumptions!$B$176)*Assumptions!$B$27*Assumptions!$B$28)*R7/12,0)</f>
        <v>0</v>
      </c>
      <c r="S99" s="55" t="n">
        <f aca="false">IF(S2&gt;=Assumptions!$B$53,(S98*Assumptions!$B$29*Assumptions!$B$30+S84*S86*(1-Assumptions!$B$176)*Assumptions!$B$27*Assumptions!$B$28)*S7/12,0)</f>
        <v>0</v>
      </c>
      <c r="T99" s="55" t="n">
        <f aca="false">IF(T2&gt;=Assumptions!$B$53,(T98*Assumptions!$B$29*Assumptions!$B$30+T84*T86*(1-Assumptions!$B$176)*Assumptions!$B$27*Assumptions!$B$28)*T7/12,0)</f>
        <v>0</v>
      </c>
      <c r="U99" s="55" t="n">
        <f aca="false">IF(U2&gt;=Assumptions!$B$53,(U98*Assumptions!$B$29*Assumptions!$B$30+U84*U86*(1-Assumptions!$B$176)*Assumptions!$B$27*Assumptions!$B$28)*U7/12,0)</f>
        <v>0</v>
      </c>
      <c r="V99" s="55" t="n">
        <f aca="false">IF(V2&gt;=Assumptions!$B$53,(V98*Assumptions!$B$29*Assumptions!$B$30+V84*V86*(1-Assumptions!$B$176)*Assumptions!$B$27*Assumptions!$B$28)*V7/12,0)</f>
        <v>0</v>
      </c>
      <c r="W99" s="55" t="n">
        <f aca="false">IF(W2&gt;=Assumptions!$B$53,(W98*Assumptions!$B$29*Assumptions!$B$30+W84*W86*(1-Assumptions!$B$176)*Assumptions!$B$27*Assumptions!$B$28)*W7/12,0)</f>
        <v>0.24213561466839</v>
      </c>
      <c r="X99" s="55" t="n">
        <f aca="false">IF(X2&gt;=Assumptions!$B$53,(X98*Assumptions!$B$29*Assumptions!$B$30+X84*X86*(1-Assumptions!$B$176)*Assumptions!$B$27*Assumptions!$B$28)*X7/12,0)</f>
        <v>0.506490968587303</v>
      </c>
      <c r="Y99" s="55" t="n">
        <f aca="false">IF(Y2&gt;=Assumptions!$B$53,(Y98*Assumptions!$B$29*Assumptions!$B$30+Y84*Y86*(1-Assumptions!$B$176)*Assumptions!$B$27*Assumptions!$B$28)*Y7/12,0)</f>
        <v>0.808104698469655</v>
      </c>
      <c r="Z99" s="55" t="n">
        <f aca="false">IF(Z2&gt;=Assumptions!$B$53,(Z98*Assumptions!$B$29*Assumptions!$B$30+Z84*Z86*(1-Assumptions!$B$176)*Assumptions!$B$27*Assumptions!$B$28)*Z7/12,0)</f>
        <v>1.24522196489454</v>
      </c>
      <c r="AA99" s="55" t="n">
        <f aca="false">IF(AA2&gt;=Assumptions!$B$53,(AA98*Assumptions!$B$29*Assumptions!$B$30+AA84*AA86*(1-Assumptions!$B$176)*Assumptions!$B$27*Assumptions!$B$28)*AA7/12,0)</f>
        <v>302.972459341507</v>
      </c>
      <c r="AB99" s="55" t="n">
        <f aca="false">IF(AB2&gt;=Assumptions!$B$53,(AB98*Assumptions!$B$29*Assumptions!$B$30+AB84*AB86*(1-Assumptions!$B$176)*Assumptions!$B$27*Assumptions!$B$28)*AB7/12,0)</f>
        <v>819.310406200442</v>
      </c>
      <c r="AC99" s="55" t="n">
        <f aca="false">IF(AC2&gt;=Assumptions!$B$53,(AC98*Assumptions!$B$29*Assumptions!$B$30+AC84*AC86*(1-Assumptions!$B$176)*Assumptions!$B$27*Assumptions!$B$28)*AC7/12,0)</f>
        <v>1704.33545158626</v>
      </c>
      <c r="AD99" s="55" t="n">
        <f aca="false">IF(AD2&gt;=Assumptions!$B$53,(AD98*Assumptions!$B$29*Assumptions!$B$30+AD84*AD86*(1-Assumptions!$B$176)*Assumptions!$B$27*Assumptions!$B$28)*AD7/12,0)</f>
        <v>3073.98074040123</v>
      </c>
      <c r="AE99" s="55" t="n">
        <f aca="false">IF(AE2&gt;=Assumptions!$B$53,(AE98*Assumptions!$B$29*Assumptions!$B$30+AE84*AE86*(1-Assumptions!$B$176)*Assumptions!$B$27*Assumptions!$B$28)*AE7/12,0)</f>
        <v>5035.02411197561</v>
      </c>
    </row>
    <row r="100" customFormat="false" ht="15" hidden="false" customHeight="false" outlineLevel="0" collapsed="false">
      <c r="A100" s="6" t="s">
        <v>490</v>
      </c>
      <c r="B100" s="23" t="s">
        <v>491</v>
      </c>
      <c r="C100" s="45" t="n">
        <f aca="false">IF(C2&gt;=Assumptions!$B$49,(C70+C72*Assumptions!$B$138)*Assumptions!$B$137*C7/12,0)</f>
        <v>0</v>
      </c>
      <c r="D100" s="45" t="n">
        <f aca="false">IF(D2&gt;=Assumptions!$B$49,(D70+D72*Assumptions!$B$138)*Assumptions!$B$137*D7/12,0)</f>
        <v>0</v>
      </c>
      <c r="E100" s="45" t="n">
        <f aca="false">IF(E2&gt;=Assumptions!$B$49,(E70+E72*Assumptions!$B$138)*Assumptions!$B$137*E7/12,0)</f>
        <v>0</v>
      </c>
      <c r="F100" s="45" t="n">
        <f aca="false">IF(F2&gt;=Assumptions!$B$49,(F70+F72*Assumptions!$B$138)*Assumptions!$B$137*F7/12,0)</f>
        <v>0</v>
      </c>
      <c r="G100" s="45" t="n">
        <f aca="false">IF(G2&gt;=Assumptions!$B$49,(G70+G72*Assumptions!$B$138)*Assumptions!$B$137*G7/12,0)</f>
        <v>0</v>
      </c>
      <c r="H100" s="45" t="n">
        <f aca="false">IF(H2&gt;=Assumptions!$B$49,(H70+H72*Assumptions!$B$138)*Assumptions!$B$137*H7/12,0)</f>
        <v>0</v>
      </c>
      <c r="I100" s="45" t="n">
        <f aca="false">IF(I2&gt;=Assumptions!$B$49,(I70+I72*Assumptions!$B$138)*Assumptions!$B$137*I7/12,0)</f>
        <v>0</v>
      </c>
      <c r="J100" s="45" t="n">
        <f aca="false">IF(J2&gt;=Assumptions!$B$49,(J70+J72*Assumptions!$B$138)*Assumptions!$B$137*J7/12,0)</f>
        <v>0</v>
      </c>
      <c r="K100" s="45" t="n">
        <f aca="false">IF(K2&gt;=Assumptions!$B$49,(K70+K72*Assumptions!$B$138)*Assumptions!$B$137*K7/12,0)</f>
        <v>0</v>
      </c>
      <c r="L100" s="45" t="n">
        <f aca="false">IF(L2&gt;=Assumptions!$B$49,(L70+L72*Assumptions!$B$138)*Assumptions!$B$137*L7/12,0)</f>
        <v>0</v>
      </c>
      <c r="M100" s="45" t="n">
        <f aca="false">IF(M2&gt;=Assumptions!$B$49,(M70+M72*Assumptions!$B$138)*Assumptions!$B$137*M7/12,0)</f>
        <v>0</v>
      </c>
      <c r="N100" s="45" t="n">
        <f aca="false">IF(N2&gt;=Assumptions!$B$49,(N70+N72*Assumptions!$B$138)*Assumptions!$B$137*N7/12,0)</f>
        <v>0</v>
      </c>
      <c r="O100" s="45" t="n">
        <f aca="false">IF(O2&gt;=Assumptions!$B$49,(O70+O72*Assumptions!$B$138)*Assumptions!$B$137*O7/12,0)</f>
        <v>0.367583585465883</v>
      </c>
      <c r="P100" s="45" t="n">
        <f aca="false">IF(P2&gt;=Assumptions!$B$49,(P70+P72*Assumptions!$B$138)*Assumptions!$B$137*P7/12,0)</f>
        <v>0.737217856484448</v>
      </c>
      <c r="Q100" s="45" t="n">
        <f aca="false">IF(Q2&gt;=Assumptions!$B$49,(Q70+Q72*Assumptions!$B$138)*Assumptions!$B$137*Q7/12,0)</f>
        <v>1.11023275662047</v>
      </c>
      <c r="R100" s="45" t="n">
        <f aca="false">IF(R2&gt;=Assumptions!$B$49,(R70+R72*Assumptions!$B$138)*Assumptions!$B$137*R7/12,0)</f>
        <v>1.5906237193864</v>
      </c>
      <c r="S100" s="45" t="n">
        <f aca="false">IF(S2&gt;=Assumptions!$B$49,(S70+S72*Assumptions!$B$138)*Assumptions!$B$137*S7/12,0)</f>
        <v>2.05058481602419</v>
      </c>
      <c r="T100" s="45" t="n">
        <f aca="false">IF(T2&gt;=Assumptions!$B$49,(T70+T72*Assumptions!$B$138)*Assumptions!$B$137*T7/12,0)</f>
        <v>2.4641689496779</v>
      </c>
      <c r="U100" s="45" t="n">
        <f aca="false">IF(U2&gt;=Assumptions!$B$49,(U70+U72*Assumptions!$B$138)*Assumptions!$B$137*U7/12,0)</f>
        <v>2.87945051033906</v>
      </c>
      <c r="V100" s="45" t="n">
        <f aca="false">IF(V2&gt;=Assumptions!$B$49,(V70+V72*Assumptions!$B$138)*Assumptions!$B$137*V7/12,0)</f>
        <v>3.30776949135478</v>
      </c>
      <c r="W100" s="45" t="n">
        <f aca="false">IF(W2&gt;=Assumptions!$B$49,(W70+W72*Assumptions!$B$138)*Assumptions!$B$137*W7/12,0)</f>
        <v>3.78346473881685</v>
      </c>
      <c r="X100" s="45" t="n">
        <f aca="false">IF(X2&gt;=Assumptions!$B$49,(X70+X72*Assumptions!$B$138)*Assumptions!$B$137*X7/12,0)</f>
        <v>4.41504895188073</v>
      </c>
      <c r="Y100" s="45" t="n">
        <f aca="false">IF(Y2&gt;=Assumptions!$B$49,(Y70+Y72*Assumptions!$B$138)*Assumptions!$B$137*Y7/12,0)</f>
        <v>5.02658090200232</v>
      </c>
      <c r="Z100" s="45" t="n">
        <f aca="false">IF(Z2&gt;=Assumptions!$B$49,(Z70+Z72*Assumptions!$B$138)*Assumptions!$B$137*Z7/12,0)</f>
        <v>5.59437227552617</v>
      </c>
      <c r="AA100" s="45" t="n">
        <f aca="false">IF(AA2&gt;=Assumptions!$B$49,(AA70+AA72*Assumptions!$B$138)*Assumptions!$B$137*AA7/12,0)</f>
        <v>194.697020600024</v>
      </c>
      <c r="AB100" s="45" t="n">
        <f aca="false">IF(AB2&gt;=Assumptions!$B$49,(AB70+AB72*Assumptions!$B$138)*Assumptions!$B$137*AB7/12,0)</f>
        <v>405.097816641299</v>
      </c>
      <c r="AC100" s="45" t="n">
        <f aca="false">IF(AC2&gt;=Assumptions!$B$49,(AC70+AC72*Assumptions!$B$138)*Assumptions!$B$137*AC7/12,0)</f>
        <v>714.059365598447</v>
      </c>
      <c r="AD100" s="45" t="n">
        <f aca="false">IF(AD2&gt;=Assumptions!$B$49,(AD70+AD72*Assumptions!$B$138)*Assumptions!$B$137*AD7/12,0)</f>
        <v>1105.15460996012</v>
      </c>
      <c r="AE100" s="45" t="n">
        <f aca="false">IF(AE2&gt;=Assumptions!$B$49,(AE70+AE72*Assumptions!$B$138)*Assumptions!$B$137*AE7/12,0)</f>
        <v>1539.18993303524</v>
      </c>
    </row>
    <row r="101" customFormat="false" ht="15" hidden="false" customHeight="false" outlineLevel="0" collapsed="false">
      <c r="A101" s="3" t="s">
        <v>494</v>
      </c>
      <c r="B101" s="23" t="s">
        <v>114</v>
      </c>
      <c r="C101" s="57" t="n">
        <f aca="false">C92+C93+C94+C96+C97+C99</f>
        <v>0</v>
      </c>
      <c r="D101" s="57" t="n">
        <f aca="false">D92+D93+D94+D96+D97+D99</f>
        <v>0</v>
      </c>
      <c r="E101" s="57" t="n">
        <f aca="false">E92+E93+E94+E96+E97+E99</f>
        <v>0</v>
      </c>
      <c r="F101" s="57" t="n">
        <f aca="false">F92+F93+F94+F96+F97+F99</f>
        <v>0</v>
      </c>
      <c r="G101" s="57" t="n">
        <f aca="false">G92+G93+G94+G96+G97+G99</f>
        <v>0</v>
      </c>
      <c r="H101" s="57" t="n">
        <f aca="false">H92+H93+H94+H96+H97+H99</f>
        <v>0</v>
      </c>
      <c r="I101" s="57" t="n">
        <f aca="false">I92+I93+I94+I96+I97+I99</f>
        <v>0</v>
      </c>
      <c r="J101" s="57" t="n">
        <f aca="false">J92+J93+J94+J96+J97+J99</f>
        <v>0</v>
      </c>
      <c r="K101" s="57" t="n">
        <f aca="false">K92+K93+K94+K96+K97+K99</f>
        <v>0</v>
      </c>
      <c r="L101" s="57" t="n">
        <f aca="false">L92+L93+L94+L96+L97+L99</f>
        <v>0</v>
      </c>
      <c r="M101" s="57" t="n">
        <f aca="false">M92+M93+M94+M96+M97+M99</f>
        <v>0</v>
      </c>
      <c r="N101" s="57" t="n">
        <f aca="false">N92+N93+N94+N96+N97+N99</f>
        <v>0</v>
      </c>
      <c r="O101" s="57" t="n">
        <f aca="false">O92+O93+O94+O96+O97+O99</f>
        <v>115.879806002913</v>
      </c>
      <c r="P101" s="57" t="n">
        <f aca="false">P92+P93+P94+P96+P97+P99</f>
        <v>223.148845479365</v>
      </c>
      <c r="Q101" s="57" t="n">
        <f aca="false">Q92+Q93+Q94+Q96+Q97+Q99</f>
        <v>322.910959706189</v>
      </c>
      <c r="R101" s="57" t="n">
        <f aca="false">R92+R93+R94+R96+R97+R99</f>
        <v>448.547316689026</v>
      </c>
      <c r="S101" s="57" t="n">
        <f aca="false">S92+S93+S94+S96+S97+S99</f>
        <v>557.697984257141</v>
      </c>
      <c r="T101" s="57" t="n">
        <f aca="false">T92+T93+T94+T96+T97+T99</f>
        <v>643.49718879689</v>
      </c>
      <c r="U101" s="57" t="n">
        <f aca="false">U92+U93+U94+U96+U97+U99</f>
        <v>722.963402257664</v>
      </c>
      <c r="V101" s="57" t="n">
        <f aca="false">V92+V93+V94+V96+V97+V99</f>
        <v>800.175946527263</v>
      </c>
      <c r="W101" s="57" t="n">
        <f aca="false">W92+W93+W94+W96+W97+W99</f>
        <v>910.959626687526</v>
      </c>
      <c r="X101" s="57" t="n">
        <f aca="false">X92+X93+X94+X96+X97+X99</f>
        <v>1063.6396412853</v>
      </c>
      <c r="Y101" s="57" t="n">
        <f aca="false">Y92+Y93+Y94+Y96+Y97+Y99</f>
        <v>1199.39605078871</v>
      </c>
      <c r="Z101" s="57" t="n">
        <f aca="false">Z92+Z93+Z94+Z96+Z97+Z99</f>
        <v>1319.20299501374</v>
      </c>
      <c r="AA101" s="57" t="n">
        <f aca="false">AA92+AA93+AA94+AA96+AA97+AA99</f>
        <v>43114.7550417482</v>
      </c>
      <c r="AB101" s="57" t="n">
        <f aca="false">AB92+AB93+AB94+AB96+AB97+AB99</f>
        <v>78518.2878413993</v>
      </c>
      <c r="AC101" s="57" t="n">
        <f aca="false">AC92+AC93+AC94+AC96+AC97+AC99</f>
        <v>125059.206244743</v>
      </c>
      <c r="AD101" s="57" t="n">
        <f aca="false">AD92+AD93+AD94+AD96+AD97+AD99</f>
        <v>174964.018262132</v>
      </c>
      <c r="AE101" s="57" t="n">
        <f aca="false">AE92+AE93+AE94+AE96+AE97+AE99</f>
        <v>219175.774824282</v>
      </c>
    </row>
    <row r="103" customFormat="false" ht="15" hidden="false" customHeight="false" outlineLevel="0" collapsed="false">
      <c r="A103" s="46" t="s">
        <v>495</v>
      </c>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c r="AD103" s="47"/>
      <c r="AE103" s="47"/>
    </row>
    <row r="104" customFormat="false" ht="15" hidden="false" customHeight="false" outlineLevel="0" collapsed="false">
      <c r="A104" s="6" t="s">
        <v>451</v>
      </c>
      <c r="B104" s="23" t="s">
        <v>190</v>
      </c>
      <c r="C104" s="53" t="n">
        <f aca="false">INDEX(Assumptions!$B$100:$B$106,C5)*Assumptions!$B$129/12*C7/Assumptions!$B$126*(1+Assumptions!$B$132)*IF(C2&gt;=Assumptions!$B$57,1,0)</f>
        <v>162.5</v>
      </c>
      <c r="D104" s="53" t="n">
        <f aca="false">INDEX(Assumptions!$B$100:$B$106,D5)*Assumptions!$B$129/12*D7/Assumptions!$B$126*(1+Assumptions!$B$132)*IF(D2&gt;=Assumptions!$B$57,1,0)</f>
        <v>162.5</v>
      </c>
      <c r="E104" s="53" t="n">
        <f aca="false">INDEX(Assumptions!$B$100:$B$106,E5)*Assumptions!$B$129/12*E7/Assumptions!$B$126*(1+Assumptions!$B$132)*IF(E2&gt;=Assumptions!$B$57,1,0)</f>
        <v>162.5</v>
      </c>
      <c r="F104" s="53" t="n">
        <f aca="false">INDEX(Assumptions!$B$100:$B$106,F5)*Assumptions!$B$129/12*F7/Assumptions!$B$126*(1+Assumptions!$B$132)*IF(F2&gt;=Assumptions!$B$57,1,0)</f>
        <v>162.5</v>
      </c>
      <c r="G104" s="53" t="n">
        <f aca="false">INDEX(Assumptions!$B$100:$B$106,G5)*Assumptions!$B$129/12*G7/Assumptions!$B$126*(1+Assumptions!$B$132)*IF(G2&gt;=Assumptions!$B$57,1,0)</f>
        <v>162.5</v>
      </c>
      <c r="H104" s="53" t="n">
        <f aca="false">INDEX(Assumptions!$B$100:$B$106,H5)*Assumptions!$B$129/12*H7/Assumptions!$B$126*(1+Assumptions!$B$132)*IF(H2&gt;=Assumptions!$B$57,1,0)</f>
        <v>162.5</v>
      </c>
      <c r="I104" s="53" t="n">
        <f aca="false">INDEX(Assumptions!$B$100:$B$106,I5)*Assumptions!$B$129/12*I7/Assumptions!$B$126*(1+Assumptions!$B$132)*IF(I2&gt;=Assumptions!$B$57,1,0)</f>
        <v>162.5</v>
      </c>
      <c r="J104" s="53" t="n">
        <f aca="false">INDEX(Assumptions!$B$100:$B$106,J5)*Assumptions!$B$129/12*J7/Assumptions!$B$126*(1+Assumptions!$B$132)*IF(J2&gt;=Assumptions!$B$57,1,0)</f>
        <v>162.5</v>
      </c>
      <c r="K104" s="53" t="n">
        <f aca="false">INDEX(Assumptions!$B$100:$B$106,K5)*Assumptions!$B$129/12*K7/Assumptions!$B$126*(1+Assumptions!$B$132)*IF(K2&gt;=Assumptions!$B$57,1,0)</f>
        <v>162.5</v>
      </c>
      <c r="L104" s="53" t="n">
        <f aca="false">INDEX(Assumptions!$B$100:$B$106,L5)*Assumptions!$B$129/12*L7/Assumptions!$B$126*(1+Assumptions!$B$132)*IF(L2&gt;=Assumptions!$B$57,1,0)</f>
        <v>162.5</v>
      </c>
      <c r="M104" s="53" t="n">
        <f aca="false">INDEX(Assumptions!$B$100:$B$106,M5)*Assumptions!$B$129/12*M7/Assumptions!$B$126*(1+Assumptions!$B$132)*IF(M2&gt;=Assumptions!$B$57,1,0)</f>
        <v>162.5</v>
      </c>
      <c r="N104" s="53" t="n">
        <f aca="false">INDEX(Assumptions!$B$100:$B$106,N5)*Assumptions!$B$129/12*N7/Assumptions!$B$126*(1+Assumptions!$B$132)*IF(N2&gt;=Assumptions!$B$57,1,0)</f>
        <v>162.5</v>
      </c>
      <c r="O104" s="53" t="n">
        <f aca="false">INDEX(Assumptions!$B$100:$B$106,O5)*Assumptions!$B$129/12*O7/Assumptions!$B$126*(1+Assumptions!$B$132)*IF(O2&gt;=Assumptions!$B$57,1,0)</f>
        <v>487.5</v>
      </c>
      <c r="P104" s="53" t="n">
        <f aca="false">INDEX(Assumptions!$B$100:$B$106,P5)*Assumptions!$B$129/12*P7/Assumptions!$B$126*(1+Assumptions!$B$132)*IF(P2&gt;=Assumptions!$B$57,1,0)</f>
        <v>487.5</v>
      </c>
      <c r="Q104" s="53" t="n">
        <f aca="false">INDEX(Assumptions!$B$100:$B$106,Q5)*Assumptions!$B$129/12*Q7/Assumptions!$B$126*(1+Assumptions!$B$132)*IF(Q2&gt;=Assumptions!$B$57,1,0)</f>
        <v>487.5</v>
      </c>
      <c r="R104" s="53" t="n">
        <f aca="false">INDEX(Assumptions!$B$100:$B$106,R5)*Assumptions!$B$129/12*R7/Assumptions!$B$126*(1+Assumptions!$B$132)*IF(R2&gt;=Assumptions!$B$57,1,0)</f>
        <v>487.5</v>
      </c>
      <c r="S104" s="53" t="n">
        <f aca="false">INDEX(Assumptions!$B$100:$B$106,S5)*Assumptions!$B$129/12*S7/Assumptions!$B$126*(1+Assumptions!$B$132)*IF(S2&gt;=Assumptions!$B$57,1,0)</f>
        <v>487.5</v>
      </c>
      <c r="T104" s="53" t="n">
        <f aca="false">INDEX(Assumptions!$B$100:$B$106,T5)*Assumptions!$B$129/12*T7/Assumptions!$B$126*(1+Assumptions!$B$132)*IF(T2&gt;=Assumptions!$B$57,1,0)</f>
        <v>487.5</v>
      </c>
      <c r="U104" s="53" t="n">
        <f aca="false">INDEX(Assumptions!$B$100:$B$106,U5)*Assumptions!$B$129/12*U7/Assumptions!$B$126*(1+Assumptions!$B$132)*IF(U2&gt;=Assumptions!$B$57,1,0)</f>
        <v>487.5</v>
      </c>
      <c r="V104" s="53" t="n">
        <f aca="false">INDEX(Assumptions!$B$100:$B$106,V5)*Assumptions!$B$129/12*V7/Assumptions!$B$126*(1+Assumptions!$B$132)*IF(V2&gt;=Assumptions!$B$57,1,0)</f>
        <v>487.5</v>
      </c>
      <c r="W104" s="53" t="n">
        <f aca="false">INDEX(Assumptions!$B$100:$B$106,W5)*Assumptions!$B$129/12*W7/Assumptions!$B$126*(1+Assumptions!$B$132)*IF(W2&gt;=Assumptions!$B$57,1,0)</f>
        <v>487.5</v>
      </c>
      <c r="X104" s="53" t="n">
        <f aca="false">INDEX(Assumptions!$B$100:$B$106,X5)*Assumptions!$B$129/12*X7/Assumptions!$B$126*(1+Assumptions!$B$132)*IF(X2&gt;=Assumptions!$B$57,1,0)</f>
        <v>487.5</v>
      </c>
      <c r="Y104" s="53" t="n">
        <f aca="false">INDEX(Assumptions!$B$100:$B$106,Y5)*Assumptions!$B$129/12*Y7/Assumptions!$B$126*(1+Assumptions!$B$132)*IF(Y2&gt;=Assumptions!$B$57,1,0)</f>
        <v>487.5</v>
      </c>
      <c r="Z104" s="53" t="n">
        <f aca="false">INDEX(Assumptions!$B$100:$B$106,Z5)*Assumptions!$B$129/12*Z7/Assumptions!$B$126*(1+Assumptions!$B$132)*IF(Z2&gt;=Assumptions!$B$57,1,0)</f>
        <v>487.5</v>
      </c>
      <c r="AA104" s="53" t="n">
        <f aca="false">INDEX(Assumptions!$B$100:$B$106,AA5)*Assumptions!$B$129/12*AA7/Assumptions!$B$126*(1+Assumptions!$B$132)*IF(AA2&gt;=Assumptions!$B$57,1,0)</f>
        <v>8125</v>
      </c>
      <c r="AB104" s="53" t="n">
        <f aca="false">INDEX(Assumptions!$B$100:$B$106,AB5)*Assumptions!$B$129/12*AB7/Assumptions!$B$126*(1+Assumptions!$B$132)*IF(AB2&gt;=Assumptions!$B$57,1,0)</f>
        <v>13000</v>
      </c>
      <c r="AC104" s="53" t="n">
        <f aca="false">INDEX(Assumptions!$B$100:$B$106,AC5)*Assumptions!$B$129/12*AC7/Assumptions!$B$126*(1+Assumptions!$B$132)*IF(AC2&gt;=Assumptions!$B$57,1,0)</f>
        <v>19500</v>
      </c>
      <c r="AD104" s="53" t="n">
        <f aca="false">INDEX(Assumptions!$B$100:$B$106,AD5)*Assumptions!$B$129/12*AD7/Assumptions!$B$126*(1+Assumptions!$B$132)*IF(AD2&gt;=Assumptions!$B$57,1,0)</f>
        <v>27625</v>
      </c>
      <c r="AE104" s="53" t="n">
        <f aca="false">INDEX(Assumptions!$B$100:$B$106,AE5)*Assumptions!$B$129/12*AE7/Assumptions!$B$126*(1+Assumptions!$B$132)*IF(AE2&gt;=Assumptions!$B$57,1,0)</f>
        <v>35750</v>
      </c>
    </row>
    <row r="105" customFormat="false" ht="15" hidden="false" customHeight="false" outlineLevel="0" collapsed="false">
      <c r="A105" s="6" t="s">
        <v>452</v>
      </c>
      <c r="B105" s="23" t="s">
        <v>190</v>
      </c>
      <c r="C105" s="54" t="n">
        <v>0</v>
      </c>
      <c r="D105" s="54" t="n">
        <f aca="false">IF(D2&gt;=Assumptions!$B$55,C109*Assumptions!$B$130/12*Assumptions!$B$131*D7,0)</f>
        <v>0</v>
      </c>
      <c r="E105" s="54" t="n">
        <f aca="false">IF(E2&gt;=Assumptions!$B$55,D109*Assumptions!$B$130/12*Assumptions!$B$131*E7,0)</f>
        <v>0</v>
      </c>
      <c r="F105" s="54" t="n">
        <f aca="false">IF(F2&gt;=Assumptions!$B$55,E109*Assumptions!$B$130/12*Assumptions!$B$131*F7,0)</f>
        <v>0</v>
      </c>
      <c r="G105" s="54" t="n">
        <f aca="false">IF(G2&gt;=Assumptions!$B$55,F109*Assumptions!$B$130/12*Assumptions!$B$131*G7,0)</f>
        <v>0</v>
      </c>
      <c r="H105" s="54" t="n">
        <f aca="false">IF(H2&gt;=Assumptions!$B$55,G109*Assumptions!$B$130/12*Assumptions!$B$131*H7,0)</f>
        <v>0</v>
      </c>
      <c r="I105" s="54" t="n">
        <f aca="false">IF(I2&gt;=Assumptions!$B$55,H109*Assumptions!$B$130/12*Assumptions!$B$131*I7,0)</f>
        <v>0</v>
      </c>
      <c r="J105" s="54" t="n">
        <f aca="false">IF(J2&gt;=Assumptions!$B$55,I109*Assumptions!$B$130/12*Assumptions!$B$131*J7,0)</f>
        <v>0</v>
      </c>
      <c r="K105" s="54" t="n">
        <f aca="false">IF(K2&gt;=Assumptions!$B$55,J109*Assumptions!$B$130/12*Assumptions!$B$131*K7,0)</f>
        <v>0</v>
      </c>
      <c r="L105" s="54" t="n">
        <f aca="false">IF(L2&gt;=Assumptions!$B$55,K109*Assumptions!$B$130/12*Assumptions!$B$131*L7,0)</f>
        <v>0</v>
      </c>
      <c r="M105" s="54" t="n">
        <f aca="false">IF(M2&gt;=Assumptions!$B$55,L109*Assumptions!$B$130/12*Assumptions!$B$131*M7,0)</f>
        <v>0</v>
      </c>
      <c r="N105" s="54" t="n">
        <f aca="false">IF(N2&gt;=Assumptions!$B$55,M109*Assumptions!$B$130/12*Assumptions!$B$131*N7,0)</f>
        <v>0</v>
      </c>
      <c r="O105" s="54" t="n">
        <f aca="false">IF(O2&gt;=Assumptions!$B$55,N109*Assumptions!$B$130/12*Assumptions!$B$131*O7,0)</f>
        <v>49.3648525600531</v>
      </c>
      <c r="P105" s="54" t="n">
        <f aca="false">IF(P2&gt;=Assumptions!$B$55,O109*Assumptions!$B$130/12*Assumptions!$B$131*P7,0)</f>
        <v>64.670049408076</v>
      </c>
      <c r="Q105" s="54" t="n">
        <f aca="false">IF(Q2&gt;=Assumptions!$B$55,P109*Assumptions!$B$130/12*Assumptions!$B$131*Q7,0)</f>
        <v>78.7095129302573</v>
      </c>
      <c r="R105" s="54" t="n">
        <f aca="false">IF(R2&gt;=Assumptions!$B$55,Q109*Assumptions!$B$130/12*Assumptions!$B$131*R7,0)</f>
        <v>91.6546036538516</v>
      </c>
      <c r="S105" s="54" t="n">
        <f aca="false">IF(S2&gt;=Assumptions!$B$55,R109*Assumptions!$B$130/12*Assumptions!$B$131*S7,0)</f>
        <v>108.504048896778</v>
      </c>
      <c r="T105" s="54" t="n">
        <f aca="false">IF(T2&gt;=Assumptions!$B$55,S109*Assumptions!$B$130/12*Assumptions!$B$131*T7,0)</f>
        <v>122.895568725977</v>
      </c>
      <c r="U105" s="54" t="n">
        <f aca="false">IF(U2&gt;=Assumptions!$B$55,T109*Assumptions!$B$130/12*Assumptions!$B$131*U7,0)</f>
        <v>133.839618524663</v>
      </c>
      <c r="V105" s="54" t="n">
        <f aca="false">IF(V2&gt;=Assumptions!$B$55,U109*Assumptions!$B$130/12*Assumptions!$B$131*V7,0)</f>
        <v>143.867194124147</v>
      </c>
      <c r="W105" s="54" t="n">
        <f aca="false">IF(W2&gt;=Assumptions!$B$55,V109*Assumptions!$B$130/12*Assumptions!$B$131*W7,0)</f>
        <v>153.576441248339</v>
      </c>
      <c r="X105" s="54" t="n">
        <f aca="false">IF(X2&gt;=Assumptions!$B$55,W109*Assumptions!$B$130/12*Assumptions!$B$131*X7,0)</f>
        <v>164.558799062824</v>
      </c>
      <c r="Y105" s="54" t="n">
        <f aca="false">IF(Y2&gt;=Assumptions!$B$55,X109*Assumptions!$B$130/12*Assumptions!$B$131*Y7,0)</f>
        <v>181.616852770461</v>
      </c>
      <c r="Z105" s="54" t="n">
        <f aca="false">IF(Z2&gt;=Assumptions!$B$55,Y109*Assumptions!$B$130/12*Assumptions!$B$131*Z7,0)</f>
        <v>196.232919649206</v>
      </c>
      <c r="AA105" s="54" t="n">
        <f aca="false">IF(AA2&gt;=Assumptions!$B$55,Z109*Assumptions!$B$130/12*Assumptions!$B$131*AA7,0)</f>
        <v>2490.74560007367</v>
      </c>
      <c r="AB105" s="54" t="n">
        <f aca="false">IF(AB2&gt;=Assumptions!$B$55,AA109*Assumptions!$B$130/12*Assumptions!$B$131*AB7,0)</f>
        <v>4565.14680628669</v>
      </c>
      <c r="AC105" s="54" t="n">
        <f aca="false">IF(AC2&gt;=Assumptions!$B$55,AB109*Assumptions!$B$130/12*Assumptions!$B$131*AC7,0)</f>
        <v>7197.75865363728</v>
      </c>
      <c r="AD105" s="54" t="n">
        <f aca="false">IF(AD2&gt;=Assumptions!$B$55,AC109*Assumptions!$B$130/12*Assumptions!$B$131*AD7,0)</f>
        <v>9904.21356022277</v>
      </c>
      <c r="AE105" s="54" t="n">
        <f aca="false">IF(AE2&gt;=Assumptions!$B$55,AD109*Assumptions!$B$130/12*Assumptions!$B$131*AE7,0)</f>
        <v>11584.0542011576</v>
      </c>
    </row>
    <row r="106" customFormat="false" ht="15" hidden="false" customHeight="false" outlineLevel="0" collapsed="false">
      <c r="A106" s="6" t="s">
        <v>453</v>
      </c>
      <c r="B106" s="23" t="s">
        <v>190</v>
      </c>
      <c r="C106" s="54" t="n">
        <f aca="false">C104+C105+IF(C23=0,0,C20*Assumptions!$B$116/C23*IF(C2&gt;=Assumptions!$B$57,1,0))</f>
        <v>176.9</v>
      </c>
      <c r="D106" s="54" t="n">
        <f aca="false">D104+D105+IF(D23=0,0,D20*Assumptions!$B$116/D23*IF(D2&gt;=Assumptions!$B$57,1,0))</f>
        <v>176.9</v>
      </c>
      <c r="E106" s="54" t="n">
        <f aca="false">E104+E105+IF(E23=0,0,E20*Assumptions!$B$116/E23*IF(E2&gt;=Assumptions!$B$57,1,0))</f>
        <v>176.9</v>
      </c>
      <c r="F106" s="54" t="n">
        <f aca="false">F104+F105+IF(F23=0,0,F20*Assumptions!$B$116/F23*IF(F2&gt;=Assumptions!$B$57,1,0))</f>
        <v>176.9</v>
      </c>
      <c r="G106" s="54" t="n">
        <f aca="false">G104+G105+IF(G23=0,0,G20*Assumptions!$B$116/G23*IF(G2&gt;=Assumptions!$B$57,1,0))</f>
        <v>176.9</v>
      </c>
      <c r="H106" s="54" t="n">
        <f aca="false">H104+H105+IF(H23=0,0,H20*Assumptions!$B$116/H23*IF(H2&gt;=Assumptions!$B$57,1,0))</f>
        <v>176.9</v>
      </c>
      <c r="I106" s="54" t="n">
        <f aca="false">I104+I105+IF(I23=0,0,I20*Assumptions!$B$116/I23*IF(I2&gt;=Assumptions!$B$57,1,0))</f>
        <v>176.9</v>
      </c>
      <c r="J106" s="54" t="n">
        <f aca="false">J104+J105+IF(J23=0,0,J20*Assumptions!$B$116/J23*IF(J2&gt;=Assumptions!$B$57,1,0))</f>
        <v>176.9</v>
      </c>
      <c r="K106" s="54" t="n">
        <f aca="false">K104+K105+IF(K23=0,0,K20*Assumptions!$B$116/K23*IF(K2&gt;=Assumptions!$B$57,1,0))</f>
        <v>176.9</v>
      </c>
      <c r="L106" s="54" t="n">
        <f aca="false">L104+L105+IF(L23=0,0,L20*Assumptions!$B$116/L23*IF(L2&gt;=Assumptions!$B$57,1,0))</f>
        <v>176.9</v>
      </c>
      <c r="M106" s="54" t="n">
        <f aca="false">M104+M105+IF(M23=0,0,M20*Assumptions!$B$116/M23*IF(M2&gt;=Assumptions!$B$57,1,0))</f>
        <v>176.9</v>
      </c>
      <c r="N106" s="54" t="n">
        <f aca="false">N104+N105+IF(N23=0,0,N20*Assumptions!$B$116/N23*IF(N2&gt;=Assumptions!$B$57,1,0))</f>
        <v>176.9</v>
      </c>
      <c r="O106" s="54" t="n">
        <f aca="false">O104+O105+IF(O23=0,0,O20*Assumptions!$B$116/O23*IF(O2&gt;=Assumptions!$B$57,1,0))</f>
        <v>589.649852560053</v>
      </c>
      <c r="P106" s="54" t="n">
        <f aca="false">P104+P105+IF(P23=0,0,P20*Assumptions!$B$116/P23*IF(P2&gt;=Assumptions!$B$57,1,0))</f>
        <v>604.955049408076</v>
      </c>
      <c r="Q106" s="54" t="n">
        <f aca="false">Q104+Q105+IF(Q23=0,0,Q20*Assumptions!$B$116/Q23*IF(Q2&gt;=Assumptions!$B$57,1,0))</f>
        <v>618.994512930257</v>
      </c>
      <c r="R106" s="54" t="n">
        <f aca="false">R104+R105+IF(R23=0,0,R20*Assumptions!$B$116/R23*IF(R2&gt;=Assumptions!$B$57,1,0))</f>
        <v>631.939603653852</v>
      </c>
      <c r="S106" s="54" t="n">
        <f aca="false">S104+S105+IF(S23=0,0,S20*Assumptions!$B$116/S23*IF(S2&gt;=Assumptions!$B$57,1,0))</f>
        <v>648.789048896778</v>
      </c>
      <c r="T106" s="54" t="n">
        <f aca="false">T104+T105+IF(T23=0,0,T20*Assumptions!$B$116/T23*IF(T2&gt;=Assumptions!$B$57,1,0))</f>
        <v>663.180568725977</v>
      </c>
      <c r="U106" s="54" t="n">
        <f aca="false">U104+U105+IF(U23=0,0,U20*Assumptions!$B$116/U23*IF(U2&gt;=Assumptions!$B$57,1,0))</f>
        <v>674.124618524663</v>
      </c>
      <c r="V106" s="54" t="n">
        <f aca="false">V104+V105+IF(V23=0,0,V20*Assumptions!$B$116/V23*IF(V2&gt;=Assumptions!$B$57,1,0))</f>
        <v>684.152194124147</v>
      </c>
      <c r="W106" s="54" t="n">
        <f aca="false">W104+W105+IF(W23=0,0,W20*Assumptions!$B$116/W23*IF(W2&gt;=Assumptions!$B$57,1,0))</f>
        <v>693.861441248339</v>
      </c>
      <c r="X106" s="54" t="n">
        <f aca="false">X104+X105+IF(X23=0,0,X20*Assumptions!$B$116/X23*IF(X2&gt;=Assumptions!$B$57,1,0))</f>
        <v>704.843799062824</v>
      </c>
      <c r="Y106" s="54" t="n">
        <f aca="false">Y104+Y105+IF(Y23=0,0,Y20*Assumptions!$B$116/Y23*IF(Y2&gt;=Assumptions!$B$57,1,0))</f>
        <v>721.901852770461</v>
      </c>
      <c r="Z106" s="54" t="n">
        <f aca="false">Z104+Z105+IF(Z23=0,0,Z20*Assumptions!$B$116/Z23*IF(Z2&gt;=Assumptions!$B$57,1,0))</f>
        <v>736.517919649206</v>
      </c>
      <c r="AA106" s="54" t="n">
        <f aca="false">AA104+AA105+IF(AA23=0,0,AA20*Assumptions!$B$116/AA23*IF(AA2&gt;=Assumptions!$B$57,1,0))</f>
        <v>12559.7456000737</v>
      </c>
      <c r="AB106" s="54" t="n">
        <f aca="false">AB104+AB105+IF(AB23=0,0,AB20*Assumptions!$B$116/AB23*IF(AB2&gt;=Assumptions!$B$57,1,0))</f>
        <v>20481.1468062867</v>
      </c>
      <c r="AC106" s="54" t="n">
        <f aca="false">AC104+AC105+IF(AC23=0,0,AC20*Assumptions!$B$116/AC23*IF(AC2&gt;=Assumptions!$B$57,1,0))</f>
        <v>31071.7586536373</v>
      </c>
      <c r="AD106" s="54" t="n">
        <f aca="false">AD104+AD105+IF(AD23=0,0,AD20*Assumptions!$B$116/AD23*IF(AD2&gt;=Assumptions!$B$57,1,0))</f>
        <v>42680.8135602228</v>
      </c>
      <c r="AE106" s="54" t="n">
        <f aca="false">AE104+AE105+IF(AE23=0,0,AE20*Assumptions!$B$116/AE23*IF(AE2&gt;=Assumptions!$B$57,1,0))</f>
        <v>53360.4542011576</v>
      </c>
    </row>
    <row r="107" customFormat="false" ht="15" hidden="false" customHeight="false" outlineLevel="0" collapsed="false">
      <c r="A107" s="6" t="s">
        <v>454</v>
      </c>
      <c r="B107" s="23" t="s">
        <v>449</v>
      </c>
      <c r="C107" s="51" t="n">
        <v>1</v>
      </c>
      <c r="D107" s="51" t="n">
        <f aca="false">MAX(0,1-C112/Assumptions!$B$86)</f>
        <v>0.998570648</v>
      </c>
      <c r="E107" s="51" t="n">
        <f aca="false">MAX(0,1-D112/Assumptions!$B$86)</f>
        <v>0.997213997906192</v>
      </c>
      <c r="F107" s="51" t="n">
        <f aca="false">MAX(0,1-E112/Assumptions!$B$86)</f>
        <v>0.995915641236343</v>
      </c>
      <c r="G107" s="51" t="n">
        <f aca="false">MAX(0,1-F112/Assumptions!$B$86)</f>
        <v>0.994294808448543</v>
      </c>
      <c r="H107" s="51" t="n">
        <f aca="false">MAX(0,1-G112/Assumptions!$B$86)</f>
        <v>0.99283139739511</v>
      </c>
      <c r="I107" s="51" t="n">
        <f aca="false">MAX(0,1-H112/Assumptions!$B$86)</f>
        <v>0.991594949000748</v>
      </c>
      <c r="J107" s="51" t="n">
        <f aca="false">MAX(0,1-I112/Assumptions!$B$86)</f>
        <v>0.990402139604696</v>
      </c>
      <c r="K107" s="51" t="n">
        <f aca="false">MAX(0,1-J112/Assumptions!$B$86)</f>
        <v>0.989210765062923</v>
      </c>
      <c r="L107" s="51" t="n">
        <f aca="false">MAX(0,1-K112/Assumptions!$B$86)</f>
        <v>0.987908829163436</v>
      </c>
      <c r="M107" s="51" t="n">
        <f aca="false">MAX(0,1-L112/Assumptions!$B$86)</f>
        <v>0.986161218444646</v>
      </c>
      <c r="N107" s="51" t="n">
        <f aca="false">MAX(0,1-M112/Assumptions!$B$86)</f>
        <v>0.984556260784851</v>
      </c>
      <c r="O107" s="51" t="n">
        <f aca="false">MAX(0,1-N112/Assumptions!$B$86)</f>
        <v>0.983148983324386</v>
      </c>
      <c r="P107" s="51" t="n">
        <f aca="false">MAX(0,1-O112/Assumptions!$B$86)</f>
        <v>0.978464897007647</v>
      </c>
      <c r="Q107" s="51" t="n">
        <f aca="false">MAX(0,1-P112/Assumptions!$B$86)</f>
        <v>0.973918895496376</v>
      </c>
      <c r="R107" s="51" t="n">
        <f aca="false">MAX(0,1-Q112/Assumptions!$B$86)</f>
        <v>0.96948191616707</v>
      </c>
      <c r="S107" s="51" t="n">
        <f aca="false">MAX(0,1-R112/Assumptions!$B$86)</f>
        <v>0.96384549920283</v>
      </c>
      <c r="T107" s="51" t="n">
        <f aca="false">MAX(0,1-S112/Assumptions!$B$86)</f>
        <v>0.958642733595633</v>
      </c>
      <c r="U107" s="51" t="n">
        <f aca="false">MAX(0,1-T112/Assumptions!$B$86)</f>
        <v>0.954167030833405</v>
      </c>
      <c r="V107" s="51" t="n">
        <f aca="false">MAX(0,1-U112/Assumptions!$B$86)</f>
        <v>0.949793083930853</v>
      </c>
      <c r="W107" s="51" t="n">
        <f aca="false">MAX(0,1-V112/Assumptions!$B$86)</f>
        <v>0.945374423378974</v>
      </c>
      <c r="X107" s="51" t="n">
        <f aca="false">MAX(0,1-W112/Assumptions!$B$86)</f>
        <v>0.940494089461131</v>
      </c>
      <c r="Y107" s="51" t="n">
        <f aca="false">MAX(0,1-X112/Assumptions!$B$86)</f>
        <v>0.933865075191012</v>
      </c>
      <c r="Z107" s="51" t="n">
        <f aca="false">MAX(0,1-Y112/Assumptions!$B$86)</f>
        <v>0.927662813053246</v>
      </c>
      <c r="AA107" s="51" t="n">
        <f aca="false">MAX(0,1-Z112/Assumptions!$B$86)</f>
        <v>0.922142231548783</v>
      </c>
      <c r="AB107" s="51" t="n">
        <f aca="false">MAX(0,1-AA112/Assumptions!$B$86)</f>
        <v>0.829487256866087</v>
      </c>
      <c r="AC107" s="51" t="n">
        <f aca="false">MAX(0,1-AB112/Assumptions!$B$86)</f>
        <v>0.69357645461154</v>
      </c>
      <c r="AD107" s="51" t="n">
        <f aca="false">MAX(0,1-AC112/Assumptions!$B$86)</f>
        <v>0.521171332967259</v>
      </c>
      <c r="AE107" s="51" t="n">
        <f aca="false">MAX(0,1-AD112/Assumptions!$B$86)</f>
        <v>0.343219201004792</v>
      </c>
    </row>
    <row r="108" customFormat="false" ht="15" hidden="false" customHeight="false" outlineLevel="0" collapsed="false">
      <c r="A108" s="6" t="s">
        <v>455</v>
      </c>
      <c r="B108" s="23" t="s">
        <v>190</v>
      </c>
      <c r="C108" s="54" t="n">
        <f aca="false">C106*C107*C15</f>
        <v>178.669</v>
      </c>
      <c r="D108" s="54" t="n">
        <f aca="false">D106*D107*D15</f>
        <v>169.581261725952</v>
      </c>
      <c r="E108" s="54" t="n">
        <f aca="false">E106*E107*E15</f>
        <v>162.294583731237</v>
      </c>
      <c r="F108" s="54" t="n">
        <f aca="false">F106*F107*F15</f>
        <v>202.604098474915</v>
      </c>
      <c r="G108" s="54" t="n">
        <f aca="false">G106*G107*G15</f>
        <v>182.926381679129</v>
      </c>
      <c r="H108" s="54" t="n">
        <f aca="false">H106*H107*H15</f>
        <v>154.556049295292</v>
      </c>
      <c r="I108" s="54" t="n">
        <f aca="false">I106*I107*I15</f>
        <v>149.101174506497</v>
      </c>
      <c r="J108" s="54" t="n">
        <f aca="false">J106*J107*J15</f>
        <v>148.92181772166</v>
      </c>
      <c r="K108" s="54" t="n">
        <f aca="false">K106*K107*K15</f>
        <v>162.741987435857</v>
      </c>
      <c r="L108" s="54" t="n">
        <f aca="false">L106*L107*L15</f>
        <v>218.451339848765</v>
      </c>
      <c r="M108" s="54" t="n">
        <f aca="false">M106*M107*M15</f>
        <v>200.619707474286</v>
      </c>
      <c r="N108" s="54" t="n">
        <f aca="false">N106*N107*N15</f>
        <v>175.909682558169</v>
      </c>
      <c r="O108" s="54" t="n">
        <f aca="false">O106*O107*O15</f>
        <v>585.510789592408</v>
      </c>
      <c r="P108" s="54" t="n">
        <f aca="false">P106*P107*P15</f>
        <v>568.250188908796</v>
      </c>
      <c r="Q108" s="54" t="n">
        <f aca="false">Q106*Q107*Q15</f>
        <v>554.622416163245</v>
      </c>
      <c r="R108" s="54" t="n">
        <f aca="false">R106*R107*R15</f>
        <v>704.552120530024</v>
      </c>
      <c r="S108" s="54" t="n">
        <f aca="false">S106*S107*S15</f>
        <v>650.345700899694</v>
      </c>
      <c r="T108" s="54" t="n">
        <f aca="false">T106*T107*T15</f>
        <v>559.46284527846</v>
      </c>
      <c r="U108" s="54" t="n">
        <f aca="false">U106*U107*U15</f>
        <v>546.743362818973</v>
      </c>
      <c r="V108" s="54" t="n">
        <f aca="false">V106*V107*V15</f>
        <v>552.332568984948</v>
      </c>
      <c r="W108" s="54" t="n">
        <f aca="false">W106*W107*W15</f>
        <v>610.041739730299</v>
      </c>
      <c r="X108" s="54" t="n">
        <f aca="false">X106*X107*X15</f>
        <v>828.626783764894</v>
      </c>
      <c r="Y108" s="54" t="n">
        <f aca="false">Y106*Y107*Y15</f>
        <v>775.28276722072</v>
      </c>
      <c r="Z108" s="54" t="n">
        <f aca="false">Z106*Z107*Z15</f>
        <v>690.072688057966</v>
      </c>
      <c r="AA108" s="54" t="n">
        <f aca="false">AA106*AA107*AA15</f>
        <v>11581.8718353369</v>
      </c>
      <c r="AB108" s="54" t="n">
        <f aca="false">AB106*AB107*AB15</f>
        <v>16988.8502818184</v>
      </c>
      <c r="AC108" s="54" t="n">
        <f aca="false">AC106*AC107*AC15</f>
        <v>21550.6402055352</v>
      </c>
      <c r="AD108" s="54" t="n">
        <f aca="false">AD106*AD107*AD15</f>
        <v>22244.0164953083</v>
      </c>
      <c r="AE108" s="54" t="n">
        <f aca="false">AE106*AE107*AE15</f>
        <v>18314.3324561741</v>
      </c>
    </row>
    <row r="109" customFormat="false" ht="15" hidden="false" customHeight="false" outlineLevel="0" collapsed="false">
      <c r="A109" s="6" t="s">
        <v>456</v>
      </c>
      <c r="B109" s="23" t="s">
        <v>190</v>
      </c>
      <c r="C109" s="28" t="n">
        <f aca="false">C108*(1-Assumptions!$B$122)^(C7/2)</f>
        <v>174.273352344836</v>
      </c>
      <c r="D109" s="28" t="n">
        <f aca="false">C109*(1-Assumptions!$B$122)^D7+D108*(1-Assumptions!$B$122)^(D7/2)</f>
        <v>331.213016374406</v>
      </c>
      <c r="E109" s="28" t="n">
        <f aca="false">D109*(1-Assumptions!$B$122)^E7+E108*(1-Assumptions!$B$122)^(E7/2)</f>
        <v>473.418144020398</v>
      </c>
      <c r="F109" s="28" t="n">
        <f aca="false">E109*(1-Assumptions!$B$122)^F7+F108*(1-Assumptions!$B$122)^(F7/2)</f>
        <v>648.030042940469</v>
      </c>
      <c r="G109" s="28" t="n">
        <f aca="false">F109*(1-Assumptions!$B$122)^G7+G108*(1-Assumptions!$B$122)^(G7/2)</f>
        <v>794.962358566973</v>
      </c>
      <c r="H109" s="28" t="n">
        <f aca="false">G109*(1-Assumptions!$B$122)^H7+H108*(1-Assumptions!$B$122)^(H7/2)</f>
        <v>907.081535506214</v>
      </c>
      <c r="I109" s="28" t="n">
        <f aca="false">H109*(1-Assumptions!$B$122)^I7+I108*(1-Assumptions!$B$122)^(I7/2)</f>
        <v>1008.43114828689</v>
      </c>
      <c r="J109" s="28" t="n">
        <f aca="false">I109*(1-Assumptions!$B$122)^J7+J108*(1-Assumptions!$B$122)^(J7/2)</f>
        <v>1104.68031678338</v>
      </c>
      <c r="K109" s="28" t="n">
        <f aca="false">J109*(1-Assumptions!$B$122)^K7+K108*(1-Assumptions!$B$122)^(K7/2)</f>
        <v>1209.7320255715</v>
      </c>
      <c r="L109" s="28" t="n">
        <f aca="false">K109*(1-Assumptions!$B$122)^L7+L108*(1-Assumptions!$B$122)^(L7/2)</f>
        <v>1364.01709641503</v>
      </c>
      <c r="M109" s="28" t="n">
        <f aca="false">L109*(1-Assumptions!$B$122)^M7+M108*(1-Assumptions!$B$122)^(M7/2)</f>
        <v>1493.41111624799</v>
      </c>
      <c r="N109" s="28" t="n">
        <f aca="false">M109*(1-Assumptions!$B$122)^N7+N108*(1-Assumptions!$B$122)^(N7/2)</f>
        <v>1592.41459871139</v>
      </c>
      <c r="O109" s="28" t="n">
        <f aca="false">N109*(1-Assumptions!$B$122)^O7+O108*(1-Assumptions!$B$122)^(O7/2)</f>
        <v>2086.13062606697</v>
      </c>
      <c r="P109" s="28" t="n">
        <f aca="false">O109*(1-Assumptions!$B$122)^P7+P108*(1-Assumptions!$B$122)^(P7/2)</f>
        <v>2539.01654613733</v>
      </c>
      <c r="Q109" s="28" t="n">
        <f aca="false">P109*(1-Assumptions!$B$122)^Q7+Q108*(1-Assumptions!$B$122)^(Q7/2)</f>
        <v>2956.60011786618</v>
      </c>
      <c r="R109" s="28" t="n">
        <f aca="false">Q109*(1-Assumptions!$B$122)^R7+R108*(1-Assumptions!$B$122)^(R7/2)</f>
        <v>3500.13060957349</v>
      </c>
      <c r="S109" s="28" t="n">
        <f aca="false">R109*(1-Assumptions!$B$122)^S7+S108*(1-Assumptions!$B$122)^(S7/2)</f>
        <v>3964.37318470895</v>
      </c>
      <c r="T109" s="28" t="n">
        <f aca="false">S109*(1-Assumptions!$B$122)^T7+T108*(1-Assumptions!$B$122)^(T7/2)</f>
        <v>4317.40704918269</v>
      </c>
      <c r="U109" s="28" t="n">
        <f aca="false">T109*(1-Assumptions!$B$122)^U7+U108*(1-Assumptions!$B$122)^(U7/2)</f>
        <v>4640.87722981119</v>
      </c>
      <c r="V109" s="28" t="n">
        <f aca="false">U109*(1-Assumptions!$B$122)^V7+V108*(1-Assumptions!$B$122)^(V7/2)</f>
        <v>4954.07874994642</v>
      </c>
      <c r="W109" s="28" t="n">
        <f aca="false">V109*(1-Assumptions!$B$122)^W7+W108*(1-Assumptions!$B$122)^(W7/2)</f>
        <v>5308.34835686531</v>
      </c>
      <c r="X109" s="28" t="n">
        <f aca="false">W109*(1-Assumptions!$B$122)^X7+X108*(1-Assumptions!$B$122)^(X7/2)</f>
        <v>5858.60815388583</v>
      </c>
      <c r="Y109" s="28" t="n">
        <f aca="false">X109*(1-Assumptions!$B$122)^Y7+Y108*(1-Assumptions!$B$122)^(Y7/2)</f>
        <v>6330.09418223245</v>
      </c>
      <c r="Z109" s="28" t="n">
        <f aca="false">Y109*(1-Assumptions!$B$122)^Z7+Z108*(1-Assumptions!$B$122)^(Z7/2)</f>
        <v>6695.55268837007</v>
      </c>
      <c r="AA109" s="28" t="n">
        <f aca="false">Z109*(1-Assumptions!$B$122)^AA7+AA108*(1-Assumptions!$B$122)^(AA7/2)</f>
        <v>12271.9000168997</v>
      </c>
      <c r="AB109" s="28" t="n">
        <f aca="false">AA109*(1-Assumptions!$B$122)^AB7+AB108*(1-Assumptions!$B$122)^(AB7/2)</f>
        <v>19348.8135850464</v>
      </c>
      <c r="AC109" s="28" t="n">
        <f aca="false">AB109*(1-Assumptions!$B$122)^AC7+AC108*(1-Assumptions!$B$122)^(AC7/2)</f>
        <v>26624.2300005988</v>
      </c>
      <c r="AD109" s="28" t="n">
        <f aca="false">AC109*(1-Assumptions!$B$122)^AD7+AD108*(1-Assumptions!$B$122)^(AD7/2)</f>
        <v>31139.930648273</v>
      </c>
      <c r="AE109" s="28" t="n">
        <f aca="false">AD109*(1-Assumptions!$B$122)^AE7+AE108*(1-Assumptions!$B$122)^(AE7/2)</f>
        <v>30709.2343219147</v>
      </c>
    </row>
    <row r="110" customFormat="false" ht="15" hidden="false" customHeight="false" outlineLevel="0" collapsed="false">
      <c r="A110" s="6" t="s">
        <v>457</v>
      </c>
      <c r="B110" s="23" t="s">
        <v>190</v>
      </c>
      <c r="C110" s="54" t="n">
        <f aca="false">C108-C109</f>
        <v>4.39564765516386</v>
      </c>
      <c r="D110" s="54" t="n">
        <f aca="false">C109+D108-D109</f>
        <v>12.641597696382</v>
      </c>
      <c r="E110" s="54" t="n">
        <f aca="false">D109+E108-E109</f>
        <v>20.089456085245</v>
      </c>
      <c r="F110" s="54" t="n">
        <f aca="false">E109+F108-F109</f>
        <v>27.9921995548447</v>
      </c>
      <c r="G110" s="54" t="n">
        <f aca="false">F109+G108-G109</f>
        <v>35.9940660526252</v>
      </c>
      <c r="H110" s="54" t="n">
        <f aca="false">G109+H108-H109</f>
        <v>42.4368723560501</v>
      </c>
      <c r="I110" s="54" t="n">
        <f aca="false">H109+I108-I109</f>
        <v>47.751561725818</v>
      </c>
      <c r="J110" s="54" t="n">
        <f aca="false">I109+J108-J109</f>
        <v>52.6726492251698</v>
      </c>
      <c r="K110" s="54" t="n">
        <f aca="false">J109+K108-K109</f>
        <v>57.6902786477388</v>
      </c>
      <c r="L110" s="54" t="n">
        <f aca="false">K109+L108-L109</f>
        <v>64.166269005239</v>
      </c>
      <c r="M110" s="54" t="n">
        <f aca="false">L109+M108-M109</f>
        <v>71.2256876413294</v>
      </c>
      <c r="N110" s="54" t="n">
        <f aca="false">M109+N108-N109</f>
        <v>76.9062000947645</v>
      </c>
      <c r="O110" s="54" t="n">
        <f aca="false">N109+O108-O109</f>
        <v>91.7947622368292</v>
      </c>
      <c r="P110" s="54" t="n">
        <f aca="false">O109+P108-P109</f>
        <v>115.364268838432</v>
      </c>
      <c r="Q110" s="54" t="n">
        <f aca="false">P109+Q108-Q109</f>
        <v>137.038844434396</v>
      </c>
      <c r="R110" s="54" t="n">
        <f aca="false">Q109+R108-R109</f>
        <v>161.021628822715</v>
      </c>
      <c r="S110" s="54" t="n">
        <f aca="false">R109+S108-S109</f>
        <v>186.103125764239</v>
      </c>
      <c r="T110" s="54" t="n">
        <f aca="false">S109+T108-T109</f>
        <v>206.428980804721</v>
      </c>
      <c r="U110" s="54" t="n">
        <f aca="false">T109+U108-U109</f>
        <v>223.273182190469</v>
      </c>
      <c r="V110" s="54" t="n">
        <f aca="false">U109+V108-V109</f>
        <v>239.131048849713</v>
      </c>
      <c r="W110" s="54" t="n">
        <f aca="false">V109+W108-W109</f>
        <v>255.772132811419</v>
      </c>
      <c r="X110" s="54" t="n">
        <f aca="false">W109+X108-X109</f>
        <v>278.366986744371</v>
      </c>
      <c r="Y110" s="54" t="n">
        <f aca="false">X109+Y108-Y109</f>
        <v>303.796738874094</v>
      </c>
      <c r="Z110" s="54" t="n">
        <f aca="false">Y109+Z108-Z109</f>
        <v>324.614181920346</v>
      </c>
      <c r="AA110" s="54" t="n">
        <f aca="false">Z109+AA108-AA109</f>
        <v>6005.52450680731</v>
      </c>
      <c r="AB110" s="54" t="n">
        <f aca="false">AA109+AB108-AB109</f>
        <v>9911.93671367163</v>
      </c>
      <c r="AC110" s="54" t="n">
        <f aca="false">AB109+AC108-AC109</f>
        <v>14275.2237899828</v>
      </c>
      <c r="AD110" s="54" t="n">
        <f aca="false">AC109+AD108-AD109</f>
        <v>17728.3158476342</v>
      </c>
      <c r="AE110" s="54" t="n">
        <f aca="false">AD109+AE108-AE109</f>
        <v>18745.0287825324</v>
      </c>
    </row>
    <row r="111" customFormat="false" ht="15" hidden="false" customHeight="false" outlineLevel="0" collapsed="false">
      <c r="A111" s="6" t="s">
        <v>458</v>
      </c>
      <c r="B111" s="23" t="s">
        <v>190</v>
      </c>
      <c r="C111" s="45" t="n">
        <f aca="false">C110</f>
        <v>4.39564765516386</v>
      </c>
      <c r="D111" s="45" t="n">
        <f aca="false">C111+D110</f>
        <v>17.0372453515459</v>
      </c>
      <c r="E111" s="45" t="n">
        <f aca="false">D111+E110</f>
        <v>37.1267014367909</v>
      </c>
      <c r="F111" s="45" t="n">
        <f aca="false">E111+F110</f>
        <v>65.1189009916356</v>
      </c>
      <c r="G111" s="45" t="n">
        <f aca="false">F111+G110</f>
        <v>101.112967044261</v>
      </c>
      <c r="H111" s="45" t="n">
        <f aca="false">G111+H110</f>
        <v>143.549839400311</v>
      </c>
      <c r="I111" s="45" t="n">
        <f aca="false">H111+I110</f>
        <v>191.301401126129</v>
      </c>
      <c r="J111" s="45" t="n">
        <f aca="false">I111+J110</f>
        <v>243.974050351299</v>
      </c>
      <c r="K111" s="45" t="n">
        <f aca="false">J111+K110</f>
        <v>301.664328999037</v>
      </c>
      <c r="L111" s="45" t="n">
        <f aca="false">K111+L110</f>
        <v>365.830598004276</v>
      </c>
      <c r="M111" s="45" t="n">
        <f aca="false">L111+M110</f>
        <v>437.056285645606</v>
      </c>
      <c r="N111" s="45" t="n">
        <f aca="false">M111+N110</f>
        <v>513.96248574037</v>
      </c>
      <c r="O111" s="45" t="n">
        <f aca="false">N111+O110</f>
        <v>605.757247977199</v>
      </c>
      <c r="P111" s="45" t="n">
        <f aca="false">O111+P110</f>
        <v>721.121516815632</v>
      </c>
      <c r="Q111" s="45" t="n">
        <f aca="false">P111+Q110</f>
        <v>858.160361250028</v>
      </c>
      <c r="R111" s="45" t="n">
        <f aca="false">Q111+R110</f>
        <v>1019.18199007274</v>
      </c>
      <c r="S111" s="45" t="n">
        <f aca="false">R111+S110</f>
        <v>1205.28511583698</v>
      </c>
      <c r="T111" s="45" t="n">
        <f aca="false">S111+T110</f>
        <v>1411.7140966417</v>
      </c>
      <c r="U111" s="45" t="n">
        <f aca="false">T111+U110</f>
        <v>1634.98727883217</v>
      </c>
      <c r="V111" s="45" t="n">
        <f aca="false">U111+V110</f>
        <v>1874.11832768188</v>
      </c>
      <c r="W111" s="45" t="n">
        <f aca="false">V111+W110</f>
        <v>2129.8904604933</v>
      </c>
      <c r="X111" s="45" t="n">
        <f aca="false">W111+X110</f>
        <v>2408.25744723767</v>
      </c>
      <c r="Y111" s="45" t="n">
        <f aca="false">X111+Y110</f>
        <v>2712.05418611177</v>
      </c>
      <c r="Z111" s="45" t="n">
        <f aca="false">Y111+Z110</f>
        <v>3036.66836803211</v>
      </c>
      <c r="AA111" s="45" t="n">
        <f aca="false">Z111+AA110</f>
        <v>9042.19287483942</v>
      </c>
      <c r="AB111" s="45" t="n">
        <f aca="false">AA111+AB110</f>
        <v>18954.129588511</v>
      </c>
      <c r="AC111" s="45" t="n">
        <f aca="false">AB111+AC110</f>
        <v>33229.3533784938</v>
      </c>
      <c r="AD111" s="45" t="n">
        <f aca="false">AC111+AD110</f>
        <v>50957.669226128</v>
      </c>
      <c r="AE111" s="45" t="n">
        <f aca="false">AD111+AE110</f>
        <v>69702.6980086604</v>
      </c>
    </row>
    <row r="112" customFormat="false" ht="15" hidden="false" customHeight="false" outlineLevel="0" collapsed="false">
      <c r="A112" s="6" t="s">
        <v>459</v>
      </c>
      <c r="B112" s="23" t="s">
        <v>190</v>
      </c>
      <c r="C112" s="45" t="n">
        <f aca="false">C108</f>
        <v>178.669</v>
      </c>
      <c r="D112" s="45" t="n">
        <f aca="false">C112+D108</f>
        <v>348.250261725952</v>
      </c>
      <c r="E112" s="45" t="n">
        <f aca="false">D112+E108</f>
        <v>510.544845457189</v>
      </c>
      <c r="F112" s="45" t="n">
        <f aca="false">E112+F108</f>
        <v>713.148943932104</v>
      </c>
      <c r="G112" s="45" t="n">
        <f aca="false">F112+G108</f>
        <v>896.075325611233</v>
      </c>
      <c r="H112" s="45" t="n">
        <f aca="false">G112+H108</f>
        <v>1050.63137490653</v>
      </c>
      <c r="I112" s="45" t="n">
        <f aca="false">H112+I108</f>
        <v>1199.73254941302</v>
      </c>
      <c r="J112" s="45" t="n">
        <f aca="false">I112+J108</f>
        <v>1348.65436713468</v>
      </c>
      <c r="K112" s="45" t="n">
        <f aca="false">J112+K108</f>
        <v>1511.39635457054</v>
      </c>
      <c r="L112" s="45" t="n">
        <f aca="false">K112+L108</f>
        <v>1729.8476944193</v>
      </c>
      <c r="M112" s="45" t="n">
        <f aca="false">L112+M108</f>
        <v>1930.46740189359</v>
      </c>
      <c r="N112" s="45" t="n">
        <f aca="false">M112+N108</f>
        <v>2106.37708445176</v>
      </c>
      <c r="O112" s="45" t="n">
        <f aca="false">N112+O108</f>
        <v>2691.88787404417</v>
      </c>
      <c r="P112" s="45" t="n">
        <f aca="false">O112+P108</f>
        <v>3260.13806295296</v>
      </c>
      <c r="Q112" s="45" t="n">
        <f aca="false">P112+Q108</f>
        <v>3814.76047911621</v>
      </c>
      <c r="R112" s="45" t="n">
        <f aca="false">Q112+R108</f>
        <v>4519.31259964623</v>
      </c>
      <c r="S112" s="45" t="n">
        <f aca="false">R112+S108</f>
        <v>5169.65830054593</v>
      </c>
      <c r="T112" s="45" t="n">
        <f aca="false">S112+T108</f>
        <v>5729.12114582439</v>
      </c>
      <c r="U112" s="45" t="n">
        <f aca="false">T112+U108</f>
        <v>6275.86450864336</v>
      </c>
      <c r="V112" s="45" t="n">
        <f aca="false">U112+V108</f>
        <v>6828.19707762831</v>
      </c>
      <c r="W112" s="45" t="n">
        <f aca="false">V112+W108</f>
        <v>7438.23881735861</v>
      </c>
      <c r="X112" s="45" t="n">
        <f aca="false">W112+X108</f>
        <v>8266.8656011235</v>
      </c>
      <c r="Y112" s="45" t="n">
        <f aca="false">X112+Y108</f>
        <v>9042.14836834422</v>
      </c>
      <c r="Z112" s="45" t="n">
        <f aca="false">Y112+Z108</f>
        <v>9732.22105640219</v>
      </c>
      <c r="AA112" s="45" t="n">
        <f aca="false">Z112+AA108</f>
        <v>21314.0928917391</v>
      </c>
      <c r="AB112" s="45" t="n">
        <f aca="false">AA112+AB108</f>
        <v>38302.9431735575</v>
      </c>
      <c r="AC112" s="45" t="n">
        <f aca="false">AB112+AC108</f>
        <v>59853.5833790927</v>
      </c>
      <c r="AD112" s="45" t="n">
        <f aca="false">AC112+AD108</f>
        <v>82097.599874401</v>
      </c>
      <c r="AE112" s="45" t="n">
        <f aca="false">AD112+AE108</f>
        <v>100411.932330575</v>
      </c>
    </row>
    <row r="113" customFormat="false" ht="15" hidden="false" customHeight="false" outlineLevel="0" collapsed="false">
      <c r="A113" s="6" t="s">
        <v>460</v>
      </c>
      <c r="B113" s="23" t="s">
        <v>114</v>
      </c>
      <c r="C113" s="55" t="n">
        <f aca="false">IF(C2&gt;=Assumptions!$B$47,C109*Assumptions!$B$175*C7,0)</f>
        <v>5228.20057034509</v>
      </c>
      <c r="D113" s="55" t="n">
        <f aca="false">IF(D2&gt;=Assumptions!$B$47,D109*Assumptions!$B$175*D7,0)</f>
        <v>9936.39049123219</v>
      </c>
      <c r="E113" s="55" t="n">
        <f aca="false">IF(E2&gt;=Assumptions!$B$47,E109*Assumptions!$B$175*E7,0)</f>
        <v>14202.5443206119</v>
      </c>
      <c r="F113" s="55" t="n">
        <f aca="false">IF(F2&gt;=Assumptions!$B$47,F109*Assumptions!$B$175*F7,0)</f>
        <v>19440.9012882141</v>
      </c>
      <c r="G113" s="55" t="n">
        <f aca="false">IF(G2&gt;=Assumptions!$B$47,G109*Assumptions!$B$175*G7,0)</f>
        <v>23848.8707570092</v>
      </c>
      <c r="H113" s="55" t="n">
        <f aca="false">IF(H2&gt;=Assumptions!$B$47,H109*Assumptions!$B$175*H7,0)</f>
        <v>27212.4460651864</v>
      </c>
      <c r="I113" s="55" t="n">
        <f aca="false">IF(I2&gt;=Assumptions!$B$47,I109*Assumptions!$B$175*I7,0)</f>
        <v>30252.9344486068</v>
      </c>
      <c r="J113" s="55" t="n">
        <f aca="false">IF(J2&gt;=Assumptions!$B$47,J109*Assumptions!$B$175*J7,0)</f>
        <v>33140.4095035015</v>
      </c>
      <c r="K113" s="55" t="n">
        <f aca="false">IF(K2&gt;=Assumptions!$B$47,K109*Assumptions!$B$175*K7,0)</f>
        <v>36291.9607671451</v>
      </c>
      <c r="L113" s="55" t="n">
        <f aca="false">IF(L2&gt;=Assumptions!$B$47,L109*Assumptions!$B$175*L7,0)</f>
        <v>40920.5128924508</v>
      </c>
      <c r="M113" s="55" t="n">
        <f aca="false">IF(M2&gt;=Assumptions!$B$47,M109*Assumptions!$B$175*M7,0)</f>
        <v>44802.3334874396</v>
      </c>
      <c r="N113" s="55" t="n">
        <f aca="false">IF(N2&gt;=Assumptions!$B$47,N109*Assumptions!$B$175*N7,0)</f>
        <v>47772.4379613417</v>
      </c>
      <c r="O113" s="55" t="n">
        <f aca="false">IF(O2&gt;=Assumptions!$B$47,O109*Assumptions!$B$175*O7,0)</f>
        <v>62583.918782009</v>
      </c>
      <c r="P113" s="55" t="n">
        <f aca="false">IF(P2&gt;=Assumptions!$B$47,P109*Assumptions!$B$175*P7,0)</f>
        <v>76170.49638412</v>
      </c>
      <c r="Q113" s="55" t="n">
        <f aca="false">IF(Q2&gt;=Assumptions!$B$47,Q109*Assumptions!$B$175*Q7,0)</f>
        <v>88698.0035359854</v>
      </c>
      <c r="R113" s="55" t="n">
        <f aca="false">IF(R2&gt;=Assumptions!$B$47,R109*Assumptions!$B$175*R7,0)</f>
        <v>105003.918287205</v>
      </c>
      <c r="S113" s="55" t="n">
        <f aca="false">IF(S2&gt;=Assumptions!$B$47,S109*Assumptions!$B$175*S7,0)</f>
        <v>118931.195541268</v>
      </c>
      <c r="T113" s="55" t="n">
        <f aca="false">IF(T2&gt;=Assumptions!$B$47,T109*Assumptions!$B$175*T7,0)</f>
        <v>129522.211475481</v>
      </c>
      <c r="U113" s="55" t="n">
        <f aca="false">IF(U2&gt;=Assumptions!$B$47,U109*Assumptions!$B$175*U7,0)</f>
        <v>139226.316894336</v>
      </c>
      <c r="V113" s="55" t="n">
        <f aca="false">IF(V2&gt;=Assumptions!$B$47,V109*Assumptions!$B$175*V7,0)</f>
        <v>148622.362498393</v>
      </c>
      <c r="W113" s="55" t="n">
        <f aca="false">IF(W2&gt;=Assumptions!$B$47,W109*Assumptions!$B$175*W7,0)</f>
        <v>159250.450705959</v>
      </c>
      <c r="X113" s="55" t="n">
        <f aca="false">IF(X2&gt;=Assumptions!$B$47,X109*Assumptions!$B$175*X7,0)</f>
        <v>175758.244616575</v>
      </c>
      <c r="Y113" s="55" t="n">
        <f aca="false">IF(Y2&gt;=Assumptions!$B$47,Y109*Assumptions!$B$175*Y7,0)</f>
        <v>189902.825466974</v>
      </c>
      <c r="Z113" s="55" t="n">
        <f aca="false">IF(Z2&gt;=Assumptions!$B$47,Z109*Assumptions!$B$175*Z7,0)</f>
        <v>200866.580651102</v>
      </c>
      <c r="AA113" s="55" t="n">
        <f aca="false">IF(AA2&gt;=Assumptions!$B$47,AA109*Assumptions!$B$175*AA7,0)</f>
        <v>4417884.00608389</v>
      </c>
      <c r="AB113" s="55" t="n">
        <f aca="false">IF(AB2&gt;=Assumptions!$B$47,AB109*Assumptions!$B$175*AB7,0)</f>
        <v>6965572.89061672</v>
      </c>
      <c r="AC113" s="55" t="n">
        <f aca="false">IF(AC2&gt;=Assumptions!$B$47,AC109*Assumptions!$B$175*AC7,0)</f>
        <v>9584722.80021558</v>
      </c>
      <c r="AD113" s="55" t="n">
        <f aca="false">IF(AD2&gt;=Assumptions!$B$47,AD109*Assumptions!$B$175*AD7,0)</f>
        <v>11210375.0333783</v>
      </c>
      <c r="AE113" s="55" t="n">
        <f aca="false">IF(AE2&gt;=Assumptions!$B$47,AE109*Assumptions!$B$175*AE7,0)</f>
        <v>11055324.3558893</v>
      </c>
    </row>
    <row r="114" customFormat="false" ht="15" hidden="false" customHeight="false" outlineLevel="0" collapsed="false">
      <c r="A114" s="6" t="s">
        <v>461</v>
      </c>
      <c r="B114" s="23" t="s">
        <v>114</v>
      </c>
      <c r="C114" s="55" t="n">
        <f aca="false">IF(C2&gt;=Assumptions!$B$48,C109*Assumptions!$B$37*Assumptions!$B$139*Assumptions!$B$141*Assumptions!$B$34*Assumptions!$B$140/12*C7,0)</f>
        <v>345.642148817258</v>
      </c>
      <c r="D114" s="55" t="n">
        <f aca="false">IF(D2&gt;=Assumptions!$B$48,D109*Assumptions!$B$37*Assumptions!$B$139*Assumptions!$B$141*Assumptions!$B$34*Assumptions!$B$140/12*D7,0)</f>
        <v>656.905815809239</v>
      </c>
      <c r="E114" s="55" t="n">
        <f aca="false">IF(E2&gt;=Assumptions!$B$48,E109*Assumptions!$B$37*Assumptions!$B$139*Assumptions!$B$141*Assumptions!$B$34*Assumptions!$B$140/12*E7,0)</f>
        <v>938.945985640456</v>
      </c>
      <c r="F114" s="55" t="n">
        <f aca="false">IF(F2&gt;=Assumptions!$B$48,F109*Assumptions!$B$37*Assumptions!$B$139*Assumptions!$B$141*Assumptions!$B$34*Assumptions!$B$140/12*F7,0)</f>
        <v>1285.25958516526</v>
      </c>
      <c r="G114" s="55" t="n">
        <f aca="false">IF(G2&gt;=Assumptions!$B$48,G109*Assumptions!$B$37*Assumptions!$B$139*Assumptions!$B$141*Assumptions!$B$34*Assumptions!$B$140/12*G7,0)</f>
        <v>1576.67534449116</v>
      </c>
      <c r="H114" s="55" t="n">
        <f aca="false">IF(H2&gt;=Assumptions!$B$48,H109*Assumptions!$B$37*Assumptions!$B$139*Assumptions!$B$141*Assumptions!$B$34*Assumptions!$B$140/12*H7,0)</f>
        <v>1799.04504542066</v>
      </c>
      <c r="I114" s="55" t="n">
        <f aca="false">IF(I2&gt;=Assumptions!$B$48,I109*Assumptions!$B$37*Assumptions!$B$139*Assumptions!$B$141*Assumptions!$B$34*Assumptions!$B$140/12*I7,0)</f>
        <v>2000.05511076901</v>
      </c>
      <c r="J114" s="55" t="n">
        <f aca="false">IF(J2&gt;=Assumptions!$B$48,J109*Assumptions!$B$37*Assumptions!$B$139*Assumptions!$B$141*Assumptions!$B$34*Assumptions!$B$140/12*J7,0)</f>
        <v>2190.94929495371</v>
      </c>
      <c r="K114" s="55" t="n">
        <f aca="false">IF(K2&gt;=Assumptions!$B$48,K109*Assumptions!$B$37*Assumptions!$B$139*Assumptions!$B$141*Assumptions!$B$34*Assumptions!$B$140/12*K7,0)</f>
        <v>2399.30185071681</v>
      </c>
      <c r="L114" s="55" t="n">
        <f aca="false">IF(L2&gt;=Assumptions!$B$48,L109*Assumptions!$B$37*Assumptions!$B$139*Assumptions!$B$141*Assumptions!$B$34*Assumptions!$B$140/12*L7,0)</f>
        <v>2705.30057455647</v>
      </c>
      <c r="M114" s="55" t="n">
        <f aca="false">IF(M2&gt;=Assumptions!$B$48,M109*Assumptions!$B$37*Assumptions!$B$139*Assumptions!$B$141*Assumptions!$B$34*Assumptions!$B$140/12*M7,0)</f>
        <v>2961.93204722517</v>
      </c>
      <c r="N114" s="55" t="n">
        <f aca="false">IF(N2&gt;=Assumptions!$B$48,N109*Assumptions!$B$37*Assumptions!$B$139*Assumptions!$B$141*Assumptions!$B$34*Assumptions!$B$140/12*N7,0)</f>
        <v>3158.28895411092</v>
      </c>
      <c r="O114" s="55" t="n">
        <f aca="false">IF(O2&gt;=Assumptions!$B$48,O109*Assumptions!$B$37*Assumptions!$B$139*Assumptions!$B$141*Assumptions!$B$34*Assumptions!$B$140/12*O7,0)</f>
        <v>4137.49240836615</v>
      </c>
      <c r="P114" s="55" t="n">
        <f aca="false">IF(P2&gt;=Assumptions!$B$48,P109*Assumptions!$B$37*Assumptions!$B$139*Assumptions!$B$141*Assumptions!$B$34*Assumptions!$B$140/12*P7,0)</f>
        <v>5035.71614983904</v>
      </c>
      <c r="Q114" s="55" t="n">
        <f aca="false">IF(Q2&gt;=Assumptions!$B$48,Q109*Assumptions!$B$37*Assumptions!$B$139*Assumptions!$B$141*Assumptions!$B$34*Assumptions!$B$140/12*Q7,0)</f>
        <v>5863.92356710126</v>
      </c>
      <c r="R114" s="55" t="n">
        <f aca="false">IF(R2&gt;=Assumptions!$B$48,R109*Assumptions!$B$37*Assumptions!$B$139*Assumptions!$B$141*Assumptions!$B$34*Assumptions!$B$140/12*R7,0)</f>
        <v>6941.92570898742</v>
      </c>
      <c r="S114" s="55" t="n">
        <f aca="false">IF(S2&gt;=Assumptions!$B$48,S109*Assumptions!$B$37*Assumptions!$B$139*Assumptions!$B$141*Assumptions!$B$34*Assumptions!$B$140/12*S7,0)</f>
        <v>7862.67348300608</v>
      </c>
      <c r="T114" s="55" t="n">
        <f aca="false">IF(T2&gt;=Assumptions!$B$48,T109*Assumptions!$B$37*Assumptions!$B$139*Assumptions!$B$141*Assumptions!$B$34*Assumptions!$B$140/12*T7,0)</f>
        <v>8562.85731421232</v>
      </c>
      <c r="U114" s="55" t="n">
        <f aca="false">IF(U2&gt;=Assumptions!$B$48,U109*Assumptions!$B$37*Assumptions!$B$139*Assumptions!$B$141*Assumptions!$B$34*Assumptions!$B$140/12*U7,0)</f>
        <v>9204.40650579219</v>
      </c>
      <c r="V114" s="55" t="n">
        <f aca="false">IF(V2&gt;=Assumptions!$B$48,V109*Assumptions!$B$37*Assumptions!$B$139*Assumptions!$B$141*Assumptions!$B$34*Assumptions!$B$140/12*V7,0)</f>
        <v>9825.58952072707</v>
      </c>
      <c r="W114" s="55" t="n">
        <f aca="false">IF(W2&gt;=Assumptions!$B$48,W109*Assumptions!$B$37*Assumptions!$B$139*Assumptions!$B$141*Assumptions!$B$34*Assumptions!$B$140/12*W7,0)</f>
        <v>10528.2242411162</v>
      </c>
      <c r="X114" s="55" t="n">
        <f aca="false">IF(X2&gt;=Assumptions!$B$48,X109*Assumptions!$B$37*Assumptions!$B$139*Assumptions!$B$141*Assumptions!$B$34*Assumptions!$B$140/12*X7,0)</f>
        <v>11619.5728385402</v>
      </c>
      <c r="Y114" s="55" t="n">
        <f aca="false">IF(Y2&gt;=Assumptions!$B$48,Y109*Assumptions!$B$37*Assumptions!$B$139*Assumptions!$B$141*Assumptions!$B$34*Assumptions!$B$140/12*Y7,0)</f>
        <v>12554.686794761</v>
      </c>
      <c r="Z114" s="55" t="n">
        <f aca="false">IF(Z2&gt;=Assumptions!$B$48,Z109*Assumptions!$B$37*Assumptions!$B$139*Assumptions!$B$141*Assumptions!$B$34*Assumptions!$B$140/12*Z7,0)</f>
        <v>13279.512831934</v>
      </c>
      <c r="AA114" s="55" t="n">
        <f aca="false">IF(AA2&gt;=Assumptions!$B$48,AA109*Assumptions!$B$37*Assumptions!$B$139*Assumptions!$B$141*Assumptions!$B$34*Assumptions!$B$140/12*AA7,0)</f>
        <v>292071.220402213</v>
      </c>
      <c r="AB114" s="55" t="n">
        <f aca="false">IF(AB2&gt;=Assumptions!$B$48,AB109*Assumptions!$B$37*Assumptions!$B$139*Assumptions!$B$141*Assumptions!$B$34*Assumptions!$B$140/12*AB7,0)</f>
        <v>460501.763324105</v>
      </c>
      <c r="AC114" s="55" t="n">
        <f aca="false">IF(AC2&gt;=Assumptions!$B$48,AC109*Assumptions!$B$37*Assumptions!$B$139*Assumptions!$B$141*Assumptions!$B$34*Assumptions!$B$140/12*AC7,0)</f>
        <v>633656.674014252</v>
      </c>
      <c r="AD114" s="55" t="n">
        <f aca="false">IF(AD2&gt;=Assumptions!$B$48,AD109*Assumptions!$B$37*Assumptions!$B$139*Assumptions!$B$141*Assumptions!$B$34*Assumptions!$B$140/12*AD7,0)</f>
        <v>741130.349428898</v>
      </c>
      <c r="AE114" s="55" t="n">
        <f aca="false">IF(AE2&gt;=Assumptions!$B$48,AE109*Assumptions!$B$37*Assumptions!$B$139*Assumptions!$B$141*Assumptions!$B$34*Assumptions!$B$140/12*AE7,0)</f>
        <v>730879.77686157</v>
      </c>
    </row>
    <row r="115" customFormat="false" ht="15" hidden="false" customHeight="false" outlineLevel="0" collapsed="false">
      <c r="A115" s="6" t="s">
        <v>462</v>
      </c>
      <c r="B115" s="23" t="s">
        <v>47</v>
      </c>
      <c r="C115" s="54" t="n">
        <f aca="false">(C113+C114)*(1-Assumptions!$B$8)/C21/(1+Assumptions!$B$9)</f>
        <v>36.8789560745764</v>
      </c>
      <c r="D115" s="54" t="n">
        <f aca="false">(D113+D114)*(1-Assumptions!$B$8)/D21/(1+Assumptions!$B$9)</f>
        <v>70.0898336885732</v>
      </c>
      <c r="E115" s="54" t="n">
        <f aca="false">(E113+E114)*(1-Assumptions!$B$8)/E21/(1+Assumptions!$B$9)</f>
        <v>100.182653878656</v>
      </c>
      <c r="F115" s="54" t="n">
        <f aca="false">(F113+F114)*(1-Assumptions!$B$8)/F21/(1+Assumptions!$B$9)</f>
        <v>137.133251682213</v>
      </c>
      <c r="G115" s="54" t="n">
        <f aca="false">(G113+G114)*(1-Assumptions!$B$8)/G21/(1+Assumptions!$B$9)</f>
        <v>168.226418486072</v>
      </c>
      <c r="H115" s="54" t="n">
        <f aca="false">(H113+H114)*(1-Assumptions!$B$8)/H21/(1+Assumptions!$B$9)</f>
        <v>191.95258284698</v>
      </c>
      <c r="I115" s="54" t="n">
        <f aca="false">(I113+I114)*(1-Assumptions!$B$8)/I21/(1+Assumptions!$B$9)</f>
        <v>213.399739670578</v>
      </c>
      <c r="J115" s="54" t="n">
        <f aca="false">(J113+J114)*(1-Assumptions!$B$8)/J21/(1+Assumptions!$B$9)</f>
        <v>233.767563032196</v>
      </c>
      <c r="K115" s="54" t="n">
        <f aca="false">(K113+K114)*(1-Assumptions!$B$8)/K21/(1+Assumptions!$B$9)</f>
        <v>255.998141039844</v>
      </c>
      <c r="L115" s="54" t="n">
        <f aca="false">(L113+L114)*(1-Assumptions!$B$8)/L21/(1+Assumptions!$B$9)</f>
        <v>288.647265384125</v>
      </c>
      <c r="M115" s="54" t="n">
        <f aca="false">(M113+M114)*(1-Assumptions!$B$8)/M21/(1+Assumptions!$B$9)</f>
        <v>316.029055597756</v>
      </c>
      <c r="N115" s="54" t="n">
        <f aca="false">(N113+N114)*(1-Assumptions!$B$8)/N21/(1+Assumptions!$B$9)</f>
        <v>336.979734699708</v>
      </c>
      <c r="O115" s="54" t="n">
        <f aca="false">(O113+O114)*(1-Assumptions!$B$8)/O21/(1+Assumptions!$B$9)</f>
        <v>408.379035041151</v>
      </c>
      <c r="P115" s="54" t="n">
        <f aca="false">(P113+P114)*(1-Assumptions!$B$8)/P21/(1+Assumptions!$B$9)</f>
        <v>497.035571075401</v>
      </c>
      <c r="Q115" s="54" t="n">
        <f aca="false">(Q113+Q114)*(1-Assumptions!$B$8)/Q21/(1+Assumptions!$B$9)</f>
        <v>578.781351488574</v>
      </c>
      <c r="R115" s="54" t="n">
        <f aca="false">(R113+R114)*(1-Assumptions!$B$8)/R21/(1+Assumptions!$B$9)</f>
        <v>685.182386469472</v>
      </c>
      <c r="S115" s="54" t="n">
        <f aca="false">(S113+S114)*(1-Assumptions!$B$8)/S21/(1+Assumptions!$B$9)</f>
        <v>776.062090975929</v>
      </c>
      <c r="T115" s="54" t="n">
        <f aca="false">(T113+T114)*(1-Assumptions!$B$8)/T21/(1+Assumptions!$B$9)</f>
        <v>845.171679373298</v>
      </c>
      <c r="U115" s="54" t="n">
        <f aca="false">(U113+U114)*(1-Assumptions!$B$8)/U21/(1+Assumptions!$B$9)</f>
        <v>908.493907894866</v>
      </c>
      <c r="V115" s="54" t="n">
        <f aca="false">(V113+V114)*(1-Assumptions!$B$8)/V21/(1+Assumptions!$B$9)</f>
        <v>969.805952772608</v>
      </c>
      <c r="W115" s="54" t="n">
        <f aca="false">(W113+W114)*(1-Assumptions!$B$8)/W21/(1+Assumptions!$B$9)</f>
        <v>1039.15744898773</v>
      </c>
      <c r="X115" s="54" t="n">
        <f aca="false">(X113+X114)*(1-Assumptions!$B$8)/X21/(1+Assumptions!$B$9)</f>
        <v>1146.87580665973</v>
      </c>
      <c r="Y115" s="54" t="n">
        <f aca="false">(Y113+Y114)*(1-Assumptions!$B$8)/Y21/(1+Assumptions!$B$9)</f>
        <v>1239.17348298242</v>
      </c>
      <c r="Z115" s="54" t="n">
        <f aca="false">(Z113+Z114)*(1-Assumptions!$B$8)/Z21/(1+Assumptions!$B$9)</f>
        <v>1310.71530793776</v>
      </c>
      <c r="AA115" s="54" t="n">
        <f aca="false">(AA113+AA114)*(1-Assumptions!$B$8)/AA21/(1+Assumptions!$B$9)</f>
        <v>26667.9296059674</v>
      </c>
      <c r="AB115" s="54" t="n">
        <f aca="false">(AB113+AB114)*(1-Assumptions!$B$8)/AB21/(1+Assumptions!$B$9)</f>
        <v>38896.1071859026</v>
      </c>
      <c r="AC115" s="54" t="n">
        <f aca="false">(AC113+AC114)*(1-Assumptions!$B$8)/AC21/(1+Assumptions!$B$9)</f>
        <v>49511.1666935735</v>
      </c>
      <c r="AD115" s="54" t="n">
        <f aca="false">(AD113+AD114)*(1-Assumptions!$B$8)/AD21/(1+Assumptions!$B$9)</f>
        <v>53569.5565073215</v>
      </c>
      <c r="AE115" s="54" t="n">
        <f aca="false">(AE113+AE114)*(1-Assumptions!$B$8)/AE21/(1+Assumptions!$B$9)</f>
        <v>48870.1536215703</v>
      </c>
    </row>
    <row r="116" customFormat="false" ht="15" hidden="false" customHeight="false" outlineLevel="0" collapsed="false">
      <c r="A116" s="6" t="s">
        <v>463</v>
      </c>
      <c r="B116" s="23" t="s">
        <v>464</v>
      </c>
      <c r="C116" s="56" t="n">
        <f aca="false">(Assumptions!$B$136+Assumptions!$B$137*IF(C109+C111=0,1,(C109+C111*Assumptions!$B$138)/(C109+C111)))*C7/12</f>
        <v>0.0100738065527064</v>
      </c>
      <c r="D116" s="56" t="n">
        <f aca="false">(Assumptions!$B$136+Assumptions!$B$137*IF(D109+D111=0,1,(D109+D111*Assumptions!$B$138)/(D109+D111)))*D7/12</f>
        <v>0.0101467672581244</v>
      </c>
      <c r="E116" s="56" t="n">
        <f aca="false">(Assumptions!$B$136+Assumptions!$B$137*IF(E109+E111=0,1,(E109+E111*Assumptions!$B$138)/(E109+E111)))*E7/12</f>
        <v>0.0102181592964877</v>
      </c>
      <c r="F116" s="56" t="n">
        <f aca="false">(Assumptions!$B$136+Assumptions!$B$137*IF(F109+F111=0,1,(F109+F111*Assumptions!$B$138)/(F109+F111)))*F7/12</f>
        <v>0.0102739353463777</v>
      </c>
      <c r="G116" s="56" t="n">
        <f aca="false">(Assumptions!$B$136+Assumptions!$B$137*IF(G109+G111=0,1,(G109+G111*Assumptions!$B$138)/(G109+G111)))*G7/12</f>
        <v>0.0103385194218197</v>
      </c>
      <c r="H116" s="56" t="n">
        <f aca="false">(Assumptions!$B$136+Assumptions!$B$137*IF(H109+H111=0,1,(H109+H111*Assumptions!$B$138)/(H109+H111)))*H7/12</f>
        <v>0.0104098959240002</v>
      </c>
      <c r="I116" s="56" t="n">
        <f aca="false">(Assumptions!$B$136+Assumptions!$B$137*IF(I109+I111=0,1,(I109+I111*Assumptions!$B$138)/(I109+I111)))*I7/12</f>
        <v>0.0104783601175605</v>
      </c>
      <c r="J116" s="56" t="n">
        <f aca="false">(Assumptions!$B$136+Assumptions!$B$137*IF(J109+J111=0,1,(J109+J111*Assumptions!$B$138)/(J109+J111)))*J7/12</f>
        <v>0.0105427055062365</v>
      </c>
      <c r="K116" s="56" t="n">
        <f aca="false">(Assumptions!$B$136+Assumptions!$B$137*IF(K109+K111=0,1,(K109+K111*Assumptions!$B$138)/(K109+K111)))*K7/12</f>
        <v>0.0105987793898406</v>
      </c>
      <c r="L116" s="56" t="n">
        <f aca="false">(Assumptions!$B$136+Assumptions!$B$137*IF(L109+L111=0,1,(L109+L111*Assumptions!$B$138)/(L109+L111)))*L7/12</f>
        <v>0.0106344441753765</v>
      </c>
      <c r="M116" s="56" t="n">
        <f aca="false">(Assumptions!$B$136+Assumptions!$B$137*IF(M109+M111=0,1,(M109+M111*Assumptions!$B$138)/(M109+M111)))*M7/12</f>
        <v>0.010679197615899</v>
      </c>
      <c r="N116" s="56" t="n">
        <f aca="false">(Assumptions!$B$136+Assumptions!$B$137*IF(N109+N111=0,1,(N109+N111*Assumptions!$B$138)/(N109+N111)))*N7/12</f>
        <v>0.010732009225035</v>
      </c>
      <c r="O116" s="56" t="n">
        <f aca="false">(Assumptions!$B$136+Assumptions!$B$137*IF(O109+O111=0,1,(O109+O111*Assumptions!$B$138)/(O109+O111)))*O7/12</f>
        <v>0.0106750919165149</v>
      </c>
      <c r="P116" s="56" t="n">
        <f aca="false">(Assumptions!$B$136+Assumptions!$B$137*IF(P109+P111=0,1,(P109+P111*Assumptions!$B$138)/(P109+P111)))*P7/12</f>
        <v>0.0106635806547675</v>
      </c>
      <c r="Q116" s="56" t="n">
        <f aca="false">(Assumptions!$B$136+Assumptions!$B$137*IF(Q109+Q111=0,1,(Q109+Q111*Assumptions!$B$138)/(Q109+Q111)))*Q7/12</f>
        <v>0.0106748735858631</v>
      </c>
      <c r="R116" s="56" t="n">
        <f aca="false">(Assumptions!$B$136+Assumptions!$B$137*IF(R109+R111=0,1,(R109+R111*Assumptions!$B$138)/(R109+R111)))*R7/12</f>
        <v>0.0106765511132064</v>
      </c>
      <c r="S116" s="56" t="n">
        <f aca="false">(Assumptions!$B$136+Assumptions!$B$137*IF(S109+S111=0,1,(S109+S111*Assumptions!$B$138)/(S109+S111)))*S7/12</f>
        <v>0.0106994379777729</v>
      </c>
      <c r="T116" s="56" t="n">
        <f aca="false">(Assumptions!$B$136+Assumptions!$B$137*IF(T109+T111=0,1,(T109+T111*Assumptions!$B$138)/(T109+T111)))*T7/12</f>
        <v>0.0107392307095848</v>
      </c>
      <c r="U116" s="56" t="n">
        <f aca="false">(Assumptions!$B$136+Assumptions!$B$137*IF(U109+U111=0,1,(U109+U111*Assumptions!$B$138)/(U109+U111)))*U7/12</f>
        <v>0.0107815595492448</v>
      </c>
      <c r="V116" s="56" t="n">
        <f aca="false">(Assumptions!$B$136+Assumptions!$B$137*IF(V109+V111=0,1,(V109+V111*Assumptions!$B$138)/(V109+V111)))*V7/12</f>
        <v>0.0108234025642679</v>
      </c>
      <c r="W116" s="56" t="n">
        <f aca="false">(Assumptions!$B$136+Assumptions!$B$137*IF(W109+W111=0,1,(W109+W111*Assumptions!$B$138)/(W109+W111)))*W7/12</f>
        <v>0.0108590301465675</v>
      </c>
      <c r="X116" s="56" t="n">
        <f aca="false">(Assumptions!$B$136+Assumptions!$B$137*IF(X109+X111=0,1,(X109+X111*Assumptions!$B$138)/(X109+X111)))*X7/12</f>
        <v>0.010873943365032</v>
      </c>
      <c r="Y116" s="56" t="n">
        <f aca="false">(Assumptions!$B$136+Assumptions!$B$137*IF(Y109+Y111=0,1,(Y109+Y111*Assumptions!$B$138)/(Y109+Y111)))*Y7/12</f>
        <v>0.0108998041424336</v>
      </c>
      <c r="Z116" s="56" t="n">
        <f aca="false">(Assumptions!$B$136+Assumptions!$B$137*IF(Z109+Z111=0,1,(Z109+Z111*Assumptions!$B$138)/(Z109+Z111)))*Z7/12</f>
        <v>0.0109360663975161</v>
      </c>
      <c r="AA116" s="56" t="n">
        <f aca="false">(Assumptions!$B$136+Assumptions!$B$137*IF(AA109+AA111=0,1,(AA109+AA111*Assumptions!$B$138)/(AA109+AA111)))*AA7/12</f>
        <v>0.135272474655508</v>
      </c>
      <c r="AB116" s="56" t="n">
        <f aca="false">(Assumptions!$B$136+Assumptions!$B$137*IF(AB109+AB111=0,1,(AB109+AB111*Assumptions!$B$138)/(AB109+AB111)))*AB7/12</f>
        <v>0.137814523079716</v>
      </c>
      <c r="AC116" s="56" t="n">
        <f aca="false">(Assumptions!$B$136+Assumptions!$B$137*IF(AC109+AC111=0,1,(AC109+AC111*Assumptions!$B$138)/(AC109+AC111)))*AC7/12</f>
        <v>0.13998638434142</v>
      </c>
      <c r="AD116" s="56" t="n">
        <f aca="false">(Assumptions!$B$136+Assumptions!$B$137*IF(AD109+AD111=0,1,(AD109+AD111*Assumptions!$B$138)/(AD109+AD111)))*AD7/12</f>
        <v>0.142345063618755</v>
      </c>
      <c r="AE116" s="56" t="n">
        <f aca="false">(Assumptions!$B$136+Assumptions!$B$137*IF(AE109+AE111=0,1,(AE109+AE111*Assumptions!$B$138)/(AE109+AE111)))*AE7/12</f>
        <v>0.144990029273122</v>
      </c>
    </row>
    <row r="117" customFormat="false" ht="15" hidden="false" customHeight="false" outlineLevel="0" collapsed="false">
      <c r="A117" s="6" t="s">
        <v>465</v>
      </c>
      <c r="B117" s="23" t="s">
        <v>464</v>
      </c>
      <c r="C117" s="56" t="n">
        <f aca="false">Assumptions!$B$137*IF(C109+C111=0,1,(C109+C111*Assumptions!$B$138)/(C109+C111))*C7/12</f>
        <v>0.00507380655270635</v>
      </c>
      <c r="D117" s="56" t="n">
        <f aca="false">Assumptions!$B$137*IF(D109+D111=0,1,(D109+D111*Assumptions!$B$138)/(D109+D111))*D7/12</f>
        <v>0.00514676725812444</v>
      </c>
      <c r="E117" s="56" t="n">
        <f aca="false">Assumptions!$B$137*IF(E109+E111=0,1,(E109+E111*Assumptions!$B$138)/(E109+E111))*E7/12</f>
        <v>0.00521815929648772</v>
      </c>
      <c r="F117" s="56" t="n">
        <f aca="false">Assumptions!$B$137*IF(F109+F111=0,1,(F109+F111*Assumptions!$B$138)/(F109+F111))*F7/12</f>
        <v>0.00527393534637767</v>
      </c>
      <c r="G117" s="56" t="n">
        <f aca="false">Assumptions!$B$137*IF(G109+G111=0,1,(G109+G111*Assumptions!$B$138)/(G109+G111))*G7/12</f>
        <v>0.00533851942181966</v>
      </c>
      <c r="H117" s="56" t="n">
        <f aca="false">Assumptions!$B$137*IF(H109+H111=0,1,(H109+H111*Assumptions!$B$138)/(H109+H111))*H7/12</f>
        <v>0.00540989592400022</v>
      </c>
      <c r="I117" s="56" t="n">
        <f aca="false">Assumptions!$B$137*IF(I109+I111=0,1,(I109+I111*Assumptions!$B$138)/(I109+I111))*I7/12</f>
        <v>0.00547836011756051</v>
      </c>
      <c r="J117" s="56" t="n">
        <f aca="false">Assumptions!$B$137*IF(J109+J111=0,1,(J109+J111*Assumptions!$B$138)/(J109+J111))*J7/12</f>
        <v>0.0055427055062365</v>
      </c>
      <c r="K117" s="56" t="n">
        <f aca="false">Assumptions!$B$137*IF(K109+K111=0,1,(K109+K111*Assumptions!$B$138)/(K109+K111))*K7/12</f>
        <v>0.00559877938984064</v>
      </c>
      <c r="L117" s="56" t="n">
        <f aca="false">Assumptions!$B$137*IF(L109+L111=0,1,(L109+L111*Assumptions!$B$138)/(L109+L111))*L7/12</f>
        <v>0.00563444417537652</v>
      </c>
      <c r="M117" s="56" t="n">
        <f aca="false">Assumptions!$B$137*IF(M109+M111=0,1,(M109+M111*Assumptions!$B$138)/(M109+M111))*M7/12</f>
        <v>0.00567919761589898</v>
      </c>
      <c r="N117" s="56" t="n">
        <f aca="false">Assumptions!$B$137*IF(N109+N111=0,1,(N109+N111*Assumptions!$B$138)/(N109+N111))*N7/12</f>
        <v>0.00573200922503505</v>
      </c>
      <c r="O117" s="56" t="n">
        <f aca="false">Assumptions!$B$137*IF(O109+O111=0,1,(O109+O111*Assumptions!$B$138)/(O109+O111))*O7/12</f>
        <v>0.00567509191651486</v>
      </c>
      <c r="P117" s="56" t="n">
        <f aca="false">Assumptions!$B$137*IF(P109+P111=0,1,(P109+P111*Assumptions!$B$138)/(P109+P111))*P7/12</f>
        <v>0.00566358065476754</v>
      </c>
      <c r="Q117" s="56" t="n">
        <f aca="false">Assumptions!$B$137*IF(Q109+Q111=0,1,(Q109+Q111*Assumptions!$B$138)/(Q109+Q111))*Q7/12</f>
        <v>0.00567487358586312</v>
      </c>
      <c r="R117" s="56" t="n">
        <f aca="false">Assumptions!$B$137*IF(R109+R111=0,1,(R109+R111*Assumptions!$B$138)/(R109+R111))*R7/12</f>
        <v>0.00567655111320637</v>
      </c>
      <c r="S117" s="56" t="n">
        <f aca="false">Assumptions!$B$137*IF(S109+S111=0,1,(S109+S111*Assumptions!$B$138)/(S109+S111))*S7/12</f>
        <v>0.00569943797777294</v>
      </c>
      <c r="T117" s="56" t="n">
        <f aca="false">Assumptions!$B$137*IF(T109+T111=0,1,(T109+T111*Assumptions!$B$138)/(T109+T111))*T7/12</f>
        <v>0.00573923070958481</v>
      </c>
      <c r="U117" s="56" t="n">
        <f aca="false">Assumptions!$B$137*IF(U109+U111=0,1,(U109+U111*Assumptions!$B$138)/(U109+U111))*U7/12</f>
        <v>0.00578155954924476</v>
      </c>
      <c r="V117" s="56" t="n">
        <f aca="false">Assumptions!$B$137*IF(V109+V111=0,1,(V109+V111*Assumptions!$B$138)/(V109+V111))*V7/12</f>
        <v>0.00582340256426789</v>
      </c>
      <c r="W117" s="56" t="n">
        <f aca="false">Assumptions!$B$137*IF(W109+W111=0,1,(W109+W111*Assumptions!$B$138)/(W109+W111))*W7/12</f>
        <v>0.00585903014656754</v>
      </c>
      <c r="X117" s="56" t="n">
        <f aca="false">Assumptions!$B$137*IF(X109+X111=0,1,(X109+X111*Assumptions!$B$138)/(X109+X111))*X7/12</f>
        <v>0.00587394336503198</v>
      </c>
      <c r="Y117" s="56" t="n">
        <f aca="false">Assumptions!$B$137*IF(Y109+Y111=0,1,(Y109+Y111*Assumptions!$B$138)/(Y109+Y111))*Y7/12</f>
        <v>0.0058998041424336</v>
      </c>
      <c r="Z117" s="56" t="n">
        <f aca="false">Assumptions!$B$137*IF(Z109+Z111=0,1,(Z109+Z111*Assumptions!$B$138)/(Z109+Z111))*Z7/12</f>
        <v>0.00593606639751606</v>
      </c>
      <c r="AA117" s="56" t="n">
        <f aca="false">Assumptions!$B$137*IF(AA109+AA111=0,1,(AA109+AA111*Assumptions!$B$138)/(AA109+AA111))*AA7/12</f>
        <v>0.0752724746555075</v>
      </c>
      <c r="AB117" s="56" t="n">
        <f aca="false">Assumptions!$B$137*IF(AB109+AB111=0,1,(AB109+AB111*Assumptions!$B$138)/(AB109+AB111))*AB7/12</f>
        <v>0.0778145230797162</v>
      </c>
      <c r="AC117" s="56" t="n">
        <f aca="false">Assumptions!$B$137*IF(AC109+AC111=0,1,(AC109+AC111*Assumptions!$B$138)/(AC109+AC111))*AC7/12</f>
        <v>0.0799863843414201</v>
      </c>
      <c r="AD117" s="56" t="n">
        <f aca="false">Assumptions!$B$137*IF(AD109+AD111=0,1,(AD109+AD111*Assumptions!$B$138)/(AD109+AD111))*AD7/12</f>
        <v>0.0823450636187553</v>
      </c>
      <c r="AE117" s="56" t="n">
        <f aca="false">Assumptions!$B$137*IF(AE109+AE111=0,1,(AE109+AE111*Assumptions!$B$138)/(AE109+AE111))*AE7/12</f>
        <v>0.0849900292731216</v>
      </c>
    </row>
    <row r="118" customFormat="false" ht="15" hidden="false" customHeight="false" outlineLevel="0" collapsed="false">
      <c r="A118" s="6" t="s">
        <v>466</v>
      </c>
      <c r="B118" s="23" t="s">
        <v>47</v>
      </c>
      <c r="C118" s="45" t="n">
        <f aca="false">C115</f>
        <v>36.8789560745764</v>
      </c>
      <c r="D118" s="45" t="n">
        <f aca="false">C118*(1-D116)+D115</f>
        <v>106.594587579138</v>
      </c>
      <c r="E118" s="45" t="n">
        <f aca="false">D118*(1-E116)+E115</f>
        <v>205.688040981767</v>
      </c>
      <c r="F118" s="45" t="n">
        <f aca="false">E118*(1-F116)+F115</f>
        <v>340.708067029411</v>
      </c>
      <c r="G118" s="45" t="n">
        <f aca="false">F118*(1-G116)+G115</f>
        <v>505.412068547328</v>
      </c>
      <c r="H118" s="45" t="n">
        <f aca="false">G118*(1-H116)+H115</f>
        <v>692.103364361997</v>
      </c>
      <c r="I118" s="45" t="n">
        <f aca="false">H118*(1-I116)+I115</f>
        <v>898.250995742215</v>
      </c>
      <c r="J118" s="45" t="n">
        <f aca="false">I118*(1-J116)+J115</f>
        <v>1122.54856305562</v>
      </c>
      <c r="K118" s="45" t="n">
        <f aca="false">J118*(1-K116)+K115</f>
        <v>1366.64905952125</v>
      </c>
      <c r="L118" s="45" t="n">
        <f aca="false">K118*(1-L116)+L115</f>
        <v>1640.76277177457</v>
      </c>
      <c r="M118" s="45" t="n">
        <f aca="false">L118*(1-M116)+M115</f>
        <v>1939.26979749173</v>
      </c>
      <c r="N118" s="45" t="n">
        <f aca="false">M118*(1-N116)+N115</f>
        <v>2255.43727083493</v>
      </c>
      <c r="O118" s="45" t="n">
        <f aca="false">N118*(1-O116)+O115</f>
        <v>2639.73930569798</v>
      </c>
      <c r="P118" s="45" t="n">
        <f aca="false">O118*(1-P116)+P115</f>
        <v>3108.62580377951</v>
      </c>
      <c r="Q118" s="45" t="n">
        <f aca="false">P118*(1-Q116)+Q115</f>
        <v>3654.22296778699</v>
      </c>
      <c r="R118" s="45" t="n">
        <f aca="false">Q118*(1-R116)+R115</f>
        <v>4300.39085596183</v>
      </c>
      <c r="S118" s="45" t="n">
        <f aca="false">R118*(1-S116)+S115</f>
        <v>5030.44118169421</v>
      </c>
      <c r="T118" s="45" t="n">
        <f aca="false">S118*(1-T116)+T115</f>
        <v>5821.5897926463</v>
      </c>
      <c r="U118" s="45" t="n">
        <f aca="false">T118*(1-U116)+U115</f>
        <v>6667.31788352047</v>
      </c>
      <c r="V118" s="45" t="n">
        <f aca="false">U118*(1-V116)+V115</f>
        <v>7564.9607708158</v>
      </c>
      <c r="W118" s="45" t="n">
        <f aca="false">V118*(1-W116)+W115</f>
        <v>8521.97008273564</v>
      </c>
      <c r="X118" s="45" t="n">
        <f aca="false">W118*(1-X116)+X115</f>
        <v>9576.1784693572</v>
      </c>
      <c r="Y118" s="45" t="n">
        <f aca="false">X118*(1-Y116)+Y115</f>
        <v>10710.9734825906</v>
      </c>
      <c r="Z118" s="45" t="n">
        <f aca="false">Y118*(1-Z116)+Z115</f>
        <v>11904.5528733408</v>
      </c>
      <c r="AA118" s="45" t="n">
        <f aca="false">Z118*(1-AA116)+AA115</f>
        <v>36962.124152464</v>
      </c>
      <c r="AB118" s="45" t="n">
        <f aca="false">AA118*(1-AB116)+AB115</f>
        <v>70764.3138262815</v>
      </c>
      <c r="AC118" s="45" t="n">
        <f aca="false">AB118*(1-AC116)+AC115</f>
        <v>110369.440086912</v>
      </c>
      <c r="AD118" s="45" t="n">
        <f aca="false">AC118*(1-AD116)+AD115</f>
        <v>148228.451623496</v>
      </c>
      <c r="AE118" s="45" t="n">
        <f aca="false">AD118*(1-AE116)+AE115</f>
        <v>175606.957705066</v>
      </c>
    </row>
    <row r="119" customFormat="false" ht="15" hidden="false" customHeight="false" outlineLevel="0" collapsed="false">
      <c r="A119" s="6" t="s">
        <v>467</v>
      </c>
      <c r="B119" s="23" t="s">
        <v>47</v>
      </c>
      <c r="C119" s="45" t="n">
        <f aca="false">C115</f>
        <v>36.8789560745764</v>
      </c>
      <c r="D119" s="45" t="n">
        <f aca="false">C119*(1-D117)+D115</f>
        <v>106.778982359511</v>
      </c>
      <c r="E119" s="45" t="n">
        <f aca="false">D119*(1-E117)+E115</f>
        <v>206.404446498698</v>
      </c>
      <c r="F119" s="45" t="n">
        <f aca="false">E119*(1-F117)+F115</f>
        <v>342.449134474872</v>
      </c>
      <c r="G119" s="45" t="n">
        <f aca="false">F119*(1-G117)+G115</f>
        <v>508.847381605565</v>
      </c>
      <c r="H119" s="45" t="n">
        <f aca="false">G119*(1-H117)+H115</f>
        <v>698.047153076858</v>
      </c>
      <c r="I119" s="45" t="n">
        <f aca="false">H119*(1-I117)+I115</f>
        <v>907.622739063844</v>
      </c>
      <c r="J119" s="45" t="n">
        <f aca="false">I119*(1-J117)+J115</f>
        <v>1136.35961654265</v>
      </c>
      <c r="K119" s="45" t="n">
        <f aca="false">J119*(1-K117)+K115</f>
        <v>1385.99553078194</v>
      </c>
      <c r="L119" s="45" t="n">
        <f aca="false">K119*(1-L117)+L115</f>
        <v>1666.83348172056</v>
      </c>
      <c r="M119" s="45" t="n">
        <f aca="false">L119*(1-M117)+M115</f>
        <v>1973.39626058282</v>
      </c>
      <c r="N119" s="45" t="n">
        <f aca="false">M119*(1-N117)+N115</f>
        <v>2299.06446971222</v>
      </c>
      <c r="O119" s="45" t="n">
        <f aca="false">N119*(1-O117)+O115</f>
        <v>2694.39610256576</v>
      </c>
      <c r="P119" s="45" t="n">
        <f aca="false">O119*(1-P117)+P115</f>
        <v>3176.17174399839</v>
      </c>
      <c r="Q119" s="45" t="n">
        <f aca="false">P119*(1-Q117)+Q115</f>
        <v>3736.92872235278</v>
      </c>
      <c r="R119" s="45" t="n">
        <f aca="false">Q119*(1-R117)+R115</f>
        <v>4400.89824192341</v>
      </c>
      <c r="S119" s="45" t="n">
        <f aca="false">R119*(1-S117)+S115</f>
        <v>5151.87768632301</v>
      </c>
      <c r="T119" s="45" t="n">
        <f aca="false">S119*(1-T117)+T115</f>
        <v>5967.48155106694</v>
      </c>
      <c r="U119" s="45" t="n">
        <f aca="false">T119*(1-U117)+U115</f>
        <v>6841.47410901529</v>
      </c>
      <c r="V119" s="45" t="n">
        <f aca="false">U119*(1-V117)+V115</f>
        <v>7771.43940391808</v>
      </c>
      <c r="W119" s="45" t="n">
        <f aca="false">V119*(1-W117)+W115</f>
        <v>8765.06375515604</v>
      </c>
      <c r="X119" s="45" t="n">
        <f aca="false">W119*(1-X117)+X115</f>
        <v>9860.45407372708</v>
      </c>
      <c r="Y119" s="45" t="n">
        <f aca="false">X119*(1-Y117)+Y115</f>
        <v>11041.452808919</v>
      </c>
      <c r="Z119" s="45" t="n">
        <f aca="false">Y119*(1-Z117)+Z115</f>
        <v>12286.625319858</v>
      </c>
      <c r="AA119" s="45" t="n">
        <f aca="false">Z119*(1-AA117)+AA115</f>
        <v>38029.7102328347</v>
      </c>
      <c r="AB119" s="45" t="n">
        <f aca="false">AA119*(1-AB117)+AB115</f>
        <v>73966.5536541094</v>
      </c>
      <c r="AC119" s="45" t="n">
        <f aca="false">AB119*(1-AC117)+AC115</f>
        <v>117561.403158695</v>
      </c>
      <c r="AD119" s="45" t="n">
        <f aca="false">AC119*(1-AD117)+AD115</f>
        <v>161450.358443804</v>
      </c>
      <c r="AE119" s="45" t="n">
        <f aca="false">AD119*(1-AE117)+AE115</f>
        <v>196598.841375079</v>
      </c>
    </row>
    <row r="120" customFormat="false" ht="15" hidden="false" customHeight="false" outlineLevel="0" collapsed="false">
      <c r="A120" s="6" t="s">
        <v>468</v>
      </c>
      <c r="B120" s="23" t="s">
        <v>114</v>
      </c>
      <c r="C120" s="57" t="n">
        <f aca="false">C118*C21</f>
        <v>5216.89712630958</v>
      </c>
      <c r="D120" s="57" t="n">
        <f aca="false">D118*D21</f>
        <v>15078.8703589449</v>
      </c>
      <c r="E120" s="57" t="n">
        <f aca="false">E118*E21</f>
        <v>29096.6302772808</v>
      </c>
      <c r="F120" s="57" t="n">
        <f aca="false">F118*F21</f>
        <v>48196.5631619804</v>
      </c>
      <c r="G120" s="57" t="n">
        <f aca="false">G118*G21</f>
        <v>71495.5912167051</v>
      </c>
      <c r="H120" s="57" t="n">
        <f aca="false">H118*H21</f>
        <v>97904.941922648</v>
      </c>
      <c r="I120" s="57" t="n">
        <f aca="false">I118*I21</f>
        <v>127066.585857694</v>
      </c>
      <c r="J120" s="57" t="n">
        <f aca="false">J118*J21</f>
        <v>158795.719729848</v>
      </c>
      <c r="K120" s="57" t="n">
        <f aca="false">K118*K21</f>
        <v>193326.175959876</v>
      </c>
      <c r="L120" s="57" t="n">
        <f aca="false">L118*L21</f>
        <v>232102.30169523</v>
      </c>
      <c r="M120" s="57" t="n">
        <f aca="false">M118*M21</f>
        <v>274329.105553181</v>
      </c>
      <c r="N120" s="57" t="n">
        <f aca="false">N118*N21</f>
        <v>319054.156332309</v>
      </c>
      <c r="O120" s="57" t="n">
        <f aca="false">O118*O21</f>
        <v>403664.341480944</v>
      </c>
      <c r="P120" s="57" t="n">
        <f aca="false">P118*P21</f>
        <v>475365.648905065</v>
      </c>
      <c r="Q120" s="57" t="n">
        <f aca="false">Q118*Q21</f>
        <v>558797.417886022</v>
      </c>
      <c r="R120" s="57" t="n">
        <f aca="false">R118*R21</f>
        <v>657608.287013594</v>
      </c>
      <c r="S120" s="57" t="n">
        <f aca="false">S118*S21</f>
        <v>769246.312537023</v>
      </c>
      <c r="T120" s="57" t="n">
        <f aca="false">T118*T21</f>
        <v>890227.381525233</v>
      </c>
      <c r="U120" s="57" t="n">
        <f aca="false">U118*U21</f>
        <v>1019554.64961483</v>
      </c>
      <c r="V120" s="57" t="n">
        <f aca="false">V118*V21</f>
        <v>1156820.63804141</v>
      </c>
      <c r="W120" s="57" t="n">
        <f aca="false">W118*W21</f>
        <v>1303164.83682399</v>
      </c>
      <c r="X120" s="57" t="n">
        <f aca="false">X118*X21</f>
        <v>1464372.54898357</v>
      </c>
      <c r="Y120" s="57" t="n">
        <f aca="false">Y118*Y21</f>
        <v>1637903.4278639</v>
      </c>
      <c r="Z120" s="57" t="n">
        <f aca="false">Z118*Z21</f>
        <v>1820423.51146927</v>
      </c>
      <c r="AA120" s="57" t="n">
        <f aca="false">AA118*AA21</f>
        <v>6110010.59191397</v>
      </c>
      <c r="AB120" s="57" t="n">
        <f aca="false">AB118*AB21</f>
        <v>12645180.573168</v>
      </c>
      <c r="AC120" s="57" t="n">
        <f aca="false">AC118*AC21</f>
        <v>21319905.1832036</v>
      </c>
      <c r="AD120" s="57" t="n">
        <f aca="false">AD118*AD21</f>
        <v>30952354.8423841</v>
      </c>
      <c r="AE120" s="57" t="n">
        <f aca="false">AE118*AE21</f>
        <v>39639624.9276434</v>
      </c>
    </row>
    <row r="121" customFormat="false" ht="15" hidden="false" customHeight="false" outlineLevel="0" collapsed="false">
      <c r="A121" s="6" t="s">
        <v>469</v>
      </c>
      <c r="B121" s="23" t="s">
        <v>190</v>
      </c>
      <c r="C121" s="54" t="n">
        <f aca="false">C109+C111*Assumptions!$B$177</f>
        <v>178.669</v>
      </c>
      <c r="D121" s="54" t="n">
        <f aca="false">D109+D111*Assumptions!$B$177</f>
        <v>348.250261725952</v>
      </c>
      <c r="E121" s="54" t="n">
        <f aca="false">E109+E111*Assumptions!$B$177</f>
        <v>510.544845457189</v>
      </c>
      <c r="F121" s="54" t="n">
        <f aca="false">F109+F111*Assumptions!$B$177</f>
        <v>713.148943932104</v>
      </c>
      <c r="G121" s="54" t="n">
        <f aca="false">G109+G111*Assumptions!$B$177</f>
        <v>896.075325611234</v>
      </c>
      <c r="H121" s="54" t="n">
        <f aca="false">H109+H111*Assumptions!$B$177</f>
        <v>1050.63137490653</v>
      </c>
      <c r="I121" s="54" t="n">
        <f aca="false">I109+I111*Assumptions!$B$177</f>
        <v>1199.73254941302</v>
      </c>
      <c r="J121" s="54" t="n">
        <f aca="false">J109+J111*Assumptions!$B$177</f>
        <v>1348.65436713468</v>
      </c>
      <c r="K121" s="54" t="n">
        <f aca="false">K109+K111*Assumptions!$B$177</f>
        <v>1511.39635457054</v>
      </c>
      <c r="L121" s="54" t="n">
        <f aca="false">L109+L111*Assumptions!$B$177</f>
        <v>1729.8476944193</v>
      </c>
      <c r="M121" s="54" t="n">
        <f aca="false">M109+M111*Assumptions!$B$177</f>
        <v>1930.46740189359</v>
      </c>
      <c r="N121" s="54" t="n">
        <f aca="false">N109+N111*Assumptions!$B$177</f>
        <v>2106.37708445176</v>
      </c>
      <c r="O121" s="54" t="n">
        <f aca="false">O109+O111*Assumptions!$B$177</f>
        <v>2691.88787404417</v>
      </c>
      <c r="P121" s="54" t="n">
        <f aca="false">P109+P111*Assumptions!$B$177</f>
        <v>3260.13806295296</v>
      </c>
      <c r="Q121" s="54" t="n">
        <f aca="false">Q109+Q111*Assumptions!$B$177</f>
        <v>3814.76047911621</v>
      </c>
      <c r="R121" s="54" t="n">
        <f aca="false">R109+R111*Assumptions!$B$177</f>
        <v>4519.31259964623</v>
      </c>
      <c r="S121" s="54" t="n">
        <f aca="false">S109+S111*Assumptions!$B$177</f>
        <v>5169.65830054593</v>
      </c>
      <c r="T121" s="54" t="n">
        <f aca="false">T109+T111*Assumptions!$B$177</f>
        <v>5729.12114582439</v>
      </c>
      <c r="U121" s="54" t="n">
        <f aca="false">U109+U111*Assumptions!$B$177</f>
        <v>6275.86450864336</v>
      </c>
      <c r="V121" s="54" t="n">
        <f aca="false">V109+V111*Assumptions!$B$177</f>
        <v>6828.19707762831</v>
      </c>
      <c r="W121" s="54" t="n">
        <f aca="false">W109+W111*Assumptions!$B$177</f>
        <v>7438.23881735861</v>
      </c>
      <c r="X121" s="54" t="n">
        <f aca="false">X109+X111*Assumptions!$B$177</f>
        <v>8266.8656011235</v>
      </c>
      <c r="Y121" s="54" t="n">
        <f aca="false">Y109+Y111*Assumptions!$B$177</f>
        <v>9042.14836834422</v>
      </c>
      <c r="Z121" s="54" t="n">
        <f aca="false">Z109+Z111*Assumptions!$B$177</f>
        <v>9732.22105640219</v>
      </c>
      <c r="AA121" s="54" t="n">
        <f aca="false">AA109+AA111*Assumptions!$B$177</f>
        <v>21314.0928917391</v>
      </c>
      <c r="AB121" s="54" t="n">
        <f aca="false">AB109+AB111*Assumptions!$B$177</f>
        <v>38302.9431735575</v>
      </c>
      <c r="AC121" s="54" t="n">
        <f aca="false">AC109+AC111*Assumptions!$B$177</f>
        <v>59853.5833790927</v>
      </c>
      <c r="AD121" s="54" t="n">
        <f aca="false">AD109+AD111*Assumptions!$B$177</f>
        <v>82097.599874401</v>
      </c>
      <c r="AE121" s="54" t="n">
        <f aca="false">AE109+AE111*Assumptions!$B$177</f>
        <v>100411.932330575</v>
      </c>
    </row>
    <row r="122" customFormat="false" ht="15" hidden="false" customHeight="false" outlineLevel="0" collapsed="false">
      <c r="A122" s="6" t="s">
        <v>470</v>
      </c>
      <c r="B122" s="23" t="s">
        <v>190</v>
      </c>
      <c r="C122" s="45" t="n">
        <f aca="false">IF(C7&gt;1,C121*Assumptions!$B$134,IF(C2&gt;Assumptions!$B$135,INDEX($C$121:$AE$121,1,C2-Assumptions!$B$135)*Assumptions!$B$134,0))</f>
        <v>0</v>
      </c>
      <c r="D122" s="45" t="n">
        <f aca="false">IF(D7&gt;1,D121*Assumptions!$B$134,IF(D2&gt;Assumptions!$B$135,INDEX($C$121:$AE$121,1,D2-Assumptions!$B$135)*Assumptions!$B$134,0))</f>
        <v>0</v>
      </c>
      <c r="E122" s="45" t="n">
        <f aca="false">IF(E7&gt;1,E121*Assumptions!$B$134,IF(E2&gt;Assumptions!$B$135,INDEX($C$121:$AE$121,1,E2-Assumptions!$B$135)*Assumptions!$B$134,0))</f>
        <v>0</v>
      </c>
      <c r="F122" s="45" t="n">
        <f aca="false">IF(F7&gt;1,F121*Assumptions!$B$134,IF(F2&gt;Assumptions!$B$135,INDEX($C$121:$AE$121,1,F2-Assumptions!$B$135)*Assumptions!$B$134,0))</f>
        <v>0</v>
      </c>
      <c r="G122" s="45" t="n">
        <f aca="false">IF(G7&gt;1,G121*Assumptions!$B$134,IF(G2&gt;Assumptions!$B$135,INDEX($C$121:$AE$121,1,G2-Assumptions!$B$135)*Assumptions!$B$134,0))</f>
        <v>0</v>
      </c>
      <c r="H122" s="45" t="n">
        <f aca="false">IF(H7&gt;1,H121*Assumptions!$B$134,IF(H2&gt;Assumptions!$B$135,INDEX($C$121:$AE$121,1,H2-Assumptions!$B$135)*Assumptions!$B$134,0))</f>
        <v>0</v>
      </c>
      <c r="I122" s="45" t="n">
        <f aca="false">IF(I7&gt;1,I121*Assumptions!$B$134,IF(I2&gt;Assumptions!$B$135,INDEX($C$121:$AE$121,1,I2-Assumptions!$B$135)*Assumptions!$B$134,0))</f>
        <v>0</v>
      </c>
      <c r="J122" s="45" t="n">
        <f aca="false">IF(J7&gt;1,J121*Assumptions!$B$134,IF(J2&gt;Assumptions!$B$135,INDEX($C$121:$AE$121,1,J2-Assumptions!$B$135)*Assumptions!$B$134,0))</f>
        <v>0</v>
      </c>
      <c r="K122" s="45" t="n">
        <f aca="false">IF(K7&gt;1,K121*Assumptions!$B$134,IF(K2&gt;Assumptions!$B$135,INDEX($C$121:$AE$121,1,K2-Assumptions!$B$135)*Assumptions!$B$134,0))</f>
        <v>98.26795</v>
      </c>
      <c r="L122" s="45" t="n">
        <f aca="false">IF(L7&gt;1,L121*Assumptions!$B$134,IF(L2&gt;Assumptions!$B$135,INDEX($C$121:$AE$121,1,L2-Assumptions!$B$135)*Assumptions!$B$134,0))</f>
        <v>191.537643949274</v>
      </c>
      <c r="M122" s="45" t="n">
        <f aca="false">IF(M7&gt;1,M121*Assumptions!$B$134,IF(M2&gt;Assumptions!$B$135,INDEX($C$121:$AE$121,1,M2-Assumptions!$B$135)*Assumptions!$B$134,0))</f>
        <v>280.799665001454</v>
      </c>
      <c r="N122" s="45" t="n">
        <f aca="false">IF(N7&gt;1,N121*Assumptions!$B$134,IF(N2&gt;Assumptions!$B$135,INDEX($C$121:$AE$121,1,N2-Assumptions!$B$135)*Assumptions!$B$134,0))</f>
        <v>392.231919162657</v>
      </c>
      <c r="O122" s="45" t="n">
        <f aca="false">IF(O7&gt;1,O121*Assumptions!$B$134,IF(O2&gt;Assumptions!$B$135,INDEX($C$121:$AE$121,1,O2-Assumptions!$B$135)*Assumptions!$B$134,0))</f>
        <v>492.841429086179</v>
      </c>
      <c r="P122" s="45" t="n">
        <f aca="false">IF(P7&gt;1,P121*Assumptions!$B$134,IF(P2&gt;Assumptions!$B$135,INDEX($C$121:$AE$121,1,P2-Assumptions!$B$135)*Assumptions!$B$134,0))</f>
        <v>577.847256198589</v>
      </c>
      <c r="Q122" s="45" t="n">
        <f aca="false">IF(Q7&gt;1,Q121*Assumptions!$B$134,IF(Q2&gt;Assumptions!$B$135,INDEX($C$121:$AE$121,1,Q2-Assumptions!$B$135)*Assumptions!$B$134,0))</f>
        <v>659.852902177163</v>
      </c>
      <c r="R122" s="45" t="n">
        <f aca="false">IF(R7&gt;1,R121*Assumptions!$B$134,IF(R2&gt;Assumptions!$B$135,INDEX($C$121:$AE$121,1,R2-Assumptions!$B$135)*Assumptions!$B$134,0))</f>
        <v>741.759901924076</v>
      </c>
      <c r="S122" s="45" t="n">
        <f aca="false">IF(S7&gt;1,S121*Assumptions!$B$134,IF(S2&gt;Assumptions!$B$135,INDEX($C$121:$AE$121,1,S2-Assumptions!$B$135)*Assumptions!$B$134,0))</f>
        <v>831.267995013797</v>
      </c>
      <c r="T122" s="45" t="n">
        <f aca="false">IF(T7&gt;1,T121*Assumptions!$B$134,IF(T2&gt;Assumptions!$B$135,INDEX($C$121:$AE$121,1,T2-Assumptions!$B$135)*Assumptions!$B$134,0))</f>
        <v>951.416231930618</v>
      </c>
      <c r="U122" s="45" t="n">
        <f aca="false">IF(U7&gt;1,U121*Assumptions!$B$134,IF(U2&gt;Assumptions!$B$135,INDEX($C$121:$AE$121,1,U2-Assumptions!$B$135)*Assumptions!$B$134,0))</f>
        <v>1061.75707104148</v>
      </c>
      <c r="V122" s="45" t="n">
        <f aca="false">IF(V7&gt;1,V121*Assumptions!$B$134,IF(V2&gt;Assumptions!$B$135,INDEX($C$121:$AE$121,1,V2-Assumptions!$B$135)*Assumptions!$B$134,0))</f>
        <v>1158.50739644847</v>
      </c>
      <c r="W122" s="45" t="n">
        <f aca="false">IF(W7&gt;1,W121*Assumptions!$B$134,IF(W2&gt;Assumptions!$B$135,INDEX($C$121:$AE$121,1,W2-Assumptions!$B$135)*Assumptions!$B$134,0))</f>
        <v>1480.53833072429</v>
      </c>
      <c r="X122" s="45" t="n">
        <f aca="false">IF(X7&gt;1,X121*Assumptions!$B$134,IF(X2&gt;Assumptions!$B$135,INDEX($C$121:$AE$121,1,X2-Assumptions!$B$135)*Assumptions!$B$134,0))</f>
        <v>1793.07593462413</v>
      </c>
      <c r="Y122" s="45" t="n">
        <f aca="false">IF(Y7&gt;1,Y121*Assumptions!$B$134,IF(Y2&gt;Assumptions!$B$135,INDEX($C$121:$AE$121,1,Y2-Assumptions!$B$135)*Assumptions!$B$134,0))</f>
        <v>2098.11826351392</v>
      </c>
      <c r="Z122" s="45" t="n">
        <f aca="false">IF(Z7&gt;1,Z121*Assumptions!$B$134,IF(Z2&gt;Assumptions!$B$135,INDEX($C$121:$AE$121,1,Z2-Assumptions!$B$135)*Assumptions!$B$134,0))</f>
        <v>2485.62192980543</v>
      </c>
      <c r="AA122" s="45" t="n">
        <f aca="false">IF(AA7&gt;1,AA121*Assumptions!$B$134,IF(AA2&gt;Assumptions!$B$135,INDEX($C$121:$AE$121,1,AA2-Assumptions!$B$135)*Assumptions!$B$134,0))</f>
        <v>11722.7510904565</v>
      </c>
      <c r="AB122" s="45" t="n">
        <f aca="false">IF(AB7&gt;1,AB121*Assumptions!$B$134,IF(AB2&gt;Assumptions!$B$135,INDEX($C$121:$AE$121,1,AB2-Assumptions!$B$135)*Assumptions!$B$134,0))</f>
        <v>21066.6187454566</v>
      </c>
      <c r="AC122" s="45" t="n">
        <f aca="false">IF(AC7&gt;1,AC121*Assumptions!$B$134,IF(AC2&gt;Assumptions!$B$135,INDEX($C$121:$AE$121,1,AC2-Assumptions!$B$135)*Assumptions!$B$134,0))</f>
        <v>32919.470858501</v>
      </c>
      <c r="AD122" s="45" t="n">
        <f aca="false">IF(AD7&gt;1,AD121*Assumptions!$B$134,IF(AD2&gt;Assumptions!$B$135,INDEX($C$121:$AE$121,1,AD2-Assumptions!$B$135)*Assumptions!$B$134,0))</f>
        <v>45153.6799309206</v>
      </c>
      <c r="AE122" s="45" t="n">
        <f aca="false">IF(AE7&gt;1,AE121*Assumptions!$B$134,IF(AE2&gt;Assumptions!$B$135,INDEX($C$121:$AE$121,1,AE2-Assumptions!$B$135)*Assumptions!$B$134,0))</f>
        <v>55226.5627818163</v>
      </c>
    </row>
    <row r="123" customFormat="false" ht="15" hidden="false" customHeight="false" outlineLevel="0" collapsed="false">
      <c r="A123" s="6" t="s">
        <v>471</v>
      </c>
      <c r="B123" s="23" t="s">
        <v>472</v>
      </c>
      <c r="C123" s="28" t="n">
        <f aca="false">IF(C2&gt;=Assumptions!$B$51,C122*Assumptions!$B$143,0)</f>
        <v>0</v>
      </c>
      <c r="D123" s="28" t="n">
        <f aca="false">IF(D2&gt;=Assumptions!$B$51,D122*Assumptions!$B$143,0)</f>
        <v>0</v>
      </c>
      <c r="E123" s="28" t="n">
        <f aca="false">IF(E2&gt;=Assumptions!$B$51,E122*Assumptions!$B$143,0)</f>
        <v>0</v>
      </c>
      <c r="F123" s="28" t="n">
        <f aca="false">IF(F2&gt;=Assumptions!$B$51,F122*Assumptions!$B$143,0)</f>
        <v>0</v>
      </c>
      <c r="G123" s="28" t="n">
        <f aca="false">IF(G2&gt;=Assumptions!$B$51,G122*Assumptions!$B$143,0)</f>
        <v>0</v>
      </c>
      <c r="H123" s="28" t="n">
        <f aca="false">IF(H2&gt;=Assumptions!$B$51,H122*Assumptions!$B$143,0)</f>
        <v>0</v>
      </c>
      <c r="I123" s="28" t="n">
        <f aca="false">IF(I2&gt;=Assumptions!$B$51,I122*Assumptions!$B$143,0)</f>
        <v>0</v>
      </c>
      <c r="J123" s="28" t="n">
        <f aca="false">IF(J2&gt;=Assumptions!$B$51,J122*Assumptions!$B$143,0)</f>
        <v>0</v>
      </c>
      <c r="K123" s="28" t="n">
        <f aca="false">IF(K2&gt;=Assumptions!$B$51,K122*Assumptions!$B$143,0)</f>
        <v>0</v>
      </c>
      <c r="L123" s="28" t="n">
        <f aca="false">IF(L2&gt;=Assumptions!$B$51,L122*Assumptions!$B$143,0)</f>
        <v>0</v>
      </c>
      <c r="M123" s="28" t="n">
        <f aca="false">IF(M2&gt;=Assumptions!$B$51,M122*Assumptions!$B$143,0)</f>
        <v>0</v>
      </c>
      <c r="N123" s="28" t="n">
        <f aca="false">IF(N2&gt;=Assumptions!$B$51,N122*Assumptions!$B$143,0)</f>
        <v>0</v>
      </c>
      <c r="O123" s="28" t="n">
        <f aca="false">IF(O2&gt;=Assumptions!$B$51,O122*Assumptions!$B$143,0)</f>
        <v>88.7114572355121</v>
      </c>
      <c r="P123" s="28" t="n">
        <f aca="false">IF(P2&gt;=Assumptions!$B$51,P122*Assumptions!$B$143,0)</f>
        <v>104.012506115746</v>
      </c>
      <c r="Q123" s="28" t="n">
        <f aca="false">IF(Q2&gt;=Assumptions!$B$51,Q122*Assumptions!$B$143,0)</f>
        <v>118.773522391889</v>
      </c>
      <c r="R123" s="28" t="n">
        <f aca="false">IF(R2&gt;=Assumptions!$B$51,R122*Assumptions!$B$143,0)</f>
        <v>133.516782346334</v>
      </c>
      <c r="S123" s="28" t="n">
        <f aca="false">IF(S2&gt;=Assumptions!$B$51,S122*Assumptions!$B$143,0)</f>
        <v>149.628239102483</v>
      </c>
      <c r="T123" s="28" t="n">
        <f aca="false">IF(T2&gt;=Assumptions!$B$51,T122*Assumptions!$B$143,0)</f>
        <v>171.254921747511</v>
      </c>
      <c r="U123" s="28" t="n">
        <f aca="false">IF(U2&gt;=Assumptions!$B$51,U122*Assumptions!$B$143,0)</f>
        <v>191.116272787466</v>
      </c>
      <c r="V123" s="28" t="n">
        <f aca="false">IF(V2&gt;=Assumptions!$B$51,V122*Assumptions!$B$143,0)</f>
        <v>208.531331360724</v>
      </c>
      <c r="W123" s="28" t="n">
        <f aca="false">IF(W2&gt;=Assumptions!$B$51,W122*Assumptions!$B$143,0)</f>
        <v>266.496899530373</v>
      </c>
      <c r="X123" s="28" t="n">
        <f aca="false">IF(X2&gt;=Assumptions!$B$51,X122*Assumptions!$B$143,0)</f>
        <v>322.753668232343</v>
      </c>
      <c r="Y123" s="28" t="n">
        <f aca="false">IF(Y2&gt;=Assumptions!$B$51,Y122*Assumptions!$B$143,0)</f>
        <v>377.661287432505</v>
      </c>
      <c r="Z123" s="28" t="n">
        <f aca="false">IF(Z2&gt;=Assumptions!$B$51,Z122*Assumptions!$B$143,0)</f>
        <v>447.411947364977</v>
      </c>
      <c r="AA123" s="28" t="n">
        <f aca="false">IF(AA2&gt;=Assumptions!$B$51,AA122*Assumptions!$B$143,0)</f>
        <v>2110.09519628217</v>
      </c>
      <c r="AB123" s="28" t="n">
        <f aca="false">IF(AB2&gt;=Assumptions!$B$51,AB122*Assumptions!$B$143,0)</f>
        <v>3791.99137418219</v>
      </c>
      <c r="AC123" s="28" t="n">
        <f aca="false">IF(AC2&gt;=Assumptions!$B$51,AC122*Assumptions!$B$143,0)</f>
        <v>5925.50475453018</v>
      </c>
      <c r="AD123" s="28" t="n">
        <f aca="false">IF(AD2&gt;=Assumptions!$B$51,AD122*Assumptions!$B$143,0)</f>
        <v>8127.6623875657</v>
      </c>
      <c r="AE123" s="28" t="n">
        <f aca="false">IF(AE2&gt;=Assumptions!$B$51,AE122*Assumptions!$B$143,0)</f>
        <v>9940.78130072694</v>
      </c>
    </row>
    <row r="124" customFormat="false" ht="15" hidden="false" customHeight="false" outlineLevel="0" collapsed="false">
      <c r="A124" s="6" t="s">
        <v>473</v>
      </c>
      <c r="B124" s="23" t="s">
        <v>114</v>
      </c>
      <c r="C124" s="55" t="n">
        <f aca="false">IF(C109=0,0,C120/C109*Assumptions!$B$31)</f>
        <v>14.9675697865353</v>
      </c>
      <c r="D124" s="55" t="n">
        <f aca="false">IF(D109=0,0,D120/D109*Assumptions!$B$31)</f>
        <v>22.7631005025171</v>
      </c>
      <c r="E124" s="55" t="n">
        <f aca="false">IF(E109=0,0,E120/E109*Assumptions!$B$31)</f>
        <v>30.7303708621982</v>
      </c>
      <c r="F124" s="55" t="n">
        <f aca="false">IF(F109=0,0,F120/F109*Assumptions!$B$31)</f>
        <v>37.1869820597253</v>
      </c>
      <c r="G124" s="55" t="n">
        <f aca="false">IF(G109=0,0,G120/G109*Assumptions!$B$31)</f>
        <v>44.9679097671905</v>
      </c>
      <c r="H124" s="55" t="n">
        <f aca="false">IF(H109=0,0,H120/H109*Assumptions!$B$31)</f>
        <v>53.9670019123531</v>
      </c>
      <c r="I124" s="55" t="n">
        <f aca="false">IF(I109=0,0,I120/I109*Assumptions!$B$31)</f>
        <v>63.0021127736645</v>
      </c>
      <c r="J124" s="55" t="n">
        <f aca="false">IF(J109=0,0,J120/J109*Assumptions!$B$31)</f>
        <v>71.8740604486509</v>
      </c>
      <c r="K124" s="55" t="n">
        <f aca="false">IF(K109=0,0,K120/K109*Assumptions!$B$31)</f>
        <v>79.9045457478672</v>
      </c>
      <c r="L124" s="55" t="n">
        <f aca="false">IF(L109=0,0,L120/L109*Assumptions!$B$31)</f>
        <v>85.0804224907636</v>
      </c>
      <c r="M124" s="55" t="n">
        <f aca="false">IF(M109=0,0,M120/M109*Assumptions!$B$31)</f>
        <v>91.8464790333151</v>
      </c>
      <c r="N124" s="55" t="n">
        <f aca="false">IF(N109=0,0,N120/N109*Assumptions!$B$31)</f>
        <v>100.179361766243</v>
      </c>
      <c r="O124" s="55" t="n">
        <f aca="false">IF(O109=0,0,O120/O109*Assumptions!$B$31)</f>
        <v>96.749536303482</v>
      </c>
      <c r="P124" s="55" t="n">
        <f aca="false">IF(P109=0,0,P120/P109*Assumptions!$B$31)</f>
        <v>93.6121605092039</v>
      </c>
      <c r="Q124" s="55" t="n">
        <f aca="false">IF(Q109=0,0,Q120/Q109*Assumptions!$B$31)</f>
        <v>94.4999992574772</v>
      </c>
      <c r="R124" s="55" t="n">
        <f aca="false">IF(R109=0,0,R120/R109*Assumptions!$B$31)</f>
        <v>93.9405354210092</v>
      </c>
      <c r="S124" s="55" t="n">
        <f aca="false">IF(S109=0,0,S120/S109*Assumptions!$B$31)</f>
        <v>97.0199167303543</v>
      </c>
      <c r="T124" s="55" t="n">
        <f aca="false">IF(T109=0,0,T120/T109*Assumptions!$B$31)</f>
        <v>103.097457731459</v>
      </c>
      <c r="U124" s="55" t="n">
        <f aca="false">IF(U109=0,0,U120/U109*Assumptions!$B$31)</f>
        <v>109.845035661104</v>
      </c>
      <c r="V124" s="55" t="n">
        <f aca="false">IF(V109=0,0,V120/V109*Assumptions!$B$31)</f>
        <v>116.754365082905</v>
      </c>
      <c r="W124" s="55" t="n">
        <f aca="false">IF(W109=0,0,W120/W109*Assumptions!$B$31)</f>
        <v>122.746732996395</v>
      </c>
      <c r="X124" s="55" t="n">
        <f aca="false">IF(X109=0,0,X120/X109*Assumptions!$B$31)</f>
        <v>124.976147108618</v>
      </c>
      <c r="Y124" s="55" t="n">
        <f aca="false">IF(Y109=0,0,Y120/Y109*Assumptions!$B$31)</f>
        <v>129.374333201963</v>
      </c>
      <c r="Z124" s="55" t="n">
        <f aca="false">IF(Z109=0,0,Z120/Z109*Assumptions!$B$31)</f>
        <v>135.94273663407</v>
      </c>
      <c r="AA124" s="55" t="n">
        <f aca="false">IF(AA109=0,0,AA120/AA109*Assumptions!$B$31)</f>
        <v>248.943137717054</v>
      </c>
      <c r="AB124" s="55" t="n">
        <f aca="false">IF(AB109=0,0,AB120/AB109*Assumptions!$B$31)</f>
        <v>326.768887342547</v>
      </c>
      <c r="AC124" s="55" t="n">
        <f aca="false">IF(AC109=0,0,AC120/AC109*Assumptions!$B$31)</f>
        <v>400.385385468877</v>
      </c>
      <c r="AD124" s="55" t="n">
        <f aca="false">IF(AD109=0,0,AD120/AD109*Assumptions!$B$31)</f>
        <v>496.988178811192</v>
      </c>
      <c r="AE124" s="55" t="n">
        <f aca="false">IF(AE109=0,0,AE120/AE109*Assumptions!$B$31)</f>
        <v>645.402365166686</v>
      </c>
    </row>
    <row r="125" customFormat="false" ht="15" hidden="false" customHeight="false" outlineLevel="0" collapsed="false">
      <c r="A125" s="6" t="s">
        <v>474</v>
      </c>
      <c r="B125" s="23" t="s">
        <v>76</v>
      </c>
      <c r="C125" s="55" t="n">
        <f aca="false">C124*Assumptions!$B$156*Assumptions!$B$158</f>
        <v>15.7159482758621</v>
      </c>
      <c r="D125" s="55" t="n">
        <f aca="false">D124*Assumptions!$B$156*Assumptions!$B$158</f>
        <v>23.901255527643</v>
      </c>
      <c r="E125" s="55" t="n">
        <f aca="false">E124*Assumptions!$B$156*Assumptions!$B$158</f>
        <v>32.2668894053081</v>
      </c>
      <c r="F125" s="55" t="n">
        <f aca="false">F124*Assumptions!$B$156*Assumptions!$B$158</f>
        <v>39.0463311627115</v>
      </c>
      <c r="G125" s="55" t="n">
        <f aca="false">G124*Assumptions!$B$156*Assumptions!$B$158</f>
        <v>47.21630525555</v>
      </c>
      <c r="H125" s="55" t="n">
        <f aca="false">H124*Assumptions!$B$156*Assumptions!$B$158</f>
        <v>56.6653520079707</v>
      </c>
      <c r="I125" s="55" t="n">
        <f aca="false">I124*Assumptions!$B$156*Assumptions!$B$158</f>
        <v>66.1522184123477</v>
      </c>
      <c r="J125" s="55" t="n">
        <f aca="false">J124*Assumptions!$B$156*Assumptions!$B$158</f>
        <v>75.4677634710835</v>
      </c>
      <c r="K125" s="55" t="n">
        <f aca="false">K124*Assumptions!$B$156*Assumptions!$B$158</f>
        <v>83.8997730352606</v>
      </c>
      <c r="L125" s="55" t="n">
        <f aca="false">L124*Assumptions!$B$156*Assumptions!$B$158</f>
        <v>89.3344436153018</v>
      </c>
      <c r="M125" s="55" t="n">
        <f aca="false">M124*Assumptions!$B$156*Assumptions!$B$158</f>
        <v>96.4388029849809</v>
      </c>
      <c r="N125" s="55" t="n">
        <f aca="false">N124*Assumptions!$B$156*Assumptions!$B$158</f>
        <v>105.188329854555</v>
      </c>
      <c r="O125" s="55" t="n">
        <f aca="false">O124*Assumptions!$B$156*Assumptions!$B$158</f>
        <v>101.587013118656</v>
      </c>
      <c r="P125" s="55" t="n">
        <f aca="false">P124*Assumptions!$B$156*Assumptions!$B$158</f>
        <v>98.2927685346641</v>
      </c>
      <c r="Q125" s="55" t="n">
        <f aca="false">Q124*Assumptions!$B$156*Assumptions!$B$158</f>
        <v>99.2249992203511</v>
      </c>
      <c r="R125" s="55" t="n">
        <f aca="false">R124*Assumptions!$B$156*Assumptions!$B$158</f>
        <v>98.6375621920596</v>
      </c>
      <c r="S125" s="55" t="n">
        <f aca="false">S124*Assumptions!$B$156*Assumptions!$B$158</f>
        <v>101.870912566872</v>
      </c>
      <c r="T125" s="55" t="n">
        <f aca="false">T124*Assumptions!$B$156*Assumptions!$B$158</f>
        <v>108.252330618032</v>
      </c>
      <c r="U125" s="55" t="n">
        <f aca="false">U124*Assumptions!$B$156*Assumptions!$B$158</f>
        <v>115.337287444159</v>
      </c>
      <c r="V125" s="55" t="n">
        <f aca="false">V124*Assumptions!$B$156*Assumptions!$B$158</f>
        <v>122.59208333705</v>
      </c>
      <c r="W125" s="55" t="n">
        <f aca="false">W124*Assumptions!$B$156*Assumptions!$B$158</f>
        <v>128.884069646214</v>
      </c>
      <c r="X125" s="55" t="n">
        <f aca="false">X124*Assumptions!$B$156*Assumptions!$B$158</f>
        <v>131.224954464049</v>
      </c>
      <c r="Y125" s="55" t="n">
        <f aca="false">Y124*Assumptions!$B$156*Assumptions!$B$158</f>
        <v>135.843049862061</v>
      </c>
      <c r="Z125" s="55" t="n">
        <f aca="false">Z124*Assumptions!$B$156*Assumptions!$B$158</f>
        <v>142.739873465774</v>
      </c>
      <c r="AA125" s="55" t="n">
        <f aca="false">AA124*Assumptions!$B$156*Assumptions!$B$158</f>
        <v>261.390294602907</v>
      </c>
      <c r="AB125" s="55" t="n">
        <f aca="false">AB124*Assumptions!$B$156*Assumptions!$B$158</f>
        <v>343.107331709675</v>
      </c>
      <c r="AC125" s="55" t="n">
        <f aca="false">AC124*Assumptions!$B$156*Assumptions!$B$158</f>
        <v>420.404654742321</v>
      </c>
      <c r="AD125" s="55" t="n">
        <f aca="false">AD124*Assumptions!$B$156*Assumptions!$B$158</f>
        <v>521.837587751752</v>
      </c>
      <c r="AE125" s="55" t="n">
        <f aca="false">AE124*Assumptions!$B$156*Assumptions!$B$158</f>
        <v>677.67248342502</v>
      </c>
    </row>
    <row r="126" customFormat="false" ht="15" hidden="false" customHeight="false" outlineLevel="0" collapsed="false">
      <c r="A126" s="6" t="s">
        <v>475</v>
      </c>
      <c r="B126" s="23" t="s">
        <v>114</v>
      </c>
      <c r="C126" s="55" t="n">
        <f aca="false">C125/12*C16</f>
        <v>1.44062859195402</v>
      </c>
      <c r="D126" s="55" t="n">
        <f aca="false">D125/12*D16</f>
        <v>1.99177129397025</v>
      </c>
      <c r="E126" s="55" t="n">
        <f aca="false">E125/12*E16</f>
        <v>2.6351293014335</v>
      </c>
      <c r="F126" s="55" t="n">
        <f aca="false">F125/12*F16</f>
        <v>3.18878371162144</v>
      </c>
      <c r="G126" s="55" t="n">
        <f aca="false">G125/12*G16</f>
        <v>3.93469210462916</v>
      </c>
      <c r="H126" s="55" t="n">
        <f aca="false">H125/12*H16</f>
        <v>4.48600703396435</v>
      </c>
      <c r="I126" s="55" t="n">
        <f aca="false">I125/12*I16</f>
        <v>4.85116268357217</v>
      </c>
      <c r="J126" s="55" t="n">
        <f aca="false">J125/12*J16</f>
        <v>5.66008226033126</v>
      </c>
      <c r="K126" s="55" t="n">
        <f aca="false">K125/12*K16</f>
        <v>6.99164775293838</v>
      </c>
      <c r="L126" s="55" t="n">
        <f aca="false">L125/12*L16</f>
        <v>7.59342770730065</v>
      </c>
      <c r="M126" s="55" t="n">
        <f aca="false">M125/12*M16</f>
        <v>8.43839526118583</v>
      </c>
      <c r="N126" s="55" t="n">
        <f aca="false">N125/12*N16</f>
        <v>9.99289133618271</v>
      </c>
      <c r="O126" s="55" t="n">
        <f aca="false">O125/12*O16</f>
        <v>9.31214286921014</v>
      </c>
      <c r="P126" s="55" t="n">
        <f aca="false">P125/12*P16</f>
        <v>8.19106404455534</v>
      </c>
      <c r="Q126" s="55" t="n">
        <f aca="false">Q125/12*Q16</f>
        <v>8.10337493632867</v>
      </c>
      <c r="R126" s="55" t="n">
        <f aca="false">R125/12*R16</f>
        <v>8.05540091235154</v>
      </c>
      <c r="S126" s="55" t="n">
        <f aca="false">S125/12*S16</f>
        <v>8.489242713906</v>
      </c>
      <c r="T126" s="55" t="n">
        <f aca="false">T125/12*T16</f>
        <v>8.56997617392756</v>
      </c>
      <c r="U126" s="55" t="n">
        <f aca="false">U125/12*U16</f>
        <v>8.45806774590503</v>
      </c>
      <c r="V126" s="55" t="n">
        <f aca="false">V125/12*V16</f>
        <v>9.19440625027875</v>
      </c>
      <c r="W126" s="55" t="n">
        <f aca="false">W125/12*W16</f>
        <v>10.7403391371845</v>
      </c>
      <c r="X126" s="55" t="n">
        <f aca="false">X125/12*X16</f>
        <v>11.1541211294442</v>
      </c>
      <c r="Y126" s="55" t="n">
        <f aca="false">Y125/12*Y16</f>
        <v>11.8862668629304</v>
      </c>
      <c r="Z126" s="55" t="n">
        <f aca="false">Z125/12*Z16</f>
        <v>13.5602879792485</v>
      </c>
      <c r="AA126" s="55" t="n">
        <f aca="false">AA125/12*AA16</f>
        <v>21.7825245502423</v>
      </c>
      <c r="AB126" s="55" t="n">
        <f aca="false">AB125/12*AB16</f>
        <v>28.5922776424729</v>
      </c>
      <c r="AC126" s="55" t="n">
        <f aca="false">AC125/12*AC16</f>
        <v>35.0337212285267</v>
      </c>
      <c r="AD126" s="55" t="n">
        <f aca="false">AD125/12*AD16</f>
        <v>43.4864656459793</v>
      </c>
      <c r="AE126" s="55" t="n">
        <f aca="false">AE125/12*AE16</f>
        <v>56.472706952085</v>
      </c>
    </row>
    <row r="127" customFormat="false" ht="15" hidden="false" customHeight="false" outlineLevel="0" collapsed="false">
      <c r="A127" s="6" t="s">
        <v>476</v>
      </c>
      <c r="B127" s="23" t="s">
        <v>477</v>
      </c>
      <c r="C127" s="45" t="n">
        <f aca="false">C123*C126*Assumptions!$B$7*C7</f>
        <v>0</v>
      </c>
      <c r="D127" s="45" t="n">
        <f aca="false">D123*D126*Assumptions!$B$7*D7</f>
        <v>0</v>
      </c>
      <c r="E127" s="45" t="n">
        <f aca="false">E123*E126*Assumptions!$B$7*E7</f>
        <v>0</v>
      </c>
      <c r="F127" s="45" t="n">
        <f aca="false">F123*F126*Assumptions!$B$7*F7</f>
        <v>0</v>
      </c>
      <c r="G127" s="45" t="n">
        <f aca="false">G123*G126*Assumptions!$B$7*G7</f>
        <v>0</v>
      </c>
      <c r="H127" s="45" t="n">
        <f aca="false">H123*H126*Assumptions!$B$7*H7</f>
        <v>0</v>
      </c>
      <c r="I127" s="45" t="n">
        <f aca="false">I123*I126*Assumptions!$B$7*I7</f>
        <v>0</v>
      </c>
      <c r="J127" s="45" t="n">
        <f aca="false">J123*J126*Assumptions!$B$7*J7</f>
        <v>0</v>
      </c>
      <c r="K127" s="45" t="n">
        <f aca="false">K123*K126*Assumptions!$B$7*K7</f>
        <v>0</v>
      </c>
      <c r="L127" s="45" t="n">
        <f aca="false">L123*L126*Assumptions!$B$7*L7</f>
        <v>0</v>
      </c>
      <c r="M127" s="45" t="n">
        <f aca="false">M123*M126*Assumptions!$B$7*M7</f>
        <v>0</v>
      </c>
      <c r="N127" s="45" t="n">
        <f aca="false">N123*N126*Assumptions!$B$7*N7</f>
        <v>0</v>
      </c>
      <c r="O127" s="45" t="n">
        <f aca="false">O123*O126*Assumptions!$B$7*O7</f>
        <v>3033.82934797018</v>
      </c>
      <c r="P127" s="45" t="n">
        <f aca="false">P123*P126*Assumptions!$B$7*P7</f>
        <v>3128.87120618319</v>
      </c>
      <c r="Q127" s="45" t="n">
        <f aca="false">Q123*Q126*Assumptions!$B$7*Q7</f>
        <v>3534.65779689229</v>
      </c>
      <c r="R127" s="45" t="n">
        <f aca="false">R123*R126*Assumptions!$B$7*R7</f>
        <v>3949.88836992553</v>
      </c>
      <c r="S127" s="45" t="n">
        <f aca="false">S123*S126*Assumptions!$B$7*S7</f>
        <v>4664.9212857414</v>
      </c>
      <c r="T127" s="45" t="n">
        <f aca="false">T123*T126*Assumptions!$B$7*T7</f>
        <v>5389.94682498909</v>
      </c>
      <c r="U127" s="45" t="n">
        <f aca="false">U123*U126*Assumptions!$B$7*U7</f>
        <v>5936.50217002964</v>
      </c>
      <c r="V127" s="45" t="n">
        <f aca="false">V123*V126*Assumptions!$B$7*V7</f>
        <v>7041.36422398322</v>
      </c>
      <c r="W127" s="45" t="n">
        <f aca="false">W123*W126*Assumptions!$B$7*W7</f>
        <v>10511.6758511692</v>
      </c>
      <c r="X127" s="45" t="n">
        <f aca="false">X123*X126*Assumptions!$B$7*X7</f>
        <v>13221.1230670762</v>
      </c>
      <c r="Y127" s="45" t="n">
        <f aca="false">Y123*Y126*Assumptions!$B$7*Y7</f>
        <v>16485.7895027452</v>
      </c>
      <c r="Z127" s="45" t="n">
        <f aca="false">Z123*Z126*Assumptions!$B$7*Z7</f>
        <v>22281.1854925945</v>
      </c>
      <c r="AA127" s="45" t="n">
        <f aca="false">AA123*AA126*Assumptions!$B$7*AA7</f>
        <v>2025598.24234919</v>
      </c>
      <c r="AB127" s="45" t="n">
        <f aca="false">AB123*AB126*Assumptions!$B$7*AB7</f>
        <v>4778143.00520629</v>
      </c>
      <c r="AC127" s="45" t="n">
        <f aca="false">AC123*AC126*Assumptions!$B$7*AC7</f>
        <v>9148600.66889446</v>
      </c>
      <c r="AD127" s="45" t="n">
        <f aca="false">AD123*AD126*Assumptions!$B$7*AD7</f>
        <v>15576246.7245397</v>
      </c>
      <c r="AE127" s="45" t="n">
        <f aca="false">AE123*AE126*Assumptions!$B$7*AE7</f>
        <v>24740141.2859606</v>
      </c>
    </row>
    <row r="128" customFormat="false" ht="15" hidden="false" customHeight="false" outlineLevel="0" collapsed="false">
      <c r="A128" s="6" t="s">
        <v>476</v>
      </c>
      <c r="B128" s="23" t="s">
        <v>114</v>
      </c>
      <c r="C128" s="55" t="n">
        <f aca="false">C127/Assumptions!$B$7</f>
        <v>0</v>
      </c>
      <c r="D128" s="55" t="n">
        <f aca="false">D127/Assumptions!$B$7</f>
        <v>0</v>
      </c>
      <c r="E128" s="55" t="n">
        <f aca="false">E127/Assumptions!$B$7</f>
        <v>0</v>
      </c>
      <c r="F128" s="55" t="n">
        <f aca="false">F127/Assumptions!$B$7</f>
        <v>0</v>
      </c>
      <c r="G128" s="55" t="n">
        <f aca="false">G127/Assumptions!$B$7</f>
        <v>0</v>
      </c>
      <c r="H128" s="55" t="n">
        <f aca="false">H127/Assumptions!$B$7</f>
        <v>0</v>
      </c>
      <c r="I128" s="55" t="n">
        <f aca="false">I127/Assumptions!$B$7</f>
        <v>0</v>
      </c>
      <c r="J128" s="55" t="n">
        <f aca="false">J127/Assumptions!$B$7</f>
        <v>0</v>
      </c>
      <c r="K128" s="55" t="n">
        <f aca="false">K127/Assumptions!$B$7</f>
        <v>0</v>
      </c>
      <c r="L128" s="55" t="n">
        <f aca="false">L127/Assumptions!$B$7</f>
        <v>0</v>
      </c>
      <c r="M128" s="55" t="n">
        <f aca="false">M127/Assumptions!$B$7</f>
        <v>0</v>
      </c>
      <c r="N128" s="55" t="n">
        <f aca="false">N127/Assumptions!$B$7</f>
        <v>0</v>
      </c>
      <c r="O128" s="55" t="n">
        <f aca="false">O127/Assumptions!$B$7</f>
        <v>826.093763912915</v>
      </c>
      <c r="P128" s="55" t="n">
        <f aca="false">P127/Assumptions!$B$7</f>
        <v>851.973099028779</v>
      </c>
      <c r="Q128" s="55" t="n">
        <f aca="false">Q127/Assumptions!$B$7</f>
        <v>962.466384449908</v>
      </c>
      <c r="R128" s="55" t="n">
        <f aca="false">R127/Assumptions!$B$7</f>
        <v>1075.5312103269</v>
      </c>
      <c r="S128" s="55" t="n">
        <f aca="false">S127/Assumptions!$B$7</f>
        <v>1270.23043859534</v>
      </c>
      <c r="T128" s="55" t="n">
        <f aca="false">T127/Assumptions!$B$7</f>
        <v>1467.650599044</v>
      </c>
      <c r="U128" s="55" t="n">
        <f aca="false">U127/Assumptions!$B$7</f>
        <v>1616.47438258125</v>
      </c>
      <c r="V128" s="55" t="n">
        <f aca="false">V127/Assumptions!$B$7</f>
        <v>1917.32177644199</v>
      </c>
      <c r="W128" s="55" t="n">
        <f aca="false">W127/Assumptions!$B$7</f>
        <v>2862.26707996439</v>
      </c>
      <c r="X128" s="55" t="n">
        <f aca="false">X127/Assumptions!$B$7</f>
        <v>3600.03351043599</v>
      </c>
      <c r="Y128" s="55" t="n">
        <f aca="false">Y127/Assumptions!$B$7</f>
        <v>4488.9828462206</v>
      </c>
      <c r="Z128" s="55" t="n">
        <f aca="false">Z127/Assumptions!$B$7</f>
        <v>6067.03485162547</v>
      </c>
      <c r="AA128" s="55" t="n">
        <f aca="false">AA127/Assumptions!$B$7</f>
        <v>551558.404996376</v>
      </c>
      <c r="AB128" s="55" t="n">
        <f aca="false">AB127/Assumptions!$B$7</f>
        <v>1301060.04226175</v>
      </c>
      <c r="AC128" s="55" t="n">
        <f aca="false">AC127/Assumptions!$B$7</f>
        <v>2491109.78050224</v>
      </c>
      <c r="AD128" s="55" t="n">
        <f aca="false">AD127/Assumptions!$B$7</f>
        <v>4241319.73438793</v>
      </c>
      <c r="AE128" s="55" t="n">
        <f aca="false">AE127/Assumptions!$B$7</f>
        <v>6736593.95124863</v>
      </c>
    </row>
    <row r="129" customFormat="false" ht="15" hidden="false" customHeight="false" outlineLevel="0" collapsed="false">
      <c r="A129" s="6" t="s">
        <v>478</v>
      </c>
      <c r="B129" s="23" t="s">
        <v>477</v>
      </c>
      <c r="C129" s="45" t="n">
        <f aca="false">IF(Assumptions!$B$144=0,0,C124*Assumptions!$B$156*Assumptions!$B$7/Assumptions!$B$144)</f>
        <v>6.87105000513136</v>
      </c>
      <c r="D129" s="45" t="n">
        <f aca="false">IF(Assumptions!$B$144=0,0,D124*Assumptions!$B$156*Assumptions!$B$7/Assumptions!$B$144)</f>
        <v>10.4496858244368</v>
      </c>
      <c r="E129" s="45" t="n">
        <f aca="false">IF(Assumptions!$B$144=0,0,E124*Assumptions!$B$156*Assumptions!$B$7/Assumptions!$B$144)</f>
        <v>14.1071608739279</v>
      </c>
      <c r="F129" s="45" t="n">
        <f aca="false">IF(Assumptions!$B$144=0,0,F124*Assumptions!$B$156*Assumptions!$B$7/Assumptions!$B$144)</f>
        <v>17.0711489517926</v>
      </c>
      <c r="G129" s="45" t="n">
        <f aca="false">IF(Assumptions!$B$144=0,0,G124*Assumptions!$B$156*Assumptions!$B$7/Assumptions!$B$144)</f>
        <v>20.6430810775009</v>
      </c>
      <c r="H129" s="45" t="n">
        <f aca="false">IF(Assumptions!$B$144=0,0,H124*Assumptions!$B$156*Assumptions!$B$7/Assumptions!$B$144)</f>
        <v>24.7742268153896</v>
      </c>
      <c r="I129" s="45" t="n">
        <f aca="false">IF(Assumptions!$B$144=0,0,I124*Assumptions!$B$156*Assumptions!$B$7/Assumptions!$B$144)</f>
        <v>28.9219073951604</v>
      </c>
      <c r="J129" s="45" t="n">
        <f aca="false">IF(Assumptions!$B$144=0,0,J124*Assumptions!$B$156*Assumptions!$B$7/Assumptions!$B$144)</f>
        <v>32.9946858747088</v>
      </c>
      <c r="K129" s="45" t="n">
        <f aca="false">IF(Assumptions!$B$144=0,0,K124*Assumptions!$B$156*Assumptions!$B$7/Assumptions!$B$144)</f>
        <v>36.6811805323803</v>
      </c>
      <c r="L129" s="45" t="n">
        <f aca="false">IF(Assumptions!$B$144=0,0,L124*Assumptions!$B$156*Assumptions!$B$7/Assumptions!$B$144)</f>
        <v>39.0572314496662</v>
      </c>
      <c r="M129" s="45" t="n">
        <f aca="false">IF(Assumptions!$B$144=0,0,M124*Assumptions!$B$156*Assumptions!$B$7/Assumptions!$B$144)</f>
        <v>42.1632742812312</v>
      </c>
      <c r="N129" s="45" t="n">
        <f aca="false">IF(Assumptions!$B$144=0,0,N124*Assumptions!$B$156*Assumptions!$B$7/Assumptions!$B$144)</f>
        <v>45.9885882608158</v>
      </c>
      <c r="O129" s="45" t="n">
        <f aca="false">IF(Assumptions!$B$144=0,0,O124*Assumptions!$B$156*Assumptions!$B$7/Assumptions!$B$144)</f>
        <v>44.4140840093172</v>
      </c>
      <c r="P129" s="45" t="n">
        <f aca="false">IF(Assumptions!$B$144=0,0,P124*Assumptions!$B$156*Assumptions!$B$7/Assumptions!$B$144)</f>
        <v>42.9738324337564</v>
      </c>
      <c r="Q129" s="45" t="n">
        <f aca="false">IF(Assumptions!$B$144=0,0,Q124*Assumptions!$B$156*Assumptions!$B$7/Assumptions!$B$144)</f>
        <v>43.3814059091356</v>
      </c>
      <c r="R129" s="45" t="n">
        <f aca="false">IF(Assumptions!$B$144=0,0,R124*Assumptions!$B$156*Assumptions!$B$7/Assumptions!$B$144)</f>
        <v>43.124577041707</v>
      </c>
      <c r="S129" s="45" t="n">
        <f aca="false">IF(Assumptions!$B$144=0,0,S124*Assumptions!$B$156*Assumptions!$B$7/Assumptions!$B$144)</f>
        <v>44.5382055240283</v>
      </c>
      <c r="T129" s="45" t="n">
        <f aca="false">IF(Assumptions!$B$144=0,0,T124*Assumptions!$B$156*Assumptions!$B$7/Assumptions!$B$144)</f>
        <v>47.3281766898481</v>
      </c>
      <c r="U129" s="45" t="n">
        <f aca="false">IF(Assumptions!$B$144=0,0,U124*Assumptions!$B$156*Assumptions!$B$7/Assumptions!$B$144)</f>
        <v>50.4257366831757</v>
      </c>
      <c r="V129" s="45" t="n">
        <f aca="false">IF(Assumptions!$B$144=0,0,V124*Assumptions!$B$156*Assumptions!$B$7/Assumptions!$B$144)</f>
        <v>53.597550720871</v>
      </c>
      <c r="W129" s="45" t="n">
        <f aca="false">IF(Assumptions!$B$144=0,0,W124*Assumptions!$B$156*Assumptions!$B$7/Assumptions!$B$144)</f>
        <v>56.3484221161574</v>
      </c>
      <c r="X129" s="45" t="n">
        <f aca="false">IF(Assumptions!$B$144=0,0,X124*Assumptions!$B$156*Assumptions!$B$7/Assumptions!$B$144)</f>
        <v>57.3718625320499</v>
      </c>
      <c r="Y129" s="45" t="n">
        <f aca="false">IF(Assumptions!$B$144=0,0,Y124*Assumptions!$B$156*Assumptions!$B$7/Assumptions!$B$144)</f>
        <v>59.3909048355263</v>
      </c>
      <c r="Z129" s="45" t="n">
        <f aca="false">IF(Assumptions!$B$144=0,0,Z124*Assumptions!$B$156*Assumptions!$B$7/Assumptions!$B$144)</f>
        <v>62.4062125360779</v>
      </c>
      <c r="AA129" s="45" t="n">
        <f aca="false">IF(Assumptions!$B$144=0,0,AA124*Assumptions!$B$156*Assumptions!$B$7/Assumptions!$B$144)</f>
        <v>114.280459158235</v>
      </c>
      <c r="AB129" s="45" t="n">
        <f aca="false">IF(Assumptions!$B$144=0,0,AB124*Assumptions!$B$156*Assumptions!$B$7/Assumptions!$B$144)</f>
        <v>150.007342345688</v>
      </c>
      <c r="AC129" s="45" t="n">
        <f aca="false">IF(Assumptions!$B$144=0,0,AC124*Assumptions!$B$156*Assumptions!$B$7/Assumptions!$B$144)</f>
        <v>183.801916016806</v>
      </c>
      <c r="AD129" s="45" t="n">
        <f aca="false">IF(Assumptions!$B$144=0,0,AD124*Assumptions!$B$156*Assumptions!$B$7/Assumptions!$B$144)</f>
        <v>228.148635835513</v>
      </c>
      <c r="AE129" s="45" t="n">
        <f aca="false">IF(Assumptions!$B$144=0,0,AE124*Assumptions!$B$156*Assumptions!$B$7/Assumptions!$B$144)</f>
        <v>296.280023259332</v>
      </c>
    </row>
    <row r="130" customFormat="false" ht="15" hidden="false" customHeight="false" outlineLevel="0" collapsed="false">
      <c r="A130" s="6" t="s">
        <v>479</v>
      </c>
      <c r="B130" s="23" t="s">
        <v>480</v>
      </c>
      <c r="C130" s="45" t="n">
        <f aca="false">C123*Assumptions!$B$158*Assumptions!$B$144*C7/12*(1+Assumptions!$B$16)</f>
        <v>0</v>
      </c>
      <c r="D130" s="45" t="n">
        <f aca="false">D123*Assumptions!$B$158*Assumptions!$B$144*D7/12*(1+Assumptions!$B$16)</f>
        <v>0</v>
      </c>
      <c r="E130" s="45" t="n">
        <f aca="false">E123*Assumptions!$B$158*Assumptions!$B$144*E7/12*(1+Assumptions!$B$16)</f>
        <v>0</v>
      </c>
      <c r="F130" s="45" t="n">
        <f aca="false">F123*Assumptions!$B$158*Assumptions!$B$144*F7/12*(1+Assumptions!$B$16)</f>
        <v>0</v>
      </c>
      <c r="G130" s="45" t="n">
        <f aca="false">G123*Assumptions!$B$158*Assumptions!$B$144*G7/12*(1+Assumptions!$B$16)</f>
        <v>0</v>
      </c>
      <c r="H130" s="45" t="n">
        <f aca="false">H123*Assumptions!$B$158*Assumptions!$B$144*H7/12*(1+Assumptions!$B$16)</f>
        <v>0</v>
      </c>
      <c r="I130" s="45" t="n">
        <f aca="false">I123*Assumptions!$B$158*Assumptions!$B$144*I7/12*(1+Assumptions!$B$16)</f>
        <v>0</v>
      </c>
      <c r="J130" s="45" t="n">
        <f aca="false">J123*Assumptions!$B$158*Assumptions!$B$144*J7/12*(1+Assumptions!$B$16)</f>
        <v>0</v>
      </c>
      <c r="K130" s="45" t="n">
        <f aca="false">K123*Assumptions!$B$158*Assumptions!$B$144*K7/12*(1+Assumptions!$B$16)</f>
        <v>0</v>
      </c>
      <c r="L130" s="45" t="n">
        <f aca="false">L123*Assumptions!$B$158*Assumptions!$B$144*L7/12*(1+Assumptions!$B$16)</f>
        <v>0</v>
      </c>
      <c r="M130" s="45" t="n">
        <f aca="false">M123*Assumptions!$B$158*Assumptions!$B$144*M7/12*(1+Assumptions!$B$16)</f>
        <v>0</v>
      </c>
      <c r="N130" s="45" t="n">
        <f aca="false">N123*Assumptions!$B$158*Assumptions!$B$144*N7/12*(1+Assumptions!$B$16)</f>
        <v>0</v>
      </c>
      <c r="O130" s="45" t="n">
        <f aca="false">O123*Assumptions!$B$158*Assumptions!$B$144*O7/12*(1+Assumptions!$B$16)</f>
        <v>65.82390126875</v>
      </c>
      <c r="P130" s="45" t="n">
        <f aca="false">P123*Assumptions!$B$158*Assumptions!$B$144*P7/12*(1+Assumptions!$B$16)</f>
        <v>77.1772795378835</v>
      </c>
      <c r="Q130" s="45" t="n">
        <f aca="false">Q123*Assumptions!$B$158*Assumptions!$B$144*Q7/12*(1+Assumptions!$B$16)</f>
        <v>88.1299536147818</v>
      </c>
      <c r="R130" s="45" t="n">
        <f aca="false">R123*Assumptions!$B$158*Assumptions!$B$144*R7/12*(1+Assumptions!$B$16)</f>
        <v>99.0694525009795</v>
      </c>
      <c r="S130" s="45" t="n">
        <f aca="false">S123*Assumptions!$B$158*Assumptions!$B$144*S7/12*(1+Assumptions!$B$16)</f>
        <v>111.024153414043</v>
      </c>
      <c r="T130" s="45" t="n">
        <f aca="false">T123*Assumptions!$B$158*Assumptions!$B$144*T7/12*(1+Assumptions!$B$16)</f>
        <v>127.071151936653</v>
      </c>
      <c r="U130" s="45" t="n">
        <f aca="false">U123*Assumptions!$B$158*Assumptions!$B$144*U7/12*(1+Assumptions!$B$16)</f>
        <v>141.808274408299</v>
      </c>
      <c r="V130" s="45" t="n">
        <f aca="false">V123*Assumptions!$B$158*Assumptions!$B$144*V7/12*(1+Assumptions!$B$16)</f>
        <v>154.730247869657</v>
      </c>
      <c r="W130" s="45" t="n">
        <f aca="false">W123*Assumptions!$B$158*Assumptions!$B$144*W7/12*(1+Assumptions!$B$16)</f>
        <v>197.740699451536</v>
      </c>
      <c r="X130" s="45" t="n">
        <f aca="false">X123*Assumptions!$B$158*Assumptions!$B$144*X7/12*(1+Assumptions!$B$16)</f>
        <v>239.483221828399</v>
      </c>
      <c r="Y130" s="45" t="n">
        <f aca="false">Y123*Assumptions!$B$158*Assumptions!$B$144*Y7/12*(1+Assumptions!$B$16)</f>
        <v>280.224675274918</v>
      </c>
      <c r="Z130" s="45" t="n">
        <f aca="false">Z123*Assumptions!$B$158*Assumptions!$B$144*Z7/12*(1+Assumptions!$B$16)</f>
        <v>331.979664944813</v>
      </c>
      <c r="AA130" s="45" t="n">
        <f aca="false">AA123*Assumptions!$B$158*Assumptions!$B$144*AA7/12*(1+Assumptions!$B$16)</f>
        <v>18788.2876276965</v>
      </c>
      <c r="AB130" s="45" t="n">
        <f aca="false">AB123*Assumptions!$B$158*Assumptions!$B$144*AB7/12*(1+Assumptions!$B$16)</f>
        <v>33763.8911957182</v>
      </c>
      <c r="AC130" s="45" t="n">
        <f aca="false">AC123*Assumptions!$B$158*Assumptions!$B$144*AC7/12*(1+Assumptions!$B$16)</f>
        <v>52760.6943343367</v>
      </c>
      <c r="AD130" s="45" t="n">
        <f aca="false">AD123*Assumptions!$B$158*Assumptions!$B$144*AD7/12*(1+Assumptions!$B$16)</f>
        <v>72368.705898885</v>
      </c>
      <c r="AE130" s="45" t="n">
        <f aca="false">AE123*Assumptions!$B$158*Assumptions!$B$144*AE7/12*(1+Assumptions!$B$16)</f>
        <v>88512.7167016727</v>
      </c>
    </row>
    <row r="131" customFormat="false" ht="15" hidden="false" customHeight="false" outlineLevel="0" collapsed="false">
      <c r="A131" s="6" t="s">
        <v>481</v>
      </c>
      <c r="B131" s="23" t="s">
        <v>114</v>
      </c>
      <c r="C131" s="55" t="n">
        <f aca="false">C113*Assumptions!$B$8</f>
        <v>261.410028517254</v>
      </c>
      <c r="D131" s="55" t="n">
        <f aca="false">D113*Assumptions!$B$8</f>
        <v>496.819524561609</v>
      </c>
      <c r="E131" s="55" t="n">
        <f aca="false">E113*Assumptions!$B$8</f>
        <v>710.127216030597</v>
      </c>
      <c r="F131" s="55" t="n">
        <f aca="false">F113*Assumptions!$B$8</f>
        <v>972.045064410703</v>
      </c>
      <c r="G131" s="55" t="n">
        <f aca="false">G113*Assumptions!$B$8</f>
        <v>1192.44353785046</v>
      </c>
      <c r="H131" s="55" t="n">
        <f aca="false">H113*Assumptions!$B$8</f>
        <v>1360.62230325932</v>
      </c>
      <c r="I131" s="55" t="n">
        <f aca="false">I113*Assumptions!$B$8</f>
        <v>1512.64672243034</v>
      </c>
      <c r="J131" s="55" t="n">
        <f aca="false">J113*Assumptions!$B$8</f>
        <v>1657.02047517508</v>
      </c>
      <c r="K131" s="55" t="n">
        <f aca="false">K113*Assumptions!$B$8</f>
        <v>1814.59803835725</v>
      </c>
      <c r="L131" s="55" t="n">
        <f aca="false">L113*Assumptions!$B$8</f>
        <v>2046.02564462254</v>
      </c>
      <c r="M131" s="55" t="n">
        <f aca="false">M113*Assumptions!$B$8</f>
        <v>2240.11667437198</v>
      </c>
      <c r="N131" s="55" t="n">
        <f aca="false">N113*Assumptions!$B$8</f>
        <v>2388.62189806708</v>
      </c>
      <c r="O131" s="55" t="n">
        <f aca="false">O113*Assumptions!$B$8</f>
        <v>3129.19593910045</v>
      </c>
      <c r="P131" s="55" t="n">
        <f aca="false">P113*Assumptions!$B$8</f>
        <v>3808.524819206</v>
      </c>
      <c r="Q131" s="55" t="n">
        <f aca="false">Q113*Assumptions!$B$8</f>
        <v>4434.90017679927</v>
      </c>
      <c r="R131" s="55" t="n">
        <f aca="false">R113*Assumptions!$B$8</f>
        <v>5250.19591436024</v>
      </c>
      <c r="S131" s="55" t="n">
        <f aca="false">S113*Assumptions!$B$8</f>
        <v>5946.55977706342</v>
      </c>
      <c r="T131" s="55" t="n">
        <f aca="false">T113*Assumptions!$B$8</f>
        <v>6476.11057377403</v>
      </c>
      <c r="U131" s="55" t="n">
        <f aca="false">U113*Assumptions!$B$8</f>
        <v>6961.31584471678</v>
      </c>
      <c r="V131" s="55" t="n">
        <f aca="false">V113*Assumptions!$B$8</f>
        <v>7431.11812491964</v>
      </c>
      <c r="W131" s="55" t="n">
        <f aca="false">W113*Assumptions!$B$8</f>
        <v>7962.52253529796</v>
      </c>
      <c r="X131" s="55" t="n">
        <f aca="false">X113*Assumptions!$B$8</f>
        <v>8787.91223082874</v>
      </c>
      <c r="Y131" s="55" t="n">
        <f aca="false">Y113*Assumptions!$B$8</f>
        <v>9495.14127334868</v>
      </c>
      <c r="Z131" s="55" t="n">
        <f aca="false">Z113*Assumptions!$B$8</f>
        <v>10043.3290325551</v>
      </c>
      <c r="AA131" s="55" t="n">
        <f aca="false">AA113*Assumptions!$B$8</f>
        <v>220894.200304195</v>
      </c>
      <c r="AB131" s="55" t="n">
        <f aca="false">AB113*Assumptions!$B$8</f>
        <v>348278.644530836</v>
      </c>
      <c r="AC131" s="55" t="n">
        <f aca="false">AC113*Assumptions!$B$8</f>
        <v>479236.140010779</v>
      </c>
      <c r="AD131" s="55" t="n">
        <f aca="false">AD113*Assumptions!$B$8</f>
        <v>560518.751668915</v>
      </c>
      <c r="AE131" s="55" t="n">
        <f aca="false">AE113*Assumptions!$B$8</f>
        <v>552766.217794465</v>
      </c>
    </row>
    <row r="132" customFormat="false" ht="15" hidden="false" customHeight="false" outlineLevel="0" collapsed="false">
      <c r="A132" s="6" t="s">
        <v>482</v>
      </c>
      <c r="B132" s="23" t="s">
        <v>114</v>
      </c>
      <c r="C132" s="55" t="n">
        <f aca="false">C114*Assumptions!$B$8</f>
        <v>17.2821074408629</v>
      </c>
      <c r="D132" s="55" t="n">
        <f aca="false">D114*Assumptions!$B$8</f>
        <v>32.8452907904619</v>
      </c>
      <c r="E132" s="55" t="n">
        <f aca="false">E114*Assumptions!$B$8</f>
        <v>46.9472992820228</v>
      </c>
      <c r="F132" s="55" t="n">
        <f aca="false">F114*Assumptions!$B$8</f>
        <v>64.2629792582631</v>
      </c>
      <c r="G132" s="55" t="n">
        <f aca="false">G114*Assumptions!$B$8</f>
        <v>78.8337672245581</v>
      </c>
      <c r="H132" s="55" t="n">
        <f aca="false">H114*Assumptions!$B$8</f>
        <v>89.9522522710329</v>
      </c>
      <c r="I132" s="55" t="n">
        <f aca="false">I114*Assumptions!$B$8</f>
        <v>100.00275553845</v>
      </c>
      <c r="J132" s="55" t="n">
        <f aca="false">J114*Assumptions!$B$8</f>
        <v>109.547464747686</v>
      </c>
      <c r="K132" s="55" t="n">
        <f aca="false">K114*Assumptions!$B$8</f>
        <v>119.965092535841</v>
      </c>
      <c r="L132" s="55" t="n">
        <f aca="false">L114*Assumptions!$B$8</f>
        <v>135.265028727824</v>
      </c>
      <c r="M132" s="55" t="n">
        <f aca="false">M114*Assumptions!$B$8</f>
        <v>148.096602361259</v>
      </c>
      <c r="N132" s="55" t="n">
        <f aca="false">N114*Assumptions!$B$8</f>
        <v>157.914447705546</v>
      </c>
      <c r="O132" s="55" t="n">
        <f aca="false">O114*Assumptions!$B$8</f>
        <v>206.874620418308</v>
      </c>
      <c r="P132" s="55" t="n">
        <f aca="false">P114*Assumptions!$B$8</f>
        <v>251.785807491952</v>
      </c>
      <c r="Q132" s="55" t="n">
        <f aca="false">Q114*Assumptions!$B$8</f>
        <v>293.196178355063</v>
      </c>
      <c r="R132" s="55" t="n">
        <f aca="false">R114*Assumptions!$B$8</f>
        <v>347.096285449371</v>
      </c>
      <c r="S132" s="55" t="n">
        <f aca="false">S114*Assumptions!$B$8</f>
        <v>393.133674150304</v>
      </c>
      <c r="T132" s="55" t="n">
        <f aca="false">T114*Assumptions!$B$8</f>
        <v>428.142865710616</v>
      </c>
      <c r="U132" s="55" t="n">
        <f aca="false">U114*Assumptions!$B$8</f>
        <v>460.22032528961</v>
      </c>
      <c r="V132" s="55" t="n">
        <f aca="false">V114*Assumptions!$B$8</f>
        <v>491.279476036354</v>
      </c>
      <c r="W132" s="55" t="n">
        <f aca="false">W114*Assumptions!$B$8</f>
        <v>526.411212055809</v>
      </c>
      <c r="X132" s="55" t="n">
        <f aca="false">X114*Assumptions!$B$8</f>
        <v>580.978641927011</v>
      </c>
      <c r="Y132" s="55" t="n">
        <f aca="false">Y114*Assumptions!$B$8</f>
        <v>627.734339738051</v>
      </c>
      <c r="Z132" s="55" t="n">
        <f aca="false">Z114*Assumptions!$B$8</f>
        <v>663.975641596699</v>
      </c>
      <c r="AA132" s="55" t="n">
        <f aca="false">AA114*Assumptions!$B$8</f>
        <v>14603.5610201106</v>
      </c>
      <c r="AB132" s="55" t="n">
        <f aca="false">AB114*Assumptions!$B$8</f>
        <v>23025.0881662053</v>
      </c>
      <c r="AC132" s="55" t="n">
        <f aca="false">AC114*Assumptions!$B$8</f>
        <v>31682.8337007126</v>
      </c>
      <c r="AD132" s="55" t="n">
        <f aca="false">AD114*Assumptions!$B$8</f>
        <v>37056.5174714449</v>
      </c>
      <c r="AE132" s="55" t="n">
        <f aca="false">AE114*Assumptions!$B$8</f>
        <v>36543.9888430785</v>
      </c>
    </row>
    <row r="133" customFormat="false" ht="15" hidden="false" customHeight="false" outlineLevel="0" collapsed="false">
      <c r="A133" s="6" t="s">
        <v>483</v>
      </c>
      <c r="B133" s="23" t="s">
        <v>114</v>
      </c>
      <c r="C133" s="55" t="n">
        <f aca="false">C128*IF(Assumptions!$B$176=1,MIN(Assumptions!$B$14,1%),Assumptions!$B$14)*(1-Assumptions!$B$142)</f>
        <v>0</v>
      </c>
      <c r="D133" s="55" t="n">
        <f aca="false">D128*IF(Assumptions!$B$176=1,MIN(Assumptions!$B$14,1%),Assumptions!$B$14)*(1-Assumptions!$B$142)</f>
        <v>0</v>
      </c>
      <c r="E133" s="55" t="n">
        <f aca="false">E128*IF(Assumptions!$B$176=1,MIN(Assumptions!$B$14,1%),Assumptions!$B$14)*(1-Assumptions!$B$142)</f>
        <v>0</v>
      </c>
      <c r="F133" s="55" t="n">
        <f aca="false">F128*IF(Assumptions!$B$176=1,MIN(Assumptions!$B$14,1%),Assumptions!$B$14)*(1-Assumptions!$B$142)</f>
        <v>0</v>
      </c>
      <c r="G133" s="55" t="n">
        <f aca="false">G128*IF(Assumptions!$B$176=1,MIN(Assumptions!$B$14,1%),Assumptions!$B$14)*(1-Assumptions!$B$142)</f>
        <v>0</v>
      </c>
      <c r="H133" s="55" t="n">
        <f aca="false">H128*IF(Assumptions!$B$176=1,MIN(Assumptions!$B$14,1%),Assumptions!$B$14)*(1-Assumptions!$B$142)</f>
        <v>0</v>
      </c>
      <c r="I133" s="55" t="n">
        <f aca="false">I128*IF(Assumptions!$B$176=1,MIN(Assumptions!$B$14,1%),Assumptions!$B$14)*(1-Assumptions!$B$142)</f>
        <v>0</v>
      </c>
      <c r="J133" s="55" t="n">
        <f aca="false">J128*IF(Assumptions!$B$176=1,MIN(Assumptions!$B$14,1%),Assumptions!$B$14)*(1-Assumptions!$B$142)</f>
        <v>0</v>
      </c>
      <c r="K133" s="55" t="n">
        <f aca="false">K128*IF(Assumptions!$B$176=1,MIN(Assumptions!$B$14,1%),Assumptions!$B$14)*(1-Assumptions!$B$142)</f>
        <v>0</v>
      </c>
      <c r="L133" s="55" t="n">
        <f aca="false">L128*IF(Assumptions!$B$176=1,MIN(Assumptions!$B$14,1%),Assumptions!$B$14)*(1-Assumptions!$B$142)</f>
        <v>0</v>
      </c>
      <c r="M133" s="55" t="n">
        <f aca="false">M128*IF(Assumptions!$B$176=1,MIN(Assumptions!$B$14,1%),Assumptions!$B$14)*(1-Assumptions!$B$142)</f>
        <v>0</v>
      </c>
      <c r="N133" s="55" t="n">
        <f aca="false">N128*IF(Assumptions!$B$176=1,MIN(Assumptions!$B$14,1%),Assumptions!$B$14)*(1-Assumptions!$B$142)</f>
        <v>0</v>
      </c>
      <c r="O133" s="55" t="n">
        <f aca="false">O128*IF(Assumptions!$B$176=1,MIN(Assumptions!$B$14,1%),Assumptions!$B$14)*(1-Assumptions!$B$142)</f>
        <v>4.16351257012109</v>
      </c>
      <c r="P133" s="55" t="n">
        <f aca="false">P128*IF(Assumptions!$B$176=1,MIN(Assumptions!$B$14,1%),Assumptions!$B$14)*(1-Assumptions!$B$142)</f>
        <v>4.29394441910505</v>
      </c>
      <c r="Q133" s="55" t="n">
        <f aca="false">Q128*IF(Assumptions!$B$176=1,MIN(Assumptions!$B$14,1%),Assumptions!$B$14)*(1-Assumptions!$B$142)</f>
        <v>4.85083057762754</v>
      </c>
      <c r="R133" s="55" t="n">
        <f aca="false">R128*IF(Assumptions!$B$176=1,MIN(Assumptions!$B$14,1%),Assumptions!$B$14)*(1-Assumptions!$B$142)</f>
        <v>5.42067730004756</v>
      </c>
      <c r="S133" s="55" t="n">
        <f aca="false">S128*IF(Assumptions!$B$176=1,MIN(Assumptions!$B$14,1%),Assumptions!$B$14)*(1-Assumptions!$B$142)</f>
        <v>6.40196141052053</v>
      </c>
      <c r="T133" s="55" t="n">
        <f aca="false">T128*IF(Assumptions!$B$176=1,MIN(Assumptions!$B$14,1%),Assumptions!$B$14)*(1-Assumptions!$B$142)</f>
        <v>7.39695901918176</v>
      </c>
      <c r="U133" s="55" t="n">
        <f aca="false">U128*IF(Assumptions!$B$176=1,MIN(Assumptions!$B$14,1%),Assumptions!$B$14)*(1-Assumptions!$B$142)</f>
        <v>8.14703088820949</v>
      </c>
      <c r="V133" s="55" t="n">
        <f aca="false">V128*IF(Assumptions!$B$176=1,MIN(Assumptions!$B$14,1%),Assumptions!$B$14)*(1-Assumptions!$B$142)</f>
        <v>9.66330175326764</v>
      </c>
      <c r="W133" s="55" t="n">
        <f aca="false">W128*IF(Assumptions!$B$176=1,MIN(Assumptions!$B$14,1%),Assumptions!$B$14)*(1-Assumptions!$B$142)</f>
        <v>14.4258260830205</v>
      </c>
      <c r="X133" s="55" t="n">
        <f aca="false">X128*IF(Assumptions!$B$176=1,MIN(Assumptions!$B$14,1%),Assumptions!$B$14)*(1-Assumptions!$B$142)</f>
        <v>18.1441688925974</v>
      </c>
      <c r="Y133" s="55" t="n">
        <f aca="false">Y128*IF(Assumptions!$B$176=1,MIN(Assumptions!$B$14,1%),Assumptions!$B$14)*(1-Assumptions!$B$142)</f>
        <v>22.6244735449518</v>
      </c>
      <c r="Z133" s="55" t="n">
        <f aca="false">Z128*IF(Assumptions!$B$176=1,MIN(Assumptions!$B$14,1%),Assumptions!$B$14)*(1-Assumptions!$B$142)</f>
        <v>30.5778556521924</v>
      </c>
      <c r="AA133" s="55" t="n">
        <f aca="false">AA128*IF(Assumptions!$B$176=1,MIN(Assumptions!$B$14,1%),Assumptions!$B$14)*(1-Assumptions!$B$142)</f>
        <v>2779.85436118174</v>
      </c>
      <c r="AB133" s="55" t="n">
        <f aca="false">AB128*IF(Assumptions!$B$176=1,MIN(Assumptions!$B$14,1%),Assumptions!$B$14)*(1-Assumptions!$B$142)</f>
        <v>6557.34261299924</v>
      </c>
      <c r="AC133" s="55" t="n">
        <f aca="false">AC128*IF(Assumptions!$B$176=1,MIN(Assumptions!$B$14,1%),Assumptions!$B$14)*(1-Assumptions!$B$142)</f>
        <v>12555.1932937313</v>
      </c>
      <c r="AD133" s="55" t="n">
        <f aca="false">AD128*IF(Assumptions!$B$176=1,MIN(Assumptions!$B$14,1%),Assumptions!$B$14)*(1-Assumptions!$B$142)</f>
        <v>21376.2514613152</v>
      </c>
      <c r="AE133" s="55" t="n">
        <f aca="false">AE128*IF(Assumptions!$B$176=1,MIN(Assumptions!$B$14,1%),Assumptions!$B$14)*(1-Assumptions!$B$142)</f>
        <v>33952.4335142931</v>
      </c>
    </row>
    <row r="134" customFormat="false" ht="15" hidden="false" customHeight="false" outlineLevel="0" collapsed="false">
      <c r="A134" s="6" t="s">
        <v>484</v>
      </c>
      <c r="B134" s="23" t="s">
        <v>485</v>
      </c>
      <c r="C134" s="54" t="n">
        <f aca="false">IF(C2&gt;=Assumptions!$B$50,C108*Assumptions!$B$159*(1-Assumptions!$B$161)^(C7/2),0)</f>
        <v>0</v>
      </c>
      <c r="D134" s="54" t="n">
        <f aca="false">IF(D2&gt;=Assumptions!$B$50,C134*(1-Assumptions!$B$161)^D7+D108*Assumptions!$B$159*(1-Assumptions!$B$161)^(D7/2),0)</f>
        <v>0</v>
      </c>
      <c r="E134" s="54" t="n">
        <f aca="false">IF(E2&gt;=Assumptions!$B$50,D134*(1-Assumptions!$B$161)^E7+E108*Assumptions!$B$159*(1-Assumptions!$B$161)^(E7/2),0)</f>
        <v>0</v>
      </c>
      <c r="F134" s="54" t="n">
        <f aca="false">IF(F2&gt;=Assumptions!$B$50,E134*(1-Assumptions!$B$161)^F7+F108*Assumptions!$B$159*(1-Assumptions!$B$161)^(F7/2),0)</f>
        <v>0</v>
      </c>
      <c r="G134" s="54" t="n">
        <f aca="false">IF(G2&gt;=Assumptions!$B$50,F134*(1-Assumptions!$B$161)^G7+G108*Assumptions!$B$159*(1-Assumptions!$B$161)^(G7/2),0)</f>
        <v>0</v>
      </c>
      <c r="H134" s="54" t="n">
        <f aca="false">IF(H2&gt;=Assumptions!$B$50,G134*(1-Assumptions!$B$161)^H7+H108*Assumptions!$B$159*(1-Assumptions!$B$161)^(H7/2),0)</f>
        <v>0</v>
      </c>
      <c r="I134" s="54" t="n">
        <f aca="false">IF(I2&gt;=Assumptions!$B$50,H134*(1-Assumptions!$B$161)^I7+I108*Assumptions!$B$159*(1-Assumptions!$B$161)^(I7/2),0)</f>
        <v>11.4960077932737</v>
      </c>
      <c r="J134" s="54" t="n">
        <f aca="false">IF(J2&gt;=Assumptions!$B$50,I134*(1-Assumptions!$B$161)^J7+J108*Assumptions!$B$159*(1-Assumptions!$B$161)^(J7/2),0)</f>
        <v>22.1604034749402</v>
      </c>
      <c r="K134" s="54" t="n">
        <f aca="false">IF(K2&gt;=Assumptions!$B$50,J134*(1-Assumptions!$B$161)^K7+K108*Assumptions!$B$159*(1-Assumptions!$B$161)^(K7/2),0)</f>
        <v>33.1317371851806</v>
      </c>
      <c r="L134" s="54" t="n">
        <f aca="false">IF(L2&gt;=Assumptions!$B$50,K134*(1-Assumptions!$B$161)^L7+L108*Assumptions!$B$159*(1-Assumptions!$B$161)^(L7/2),0)</f>
        <v>47.617916794843</v>
      </c>
      <c r="M134" s="54" t="n">
        <f aca="false">IF(M2&gt;=Assumptions!$B$50,L134*(1-Assumptions!$B$161)^M7+M108*Assumptions!$B$159*(1-Assumptions!$B$161)^(M7/2),0)</f>
        <v>59.698747743748</v>
      </c>
      <c r="N134" s="54" t="n">
        <f aca="false">IF(N2&gt;=Assumptions!$B$50,M134*(1-Assumptions!$B$161)^N7+N108*Assumptions!$B$159*(1-Assumptions!$B$161)^(N7/2),0)</f>
        <v>69.0149993710011</v>
      </c>
      <c r="O134" s="54" t="n">
        <f aca="false">IF(O2&gt;=Assumptions!$B$50,N134*(1-Assumptions!$B$161)^O7+O108*Assumptions!$B$159*(1-Assumptions!$B$161)^(O7/2),0)</f>
        <v>109.249616808112</v>
      </c>
      <c r="P134" s="54" t="n">
        <f aca="false">IF(P2&gt;=Assumptions!$B$50,O134*(1-Assumptions!$B$161)^P7+P108*Assumptions!$B$159*(1-Assumptions!$B$161)^(P7/2),0)</f>
        <v>145.291264987259</v>
      </c>
      <c r="Q134" s="54" t="n">
        <f aca="false">IF(Q2&gt;=Assumptions!$B$50,P134*(1-Assumptions!$B$161)^Q7+Q108*Assumptions!$B$159*(1-Assumptions!$B$161)^(Q7/2),0)</f>
        <v>177.71831470163</v>
      </c>
      <c r="R134" s="54" t="n">
        <f aca="false">IF(R2&gt;=Assumptions!$B$50,Q134*(1-Assumptions!$B$161)^R7+R108*Assumptions!$B$159*(1-Assumptions!$B$161)^(R7/2),0)</f>
        <v>219.398513585537</v>
      </c>
      <c r="S134" s="54" t="n">
        <f aca="false">IF(S2&gt;=Assumptions!$B$50,R134*(1-Assumptions!$B$161)^S7+S108*Assumptions!$B$159*(1-Assumptions!$B$161)^(S7/2),0)</f>
        <v>253.934311140179</v>
      </c>
      <c r="T134" s="54" t="n">
        <f aca="false">IF(T2&gt;=Assumptions!$B$50,S134*(1-Assumptions!$B$161)^T7+T108*Assumptions!$B$159*(1-Assumptions!$B$161)^(T7/2),0)</f>
        <v>279.006104773389</v>
      </c>
      <c r="U134" s="54" t="n">
        <f aca="false">IF(U2&gt;=Assumptions!$B$50,T134*(1-Assumptions!$B$161)^U7+U108*Assumptions!$B$159*(1-Assumptions!$B$161)^(U7/2),0)</f>
        <v>301.313685738903</v>
      </c>
      <c r="V134" s="54" t="n">
        <f aca="false">IF(V2&gt;=Assumptions!$B$50,U134*(1-Assumptions!$B$161)^V7+V108*Assumptions!$B$159*(1-Assumptions!$B$161)^(V7/2),0)</f>
        <v>322.465327488216</v>
      </c>
      <c r="W134" s="54" t="n">
        <f aca="false">IF(W2&gt;=Assumptions!$B$50,V134*(1-Assumptions!$B$161)^W7+W108*Assumptions!$B$159*(1-Assumptions!$B$161)^(W7/2),0)</f>
        <v>346.561815915396</v>
      </c>
      <c r="X134" s="54" t="n">
        <f aca="false">IF(X2&gt;=Assumptions!$B$50,W134*(1-Assumptions!$B$161)^X7+X108*Assumptions!$B$159*(1-Assumptions!$B$161)^(X7/2),0)</f>
        <v>385.797526888244</v>
      </c>
      <c r="Y134" s="54" t="n">
        <f aca="false">IF(Y2&gt;=Assumptions!$B$50,X134*(1-Assumptions!$B$161)^Y7+Y108*Assumptions!$B$159*(1-Assumptions!$B$161)^(Y7/2),0)</f>
        <v>418.129221385593</v>
      </c>
      <c r="Z134" s="54" t="n">
        <f aca="false">IF(Z2&gt;=Assumptions!$B$50,Y134*(1-Assumptions!$B$161)^Z7+Z108*Assumptions!$B$159*(1-Assumptions!$B$161)^(Z7/2),0)</f>
        <v>441.591086428113</v>
      </c>
      <c r="AA134" s="54" t="n">
        <f aca="false">IF(AA2&gt;=Assumptions!$B$50,Z134*(1-Assumptions!$B$161)^AA7+AA108*Assumptions!$B$159*(1-Assumptions!$B$161)^(AA7/2),0)</f>
        <v>777.243672836373</v>
      </c>
      <c r="AB134" s="54" t="n">
        <f aca="false">IF(AB2&gt;=Assumptions!$B$50,AA134*(1-Assumptions!$B$161)^AB7+AB108*Assumptions!$B$159*(1-Assumptions!$B$161)^(AB7/2),0)</f>
        <v>1193.51594750131</v>
      </c>
      <c r="AC134" s="54" t="n">
        <f aca="false">IF(AC2&gt;=Assumptions!$B$50,AB134*(1-Assumptions!$B$161)^AC7+AC108*Assumptions!$B$159*(1-Assumptions!$B$161)^(AC7/2),0)</f>
        <v>1599.61727098122</v>
      </c>
      <c r="AD134" s="54" t="n">
        <f aca="false">IF(AD2&gt;=Assumptions!$B$50,AC134*(1-Assumptions!$B$161)^AD7+AD108*Assumptions!$B$159*(1-Assumptions!$B$161)^(AD7/2),0)</f>
        <v>1802.76038574335</v>
      </c>
      <c r="AE134" s="54" t="n">
        <f aca="false">IF(AE2&gt;=Assumptions!$B$50,AD134*(1-Assumptions!$B$161)^AE7+AE108*Assumptions!$B$159*(1-Assumptions!$B$161)^(AE7/2),0)</f>
        <v>1684.64609880934</v>
      </c>
    </row>
    <row r="135" customFormat="false" ht="15" hidden="false" customHeight="false" outlineLevel="0" collapsed="false">
      <c r="A135" s="6" t="s">
        <v>486</v>
      </c>
      <c r="B135" s="23" t="s">
        <v>114</v>
      </c>
      <c r="C135" s="55" t="n">
        <f aca="false">C134*Assumptions!$B$25/12*C7</f>
        <v>0</v>
      </c>
      <c r="D135" s="55" t="n">
        <f aca="false">D134*Assumptions!$B$25/12*D7</f>
        <v>0</v>
      </c>
      <c r="E135" s="55" t="n">
        <f aca="false">E134*Assumptions!$B$25/12*E7</f>
        <v>0</v>
      </c>
      <c r="F135" s="55" t="n">
        <f aca="false">F134*Assumptions!$B$25/12*F7</f>
        <v>0</v>
      </c>
      <c r="G135" s="55" t="n">
        <f aca="false">G134*Assumptions!$B$25/12*G7</f>
        <v>0</v>
      </c>
      <c r="H135" s="55" t="n">
        <f aca="false">H134*Assumptions!$B$25/12*H7</f>
        <v>0</v>
      </c>
      <c r="I135" s="55" t="n">
        <f aca="false">I134*Assumptions!$B$25/12*I7</f>
        <v>34.4880233798211</v>
      </c>
      <c r="J135" s="55" t="n">
        <f aca="false">J134*Assumptions!$B$25/12*J7</f>
        <v>66.4812104248205</v>
      </c>
      <c r="K135" s="55" t="n">
        <f aca="false">K134*Assumptions!$B$25/12*K7</f>
        <v>99.3952115555419</v>
      </c>
      <c r="L135" s="55" t="n">
        <f aca="false">L134*Assumptions!$B$25/12*L7</f>
        <v>142.853750384529</v>
      </c>
      <c r="M135" s="55" t="n">
        <f aca="false">M134*Assumptions!$B$25/12*M7</f>
        <v>179.096243231244</v>
      </c>
      <c r="N135" s="55" t="n">
        <f aca="false">N134*Assumptions!$B$25/12*N7</f>
        <v>207.044998113003</v>
      </c>
      <c r="O135" s="55" t="n">
        <f aca="false">O134*Assumptions!$B$25/12*O7</f>
        <v>327.748850424336</v>
      </c>
      <c r="P135" s="55" t="n">
        <f aca="false">P134*Assumptions!$B$25/12*P7</f>
        <v>435.873794961778</v>
      </c>
      <c r="Q135" s="55" t="n">
        <f aca="false">Q134*Assumptions!$B$25/12*Q7</f>
        <v>533.154944104889</v>
      </c>
      <c r="R135" s="55" t="n">
        <f aca="false">R134*Assumptions!$B$25/12*R7</f>
        <v>658.195540756611</v>
      </c>
      <c r="S135" s="55" t="n">
        <f aca="false">S134*Assumptions!$B$25/12*S7</f>
        <v>761.802933420538</v>
      </c>
      <c r="T135" s="55" t="n">
        <f aca="false">T134*Assumptions!$B$25/12*T7</f>
        <v>837.018314320166</v>
      </c>
      <c r="U135" s="55" t="n">
        <f aca="false">U134*Assumptions!$B$25/12*U7</f>
        <v>903.941057216708</v>
      </c>
      <c r="V135" s="55" t="n">
        <f aca="false">V134*Assumptions!$B$25/12*V7</f>
        <v>967.395982464648</v>
      </c>
      <c r="W135" s="55" t="n">
        <f aca="false">W134*Assumptions!$B$25/12*W7</f>
        <v>1039.68544774619</v>
      </c>
      <c r="X135" s="55" t="n">
        <f aca="false">X134*Assumptions!$B$25/12*X7</f>
        <v>1157.39258066473</v>
      </c>
      <c r="Y135" s="55" t="n">
        <f aca="false">Y134*Assumptions!$B$25/12*Y7</f>
        <v>1254.38766415678</v>
      </c>
      <c r="Z135" s="55" t="n">
        <f aca="false">Z134*Assumptions!$B$25/12*Z7</f>
        <v>1324.77325928434</v>
      </c>
      <c r="AA135" s="55" t="n">
        <f aca="false">AA134*Assumptions!$B$25/12*AA7</f>
        <v>27980.7722221094</v>
      </c>
      <c r="AB135" s="55" t="n">
        <f aca="false">AB134*Assumptions!$B$25/12*AB7</f>
        <v>42966.5741100473</v>
      </c>
      <c r="AC135" s="55" t="n">
        <f aca="false">AC134*Assumptions!$B$25/12*AC7</f>
        <v>57586.2217553238</v>
      </c>
      <c r="AD135" s="55" t="n">
        <f aca="false">AD134*Assumptions!$B$25/12*AD7</f>
        <v>64899.3738867606</v>
      </c>
      <c r="AE135" s="55" t="n">
        <f aca="false">AE134*Assumptions!$B$25/12*AE7</f>
        <v>60647.2595571362</v>
      </c>
    </row>
    <row r="136" customFormat="false" ht="15" hidden="false" customHeight="false" outlineLevel="0" collapsed="false">
      <c r="A136" s="6" t="s">
        <v>487</v>
      </c>
      <c r="B136" s="23" t="s">
        <v>114</v>
      </c>
      <c r="C136" s="55" t="n">
        <f aca="false">IF(C2&gt;=Assumptions!$B$52,C128*C17*Assumptions!$B$17+C123*(Assumptions!$B$148*MAX(0,Assumptions!$B$152-Assumptions!$B$18)+Assumptions!$B$149*MAX(0,Assumptions!$B$153-Assumptions!$B$18)+Assumptions!$B$150*MAX(0,Assumptions!$B$154-Assumptions!$B$18)+Assumptions!$B$151*MAX(0,Assumptions!$B$155-Assumptions!$B$18))*Assumptions!$B$19/Assumptions!$B$7*C7+C123*(Assumptions!$B$146*Assumptions!$B$20+Assumptions!$B$147*Assumptions!$B$21)/12/Assumptions!$B$7*C7,0)</f>
        <v>0</v>
      </c>
      <c r="D136" s="55" t="n">
        <f aca="false">IF(D2&gt;=Assumptions!$B$52,D128*D17*Assumptions!$B$17+D123*(Assumptions!$B$148*MAX(0,Assumptions!$B$152-Assumptions!$B$18)+Assumptions!$B$149*MAX(0,Assumptions!$B$153-Assumptions!$B$18)+Assumptions!$B$150*MAX(0,Assumptions!$B$154-Assumptions!$B$18)+Assumptions!$B$151*MAX(0,Assumptions!$B$155-Assumptions!$B$18))*Assumptions!$B$19/Assumptions!$B$7*D7+D123*(Assumptions!$B$146*Assumptions!$B$20+Assumptions!$B$147*Assumptions!$B$21)/12/Assumptions!$B$7*D7,0)</f>
        <v>0</v>
      </c>
      <c r="E136" s="55" t="n">
        <f aca="false">IF(E2&gt;=Assumptions!$B$52,E128*E17*Assumptions!$B$17+E123*(Assumptions!$B$148*MAX(0,Assumptions!$B$152-Assumptions!$B$18)+Assumptions!$B$149*MAX(0,Assumptions!$B$153-Assumptions!$B$18)+Assumptions!$B$150*MAX(0,Assumptions!$B$154-Assumptions!$B$18)+Assumptions!$B$151*MAX(0,Assumptions!$B$155-Assumptions!$B$18))*Assumptions!$B$19/Assumptions!$B$7*E7+E123*(Assumptions!$B$146*Assumptions!$B$20+Assumptions!$B$147*Assumptions!$B$21)/12/Assumptions!$B$7*E7,0)</f>
        <v>0</v>
      </c>
      <c r="F136" s="55" t="n">
        <f aca="false">IF(F2&gt;=Assumptions!$B$52,F128*F17*Assumptions!$B$17+F123*(Assumptions!$B$148*MAX(0,Assumptions!$B$152-Assumptions!$B$18)+Assumptions!$B$149*MAX(0,Assumptions!$B$153-Assumptions!$B$18)+Assumptions!$B$150*MAX(0,Assumptions!$B$154-Assumptions!$B$18)+Assumptions!$B$151*MAX(0,Assumptions!$B$155-Assumptions!$B$18))*Assumptions!$B$19/Assumptions!$B$7*F7+F123*(Assumptions!$B$146*Assumptions!$B$20+Assumptions!$B$147*Assumptions!$B$21)/12/Assumptions!$B$7*F7,0)</f>
        <v>0</v>
      </c>
      <c r="G136" s="55" t="n">
        <f aca="false">IF(G2&gt;=Assumptions!$B$52,G128*G17*Assumptions!$B$17+G123*(Assumptions!$B$148*MAX(0,Assumptions!$B$152-Assumptions!$B$18)+Assumptions!$B$149*MAX(0,Assumptions!$B$153-Assumptions!$B$18)+Assumptions!$B$150*MAX(0,Assumptions!$B$154-Assumptions!$B$18)+Assumptions!$B$151*MAX(0,Assumptions!$B$155-Assumptions!$B$18))*Assumptions!$B$19/Assumptions!$B$7*G7+G123*(Assumptions!$B$146*Assumptions!$B$20+Assumptions!$B$147*Assumptions!$B$21)/12/Assumptions!$B$7*G7,0)</f>
        <v>0</v>
      </c>
      <c r="H136" s="55" t="n">
        <f aca="false">IF(H2&gt;=Assumptions!$B$52,H128*H17*Assumptions!$B$17+H123*(Assumptions!$B$148*MAX(0,Assumptions!$B$152-Assumptions!$B$18)+Assumptions!$B$149*MAX(0,Assumptions!$B$153-Assumptions!$B$18)+Assumptions!$B$150*MAX(0,Assumptions!$B$154-Assumptions!$B$18)+Assumptions!$B$151*MAX(0,Assumptions!$B$155-Assumptions!$B$18))*Assumptions!$B$19/Assumptions!$B$7*H7+H123*(Assumptions!$B$146*Assumptions!$B$20+Assumptions!$B$147*Assumptions!$B$21)/12/Assumptions!$B$7*H7,0)</f>
        <v>0</v>
      </c>
      <c r="I136" s="55" t="n">
        <f aca="false">IF(I2&gt;=Assumptions!$B$52,I128*I17*Assumptions!$B$17+I123*(Assumptions!$B$148*MAX(0,Assumptions!$B$152-Assumptions!$B$18)+Assumptions!$B$149*MAX(0,Assumptions!$B$153-Assumptions!$B$18)+Assumptions!$B$150*MAX(0,Assumptions!$B$154-Assumptions!$B$18)+Assumptions!$B$151*MAX(0,Assumptions!$B$155-Assumptions!$B$18))*Assumptions!$B$19/Assumptions!$B$7*I7+I123*(Assumptions!$B$146*Assumptions!$B$20+Assumptions!$B$147*Assumptions!$B$21)/12/Assumptions!$B$7*I7,0)</f>
        <v>0</v>
      </c>
      <c r="J136" s="55" t="n">
        <f aca="false">IF(J2&gt;=Assumptions!$B$52,J128*J17*Assumptions!$B$17+J123*(Assumptions!$B$148*MAX(0,Assumptions!$B$152-Assumptions!$B$18)+Assumptions!$B$149*MAX(0,Assumptions!$B$153-Assumptions!$B$18)+Assumptions!$B$150*MAX(0,Assumptions!$B$154-Assumptions!$B$18)+Assumptions!$B$151*MAX(0,Assumptions!$B$155-Assumptions!$B$18))*Assumptions!$B$19/Assumptions!$B$7*J7+J123*(Assumptions!$B$146*Assumptions!$B$20+Assumptions!$B$147*Assumptions!$B$21)/12/Assumptions!$B$7*J7,0)</f>
        <v>0</v>
      </c>
      <c r="K136" s="55" t="n">
        <f aca="false">IF(K2&gt;=Assumptions!$B$52,K128*K17*Assumptions!$B$17+K123*(Assumptions!$B$148*MAX(0,Assumptions!$B$152-Assumptions!$B$18)+Assumptions!$B$149*MAX(0,Assumptions!$B$153-Assumptions!$B$18)+Assumptions!$B$150*MAX(0,Assumptions!$B$154-Assumptions!$B$18)+Assumptions!$B$151*MAX(0,Assumptions!$B$155-Assumptions!$B$18))*Assumptions!$B$19/Assumptions!$B$7*K7+K123*(Assumptions!$B$146*Assumptions!$B$20+Assumptions!$B$147*Assumptions!$B$21)/12/Assumptions!$B$7*K7,0)</f>
        <v>0</v>
      </c>
      <c r="L136" s="55" t="n">
        <f aca="false">IF(L2&gt;=Assumptions!$B$52,L128*L17*Assumptions!$B$17+L123*(Assumptions!$B$148*MAX(0,Assumptions!$B$152-Assumptions!$B$18)+Assumptions!$B$149*MAX(0,Assumptions!$B$153-Assumptions!$B$18)+Assumptions!$B$150*MAX(0,Assumptions!$B$154-Assumptions!$B$18)+Assumptions!$B$151*MAX(0,Assumptions!$B$155-Assumptions!$B$18))*Assumptions!$B$19/Assumptions!$B$7*L7+L123*(Assumptions!$B$146*Assumptions!$B$20+Assumptions!$B$147*Assumptions!$B$21)/12/Assumptions!$B$7*L7,0)</f>
        <v>0</v>
      </c>
      <c r="M136" s="55" t="n">
        <f aca="false">IF(M2&gt;=Assumptions!$B$52,M128*M17*Assumptions!$B$17+M123*(Assumptions!$B$148*MAX(0,Assumptions!$B$152-Assumptions!$B$18)+Assumptions!$B$149*MAX(0,Assumptions!$B$153-Assumptions!$B$18)+Assumptions!$B$150*MAX(0,Assumptions!$B$154-Assumptions!$B$18)+Assumptions!$B$151*MAX(0,Assumptions!$B$155-Assumptions!$B$18))*Assumptions!$B$19/Assumptions!$B$7*M7+M123*(Assumptions!$B$146*Assumptions!$B$20+Assumptions!$B$147*Assumptions!$B$21)/12/Assumptions!$B$7*M7,0)</f>
        <v>0</v>
      </c>
      <c r="N136" s="55" t="n">
        <f aca="false">IF(N2&gt;=Assumptions!$B$52,N128*N17*Assumptions!$B$17+N123*(Assumptions!$B$148*MAX(0,Assumptions!$B$152-Assumptions!$B$18)+Assumptions!$B$149*MAX(0,Assumptions!$B$153-Assumptions!$B$18)+Assumptions!$B$150*MAX(0,Assumptions!$B$154-Assumptions!$B$18)+Assumptions!$B$151*MAX(0,Assumptions!$B$155-Assumptions!$B$18))*Assumptions!$B$19/Assumptions!$B$7*N7+N123*(Assumptions!$B$146*Assumptions!$B$20+Assumptions!$B$147*Assumptions!$B$21)/12/Assumptions!$B$7*N7,0)</f>
        <v>0</v>
      </c>
      <c r="O136" s="55" t="n">
        <f aca="false">IF(O2&gt;=Assumptions!$B$52,O128*O17*Assumptions!$B$17+O123*(Assumptions!$B$148*MAX(0,Assumptions!$B$152-Assumptions!$B$18)+Assumptions!$B$149*MAX(0,Assumptions!$B$153-Assumptions!$B$18)+Assumptions!$B$150*MAX(0,Assumptions!$B$154-Assumptions!$B$18)+Assumptions!$B$151*MAX(0,Assumptions!$B$155-Assumptions!$B$18))*Assumptions!$B$19/Assumptions!$B$7*O7+O123*(Assumptions!$B$146*Assumptions!$B$20+Assumptions!$B$147*Assumptions!$B$21)/12/Assumptions!$B$7*O7,0)</f>
        <v>302.359993436891</v>
      </c>
      <c r="P136" s="55" t="n">
        <f aca="false">IF(P2&gt;=Assumptions!$B$52,P128*P17*Assumptions!$B$17+P123*(Assumptions!$B$148*MAX(0,Assumptions!$B$152-Assumptions!$B$18)+Assumptions!$B$149*MAX(0,Assumptions!$B$153-Assumptions!$B$18)+Assumptions!$B$150*MAX(0,Assumptions!$B$154-Assumptions!$B$18)+Assumptions!$B$151*MAX(0,Assumptions!$B$155-Assumptions!$B$18))*Assumptions!$B$19/Assumptions!$B$7*P7+P123*(Assumptions!$B$146*Assumptions!$B$20+Assumptions!$B$147*Assumptions!$B$21)/12/Assumptions!$B$7*P7,0)</f>
        <v>353.91294290443</v>
      </c>
      <c r="Q136" s="55" t="n">
        <f aca="false">IF(Q2&gt;=Assumptions!$B$52,Q128*Q17*Assumptions!$B$17+Q123*(Assumptions!$B$148*MAX(0,Assumptions!$B$152-Assumptions!$B$18)+Assumptions!$B$149*MAX(0,Assumptions!$B$153-Assumptions!$B$18)+Assumptions!$B$150*MAX(0,Assumptions!$B$154-Assumptions!$B$18)+Assumptions!$B$151*MAX(0,Assumptions!$B$155-Assumptions!$B$18))*Assumptions!$B$19/Assumptions!$B$7*Q7+Q123*(Assumptions!$B$146*Assumptions!$B$20+Assumptions!$B$147*Assumptions!$B$21)/12/Assumptions!$B$7*Q7,0)</f>
        <v>404.085324102612</v>
      </c>
      <c r="R136" s="55" t="n">
        <f aca="false">IF(R2&gt;=Assumptions!$B$52,R128*R17*Assumptions!$B$17+R123*(Assumptions!$B$148*MAX(0,Assumptions!$B$152-Assumptions!$B$18)+Assumptions!$B$149*MAX(0,Assumptions!$B$153-Assumptions!$B$18)+Assumptions!$B$150*MAX(0,Assumptions!$B$154-Assumptions!$B$18)+Assumptions!$B$151*MAX(0,Assumptions!$B$155-Assumptions!$B$18))*Assumptions!$B$19/Assumptions!$B$7*R7+R123*(Assumptions!$B$146*Assumptions!$B$20+Assumptions!$B$147*Assumptions!$B$21)/12/Assumptions!$B$7*R7,0)</f>
        <v>454.579211896943</v>
      </c>
      <c r="S136" s="55" t="n">
        <f aca="false">IF(S2&gt;=Assumptions!$B$52,S128*S17*Assumptions!$B$17+S123*(Assumptions!$B$148*MAX(0,Assumptions!$B$152-Assumptions!$B$18)+Assumptions!$B$149*MAX(0,Assumptions!$B$153-Assumptions!$B$18)+Assumptions!$B$150*MAX(0,Assumptions!$B$154-Assumptions!$B$18)+Assumptions!$B$151*MAX(0,Assumptions!$B$155-Assumptions!$B$18))*Assumptions!$B$19/Assumptions!$B$7*S7+S123*(Assumptions!$B$146*Assumptions!$B$20+Assumptions!$B$147*Assumptions!$B$21)/12/Assumptions!$B$7*S7,0)</f>
        <v>510.223192950896</v>
      </c>
      <c r="T136" s="55" t="n">
        <f aca="false">IF(T2&gt;=Assumptions!$B$52,T128*T17*Assumptions!$B$17+T123*(Assumptions!$B$148*MAX(0,Assumptions!$B$152-Assumptions!$B$18)+Assumptions!$B$149*MAX(0,Assumptions!$B$153-Assumptions!$B$18)+Assumptions!$B$150*MAX(0,Assumptions!$B$154-Assumptions!$B$18)+Assumptions!$B$151*MAX(0,Assumptions!$B$155-Assumptions!$B$18))*Assumptions!$B$19/Assumptions!$B$7*T7+T123*(Assumptions!$B$146*Assumptions!$B$20+Assumptions!$B$147*Assumptions!$B$21)/12/Assumptions!$B$7*T7,0)</f>
        <v>589.321747594296</v>
      </c>
      <c r="U136" s="55" t="n">
        <f aca="false">IF(U2&gt;=Assumptions!$B$52,U128*U17*Assumptions!$B$17+U123*(Assumptions!$B$148*MAX(0,Assumptions!$B$152-Assumptions!$B$18)+Assumptions!$B$149*MAX(0,Assumptions!$B$153-Assumptions!$B$18)+Assumptions!$B$150*MAX(0,Assumptions!$B$154-Assumptions!$B$18)+Assumptions!$B$151*MAX(0,Assumptions!$B$155-Assumptions!$B$18))*Assumptions!$B$19/Assumptions!$B$7*U7+U123*(Assumptions!$B$146*Assumptions!$B$20+Assumptions!$B$147*Assumptions!$B$21)/12/Assumptions!$B$7*U7,0)</f>
        <v>658.849962605206</v>
      </c>
      <c r="V136" s="55" t="n">
        <f aca="false">IF(V2&gt;=Assumptions!$B$52,V128*V17*Assumptions!$B$17+V123*(Assumptions!$B$148*MAX(0,Assumptions!$B$152-Assumptions!$B$18)+Assumptions!$B$149*MAX(0,Assumptions!$B$153-Assumptions!$B$18)+Assumptions!$B$150*MAX(0,Assumptions!$B$154-Assumptions!$B$18)+Assumptions!$B$151*MAX(0,Assumptions!$B$155-Assumptions!$B$18))*Assumptions!$B$19/Assumptions!$B$7*V7+V123*(Assumptions!$B$146*Assumptions!$B$20+Assumptions!$B$147*Assumptions!$B$21)/12/Assumptions!$B$7*V7,0)</f>
        <v>719.150323967281</v>
      </c>
      <c r="W136" s="55" t="n">
        <f aca="false">IF(W2&gt;=Assumptions!$B$52,W128*W17*Assumptions!$B$17+W123*(Assumptions!$B$148*MAX(0,Assumptions!$B$152-Assumptions!$B$18)+Assumptions!$B$149*MAX(0,Assumptions!$B$153-Assumptions!$B$18)+Assumptions!$B$150*MAX(0,Assumptions!$B$154-Assumptions!$B$18)+Assumptions!$B$151*MAX(0,Assumptions!$B$155-Assumptions!$B$18))*Assumptions!$B$19/Assumptions!$B$7*W7+W123*(Assumptions!$B$146*Assumptions!$B$20+Assumptions!$B$147*Assumptions!$B$21)/12/Assumptions!$B$7*W7,0)</f>
        <v>913.206795988206</v>
      </c>
      <c r="X136" s="55" t="n">
        <f aca="false">IF(X2&gt;=Assumptions!$B$52,X128*X17*Assumptions!$B$17+X123*(Assumptions!$B$148*MAX(0,Assumptions!$B$152-Assumptions!$B$18)+Assumptions!$B$149*MAX(0,Assumptions!$B$153-Assumptions!$B$18)+Assumptions!$B$150*MAX(0,Assumptions!$B$154-Assumptions!$B$18)+Assumptions!$B$151*MAX(0,Assumptions!$B$155-Assumptions!$B$18))*Assumptions!$B$19/Assumptions!$B$7*X7+X123*(Assumptions!$B$146*Assumptions!$B$20+Assumptions!$B$147*Assumptions!$B$21)/12/Assumptions!$B$7*X7,0)</f>
        <v>1110.49985315961</v>
      </c>
      <c r="Y136" s="55" t="n">
        <f aca="false">IF(Y2&gt;=Assumptions!$B$52,Y128*Y17*Assumptions!$B$17+Y123*(Assumptions!$B$148*MAX(0,Assumptions!$B$152-Assumptions!$B$18)+Assumptions!$B$149*MAX(0,Assumptions!$B$153-Assumptions!$B$18)+Assumptions!$B$150*MAX(0,Assumptions!$B$154-Assumptions!$B$18)+Assumptions!$B$151*MAX(0,Assumptions!$B$155-Assumptions!$B$18))*Assumptions!$B$19/Assumptions!$B$7*Y7+Y123*(Assumptions!$B$146*Assumptions!$B$20+Assumptions!$B$147*Assumptions!$B$21)/12/Assumptions!$B$7*Y7,0)</f>
        <v>1299.87151630978</v>
      </c>
      <c r="Z136" s="55" t="n">
        <f aca="false">IF(Z2&gt;=Assumptions!$B$52,Z128*Z17*Assumptions!$B$17+Z123*(Assumptions!$B$148*MAX(0,Assumptions!$B$152-Assumptions!$B$18)+Assumptions!$B$149*MAX(0,Assumptions!$B$153-Assumptions!$B$18)+Assumptions!$B$150*MAX(0,Assumptions!$B$154-Assumptions!$B$18)+Assumptions!$B$151*MAX(0,Assumptions!$B$155-Assumptions!$B$18))*Assumptions!$B$19/Assumptions!$B$7*Z7+Z123*(Assumptions!$B$146*Assumptions!$B$20+Assumptions!$B$147*Assumptions!$B$21)/12/Assumptions!$B$7*Z7,0)</f>
        <v>1536.76816636609</v>
      </c>
      <c r="AA136" s="55" t="n">
        <f aca="false">IF(AA2&gt;=Assumptions!$B$52,AA128*AA17*Assumptions!$B$17+AA123*(Assumptions!$B$148*MAX(0,Assumptions!$B$152-Assumptions!$B$18)+Assumptions!$B$149*MAX(0,Assumptions!$B$153-Assumptions!$B$18)+Assumptions!$B$150*MAX(0,Assumptions!$B$154-Assumptions!$B$18)+Assumptions!$B$151*MAX(0,Assumptions!$B$155-Assumptions!$B$18))*Assumptions!$B$19/Assumptions!$B$7*AA7+AA123*(Assumptions!$B$146*Assumptions!$B$20+Assumptions!$B$147*Assumptions!$B$21)/12/Assumptions!$B$7*AA7,0)</f>
        <v>88843.8847154157</v>
      </c>
      <c r="AB136" s="55" t="n">
        <f aca="false">IF(AB2&gt;=Assumptions!$B$52,AB128*AB17*Assumptions!$B$17+AB123*(Assumptions!$B$148*MAX(0,Assumptions!$B$152-Assumptions!$B$18)+Assumptions!$B$149*MAX(0,Assumptions!$B$153-Assumptions!$B$18)+Assumptions!$B$150*MAX(0,Assumptions!$B$154-Assumptions!$B$18)+Assumptions!$B$151*MAX(0,Assumptions!$B$155-Assumptions!$B$18))*Assumptions!$B$19/Assumptions!$B$7*AB7+AB123*(Assumptions!$B$146*Assumptions!$B$20+Assumptions!$B$147*Assumptions!$B$21)/12/Assumptions!$B$7*AB7,0)</f>
        <v>161765.907406885</v>
      </c>
      <c r="AC136" s="55" t="n">
        <f aca="false">IF(AC2&gt;=Assumptions!$B$52,AC128*AC17*Assumptions!$B$17+AC123*(Assumptions!$B$148*MAX(0,Assumptions!$B$152-Assumptions!$B$18)+Assumptions!$B$149*MAX(0,Assumptions!$B$153-Assumptions!$B$18)+Assumptions!$B$150*MAX(0,Assumptions!$B$154-Assumptions!$B$18)+Assumptions!$B$151*MAX(0,Assumptions!$B$155-Assumptions!$B$18))*Assumptions!$B$19/Assumptions!$B$7*AC7+AC123*(Assumptions!$B$146*Assumptions!$B$20+Assumptions!$B$147*Assumptions!$B$21)/12/Assumptions!$B$7*AC7,0)</f>
        <v>255895.912510388</v>
      </c>
      <c r="AD136" s="55" t="n">
        <f aca="false">IF(AD2&gt;=Assumptions!$B$52,AD128*AD17*Assumptions!$B$17+AD123*(Assumptions!$B$148*MAX(0,Assumptions!$B$152-Assumptions!$B$18)+Assumptions!$B$149*MAX(0,Assumptions!$B$153-Assumptions!$B$18)+Assumptions!$B$150*MAX(0,Assumptions!$B$154-Assumptions!$B$18)+Assumptions!$B$151*MAX(0,Assumptions!$B$155-Assumptions!$B$18))*Assumptions!$B$19/Assumptions!$B$7*AD7+AD123*(Assumptions!$B$146*Assumptions!$B$20+Assumptions!$B$147*Assumptions!$B$21)/12/Assumptions!$B$7*AD7,0)</f>
        <v>356603.206895943</v>
      </c>
      <c r="AE136" s="55" t="n">
        <f aca="false">IF(AE2&gt;=Assumptions!$B$52,AE128*AE17*Assumptions!$B$17+AE123*(Assumptions!$B$148*MAX(0,Assumptions!$B$152-Assumptions!$B$18)+Assumptions!$B$149*MAX(0,Assumptions!$B$153-Assumptions!$B$18)+Assumptions!$B$150*MAX(0,Assumptions!$B$154-Assumptions!$B$18)+Assumptions!$B$151*MAX(0,Assumptions!$B$155-Assumptions!$B$18))*Assumptions!$B$19/Assumptions!$B$7*AE7+AE123*(Assumptions!$B$146*Assumptions!$B$20+Assumptions!$B$147*Assumptions!$B$21)/12/Assumptions!$B$7*AE7,0)</f>
        <v>446688.269947499</v>
      </c>
    </row>
    <row r="137" customFormat="false" ht="15" hidden="false" customHeight="false" outlineLevel="0" collapsed="false">
      <c r="A137" s="6" t="s">
        <v>488</v>
      </c>
      <c r="B137" s="23" t="s">
        <v>114</v>
      </c>
      <c r="C137" s="55" t="n">
        <f aca="false">IF(C2&gt;=Assumptions!$B$53,C123*C124*(1-Assumptions!$B$176)*Assumptions!$B$156*Assumptions!$B$157,0)</f>
        <v>0</v>
      </c>
      <c r="D137" s="55" t="n">
        <f aca="false">IF(D2&gt;=Assumptions!$B$53,D123*D124*(1-Assumptions!$B$176)*Assumptions!$B$156*Assumptions!$B$157,0)</f>
        <v>0</v>
      </c>
      <c r="E137" s="55" t="n">
        <f aca="false">IF(E2&gt;=Assumptions!$B$53,E123*E124*(1-Assumptions!$B$176)*Assumptions!$B$156*Assumptions!$B$157,0)</f>
        <v>0</v>
      </c>
      <c r="F137" s="55" t="n">
        <f aca="false">IF(F2&gt;=Assumptions!$B$53,F123*F124*(1-Assumptions!$B$176)*Assumptions!$B$156*Assumptions!$B$157,0)</f>
        <v>0</v>
      </c>
      <c r="G137" s="55" t="n">
        <f aca="false">IF(G2&gt;=Assumptions!$B$53,G123*G124*(1-Assumptions!$B$176)*Assumptions!$B$156*Assumptions!$B$157,0)</f>
        <v>0</v>
      </c>
      <c r="H137" s="55" t="n">
        <f aca="false">IF(H2&gt;=Assumptions!$B$53,H123*H124*(1-Assumptions!$B$176)*Assumptions!$B$156*Assumptions!$B$157,0)</f>
        <v>0</v>
      </c>
      <c r="I137" s="55" t="n">
        <f aca="false">IF(I2&gt;=Assumptions!$B$53,I123*I124*(1-Assumptions!$B$176)*Assumptions!$B$156*Assumptions!$B$157,0)</f>
        <v>0</v>
      </c>
      <c r="J137" s="55" t="n">
        <f aca="false">IF(J2&gt;=Assumptions!$B$53,J123*J124*(1-Assumptions!$B$176)*Assumptions!$B$156*Assumptions!$B$157,0)</f>
        <v>0</v>
      </c>
      <c r="K137" s="55" t="n">
        <f aca="false">IF(K2&gt;=Assumptions!$B$53,K123*K124*(1-Assumptions!$B$176)*Assumptions!$B$156*Assumptions!$B$157,0)</f>
        <v>0</v>
      </c>
      <c r="L137" s="55" t="n">
        <f aca="false">IF(L2&gt;=Assumptions!$B$53,L123*L124*(1-Assumptions!$B$176)*Assumptions!$B$156*Assumptions!$B$157,0)</f>
        <v>0</v>
      </c>
      <c r="M137" s="55" t="n">
        <f aca="false">IF(M2&gt;=Assumptions!$B$53,M123*M124*(1-Assumptions!$B$176)*Assumptions!$B$156*Assumptions!$B$157,0)</f>
        <v>0</v>
      </c>
      <c r="N137" s="55" t="n">
        <f aca="false">IF(N2&gt;=Assumptions!$B$53,N123*N124*(1-Assumptions!$B$176)*Assumptions!$B$156*Assumptions!$B$157,0)</f>
        <v>0</v>
      </c>
      <c r="O137" s="55" t="n">
        <f aca="false">IF(O2&gt;=Assumptions!$B$53,O123*O124*(1-Assumptions!$B$176)*Assumptions!$B$156*Assumptions!$B$157,0)</f>
        <v>1802.38639399181</v>
      </c>
      <c r="P137" s="55" t="n">
        <f aca="false">IF(P2&gt;=Assumptions!$B$53,P123*P124*(1-Assumptions!$B$176)*Assumptions!$B$156*Assumptions!$B$157,0)</f>
        <v>2044.73543766907</v>
      </c>
      <c r="Q137" s="55" t="n">
        <f aca="false">IF(Q2&gt;=Assumptions!$B$53,Q123*Q124*(1-Assumptions!$B$176)*Assumptions!$B$156*Assumptions!$B$157,0)</f>
        <v>2357.06053334671</v>
      </c>
      <c r="R137" s="55" t="n">
        <f aca="false">IF(R2&gt;=Assumptions!$B$53,R123*R124*(1-Assumptions!$B$176)*Assumptions!$B$156*Assumptions!$B$157,0)</f>
        <v>2633.95398447403</v>
      </c>
      <c r="S137" s="55" t="n">
        <f aca="false">IF(S2&gt;=Assumptions!$B$53,S123*S124*(1-Assumptions!$B$176)*Assumptions!$B$156*Assumptions!$B$157,0)</f>
        <v>3048.55305262882</v>
      </c>
      <c r="T137" s="55" t="n">
        <f aca="false">IF(T2&gt;=Assumptions!$B$53,T123*T124*(1-Assumptions!$B$176)*Assumptions!$B$156*Assumptions!$B$157,0)</f>
        <v>3707.74888179537</v>
      </c>
      <c r="U137" s="55" t="n">
        <f aca="false">IF(U2&gt;=Assumptions!$B$53,U123*U124*(1-Assumptions!$B$176)*Assumptions!$B$156*Assumptions!$B$157,0)</f>
        <v>4408.56649794886</v>
      </c>
      <c r="V137" s="55" t="n">
        <f aca="false">IF(V2&gt;=Assumptions!$B$53,V123*V124*(1-Assumptions!$B$176)*Assumptions!$B$156*Assumptions!$B$157,0)</f>
        <v>5112.85807051198</v>
      </c>
      <c r="W137" s="55" t="n">
        <f aca="false">IF(W2&gt;=Assumptions!$B$53,W123*W124*(1-Assumptions!$B$176)*Assumptions!$B$156*Assumptions!$B$157,0)</f>
        <v>6869.44099191454</v>
      </c>
      <c r="X137" s="55" t="n">
        <f aca="false">IF(X2&gt;=Assumptions!$B$53,X123*X124*(1-Assumptions!$B$176)*Assumptions!$B$156*Assumptions!$B$157,0)</f>
        <v>8470.66708337879</v>
      </c>
      <c r="Y137" s="55" t="n">
        <f aca="false">IF(Y2&gt;=Assumptions!$B$53,Y123*Y124*(1-Assumptions!$B$176)*Assumptions!$B$156*Assumptions!$B$157,0)</f>
        <v>10260.5322199328</v>
      </c>
      <c r="Z137" s="55" t="n">
        <f aca="false">IF(Z2&gt;=Assumptions!$B$53,Z123*Z124*(1-Assumptions!$B$176)*Assumptions!$B$156*Assumptions!$B$157,0)</f>
        <v>12772.7049507905</v>
      </c>
      <c r="AA137" s="55" t="n">
        <f aca="false">IF(AA2&gt;=Assumptions!$B$53,AA123*AA124*(1-Assumptions!$B$176)*Assumptions!$B$156*Assumptions!$B$157,0)</f>
        <v>110311.680999275</v>
      </c>
      <c r="AB137" s="55" t="n">
        <f aca="false">IF(AB2&gt;=Assumptions!$B$53,AB123*AB124*(1-Assumptions!$B$176)*Assumptions!$B$156*Assumptions!$B$157,0)</f>
        <v>260212.008452351</v>
      </c>
      <c r="AC137" s="55" t="n">
        <f aca="false">IF(AC2&gt;=Assumptions!$B$53,AC123*AC124*(1-Assumptions!$B$176)*Assumptions!$B$156*Assumptions!$B$157,0)</f>
        <v>498221.956100447</v>
      </c>
      <c r="AD137" s="55" t="n">
        <f aca="false">IF(AD2&gt;=Assumptions!$B$53,AD123*AD124*(1-Assumptions!$B$176)*Assumptions!$B$156*Assumptions!$B$157,0)</f>
        <v>848263.946877586</v>
      </c>
      <c r="AE137" s="55" t="n">
        <f aca="false">IF(AE2&gt;=Assumptions!$B$53,AE123*AE124*(1-Assumptions!$B$176)*Assumptions!$B$156*Assumptions!$B$157,0)</f>
        <v>1347318.79024973</v>
      </c>
    </row>
    <row r="138" customFormat="false" ht="15" hidden="false" customHeight="false" outlineLevel="0" collapsed="false">
      <c r="A138" s="6" t="s">
        <v>489</v>
      </c>
      <c r="B138" s="23" t="s">
        <v>114</v>
      </c>
      <c r="C138" s="55" t="n">
        <f aca="false">IF(C2&gt;=Assumptions!$B$53,(C137*Assumptions!$B$29*Assumptions!$B$30+C123*C125*(1-Assumptions!$B$176)*Assumptions!$B$27*Assumptions!$B$28)*C7/12,0)</f>
        <v>0</v>
      </c>
      <c r="D138" s="55" t="n">
        <f aca="false">IF(D2&gt;=Assumptions!$B$53,(D137*Assumptions!$B$29*Assumptions!$B$30+D123*D125*(1-Assumptions!$B$176)*Assumptions!$B$27*Assumptions!$B$28)*D7/12,0)</f>
        <v>0</v>
      </c>
      <c r="E138" s="55" t="n">
        <f aca="false">IF(E2&gt;=Assumptions!$B$53,(E137*Assumptions!$B$29*Assumptions!$B$30+E123*E125*(1-Assumptions!$B$176)*Assumptions!$B$27*Assumptions!$B$28)*E7/12,0)</f>
        <v>0</v>
      </c>
      <c r="F138" s="55" t="n">
        <f aca="false">IF(F2&gt;=Assumptions!$B$53,(F137*Assumptions!$B$29*Assumptions!$B$30+F123*F125*(1-Assumptions!$B$176)*Assumptions!$B$27*Assumptions!$B$28)*F7/12,0)</f>
        <v>0</v>
      </c>
      <c r="G138" s="55" t="n">
        <f aca="false">IF(G2&gt;=Assumptions!$B$53,(G137*Assumptions!$B$29*Assumptions!$B$30+G123*G125*(1-Assumptions!$B$176)*Assumptions!$B$27*Assumptions!$B$28)*G7/12,0)</f>
        <v>0</v>
      </c>
      <c r="H138" s="55" t="n">
        <f aca="false">IF(H2&gt;=Assumptions!$B$53,(H137*Assumptions!$B$29*Assumptions!$B$30+H123*H125*(1-Assumptions!$B$176)*Assumptions!$B$27*Assumptions!$B$28)*H7/12,0)</f>
        <v>0</v>
      </c>
      <c r="I138" s="55" t="n">
        <f aca="false">IF(I2&gt;=Assumptions!$B$53,(I137*Assumptions!$B$29*Assumptions!$B$30+I123*I125*(1-Assumptions!$B$176)*Assumptions!$B$27*Assumptions!$B$28)*I7/12,0)</f>
        <v>0</v>
      </c>
      <c r="J138" s="55" t="n">
        <f aca="false">IF(J2&gt;=Assumptions!$B$53,(J137*Assumptions!$B$29*Assumptions!$B$30+J123*J125*(1-Assumptions!$B$176)*Assumptions!$B$27*Assumptions!$B$28)*J7/12,0)</f>
        <v>0</v>
      </c>
      <c r="K138" s="55" t="n">
        <f aca="false">IF(K2&gt;=Assumptions!$B$53,(K137*Assumptions!$B$29*Assumptions!$B$30+K123*K125*(1-Assumptions!$B$176)*Assumptions!$B$27*Assumptions!$B$28)*K7/12,0)</f>
        <v>0</v>
      </c>
      <c r="L138" s="55" t="n">
        <f aca="false">IF(L2&gt;=Assumptions!$B$53,(L137*Assumptions!$B$29*Assumptions!$B$30+L123*L125*(1-Assumptions!$B$176)*Assumptions!$B$27*Assumptions!$B$28)*L7/12,0)</f>
        <v>0</v>
      </c>
      <c r="M138" s="55" t="n">
        <f aca="false">IF(M2&gt;=Assumptions!$B$53,(M137*Assumptions!$B$29*Assumptions!$B$30+M123*M125*(1-Assumptions!$B$176)*Assumptions!$B$27*Assumptions!$B$28)*M7/12,0)</f>
        <v>0</v>
      </c>
      <c r="N138" s="55" t="n">
        <f aca="false">IF(N2&gt;=Assumptions!$B$53,(N137*Assumptions!$B$29*Assumptions!$B$30+N123*N125*(1-Assumptions!$B$176)*Assumptions!$B$27*Assumptions!$B$28)*N7/12,0)</f>
        <v>0</v>
      </c>
      <c r="O138" s="55" t="n">
        <f aca="false">IF(O2&gt;=Assumptions!$B$53,(O137*Assumptions!$B$29*Assumptions!$B$30+O123*O125*(1-Assumptions!$B$176)*Assumptions!$B$27*Assumptions!$B$28)*O7/12,0)</f>
        <v>4.28066768573056</v>
      </c>
      <c r="P138" s="55" t="n">
        <f aca="false">IF(P2&gt;=Assumptions!$B$53,(P137*Assumptions!$B$29*Assumptions!$B$30+P123*P125*(1-Assumptions!$B$176)*Assumptions!$B$27*Assumptions!$B$28)*P7/12,0)</f>
        <v>4.85624666446404</v>
      </c>
      <c r="Q138" s="55" t="n">
        <f aca="false">IF(Q2&gt;=Assumptions!$B$53,(Q137*Assumptions!$B$29*Assumptions!$B$30+Q123*Q125*(1-Assumptions!$B$176)*Assumptions!$B$27*Assumptions!$B$28)*Q7/12,0)</f>
        <v>5.59801876669844</v>
      </c>
      <c r="R138" s="55" t="n">
        <f aca="false">IF(R2&gt;=Assumptions!$B$53,(R137*Assumptions!$B$29*Assumptions!$B$30+R123*R125*(1-Assumptions!$B$176)*Assumptions!$B$27*Assumptions!$B$28)*R7/12,0)</f>
        <v>6.25564071312583</v>
      </c>
      <c r="S138" s="55" t="n">
        <f aca="false">IF(S2&gt;=Assumptions!$B$53,(S137*Assumptions!$B$29*Assumptions!$B$30+S123*S125*(1-Assumptions!$B$176)*Assumptions!$B$27*Assumptions!$B$28)*S7/12,0)</f>
        <v>7.24031349999345</v>
      </c>
      <c r="T138" s="55" t="n">
        <f aca="false">IF(T2&gt;=Assumptions!$B$53,(T137*Assumptions!$B$29*Assumptions!$B$30+T123*T125*(1-Assumptions!$B$176)*Assumptions!$B$27*Assumptions!$B$28)*T7/12,0)</f>
        <v>8.805903594264</v>
      </c>
      <c r="U138" s="55" t="n">
        <f aca="false">IF(U2&gt;=Assumptions!$B$53,(U137*Assumptions!$B$29*Assumptions!$B$30+U123*U125*(1-Assumptions!$B$176)*Assumptions!$B$27*Assumptions!$B$28)*U7/12,0)</f>
        <v>10.4703454326285</v>
      </c>
      <c r="V138" s="55" t="n">
        <f aca="false">IF(V2&gt;=Assumptions!$B$53,(V137*Assumptions!$B$29*Assumptions!$B$30+V123*V125*(1-Assumptions!$B$176)*Assumptions!$B$27*Assumptions!$B$28)*V7/12,0)</f>
        <v>12.1430379174659</v>
      </c>
      <c r="W138" s="55" t="n">
        <f aca="false">IF(W2&gt;=Assumptions!$B$53,(W137*Assumptions!$B$29*Assumptions!$B$30+W123*W125*(1-Assumptions!$B$176)*Assumptions!$B$27*Assumptions!$B$28)*W7/12,0)</f>
        <v>16.314922355797</v>
      </c>
      <c r="X138" s="55" t="n">
        <f aca="false">IF(X2&gt;=Assumptions!$B$53,(X137*Assumptions!$B$29*Assumptions!$B$30+X123*X125*(1-Assumptions!$B$176)*Assumptions!$B$27*Assumptions!$B$28)*X7/12,0)</f>
        <v>20.1178343230246</v>
      </c>
      <c r="Y138" s="55" t="n">
        <f aca="false">IF(Y2&gt;=Assumptions!$B$53,(Y137*Assumptions!$B$29*Assumptions!$B$30+Y123*Y125*(1-Assumptions!$B$176)*Assumptions!$B$27*Assumptions!$B$28)*Y7/12,0)</f>
        <v>24.3687640223404</v>
      </c>
      <c r="Z138" s="55" t="n">
        <f aca="false">IF(Z2&gt;=Assumptions!$B$53,(Z137*Assumptions!$B$29*Assumptions!$B$30+Z123*Z125*(1-Assumptions!$B$176)*Assumptions!$B$27*Assumptions!$B$28)*Z7/12,0)</f>
        <v>30.3351742581273</v>
      </c>
      <c r="AA138" s="55" t="n">
        <f aca="false">IF(AA2&gt;=Assumptions!$B$53,(AA137*Assumptions!$B$29*Assumptions!$B$30+AA123*AA125*(1-Assumptions!$B$176)*Assumptions!$B$27*Assumptions!$B$28)*AA7/12,0)</f>
        <v>3143.88290847934</v>
      </c>
      <c r="AB138" s="55" t="n">
        <f aca="false">IF(AB2&gt;=Assumptions!$B$53,(AB137*Assumptions!$B$29*Assumptions!$B$30+AB123*AB125*(1-Assumptions!$B$176)*Assumptions!$B$27*Assumptions!$B$28)*AB7/12,0)</f>
        <v>7416.042240892</v>
      </c>
      <c r="AC138" s="55" t="n">
        <f aca="false">IF(AC2&gt;=Assumptions!$B$53,(AC137*Assumptions!$B$29*Assumptions!$B$30+AC123*AC125*(1-Assumptions!$B$176)*Assumptions!$B$27*Assumptions!$B$28)*AC7/12,0)</f>
        <v>14199.3257488627</v>
      </c>
      <c r="AD138" s="55" t="n">
        <f aca="false">IF(AD2&gt;=Assumptions!$B$53,(AD137*Assumptions!$B$29*Assumptions!$B$30+AD123*AD125*(1-Assumptions!$B$176)*Assumptions!$B$27*Assumptions!$B$28)*AD7/12,0)</f>
        <v>24175.5224860112</v>
      </c>
      <c r="AE138" s="55" t="n">
        <f aca="false">IF(AE2&gt;=Assumptions!$B$53,(AE137*Assumptions!$B$29*Assumptions!$B$30+AE123*AE125*(1-Assumptions!$B$176)*Assumptions!$B$27*Assumptions!$B$28)*AE7/12,0)</f>
        <v>38398.5855221172</v>
      </c>
    </row>
    <row r="139" customFormat="false" ht="15" hidden="false" customHeight="false" outlineLevel="0" collapsed="false">
      <c r="A139" s="6" t="s">
        <v>490</v>
      </c>
      <c r="B139" s="23" t="s">
        <v>491</v>
      </c>
      <c r="C139" s="45" t="n">
        <f aca="false">IF(C2&gt;=Assumptions!$B$49,(C109+C111*Assumptions!$B$138)*Assumptions!$B$137*C7/12,0)</f>
        <v>0.906531942965492</v>
      </c>
      <c r="D139" s="45" t="n">
        <f aca="false">IF(D2&gt;=Assumptions!$B$49,(D109+D111*Assumptions!$B$138)*Assumptions!$B$137*D7/12,0)</f>
        <v>1.7923630446844</v>
      </c>
      <c r="E139" s="45" t="n">
        <f aca="false">IF(E2&gt;=Assumptions!$B$49,(E109+E111*Assumptions!$B$138)*Assumptions!$B$137*E7/12,0)</f>
        <v>2.66410433159632</v>
      </c>
      <c r="F139" s="45" t="n">
        <f aca="false">IF(F2&gt;=Assumptions!$B$49,(F109+F111*Assumptions!$B$138)*Assumptions!$B$137*F7/12,0)</f>
        <v>3.76110142263543</v>
      </c>
      <c r="G139" s="45" t="n">
        <f aca="false">IF(G2&gt;=Assumptions!$B$49,(G109+G111*Assumptions!$B$138)*Assumptions!$B$137*G7/12,0)</f>
        <v>4.78371552918895</v>
      </c>
      <c r="H139" s="45" t="n">
        <f aca="false">IF(H2&gt;=Assumptions!$B$49,(H109+H111*Assumptions!$B$138)*Assumptions!$B$137*H7/12,0)</f>
        <v>5.68380639273356</v>
      </c>
      <c r="I139" s="45" t="n">
        <f aca="false">IF(I2&gt;=Assumptions!$B$49,(I109+I111*Assumptions!$B$138)*Assumptions!$B$137*I7/12,0)</f>
        <v>6.5725669504435</v>
      </c>
      <c r="J139" s="45" t="n">
        <f aca="false">IF(J2&gt;=Assumptions!$B$49,(J109+J111*Assumptions!$B$138)*Assumptions!$B$137*J7/12,0)</f>
        <v>7.47519398672731</v>
      </c>
      <c r="K139" s="45" t="n">
        <f aca="false">IF(K2&gt;=Assumptions!$B$49,(K109+K111*Assumptions!$B$138)*Assumptions!$B$137*K7/12,0)</f>
        <v>8.46197475984981</v>
      </c>
      <c r="L139" s="45" t="n">
        <f aca="false">IF(L2&gt;=Assumptions!$B$49,(L109+L111*Assumptions!$B$138)*Assumptions!$B$137*L7/12,0)</f>
        <v>9.74673026610935</v>
      </c>
      <c r="M139" s="45" t="n">
        <f aca="false">IF(M2&gt;=Assumptions!$B$49,(M109+M111*Assumptions!$B$138)*Assumptions!$B$137*M7/12,0)</f>
        <v>10.9635058664048</v>
      </c>
      <c r="N139" s="45" t="n">
        <f aca="false">IF(N2&gt;=Assumptions!$B$49,(N109+N111*Assumptions!$B$138)*Assumptions!$B$137*N7/12,0)</f>
        <v>12.0737728794799</v>
      </c>
      <c r="O139" s="45" t="n">
        <f aca="false">IF(O2&gt;=Assumptions!$B$49,(O109+O111*Assumptions!$B$138)*Assumptions!$B$137*O7/12,0)</f>
        <v>15.2767111141524</v>
      </c>
      <c r="P139" s="45" t="n">
        <f aca="false">IF(P2&gt;=Assumptions!$B$49,(P109+P111*Assumptions!$B$138)*Assumptions!$B$137*P7/12,0)</f>
        <v>18.4640548652117</v>
      </c>
      <c r="Q139" s="45" t="n">
        <f aca="false">IF(Q2&gt;=Assumptions!$B$49,(Q109+Q111*Assumptions!$B$138)*Assumptions!$B$137*Q7/12,0)</f>
        <v>21.6482834793311</v>
      </c>
      <c r="R139" s="45" t="n">
        <f aca="false">IF(R2&gt;=Assumptions!$B$49,(R109+R111*Assumptions!$B$138)*Assumptions!$B$137*R7/12,0)</f>
        <v>25.6541089684494</v>
      </c>
      <c r="S139" s="45" t="n">
        <f aca="false">IF(S2&gt;=Assumptions!$B$49,(S109+S111*Assumptions!$B$138)*Assumptions!$B$137*S7/12,0)</f>
        <v>29.4641468502406</v>
      </c>
      <c r="T139" s="45" t="n">
        <f aca="false">IF(T2&gt;=Assumptions!$B$49,(T109+T111*Assumptions!$B$138)*Assumptions!$B$137*T7/12,0)</f>
        <v>32.880748019047</v>
      </c>
      <c r="U139" s="45" t="n">
        <f aca="false">IF(U2&gt;=Assumptions!$B$49,(U109+U111*Assumptions!$B$138)*Assumptions!$B$137*U7/12,0)</f>
        <v>36.2842843797133</v>
      </c>
      <c r="V139" s="45" t="n">
        <f aca="false">IF(V2&gt;=Assumptions!$B$49,(V109+V111*Assumptions!$B$138)*Assumptions!$B$137*V7/12,0)</f>
        <v>39.7633403711872</v>
      </c>
      <c r="W139" s="45" t="n">
        <f aca="false">IF(W2&gt;=Assumptions!$B$49,(W109+W111*Assumptions!$B$138)*Assumptions!$B$137*W7/12,0)</f>
        <v>43.580865468273</v>
      </c>
      <c r="X139" s="45" t="n">
        <f aca="false">IF(X2&gt;=Assumptions!$B$49,(X109+X111*Assumptions!$B$138)*Assumptions!$B$137*X7/12,0)</f>
        <v>48.5591003473305</v>
      </c>
      <c r="Y139" s="45" t="n">
        <f aca="false">IF(Y2&gt;=Assumptions!$B$49,(Y109+Y111*Assumptions!$B$138)*Assumptions!$B$137*Y7/12,0)</f>
        <v>53.3469044000564</v>
      </c>
      <c r="Z139" s="45" t="n">
        <f aca="false">IF(Z2&gt;=Assumptions!$B$49,(Z109+Z111*Assumptions!$B$138)*Assumptions!$B$137*Z7/12,0)</f>
        <v>57.7711103861073</v>
      </c>
      <c r="AA139" s="45" t="n">
        <f aca="false">IF(AA2&gt;=Assumptions!$B$49,(AA109+AA111*Assumptions!$B$138)*Assumptions!$B$137*AA7/12,0)</f>
        <v>1604.36451699857</v>
      </c>
      <c r="AB139" s="45" t="n">
        <f aca="false">IF(AB2&gt;=Assumptions!$B$49,(AB109+AB111*Assumptions!$B$138)*Assumptions!$B$137*AB7/12,0)</f>
        <v>2980.52525559985</v>
      </c>
      <c r="AC139" s="45" t="n">
        <f aca="false">IF(AC2&gt;=Assumptions!$B$49,(AC109+AC111*Assumptions!$B$138)*Assumptions!$B$137*AC7/12,0)</f>
        <v>4787.47172437134</v>
      </c>
      <c r="AD139" s="45" t="n">
        <f aca="false">IF(AD2&gt;=Assumptions!$B$49,(AD109+AD111*Assumptions!$B$138)*Assumptions!$B$137*AD7/12,0)</f>
        <v>6760.33208460467</v>
      </c>
      <c r="AE139" s="45" t="n">
        <f aca="false">IF(AE2&gt;=Assumptions!$B$49,(AE109+AE111*Assumptions!$B$138)*Assumptions!$B$137*AE7/12,0)</f>
        <v>8534.01306814628</v>
      </c>
    </row>
    <row r="140" customFormat="false" ht="15" hidden="false" customHeight="false" outlineLevel="0" collapsed="false">
      <c r="A140" s="3" t="s">
        <v>496</v>
      </c>
      <c r="B140" s="23" t="s">
        <v>114</v>
      </c>
      <c r="C140" s="57" t="n">
        <f aca="false">C131+C132+C133+C135+C136+C138</f>
        <v>278.692135958117</v>
      </c>
      <c r="D140" s="57" t="n">
        <f aca="false">D131+D132+D133+D135+D136+D138</f>
        <v>529.664815352071</v>
      </c>
      <c r="E140" s="57" t="n">
        <f aca="false">E131+E132+E133+E135+E136+E138</f>
        <v>757.07451531262</v>
      </c>
      <c r="F140" s="57" t="n">
        <f aca="false">F131+F132+F133+F135+F136+F138</f>
        <v>1036.30804366897</v>
      </c>
      <c r="G140" s="57" t="n">
        <f aca="false">G131+G132+G133+G135+G136+G138</f>
        <v>1271.27730507502</v>
      </c>
      <c r="H140" s="57" t="n">
        <f aca="false">H131+H132+H133+H135+H136+H138</f>
        <v>1450.57455553035</v>
      </c>
      <c r="I140" s="57" t="n">
        <f aca="false">I131+I132+I133+I135+I136+I138</f>
        <v>1647.13750134861</v>
      </c>
      <c r="J140" s="57" t="n">
        <f aca="false">J131+J132+J133+J135+J136+J138</f>
        <v>1833.04915034758</v>
      </c>
      <c r="K140" s="57" t="n">
        <f aca="false">K131+K132+K133+K135+K136+K138</f>
        <v>2033.95834244864</v>
      </c>
      <c r="L140" s="57" t="n">
        <f aca="false">L131+L132+L133+L135+L136+L138</f>
        <v>2324.14442373489</v>
      </c>
      <c r="M140" s="57" t="n">
        <f aca="false">M131+M132+M133+M135+M136+M138</f>
        <v>2567.30951996448</v>
      </c>
      <c r="N140" s="57" t="n">
        <f aca="false">N131+N132+N133+N135+N136+N138</f>
        <v>2753.58134388563</v>
      </c>
      <c r="O140" s="57" t="n">
        <f aca="false">O131+O132+O133+O135+O136+O138</f>
        <v>3974.62358363584</v>
      </c>
      <c r="P140" s="57" t="n">
        <f aca="false">P131+P132+P133+P135+P136+P138</f>
        <v>4859.24755564773</v>
      </c>
      <c r="Q140" s="57" t="n">
        <f aca="false">Q131+Q132+Q133+Q135+Q136+Q138</f>
        <v>5675.78547270616</v>
      </c>
      <c r="R140" s="57" t="n">
        <f aca="false">R131+R132+R133+R135+R136+R138</f>
        <v>6721.74327047633</v>
      </c>
      <c r="S140" s="57" t="n">
        <f aca="false">S131+S132+S133+S135+S136+S138</f>
        <v>7625.36185249567</v>
      </c>
      <c r="T140" s="57" t="n">
        <f aca="false">T131+T132+T133+T135+T136+T138</f>
        <v>8346.79636401255</v>
      </c>
      <c r="U140" s="57" t="n">
        <f aca="false">U131+U132+U133+U135+U136+U138</f>
        <v>9002.94456614915</v>
      </c>
      <c r="V140" s="57" t="n">
        <f aca="false">V131+V132+V133+V135+V136+V138</f>
        <v>9630.75024705865</v>
      </c>
      <c r="W140" s="57" t="n">
        <f aca="false">W131+W132+W133+W135+W136+W138</f>
        <v>10472.566739527</v>
      </c>
      <c r="X140" s="57" t="n">
        <f aca="false">X131+X132+X133+X135+X136+X138</f>
        <v>11675.0453097957</v>
      </c>
      <c r="Y140" s="57" t="n">
        <f aca="false">Y131+Y132+Y133+Y135+Y136+Y138</f>
        <v>12724.1280311206</v>
      </c>
      <c r="Z140" s="57" t="n">
        <f aca="false">Z131+Z132+Z133+Z135+Z136+Z138</f>
        <v>13629.7591297126</v>
      </c>
      <c r="AA140" s="57" t="n">
        <f aca="false">AA131+AA132+AA133+AA135+AA136+AA138</f>
        <v>358246.155531492</v>
      </c>
      <c r="AB140" s="57" t="n">
        <f aca="false">AB131+AB132+AB133+AB135+AB136+AB138</f>
        <v>590009.599067865</v>
      </c>
      <c r="AC140" s="57" t="n">
        <f aca="false">AC131+AC132+AC133+AC135+AC136+AC138</f>
        <v>851155.627019798</v>
      </c>
      <c r="AD140" s="57" t="n">
        <f aca="false">AD131+AD132+AD133+AD135+AD136+AD138</f>
        <v>1064629.62387039</v>
      </c>
      <c r="AE140" s="57" t="n">
        <f aca="false">AE131+AE132+AE133+AE135+AE136+AE138</f>
        <v>1168996.75517859</v>
      </c>
    </row>
    <row r="142" customFormat="false" ht="15" hidden="false" customHeight="false" outlineLevel="0" collapsed="false">
      <c r="A142" s="46" t="s">
        <v>497</v>
      </c>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c r="AD142" s="47"/>
      <c r="AE142" s="47"/>
    </row>
    <row r="143" customFormat="false" ht="15" hidden="false" customHeight="false" outlineLevel="0" collapsed="false">
      <c r="A143" s="6" t="s">
        <v>498</v>
      </c>
      <c r="B143" s="23" t="s">
        <v>114</v>
      </c>
      <c r="C143" s="58" t="n">
        <f aca="false">IF(C2&gt;=Assumptions!$B$54,INDEX(Assumptions!$B$162:$B$168,C5)*Assumptions!$B$172,0)</f>
        <v>0</v>
      </c>
      <c r="D143" s="58" t="n">
        <f aca="false">IF(D2&gt;=Assumptions!$B$54,INDEX(Assumptions!$B$162:$B$168,D5)*Assumptions!$B$172,0)</f>
        <v>0</v>
      </c>
      <c r="E143" s="58" t="n">
        <f aca="false">IF(E2&gt;=Assumptions!$B$54,INDEX(Assumptions!$B$162:$B$168,E5)*Assumptions!$B$172,0)</f>
        <v>0</v>
      </c>
      <c r="F143" s="58" t="n">
        <f aca="false">IF(F2&gt;=Assumptions!$B$54,INDEX(Assumptions!$B$162:$B$168,F5)*Assumptions!$B$172,0)</f>
        <v>0</v>
      </c>
      <c r="G143" s="58" t="n">
        <f aca="false">IF(G2&gt;=Assumptions!$B$54,INDEX(Assumptions!$B$162:$B$168,G5)*Assumptions!$B$172,0)</f>
        <v>0</v>
      </c>
      <c r="H143" s="58" t="n">
        <f aca="false">IF(H2&gt;=Assumptions!$B$54,INDEX(Assumptions!$B$162:$B$168,H5)*Assumptions!$B$172,0)</f>
        <v>0</v>
      </c>
      <c r="I143" s="58" t="n">
        <f aca="false">IF(I2&gt;=Assumptions!$B$54,INDEX(Assumptions!$B$162:$B$168,I5)*Assumptions!$B$172,0)</f>
        <v>0</v>
      </c>
      <c r="J143" s="58" t="n">
        <f aca="false">IF(J2&gt;=Assumptions!$B$54,INDEX(Assumptions!$B$162:$B$168,J5)*Assumptions!$B$172,0)</f>
        <v>0</v>
      </c>
      <c r="K143" s="58" t="n">
        <f aca="false">IF(K2&gt;=Assumptions!$B$54,INDEX(Assumptions!$B$162:$B$168,K5)*Assumptions!$B$172,0)</f>
        <v>0</v>
      </c>
      <c r="L143" s="58" t="n">
        <f aca="false">IF(L2&gt;=Assumptions!$B$54,INDEX(Assumptions!$B$162:$B$168,L5)*Assumptions!$B$172,0)</f>
        <v>0</v>
      </c>
      <c r="M143" s="58" t="n">
        <f aca="false">IF(M2&gt;=Assumptions!$B$54,INDEX(Assumptions!$B$162:$B$168,M5)*Assumptions!$B$172,0)</f>
        <v>0</v>
      </c>
      <c r="N143" s="58" t="n">
        <f aca="false">IF(N2&gt;=Assumptions!$B$54,INDEX(Assumptions!$B$162:$B$168,N5)*Assumptions!$B$172,0)</f>
        <v>0</v>
      </c>
      <c r="O143" s="58" t="n">
        <f aca="false">IF(O2&gt;=Assumptions!$B$54,INDEX(Assumptions!$B$162:$B$168,O5)*Assumptions!$B$172,0)</f>
        <v>18900000</v>
      </c>
      <c r="P143" s="58" t="n">
        <f aca="false">IF(P2&gt;=Assumptions!$B$54,INDEX(Assumptions!$B$162:$B$168,P5)*Assumptions!$B$172,0)</f>
        <v>18900000</v>
      </c>
      <c r="Q143" s="58" t="n">
        <f aca="false">IF(Q2&gt;=Assumptions!$B$54,INDEX(Assumptions!$B$162:$B$168,Q5)*Assumptions!$B$172,0)</f>
        <v>18900000</v>
      </c>
      <c r="R143" s="58" t="n">
        <f aca="false">IF(R2&gt;=Assumptions!$B$54,INDEX(Assumptions!$B$162:$B$168,R5)*Assumptions!$B$172,0)</f>
        <v>18900000</v>
      </c>
      <c r="S143" s="58" t="n">
        <f aca="false">IF(S2&gt;=Assumptions!$B$54,INDEX(Assumptions!$B$162:$B$168,S5)*Assumptions!$B$172,0)</f>
        <v>18900000</v>
      </c>
      <c r="T143" s="58" t="n">
        <f aca="false">IF(T2&gt;=Assumptions!$B$54,INDEX(Assumptions!$B$162:$B$168,T5)*Assumptions!$B$172,0)</f>
        <v>18900000</v>
      </c>
      <c r="U143" s="58" t="n">
        <f aca="false">IF(U2&gt;=Assumptions!$B$54,INDEX(Assumptions!$B$162:$B$168,U5)*Assumptions!$B$172,0)</f>
        <v>18900000</v>
      </c>
      <c r="V143" s="58" t="n">
        <f aca="false">IF(V2&gt;=Assumptions!$B$54,INDEX(Assumptions!$B$162:$B$168,V5)*Assumptions!$B$172,0)</f>
        <v>18900000</v>
      </c>
      <c r="W143" s="58" t="n">
        <f aca="false">IF(W2&gt;=Assumptions!$B$54,INDEX(Assumptions!$B$162:$B$168,W5)*Assumptions!$B$172,0)</f>
        <v>18900000</v>
      </c>
      <c r="X143" s="58" t="n">
        <f aca="false">IF(X2&gt;=Assumptions!$B$54,INDEX(Assumptions!$B$162:$B$168,X5)*Assumptions!$B$172,0)</f>
        <v>18900000</v>
      </c>
      <c r="Y143" s="58" t="n">
        <f aca="false">IF(Y2&gt;=Assumptions!$B$54,INDEX(Assumptions!$B$162:$B$168,Y5)*Assumptions!$B$172,0)</f>
        <v>18900000</v>
      </c>
      <c r="Z143" s="58" t="n">
        <f aca="false">IF(Z2&gt;=Assumptions!$B$54,INDEX(Assumptions!$B$162:$B$168,Z5)*Assumptions!$B$172,0)</f>
        <v>18900000</v>
      </c>
      <c r="AA143" s="58" t="n">
        <f aca="false">IF(AA2&gt;=Assumptions!$B$54,INDEX(Assumptions!$B$162:$B$168,AA5)*Assumptions!$B$172,0)</f>
        <v>56700000</v>
      </c>
      <c r="AB143" s="58" t="n">
        <f aca="false">IF(AB2&gt;=Assumptions!$B$54,INDEX(Assumptions!$B$162:$B$168,AB5)*Assumptions!$B$172,0)</f>
        <v>94500000</v>
      </c>
      <c r="AC143" s="58" t="n">
        <f aca="false">IF(AC2&gt;=Assumptions!$B$54,INDEX(Assumptions!$B$162:$B$168,AC5)*Assumptions!$B$172,0)</f>
        <v>132300000</v>
      </c>
      <c r="AD143" s="58" t="n">
        <f aca="false">IF(AD2&gt;=Assumptions!$B$54,INDEX(Assumptions!$B$162:$B$168,AD5)*Assumptions!$B$172,0)</f>
        <v>170100000</v>
      </c>
      <c r="AE143" s="58" t="n">
        <f aca="false">IF(AE2&gt;=Assumptions!$B$54,INDEX(Assumptions!$B$162:$B$168,AE5)*Assumptions!$B$172,0)</f>
        <v>207900000</v>
      </c>
    </row>
    <row r="144" customFormat="false" ht="15" hidden="false" customHeight="false" outlineLevel="0" collapsed="false">
      <c r="A144" s="6" t="s">
        <v>132</v>
      </c>
      <c r="B144" s="23" t="s">
        <v>114</v>
      </c>
      <c r="C144" s="57" t="n">
        <f aca="false">C143*Assumptions!$B$26*C7/12</f>
        <v>0</v>
      </c>
      <c r="D144" s="57" t="n">
        <f aca="false">D143*Assumptions!$B$26*D7/12</f>
        <v>0</v>
      </c>
      <c r="E144" s="57" t="n">
        <f aca="false">E143*Assumptions!$B$26*E7/12</f>
        <v>0</v>
      </c>
      <c r="F144" s="57" t="n">
        <f aca="false">F143*Assumptions!$B$26*F7/12</f>
        <v>0</v>
      </c>
      <c r="G144" s="57" t="n">
        <f aca="false">G143*Assumptions!$B$26*G7/12</f>
        <v>0</v>
      </c>
      <c r="H144" s="57" t="n">
        <f aca="false">H143*Assumptions!$B$26*H7/12</f>
        <v>0</v>
      </c>
      <c r="I144" s="57" t="n">
        <f aca="false">I143*Assumptions!$B$26*I7/12</f>
        <v>0</v>
      </c>
      <c r="J144" s="57" t="n">
        <f aca="false">J143*Assumptions!$B$26*J7/12</f>
        <v>0</v>
      </c>
      <c r="K144" s="57" t="n">
        <f aca="false">K143*Assumptions!$B$26*K7/12</f>
        <v>0</v>
      </c>
      <c r="L144" s="57" t="n">
        <f aca="false">L143*Assumptions!$B$26*L7/12</f>
        <v>0</v>
      </c>
      <c r="M144" s="57" t="n">
        <f aca="false">M143*Assumptions!$B$26*M7/12</f>
        <v>0</v>
      </c>
      <c r="N144" s="57" t="n">
        <f aca="false">N143*Assumptions!$B$26*N7/12</f>
        <v>0</v>
      </c>
      <c r="O144" s="57" t="n">
        <f aca="false">O143*Assumptions!$B$26*O7/12</f>
        <v>9843.75</v>
      </c>
      <c r="P144" s="57" t="n">
        <f aca="false">P143*Assumptions!$B$26*P7/12</f>
        <v>9843.75</v>
      </c>
      <c r="Q144" s="57" t="n">
        <f aca="false">Q143*Assumptions!$B$26*Q7/12</f>
        <v>9843.75</v>
      </c>
      <c r="R144" s="57" t="n">
        <f aca="false">R143*Assumptions!$B$26*R7/12</f>
        <v>9843.75</v>
      </c>
      <c r="S144" s="57" t="n">
        <f aca="false">S143*Assumptions!$B$26*S7/12</f>
        <v>9843.75</v>
      </c>
      <c r="T144" s="57" t="n">
        <f aca="false">T143*Assumptions!$B$26*T7/12</f>
        <v>9843.75</v>
      </c>
      <c r="U144" s="57" t="n">
        <f aca="false">U143*Assumptions!$B$26*U7/12</f>
        <v>9843.75</v>
      </c>
      <c r="V144" s="57" t="n">
        <f aca="false">V143*Assumptions!$B$26*V7/12</f>
        <v>9843.75</v>
      </c>
      <c r="W144" s="57" t="n">
        <f aca="false">W143*Assumptions!$B$26*W7/12</f>
        <v>9843.75</v>
      </c>
      <c r="X144" s="57" t="n">
        <f aca="false">X143*Assumptions!$B$26*X7/12</f>
        <v>9843.75</v>
      </c>
      <c r="Y144" s="57" t="n">
        <f aca="false">Y143*Assumptions!$B$26*Y7/12</f>
        <v>9843.75</v>
      </c>
      <c r="Z144" s="57" t="n">
        <f aca="false">Z143*Assumptions!$B$26*Z7/12</f>
        <v>9843.75</v>
      </c>
      <c r="AA144" s="57" t="n">
        <f aca="false">AA143*Assumptions!$B$26*AA7/12</f>
        <v>354375</v>
      </c>
      <c r="AB144" s="57" t="n">
        <f aca="false">AB143*Assumptions!$B$26*AB7/12</f>
        <v>590625</v>
      </c>
      <c r="AC144" s="57" t="n">
        <f aca="false">AC143*Assumptions!$B$26*AC7/12</f>
        <v>826875</v>
      </c>
      <c r="AD144" s="57" t="n">
        <f aca="false">AD143*Assumptions!$B$26*AD7/12</f>
        <v>1063125</v>
      </c>
      <c r="AE144" s="57" t="n">
        <f aca="false">AE143*Assumptions!$B$26*AE7/12</f>
        <v>1299375</v>
      </c>
    </row>
    <row r="145" customFormat="false" ht="15" hidden="false" customHeight="false" outlineLevel="0" collapsed="false">
      <c r="A145" s="9" t="s">
        <v>499</v>
      </c>
    </row>
    <row r="147" customFormat="false" ht="15" hidden="false" customHeight="false" outlineLevel="0" collapsed="false">
      <c r="A147" s="46" t="s">
        <v>500</v>
      </c>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row>
    <row r="148" customFormat="false" ht="15" hidden="false" customHeight="false" outlineLevel="0" collapsed="false">
      <c r="A148" s="3" t="s">
        <v>501</v>
      </c>
      <c r="B148" s="23" t="s">
        <v>207</v>
      </c>
      <c r="C148" s="45" t="n">
        <f aca="false">C31+C70+C109</f>
        <v>251.480277935574</v>
      </c>
      <c r="D148" s="45" t="n">
        <f aca="false">D31+D70+D109</f>
        <v>478.011831484714</v>
      </c>
      <c r="E148" s="45" t="n">
        <f aca="false">E31+E70+E109</f>
        <v>683.333667764708</v>
      </c>
      <c r="F148" s="45" t="n">
        <f aca="false">F31+F70+F109</f>
        <v>935.513221147477</v>
      </c>
      <c r="G148" s="45" t="n">
        <f aca="false">G31+G70+G109</f>
        <v>1147.79798975556</v>
      </c>
      <c r="H148" s="45" t="n">
        <f aca="false">H31+H70+H109</f>
        <v>1309.85152205358</v>
      </c>
      <c r="I148" s="45" t="n">
        <f aca="false">I31+I70+I109</f>
        <v>1456.39051524538</v>
      </c>
      <c r="J148" s="45" t="n">
        <f aca="false">J31+J70+J109</f>
        <v>1595.60265462936</v>
      </c>
      <c r="K148" s="45" t="n">
        <f aca="false">K31+K70+K109</f>
        <v>1747.58884970459</v>
      </c>
      <c r="L148" s="45" t="n">
        <f aca="false">L31+L70+L109</f>
        <v>1970.83764949742</v>
      </c>
      <c r="M148" s="45" t="n">
        <f aca="false">M31+M70+M109</f>
        <v>2158.17548445685</v>
      </c>
      <c r="N148" s="45" t="n">
        <f aca="false">N31+N70+N109</f>
        <v>2301.61401378486</v>
      </c>
      <c r="O148" s="45" t="n">
        <f aca="false">O31+O70+O109</f>
        <v>3092.52373526986</v>
      </c>
      <c r="P148" s="45" t="n">
        <f aca="false">P31+P70+P109</f>
        <v>3819.70468225755</v>
      </c>
      <c r="Q148" s="45" t="n">
        <f aca="false">Q31+Q70+Q109</f>
        <v>4491.7702361173</v>
      </c>
      <c r="R148" s="45" t="n">
        <f aca="false">R31+R70+R109</f>
        <v>5364.62420050301</v>
      </c>
      <c r="S148" s="45" t="n">
        <f aca="false">S31+S70+S109</f>
        <v>6112.91356429346</v>
      </c>
      <c r="T148" s="45" t="n">
        <f aca="false">T31+T70+T109</f>
        <v>6685.30243357939</v>
      </c>
      <c r="U148" s="45" t="n">
        <f aca="false">U31+U70+U109</f>
        <v>7211.38099503394</v>
      </c>
      <c r="V148" s="45" t="n">
        <f aca="false">V31+V70+V109</f>
        <v>7721.86397112056</v>
      </c>
      <c r="W148" s="45" t="n">
        <f aca="false">W31+W70+W109</f>
        <v>8298.92052767662</v>
      </c>
      <c r="X148" s="45" t="n">
        <f aca="false">X31+X70+X109</f>
        <v>9191.30396012823</v>
      </c>
      <c r="Y148" s="45" t="n">
        <f aca="false">Y31+Y70+Y109</f>
        <v>9959.596605214</v>
      </c>
      <c r="Z148" s="45" t="n">
        <f aca="false">Z31+Z70+Z109</f>
        <v>10559.3050972055</v>
      </c>
      <c r="AA148" s="45" t="n">
        <f aca="false">AA31+AA70+AA109</f>
        <v>20156.8093499209</v>
      </c>
      <c r="AB148" s="45" t="n">
        <f aca="false">AB31+AB70+AB109</f>
        <v>32759.3321039159</v>
      </c>
      <c r="AC148" s="45" t="n">
        <f aca="false">AC31+AC70+AC109</f>
        <v>46976.6503863533</v>
      </c>
      <c r="AD148" s="45" t="n">
        <f aca="false">AD31+AD70+AD109</f>
        <v>58177.4026631928</v>
      </c>
      <c r="AE148" s="45" t="n">
        <f aca="false">AE31+AE70+AE109</f>
        <v>62599.1124981996</v>
      </c>
    </row>
    <row r="149" customFormat="false" ht="15" hidden="false" customHeight="false" outlineLevel="0" collapsed="false">
      <c r="A149" s="3" t="s">
        <v>502</v>
      </c>
      <c r="B149" s="23" t="s">
        <v>207</v>
      </c>
      <c r="C149" s="45" t="n">
        <f aca="false">C33+C72+C111</f>
        <v>6.34301618207331</v>
      </c>
      <c r="D149" s="45" t="n">
        <f aca="false">D33+D72+D111</f>
        <v>24.5867380310394</v>
      </c>
      <c r="E149" s="45" t="n">
        <f aca="false">E33+E72+E111</f>
        <v>53.5824057114196</v>
      </c>
      <c r="F149" s="45" t="n">
        <f aca="false">F33+F72+F111</f>
        <v>93.9900928451403</v>
      </c>
      <c r="G149" s="45" t="n">
        <f aca="false">G33+G72+G111</f>
        <v>145.956346707378</v>
      </c>
      <c r="H149" s="45" t="n">
        <f aca="false">H33+H72+H111</f>
        <v>207.232700135016</v>
      </c>
      <c r="I149" s="45" t="n">
        <f aca="false">I33+I72+I111</f>
        <v>276.192036150173</v>
      </c>
      <c r="J149" s="45" t="n">
        <f aca="false">J33+J72+J111</f>
        <v>352.267860034575</v>
      </c>
      <c r="K149" s="45" t="n">
        <f aca="false">K33+K72+K111</f>
        <v>435.602111587888</v>
      </c>
      <c r="L149" s="45" t="n">
        <f aca="false">L33+L72+L111</f>
        <v>528.306497078326</v>
      </c>
      <c r="M149" s="45" t="n">
        <f aca="false">M33+M72+M111</f>
        <v>631.228460090131</v>
      </c>
      <c r="N149" s="45" t="n">
        <f aca="false">N33+N72+N111</f>
        <v>742.377252635484</v>
      </c>
      <c r="O149" s="45" t="n">
        <f aca="false">O33+O72+O111</f>
        <v>877.003839328856</v>
      </c>
      <c r="P149" s="45" t="n">
        <f aca="false">P33+P72+P111</f>
        <v>1049.43001280676</v>
      </c>
      <c r="Q149" s="45" t="n">
        <f aca="false">Q33+Q72+Q111</f>
        <v>1256.69774598881</v>
      </c>
      <c r="R149" s="45" t="n">
        <f aca="false">R33+R72+R111</f>
        <v>1502.51550931467</v>
      </c>
      <c r="S149" s="45" t="n">
        <f aca="false">S33+S72+S111</f>
        <v>1788.6812784345</v>
      </c>
      <c r="T149" s="45" t="n">
        <f aca="false">T33+T72+T111</f>
        <v>2107.69380349193</v>
      </c>
      <c r="U149" s="45" t="n">
        <f aca="false">U33+U72+U111</f>
        <v>2454.05747627006</v>
      </c>
      <c r="V149" s="45" t="n">
        <f aca="false">V33+V72+V111</f>
        <v>2826.23959898881</v>
      </c>
      <c r="W149" s="45" t="n">
        <f aca="false">W33+W72+W111</f>
        <v>3225.53565284314</v>
      </c>
      <c r="X149" s="45" t="n">
        <f aca="false">X33+X72+X111</f>
        <v>3661.53689425511</v>
      </c>
      <c r="Y149" s="45" t="n">
        <f aca="false">Y33+Y72+Y111</f>
        <v>4138.87114615953</v>
      </c>
      <c r="Z149" s="45" t="n">
        <f aca="false">Z33+Z72+Z111</f>
        <v>4650.23335355799</v>
      </c>
      <c r="AA149" s="45" t="n">
        <f aca="false">AA33+AA72+AA111</f>
        <v>14401.1750350038</v>
      </c>
      <c r="AB149" s="45" t="n">
        <f aca="false">AB33+AB72+AB111</f>
        <v>31022.6367781484</v>
      </c>
      <c r="AC149" s="45" t="n">
        <f aca="false">AC33+AC72+AC111</f>
        <v>55853.6500359049</v>
      </c>
      <c r="AD149" s="45" t="n">
        <f aca="false">AD33+AD72+AD111</f>
        <v>88260.4751546423</v>
      </c>
      <c r="AE149" s="45" t="n">
        <f aca="false">AE33+AE72+AE111</f>
        <v>125101.874831457</v>
      </c>
    </row>
    <row r="150" customFormat="false" ht="15" hidden="false" customHeight="false" outlineLevel="0" collapsed="false">
      <c r="A150" s="6" t="s">
        <v>503</v>
      </c>
      <c r="B150" s="23" t="s">
        <v>207</v>
      </c>
      <c r="C150" s="45" t="n">
        <f aca="false">C34+C73+C112</f>
        <v>257.823294117647</v>
      </c>
      <c r="D150" s="45" t="n">
        <f aca="false">D34+D73+D112</f>
        <v>502.598569515753</v>
      </c>
      <c r="E150" s="45" t="n">
        <f aca="false">E34+E73+E112</f>
        <v>736.916073476127</v>
      </c>
      <c r="F150" s="45" t="n">
        <f aca="false">F34+F73+F112</f>
        <v>1029.50331399262</v>
      </c>
      <c r="G150" s="45" t="n">
        <f aca="false">G34+G73+G112</f>
        <v>1293.75433646294</v>
      </c>
      <c r="H150" s="45" t="n">
        <f aca="false">H34+H73+H112</f>
        <v>1517.0842221886</v>
      </c>
      <c r="I150" s="45" t="n">
        <f aca="false">I34+I73+I112</f>
        <v>1732.58255139556</v>
      </c>
      <c r="J150" s="45" t="n">
        <f aca="false">J34+J73+J112</f>
        <v>1947.87051466393</v>
      </c>
      <c r="K150" s="45" t="n">
        <f aca="false">K34+K73+K112</f>
        <v>2183.19096129248</v>
      </c>
      <c r="L150" s="45" t="n">
        <f aca="false">L34+L73+L112</f>
        <v>2499.14414657575</v>
      </c>
      <c r="M150" s="45" t="n">
        <f aca="false">M34+M73+M112</f>
        <v>2789.40394454698</v>
      </c>
      <c r="N150" s="45" t="n">
        <f aca="false">N34+N73+N112</f>
        <v>3043.99126642035</v>
      </c>
      <c r="O150" s="45" t="n">
        <f aca="false">O34+O73+O112</f>
        <v>3969.52757459872</v>
      </c>
      <c r="P150" s="45" t="n">
        <f aca="false">P34+P73+P112</f>
        <v>4869.13469506431</v>
      </c>
      <c r="Q150" s="45" t="n">
        <f aca="false">Q34+Q73+Q112</f>
        <v>5748.4679821061</v>
      </c>
      <c r="R150" s="45" t="n">
        <f aca="false">R34+R73+R112</f>
        <v>6867.13970981768</v>
      </c>
      <c r="S150" s="45" t="n">
        <f aca="false">S34+S73+S112</f>
        <v>7901.59484272796</v>
      </c>
      <c r="T150" s="45" t="n">
        <f aca="false">T34+T73+T112</f>
        <v>8792.99623707132</v>
      </c>
      <c r="U150" s="45" t="n">
        <f aca="false">U34+U73+U112</f>
        <v>9665.43847130399</v>
      </c>
      <c r="V150" s="45" t="n">
        <f aca="false">V34+V73+V112</f>
        <v>10548.1035701094</v>
      </c>
      <c r="W150" s="45" t="n">
        <f aca="false">W34+W73+W112</f>
        <v>11524.4561805198</v>
      </c>
      <c r="X150" s="45" t="n">
        <f aca="false">X34+X73+X112</f>
        <v>12852.8408543833</v>
      </c>
      <c r="Y150" s="45" t="n">
        <f aca="false">Y34+Y73+Y112</f>
        <v>14098.4677513735</v>
      </c>
      <c r="Z150" s="45" t="n">
        <f aca="false">Z34+Z73+Z112</f>
        <v>15209.5384507635</v>
      </c>
      <c r="AA150" s="45" t="n">
        <f aca="false">AA34+AA73+AA112</f>
        <v>34557.9843849247</v>
      </c>
      <c r="AB150" s="45" t="n">
        <f aca="false">AB34+AB73+AB112</f>
        <v>63781.9688820643</v>
      </c>
      <c r="AC150" s="45" t="n">
        <f aca="false">AC34+AC73+AC112</f>
        <v>102830.300422258</v>
      </c>
      <c r="AD150" s="45" t="n">
        <f aca="false">AD34+AD73+AD112</f>
        <v>146437.877817835</v>
      </c>
      <c r="AE150" s="45" t="n">
        <f aca="false">AE34+AE73+AE112</f>
        <v>187700.987329657</v>
      </c>
    </row>
    <row r="151" customFormat="false" ht="15" hidden="false" customHeight="false" outlineLevel="0" collapsed="false">
      <c r="A151" s="3" t="s">
        <v>504</v>
      </c>
      <c r="B151" s="23" t="s">
        <v>207</v>
      </c>
      <c r="C151" s="45" t="n">
        <f aca="false">C30+C69+C108</f>
        <v>257.823294117647</v>
      </c>
      <c r="D151" s="45" t="n">
        <f aca="false">D30+D69+D108</f>
        <v>244.775275398106</v>
      </c>
      <c r="E151" s="45" t="n">
        <f aca="false">E30+E69+E108</f>
        <v>234.317503960374</v>
      </c>
      <c r="F151" s="45" t="n">
        <f aca="false">F30+F69+F108</f>
        <v>292.58724051649</v>
      </c>
      <c r="G151" s="45" t="n">
        <f aca="false">G30+G69+G108</f>
        <v>264.251022470318</v>
      </c>
      <c r="H151" s="45" t="n">
        <f aca="false">H30+H69+H108</f>
        <v>223.329885725665</v>
      </c>
      <c r="I151" s="45" t="n">
        <f aca="false">I30+I69+I108</f>
        <v>215.498329206956</v>
      </c>
      <c r="J151" s="45" t="n">
        <f aca="false">J30+J69+J108</f>
        <v>215.287963268377</v>
      </c>
      <c r="K151" s="45" t="n">
        <f aca="false">K30+K69+K108</f>
        <v>235.320446628543</v>
      </c>
      <c r="L151" s="45" t="n">
        <f aca="false">L30+L69+L108</f>
        <v>315.95318528327</v>
      </c>
      <c r="M151" s="45" t="n">
        <f aca="false">M30+M69+M108</f>
        <v>290.259797971232</v>
      </c>
      <c r="N151" s="45" t="n">
        <f aca="false">N30+N69+N108</f>
        <v>254.587321873369</v>
      </c>
      <c r="O151" s="45" t="n">
        <f aca="false">O30+O69+O108</f>
        <v>925.536308178372</v>
      </c>
      <c r="P151" s="45" t="n">
        <f aca="false">P30+P69+P108</f>
        <v>899.607120465592</v>
      </c>
      <c r="Q151" s="45" t="n">
        <f aca="false">Q30+Q69+Q108</f>
        <v>879.333287041792</v>
      </c>
      <c r="R151" s="45" t="n">
        <f aca="false">R30+R69+R108</f>
        <v>1118.67172771158</v>
      </c>
      <c r="S151" s="45" t="n">
        <f aca="false">S30+S69+S108</f>
        <v>1034.45513291028</v>
      </c>
      <c r="T151" s="45" t="n">
        <f aca="false">T30+T69+T108</f>
        <v>891.401394343352</v>
      </c>
      <c r="U151" s="45" t="n">
        <f aca="false">U30+U69+U108</f>
        <v>872.44223423268</v>
      </c>
      <c r="V151" s="45" t="n">
        <f aca="false">V30+V69+V108</f>
        <v>882.665098805376</v>
      </c>
      <c r="W151" s="45" t="n">
        <f aca="false">W30+W69+W108</f>
        <v>976.352610410381</v>
      </c>
      <c r="X151" s="45" t="n">
        <f aca="false">X30+X69+X108</f>
        <v>1328.38467386359</v>
      </c>
      <c r="Y151" s="45" t="n">
        <f aca="false">Y30+Y69+Y108</f>
        <v>1245.62689699018</v>
      </c>
      <c r="Z151" s="45" t="n">
        <f aca="false">Z30+Z69+Z108</f>
        <v>1111.07069938992</v>
      </c>
      <c r="AA151" s="45" t="n">
        <f aca="false">AA30+AA69+AA108</f>
        <v>19348.4459341612</v>
      </c>
      <c r="AB151" s="45" t="n">
        <f aca="false">AB30+AB69+AB108</f>
        <v>29223.9844971396</v>
      </c>
      <c r="AC151" s="45" t="n">
        <f aca="false">AC30+AC69+AC108</f>
        <v>39048.3315401938</v>
      </c>
      <c r="AD151" s="45" t="n">
        <f aca="false">AD30+AD69+AD108</f>
        <v>43607.577395577</v>
      </c>
      <c r="AE151" s="45" t="n">
        <f aca="false">AE30+AE69+AE108</f>
        <v>41263.1095118219</v>
      </c>
    </row>
    <row r="152" customFormat="false" ht="15" hidden="false" customHeight="false" outlineLevel="0" collapsed="false">
      <c r="A152" s="3" t="s">
        <v>505</v>
      </c>
      <c r="B152" s="23" t="s">
        <v>207</v>
      </c>
      <c r="C152" s="45" t="n">
        <f aca="false">C45+C84+C123</f>
        <v>0</v>
      </c>
      <c r="D152" s="45" t="n">
        <f aca="false">D45+D84+D123</f>
        <v>0</v>
      </c>
      <c r="E152" s="45" t="n">
        <f aca="false">E45+E84+E123</f>
        <v>0</v>
      </c>
      <c r="F152" s="45" t="n">
        <f aca="false">F45+F84+F123</f>
        <v>0</v>
      </c>
      <c r="G152" s="45" t="n">
        <f aca="false">G45+G84+G123</f>
        <v>0</v>
      </c>
      <c r="H152" s="45" t="n">
        <f aca="false">H45+H84+H123</f>
        <v>0</v>
      </c>
      <c r="I152" s="45" t="n">
        <f aca="false">I45+I84+I123</f>
        <v>0</v>
      </c>
      <c r="J152" s="45" t="n">
        <f aca="false">J45+J84+J123</f>
        <v>0</v>
      </c>
      <c r="K152" s="45" t="n">
        <f aca="false">K45+K84+K123</f>
        <v>0</v>
      </c>
      <c r="L152" s="45" t="n">
        <f aca="false">L45+L84+L123</f>
        <v>0</v>
      </c>
      <c r="M152" s="45" t="n">
        <f aca="false">M45+M84+M123</f>
        <v>0</v>
      </c>
      <c r="N152" s="45" t="n">
        <f aca="false">N45+N84+N123</f>
        <v>0</v>
      </c>
      <c r="O152" s="45" t="n">
        <f aca="false">O45+O84+O123</f>
        <v>128.081679309831</v>
      </c>
      <c r="P152" s="45" t="n">
        <f aca="false">P45+P84+P123</f>
        <v>150.191337996671</v>
      </c>
      <c r="Q152" s="45" t="n">
        <f aca="false">Q45+Q84+Q123</f>
        <v>171.52567258816</v>
      </c>
      <c r="R152" s="45" t="n">
        <f aca="false">R45+R84+R123</f>
        <v>192.839180951729</v>
      </c>
      <c r="S152" s="45" t="n">
        <f aca="false">S45+S84+S123</f>
        <v>216.135905167955</v>
      </c>
      <c r="T152" s="45" t="n">
        <f aca="false">T45+T84+T123</f>
        <v>247.415270510999</v>
      </c>
      <c r="U152" s="45" t="n">
        <f aca="false">U45+U84+U123</f>
        <v>276.150990510151</v>
      </c>
      <c r="V152" s="45" t="n">
        <f aca="false">V45+V84+V123</f>
        <v>301.355135375614</v>
      </c>
      <c r="W152" s="45" t="n">
        <f aca="false">W45+W84+W123</f>
        <v>392.983229885273</v>
      </c>
      <c r="X152" s="45" t="n">
        <f aca="false">X45+X84+X123</f>
        <v>482.044334811367</v>
      </c>
      <c r="Y152" s="45" t="n">
        <f aca="false">Y45+Y84+Y123</f>
        <v>569.098330228504</v>
      </c>
      <c r="Z152" s="45" t="n">
        <f aca="false">Z45+Z84+Z123</f>
        <v>679.846831271951</v>
      </c>
      <c r="AA152" s="45" t="n">
        <f aca="false">AA45+AA84+AA123</f>
        <v>3421.24045410754</v>
      </c>
      <c r="AB152" s="45" t="n">
        <f aca="false">AB45+AB84+AB123</f>
        <v>6314.41491932437</v>
      </c>
      <c r="AC152" s="45" t="n">
        <f aca="false">AC45+AC84+AC123</f>
        <v>10180.1997418036</v>
      </c>
      <c r="AD152" s="45" t="n">
        <f aca="false">AD45+AD84+AD123</f>
        <v>14497.3499039657</v>
      </c>
      <c r="AE152" s="45" t="n">
        <f aca="false">AE45+AE84+AE123</f>
        <v>18582.397745636</v>
      </c>
    </row>
    <row r="153" customFormat="false" ht="15" hidden="false" customHeight="false" outlineLevel="0" collapsed="false">
      <c r="A153" s="6" t="s">
        <v>506</v>
      </c>
      <c r="B153" s="23" t="s">
        <v>207</v>
      </c>
      <c r="C153" s="45" t="n">
        <f aca="false">C40+C79+C118</f>
        <v>55.6929884563148</v>
      </c>
      <c r="D153" s="45" t="n">
        <f aca="false">D40+D79+D118</f>
        <v>160.990127176879</v>
      </c>
      <c r="E153" s="45" t="n">
        <f aca="false">E40+E79+E118</f>
        <v>310.68065374113</v>
      </c>
      <c r="F153" s="45" t="n">
        <f aca="false">F40+F79+F118</f>
        <v>514.67683520512</v>
      </c>
      <c r="G153" s="45" t="n">
        <f aca="false">G40+G79+G118</f>
        <v>763.562420862896</v>
      </c>
      <c r="H153" s="45" t="n">
        <f aca="false">H40+H79+H118</f>
        <v>1045.71476859401</v>
      </c>
      <c r="I153" s="45" t="n">
        <f aca="false">I40+I79+I118</f>
        <v>1357.31746167741</v>
      </c>
      <c r="J153" s="45" t="n">
        <f aca="false">J40+J79+J118</f>
        <v>1696.40500588085</v>
      </c>
      <c r="K153" s="45" t="n">
        <f aca="false">K40+K79+K118</f>
        <v>2065.49038711174</v>
      </c>
      <c r="L153" s="45" t="n">
        <f aca="false">L40+L79+L118</f>
        <v>2480.04488638953</v>
      </c>
      <c r="M153" s="45" t="n">
        <f aca="false">M40+M79+M118</f>
        <v>2931.58182680076</v>
      </c>
      <c r="N153" s="45" t="n">
        <f aca="false">N40+N79+N118</f>
        <v>3409.92095871356</v>
      </c>
      <c r="O153" s="45" t="n">
        <f aca="false">O40+O79+O118</f>
        <v>4004.9731353679</v>
      </c>
      <c r="P153" s="45" t="n">
        <f aca="false">P40+P79+P118</f>
        <v>4740.691556302</v>
      </c>
      <c r="Q153" s="45" t="n">
        <f aca="false">Q40+Q79+Q118</f>
        <v>5604.3452637277</v>
      </c>
      <c r="R153" s="45" t="n">
        <f aca="false">R40+R79+R118</f>
        <v>6635.27650454539</v>
      </c>
      <c r="S153" s="45" t="n">
        <f aca="false">S40+S79+S118</f>
        <v>7806.35934498633</v>
      </c>
      <c r="T153" s="45" t="n">
        <f aca="false">T40+T79+T118</f>
        <v>9080.31703590992</v>
      </c>
      <c r="U153" s="45" t="n">
        <f aca="false">U40+U79+U118</f>
        <v>10446.5651212376</v>
      </c>
      <c r="V153" s="45" t="n">
        <f aca="false">V40+V79+V118</f>
        <v>11900.8613004913</v>
      </c>
      <c r="W153" s="45" t="n">
        <f aca="false">W40+W79+W118</f>
        <v>13455.708196902</v>
      </c>
      <c r="X153" s="45" t="n">
        <f aca="false">X40+X79+X118</f>
        <v>15174.0668538513</v>
      </c>
      <c r="Y153" s="45" t="n">
        <f aca="false">Y40+Y79+Y118</f>
        <v>17028.8446900368</v>
      </c>
      <c r="Z153" s="45" t="n">
        <f aca="false">Z40+Z79+Z118</f>
        <v>18984.1673378964</v>
      </c>
      <c r="AA153" s="45" t="n">
        <f aca="false">AA40+AA79+AA118</f>
        <v>61836.6586803199</v>
      </c>
      <c r="AB153" s="45" t="n">
        <f aca="false">AB40+AB79+AB118</f>
        <v>121688.258428563</v>
      </c>
      <c r="AC153" s="45" t="n">
        <f aca="false">AC40+AC79+AC118</f>
        <v>195560.611506421</v>
      </c>
      <c r="AD153" s="45" t="n">
        <f aca="false">AD40+AD79+AD118</f>
        <v>272222.387900632</v>
      </c>
      <c r="AE153" s="45" t="n">
        <f aca="false">AE40+AE79+AE118</f>
        <v>337339.091234944</v>
      </c>
    </row>
    <row r="154" customFormat="false" ht="15" hidden="false" customHeight="false" outlineLevel="0" collapsed="false">
      <c r="A154" s="3" t="s">
        <v>507</v>
      </c>
      <c r="B154" s="23" t="s">
        <v>207</v>
      </c>
      <c r="C154" s="45" t="n">
        <f aca="false">C41+C80+C119</f>
        <v>55.6929884563148</v>
      </c>
      <c r="D154" s="45" t="n">
        <f aca="false">D41+D80+D119</f>
        <v>161.268592119161</v>
      </c>
      <c r="E154" s="45" t="n">
        <f aca="false">E41+E80+E119</f>
        <v>311.762616252297</v>
      </c>
      <c r="F154" s="45" t="n">
        <f aca="false">F41+F80+F119</f>
        <v>517.30649483905</v>
      </c>
      <c r="G154" s="45" t="n">
        <f aca="false">G41+G80+G119</f>
        <v>768.751426389235</v>
      </c>
      <c r="H154" s="45" t="n">
        <f aca="false">H41+H80+H119</f>
        <v>1054.69351480327</v>
      </c>
      <c r="I154" s="45" t="n">
        <f aca="false">I41+I80+I119</f>
        <v>1371.47559419057</v>
      </c>
      <c r="J154" s="45" t="n">
        <f aca="false">J41+J80+J119</f>
        <v>1717.27125387126</v>
      </c>
      <c r="K154" s="45" t="n">
        <f aca="false">K41+K80+K119</f>
        <v>2094.72183926914</v>
      </c>
      <c r="L154" s="45" t="n">
        <f aca="false">L41+L80+L119</f>
        <v>2519.43909582298</v>
      </c>
      <c r="M154" s="45" t="n">
        <f aca="false">M41+M80+M119</f>
        <v>2983.15254667847</v>
      </c>
      <c r="N154" s="45" t="n">
        <f aca="false">N41+N80+N119</f>
        <v>3475.85400431012</v>
      </c>
      <c r="O154" s="45" t="n">
        <f aca="false">O41+O80+O119</f>
        <v>4087.58170633109</v>
      </c>
      <c r="P154" s="45" t="n">
        <f aca="false">P41+P80+P119</f>
        <v>4842.8572962685</v>
      </c>
      <c r="Q154" s="45" t="n">
        <f aca="false">Q41+Q80+Q119</f>
        <v>5729.63494511724</v>
      </c>
      <c r="R154" s="45" t="n">
        <f aca="false">R41+R80+R119</f>
        <v>6787.87711556648</v>
      </c>
      <c r="S154" s="45" t="n">
        <f aca="false">S41+S80+S119</f>
        <v>7991.26723255354</v>
      </c>
      <c r="T154" s="45" t="n">
        <f aca="false">T41+T80+T119</f>
        <v>9303.19641484048</v>
      </c>
      <c r="U154" s="45" t="n">
        <f aca="false">U41+U80+U119</f>
        <v>10713.558803271</v>
      </c>
      <c r="V154" s="45" t="n">
        <f aca="false">V41+V80+V119</f>
        <v>12218.5347902357</v>
      </c>
      <c r="W154" s="45" t="n">
        <f aca="false">W41+W80+W119</f>
        <v>13831.027126803</v>
      </c>
      <c r="X154" s="45" t="n">
        <f aca="false">X41+X80+X119</f>
        <v>15614.4628534712</v>
      </c>
      <c r="Y154" s="45" t="n">
        <f aca="false">Y41+Y80+Y119</f>
        <v>17542.516753194</v>
      </c>
      <c r="Z154" s="45" t="n">
        <f aca="false">Z41+Z80+Z119</f>
        <v>19579.9393808762</v>
      </c>
      <c r="AA154" s="45" t="n">
        <f aca="false">AA41+AA80+AA119</f>
        <v>63526.7524838895</v>
      </c>
      <c r="AB154" s="45" t="n">
        <f aca="false">AB41+AB80+AB119</f>
        <v>126957.464924801</v>
      </c>
      <c r="AC154" s="45" t="n">
        <f aca="false">AC41+AC80+AC119</f>
        <v>207711.72391368</v>
      </c>
      <c r="AD154" s="45" t="n">
        <f aca="false">AD41+AD80+AD119</f>
        <v>295113.7821755</v>
      </c>
      <c r="AE154" s="45" t="n">
        <f aca="false">AE41+AE80+AE119</f>
        <v>374638.943694224</v>
      </c>
    </row>
    <row r="155" customFormat="false" ht="15" hidden="false" customHeight="false" outlineLevel="0" collapsed="false">
      <c r="A155" s="6" t="s">
        <v>508</v>
      </c>
      <c r="B155" s="23" t="s">
        <v>207</v>
      </c>
      <c r="C155" s="54" t="n">
        <f aca="false">C37+C76+C115</f>
        <v>55.6929884563148</v>
      </c>
      <c r="D155" s="54" t="n">
        <f aca="false">D37+D76+D115</f>
        <v>105.862241927265</v>
      </c>
      <c r="E155" s="54" t="n">
        <f aca="false">E37+E76+E115</f>
        <v>151.335545033654</v>
      </c>
      <c r="F155" s="54" t="n">
        <f aca="false">F37+F76+F115</f>
        <v>207.188078792705</v>
      </c>
      <c r="G155" s="54" t="n">
        <f aca="false">G37+G76+G115</f>
        <v>254.206541898854</v>
      </c>
      <c r="H155" s="54" t="n">
        <f aca="false">H37+H76+H115</f>
        <v>290.100870857604</v>
      </c>
      <c r="I155" s="54" t="n">
        <f aca="false">I37+I76+I115</f>
        <v>322.559921495914</v>
      </c>
      <c r="J155" s="54" t="n">
        <f aca="false">J37+J76+J115</f>
        <v>353.397100026231</v>
      </c>
      <c r="K155" s="54" t="n">
        <f aca="false">K37+K76+K115</f>
        <v>387.064824871027</v>
      </c>
      <c r="L155" s="54" t="n">
        <f aca="false">L37+L76+L115</f>
        <v>436.519252880622</v>
      </c>
      <c r="M155" s="54" t="n">
        <f aca="false">M37+M76+M115</f>
        <v>478.020978654045</v>
      </c>
      <c r="N155" s="54" t="n">
        <f aca="false">N37+N76+N115</f>
        <v>509.7997331417</v>
      </c>
      <c r="O155" s="54" t="n">
        <f aca="false">O37+O76+O115</f>
        <v>631.448393114828</v>
      </c>
      <c r="P155" s="54" t="n">
        <f aca="false">P37+P76+P115</f>
        <v>778.411570207279</v>
      </c>
      <c r="Q155" s="54" t="n">
        <f aca="false">Q37+Q76+Q115</f>
        <v>914.232938673212</v>
      </c>
      <c r="R155" s="54" t="n">
        <f aca="false">R37+R76+R115</f>
        <v>1090.72401041645</v>
      </c>
      <c r="S155" s="54" t="n">
        <f aca="false">S37+S76+S115</f>
        <v>1242.01606560119</v>
      </c>
      <c r="T155" s="54" t="n">
        <f aca="false">T37+T76+T115</f>
        <v>1357.71110495965</v>
      </c>
      <c r="U155" s="54" t="n">
        <f aca="false">U37+U76+U115</f>
        <v>1464.04550655384</v>
      </c>
      <c r="V155" s="54" t="n">
        <f aca="false">V37+V76+V115</f>
        <v>1567.23815790303</v>
      </c>
      <c r="W155" s="54" t="n">
        <f aca="false">W37+W76+W115</f>
        <v>1683.9291663838</v>
      </c>
      <c r="X155" s="54" t="n">
        <f aca="false">X37+X76+X115</f>
        <v>1864.49949714396</v>
      </c>
      <c r="Y155" s="54" t="n">
        <f aca="false">Y37+Y76+Y115</f>
        <v>2019.96793441166</v>
      </c>
      <c r="Z155" s="54" t="n">
        <f aca="false">Z37+Z76+Z115</f>
        <v>2141.31675055762</v>
      </c>
      <c r="AA155" s="54" t="n">
        <f aca="false">AA37+AA76+AA115</f>
        <v>45416.2661976285</v>
      </c>
      <c r="AB155" s="54" t="n">
        <f aca="false">AB37+AB76+AB115</f>
        <v>68355.5743681696</v>
      </c>
      <c r="AC155" s="54" t="n">
        <f aca="false">AC37+AC76+AC115</f>
        <v>90855.3831627003</v>
      </c>
      <c r="AD155" s="54" t="n">
        <f aca="false">AD37+AD76+AD115</f>
        <v>104374.366880159</v>
      </c>
      <c r="AE155" s="54" t="n">
        <f aca="false">AE37+AE76+AE115</f>
        <v>104321.248101379</v>
      </c>
    </row>
    <row r="156" customFormat="false" ht="15" hidden="false" customHeight="false" outlineLevel="0" collapsed="false">
      <c r="A156" s="3" t="s">
        <v>509</v>
      </c>
      <c r="B156" s="23" t="s">
        <v>207</v>
      </c>
      <c r="C156" s="55" t="n">
        <f aca="false">C42+C81+C120</f>
        <v>7878.33014703029</v>
      </c>
      <c r="D156" s="55" t="n">
        <f aca="false">D42+D81+D120</f>
        <v>22773.6633904413</v>
      </c>
      <c r="E156" s="55" t="n">
        <f aca="false">E42+E81+E120</f>
        <v>43948.8852782203</v>
      </c>
      <c r="F156" s="55" t="n">
        <f aca="false">F42+F81+F120</f>
        <v>72806.1851081163</v>
      </c>
      <c r="G156" s="55" t="n">
        <f aca="false">G42+G81+G120</f>
        <v>108013.540055265</v>
      </c>
      <c r="H156" s="55" t="n">
        <f aca="false">H42+H81+H120</f>
        <v>147926.811165308</v>
      </c>
      <c r="I156" s="55" t="n">
        <f aca="false">I42+I81+I120</f>
        <v>192006.128128887</v>
      </c>
      <c r="J156" s="55" t="n">
        <f aca="false">J42+J81+J120</f>
        <v>239973.452131905</v>
      </c>
      <c r="K156" s="55" t="n">
        <f aca="false">K42+K81+K120</f>
        <v>292184.270160827</v>
      </c>
      <c r="L156" s="55" t="n">
        <f aca="false">L42+L81+L120</f>
        <v>350827.149628663</v>
      </c>
      <c r="M156" s="55" t="n">
        <f aca="false">M42+M81+M120</f>
        <v>414701.565219235</v>
      </c>
      <c r="N156" s="55" t="n">
        <f aca="false">N42+N81+N120</f>
        <v>482367.41881962</v>
      </c>
      <c r="O156" s="55" t="n">
        <f aca="false">O42+O81+O120</f>
        <v>612433.523207203</v>
      </c>
      <c r="P156" s="55" t="n">
        <f aca="false">P42+P81+P120</f>
        <v>724938.303986394</v>
      </c>
      <c r="Q156" s="55" t="n">
        <f aca="false">Q42+Q81+Q120</f>
        <v>857006.726168481</v>
      </c>
      <c r="R156" s="55" t="n">
        <f aca="false">R42+R81+R120</f>
        <v>1014654.93769396</v>
      </c>
      <c r="S156" s="55" t="n">
        <f aca="false">S42+S81+S120</f>
        <v>1193734.88797005</v>
      </c>
      <c r="T156" s="55" t="n">
        <f aca="false">T42+T81+T120</f>
        <v>1388546.2813797</v>
      </c>
      <c r="U156" s="55" t="n">
        <f aca="false">U42+U81+U120</f>
        <v>1597470.56131634</v>
      </c>
      <c r="V156" s="55" t="n">
        <f aca="false">V42+V81+V120</f>
        <v>1819859.00257247</v>
      </c>
      <c r="W156" s="55" t="n">
        <f aca="false">W42+W81+W120</f>
        <v>2057623.48453799</v>
      </c>
      <c r="X156" s="55" t="n">
        <f aca="false">X42+X81+X120</f>
        <v>2320391.90041462</v>
      </c>
      <c r="Y156" s="55" t="n">
        <f aca="false">Y42+Y81+Y120</f>
        <v>2604021.29981067</v>
      </c>
      <c r="Z156" s="55" t="n">
        <f aca="false">Z42+Z81+Z120</f>
        <v>2903025.83685994</v>
      </c>
      <c r="AA156" s="55" t="n">
        <f aca="false">AA42+AA81+AA120</f>
        <v>10221886.5438267</v>
      </c>
      <c r="AB156" s="55" t="n">
        <f aca="false">AB42+AB81+AB120</f>
        <v>21744999.9620009</v>
      </c>
      <c r="AC156" s="55" t="n">
        <f aca="false">AC42+AC81+AC120</f>
        <v>37776160.6075286</v>
      </c>
      <c r="AD156" s="55" t="n">
        <f aca="false">AD42+AD81+AD120</f>
        <v>56844174.3407233</v>
      </c>
      <c r="AE156" s="55" t="n">
        <f aca="false">AE42+AE81+AE120</f>
        <v>76147296.3528226</v>
      </c>
    </row>
    <row r="157" customFormat="false" ht="15" hidden="false" customHeight="false" outlineLevel="0" collapsed="false">
      <c r="A157" s="6" t="s">
        <v>510</v>
      </c>
      <c r="B157" s="23" t="s">
        <v>207</v>
      </c>
      <c r="C157" s="45" t="n">
        <f aca="false">C44+C83+C122</f>
        <v>0</v>
      </c>
      <c r="D157" s="45" t="n">
        <f aca="false">D44+D83+D122</f>
        <v>0</v>
      </c>
      <c r="E157" s="45" t="n">
        <f aca="false">E44+E83+E122</f>
        <v>0</v>
      </c>
      <c r="F157" s="45" t="n">
        <f aca="false">F44+F83+F122</f>
        <v>0</v>
      </c>
      <c r="G157" s="45" t="n">
        <f aca="false">G44+G83+G122</f>
        <v>0</v>
      </c>
      <c r="H157" s="45" t="n">
        <f aca="false">H44+H83+H122</f>
        <v>0</v>
      </c>
      <c r="I157" s="45" t="n">
        <f aca="false">I44+I83+I122</f>
        <v>0</v>
      </c>
      <c r="J157" s="45" t="n">
        <f aca="false">J44+J83+J122</f>
        <v>0</v>
      </c>
      <c r="K157" s="45" t="n">
        <f aca="false">K44+K83+K122</f>
        <v>141.802811764706</v>
      </c>
      <c r="L157" s="45" t="n">
        <f aca="false">L44+L83+L122</f>
        <v>276.429213233664</v>
      </c>
      <c r="M157" s="45" t="n">
        <f aca="false">M44+M83+M122</f>
        <v>405.30384041187</v>
      </c>
      <c r="N157" s="45" t="n">
        <f aca="false">N44+N83+N122</f>
        <v>566.22682269594</v>
      </c>
      <c r="O157" s="45" t="n">
        <f aca="false">O44+O83+O122</f>
        <v>711.564885054615</v>
      </c>
      <c r="P157" s="45" t="n">
        <f aca="false">P44+P83+P122</f>
        <v>834.39632220373</v>
      </c>
      <c r="Q157" s="45" t="n">
        <f aca="false">Q44+Q83+Q122</f>
        <v>952.920403267556</v>
      </c>
      <c r="R157" s="45" t="n">
        <f aca="false">R44+R83+R122</f>
        <v>1071.32878306516</v>
      </c>
      <c r="S157" s="45" t="n">
        <f aca="false">S44+S83+S122</f>
        <v>1200.75502871086</v>
      </c>
      <c r="T157" s="45" t="n">
        <f aca="false">T44+T83+T122</f>
        <v>1374.52928061666</v>
      </c>
      <c r="U157" s="45" t="n">
        <f aca="false">U44+U83+U122</f>
        <v>1534.17216950084</v>
      </c>
      <c r="V157" s="45" t="n">
        <f aca="false">V44+V83+V122</f>
        <v>1674.19519653119</v>
      </c>
      <c r="W157" s="45" t="n">
        <f aca="false">W44+W83+W122</f>
        <v>2183.2401660293</v>
      </c>
      <c r="X157" s="45" t="n">
        <f aca="false">X44+X83+X122</f>
        <v>2678.02408228537</v>
      </c>
      <c r="Y157" s="45" t="n">
        <f aca="false">Y44+Y83+Y122</f>
        <v>3161.65739015836</v>
      </c>
      <c r="Z157" s="45" t="n">
        <f aca="false">Z44+Z83+Z122</f>
        <v>3776.92684039973</v>
      </c>
      <c r="AA157" s="45" t="n">
        <f aca="false">AA44+AA83+AA122</f>
        <v>19006.8914117086</v>
      </c>
      <c r="AB157" s="45" t="n">
        <f aca="false">AB44+AB83+AB122</f>
        <v>35080.0828851354</v>
      </c>
      <c r="AC157" s="45" t="n">
        <f aca="false">AC44+AC83+AC122</f>
        <v>56556.665232242</v>
      </c>
      <c r="AD157" s="45" t="n">
        <f aca="false">AD44+AD83+AD122</f>
        <v>80540.8327998093</v>
      </c>
      <c r="AE157" s="45" t="n">
        <f aca="false">AE44+AE83+AE122</f>
        <v>103235.543031311</v>
      </c>
    </row>
    <row r="158" customFormat="false" ht="15" hidden="false" customHeight="false" outlineLevel="0" collapsed="false">
      <c r="A158" s="6" t="s">
        <v>511</v>
      </c>
      <c r="B158" s="23" t="s">
        <v>207</v>
      </c>
      <c r="C158" s="55" t="n">
        <f aca="false">C35+C74+C113</f>
        <v>7822.35327019387</v>
      </c>
      <c r="D158" s="55" t="n">
        <f aca="false">D35+D74+D113</f>
        <v>14868.8306789385</v>
      </c>
      <c r="E158" s="55" t="n">
        <f aca="false">E35+E74+E113</f>
        <v>21255.7059184207</v>
      </c>
      <c r="F158" s="55" t="n">
        <f aca="false">F35+F74+F113</f>
        <v>29100.3360759695</v>
      </c>
      <c r="G158" s="55" t="n">
        <f aca="false">G35+G74+G113</f>
        <v>35704.1479649456</v>
      </c>
      <c r="H158" s="55" t="n">
        <f aca="false">H35+H74+H113</f>
        <v>40745.517613178</v>
      </c>
      <c r="I158" s="55" t="n">
        <f aca="false">I35+I74+I113</f>
        <v>45304.369178412</v>
      </c>
      <c r="J158" s="55" t="n">
        <f aca="false">J35+J74+J113</f>
        <v>49635.4000551262</v>
      </c>
      <c r="K158" s="55" t="n">
        <f aca="false">K35+K74+K113</f>
        <v>54363.9500580168</v>
      </c>
      <c r="L158" s="55" t="n">
        <f aca="false">L35+L74+L113</f>
        <v>61309.6834760192</v>
      </c>
      <c r="M158" s="55" t="n">
        <f aca="false">M35+M74+M113</f>
        <v>67138.4162592573</v>
      </c>
      <c r="N158" s="55" t="n">
        <f aca="false">N35+N74+N113</f>
        <v>71601.5383078104</v>
      </c>
      <c r="O158" s="55" t="n">
        <f aca="false">O35+O74+O113</f>
        <v>95861.6737210732</v>
      </c>
      <c r="P158" s="55" t="n">
        <f aca="false">P35+P74+P113</f>
        <v>118165.667605495</v>
      </c>
      <c r="Q158" s="55" t="n">
        <f aca="false">Q35+Q74+Q113</f>
        <v>138778.16267882</v>
      </c>
      <c r="R158" s="55" t="n">
        <f aca="false">R35+R74+R113</f>
        <v>165562.537190442</v>
      </c>
      <c r="S158" s="55" t="n">
        <f aca="false">S35+S74+S113</f>
        <v>188521.792094863</v>
      </c>
      <c r="T158" s="55" t="n">
        <f aca="false">T35+T74+T113</f>
        <v>206078.133064405</v>
      </c>
      <c r="U158" s="55" t="n">
        <f aca="false">U35+U74+U113</f>
        <v>222213.431300388</v>
      </c>
      <c r="V158" s="55" t="n">
        <f aca="false">V35+V74+V113</f>
        <v>237871.483187482</v>
      </c>
      <c r="W158" s="55" t="n">
        <f aca="false">W35+W74+W113</f>
        <v>255577.439247362</v>
      </c>
      <c r="X158" s="55" t="n">
        <f aca="false">X35+X74+X113</f>
        <v>282976.300625742</v>
      </c>
      <c r="Y158" s="55" t="n">
        <f aca="false">Y35+Y74+Y113</f>
        <v>306564.899172545</v>
      </c>
      <c r="Z158" s="55" t="n">
        <f aca="false">Z35+Z74+Z113</f>
        <v>324975.187642719</v>
      </c>
      <c r="AA158" s="55" t="n">
        <f aca="false">AA35+AA74+AA113</f>
        <v>7446758.46865739</v>
      </c>
      <c r="AB158" s="55" t="n">
        <f aca="false">AB35+AB74+AB113</f>
        <v>12110734.3483984</v>
      </c>
      <c r="AC158" s="55" t="n">
        <f aca="false">AC35+AC74+AC113</f>
        <v>17390620.2470883</v>
      </c>
      <c r="AD158" s="55" t="n">
        <f aca="false">AD35+AD74+AD113</f>
        <v>21579459.9520042</v>
      </c>
      <c r="AE158" s="55" t="n">
        <f aca="false">AE35+AE74+AE113</f>
        <v>23289190.4434722</v>
      </c>
    </row>
    <row r="159" customFormat="false" ht="15" hidden="false" customHeight="false" outlineLevel="0" collapsed="false">
      <c r="A159" s="6" t="s">
        <v>512</v>
      </c>
      <c r="B159" s="23" t="s">
        <v>207</v>
      </c>
      <c r="C159" s="55" t="n">
        <f aca="false">C36+C75+C114</f>
        <v>595.020518475341</v>
      </c>
      <c r="D159" s="55" t="n">
        <f aca="false">D36+D75+D114</f>
        <v>1131.06598861553</v>
      </c>
      <c r="E159" s="55" t="n">
        <f aca="false">E36+E75+E114</f>
        <v>1616.97312733458</v>
      </c>
      <c r="F159" s="55" t="n">
        <f aca="false">F36+F75+F114</f>
        <v>2213.8302507739</v>
      </c>
      <c r="G159" s="55" t="n">
        <f aca="false">G36+G75+G114</f>
        <v>2716.33443323029</v>
      </c>
      <c r="H159" s="55" t="n">
        <f aca="false">H36+H75+H114</f>
        <v>3099.99210196866</v>
      </c>
      <c r="I159" s="55" t="n">
        <f aca="false">I36+I75+I114</f>
        <v>3446.96386604492</v>
      </c>
      <c r="J159" s="55" t="n">
        <f aca="false">J36+J75+J114</f>
        <v>3776.62844619621</v>
      </c>
      <c r="K159" s="55" t="n">
        <f aca="false">K36+K75+K114</f>
        <v>4136.57939266668</v>
      </c>
      <c r="L159" s="55" t="n">
        <f aca="false">L36+L75+L114</f>
        <v>4665.3309610126</v>
      </c>
      <c r="M159" s="55" t="n">
        <f aca="false">M36+M75+M114</f>
        <v>5109.12095653979</v>
      </c>
      <c r="N159" s="55" t="n">
        <f aca="false">N36+N75+N114</f>
        <v>5449.00306479824</v>
      </c>
      <c r="O159" s="55" t="n">
        <f aca="false">O36+O75+O114</f>
        <v>7305.05196128383</v>
      </c>
      <c r="P159" s="55" t="n">
        <f aca="false">P36+P75+P114</f>
        <v>9012.06189257262</v>
      </c>
      <c r="Q159" s="55" t="n">
        <f aca="false">Q36+Q75+Q114</f>
        <v>10590.2098157521</v>
      </c>
      <c r="R159" s="55" t="n">
        <f aca="false">R36+R75+R114</f>
        <v>12641.1386835599</v>
      </c>
      <c r="S159" s="55" t="n">
        <f aca="false">S36+S75+S114</f>
        <v>14400.1444087539</v>
      </c>
      <c r="T159" s="55" t="n">
        <f aca="false">T36+T75+T114</f>
        <v>15746.1848823355</v>
      </c>
      <c r="U159" s="55" t="n">
        <f aca="false">U36+U75+U114</f>
        <v>16983.9169042199</v>
      </c>
      <c r="V159" s="55" t="n">
        <f aca="false">V36+V75+V114</f>
        <v>18185.5927007476</v>
      </c>
      <c r="W159" s="55" t="n">
        <f aca="false">W36+W75+W114</f>
        <v>19544.7406031243</v>
      </c>
      <c r="X159" s="55" t="n">
        <f aca="false">X36+X75+X114</f>
        <v>21647.6563818813</v>
      </c>
      <c r="Y159" s="55" t="n">
        <f aca="false">Y36+Y75+Y114</f>
        <v>23459.660314629</v>
      </c>
      <c r="Z159" s="55" t="n">
        <f aca="false">Z36+Z75+Z114</f>
        <v>24875.4734922145</v>
      </c>
      <c r="AA159" s="55" t="n">
        <f aca="false">AA36+AA75+AA114</f>
        <v>574433.408838009</v>
      </c>
      <c r="AB159" s="55" t="n">
        <f aca="false">AB36+AB75+AB114</f>
        <v>939764.403183866</v>
      </c>
      <c r="AC159" s="55" t="n">
        <f aca="false">AC36+AC75+AC114</f>
        <v>1360599.8196674</v>
      </c>
      <c r="AD159" s="55" t="n">
        <f aca="false">AD36+AD75+AD114</f>
        <v>1706728.86355599</v>
      </c>
      <c r="AE159" s="55" t="n">
        <f aca="false">AE36+AE75+AE114</f>
        <v>1870368.80463915</v>
      </c>
    </row>
    <row r="160" customFormat="false" ht="15" hidden="false" customHeight="false" outlineLevel="0" collapsed="false">
      <c r="A160" s="6" t="s">
        <v>513</v>
      </c>
      <c r="B160" s="23" t="s">
        <v>207</v>
      </c>
      <c r="C160" s="55" t="n">
        <f aca="false">C50+C89+C128</f>
        <v>0</v>
      </c>
      <c r="D160" s="55" t="n">
        <f aca="false">D50+D89+D128</f>
        <v>0</v>
      </c>
      <c r="E160" s="55" t="n">
        <f aca="false">E50+E89+E128</f>
        <v>0</v>
      </c>
      <c r="F160" s="55" t="n">
        <f aca="false">F50+F89+F128</f>
        <v>0</v>
      </c>
      <c r="G160" s="55" t="n">
        <f aca="false">G50+G89+G128</f>
        <v>0</v>
      </c>
      <c r="H160" s="55" t="n">
        <f aca="false">H50+H89+H128</f>
        <v>0</v>
      </c>
      <c r="I160" s="55" t="n">
        <f aca="false">I50+I89+I128</f>
        <v>0</v>
      </c>
      <c r="J160" s="55" t="n">
        <f aca="false">J50+J89+J128</f>
        <v>0</v>
      </c>
      <c r="K160" s="55" t="n">
        <f aca="false">K50+K89+K128</f>
        <v>0</v>
      </c>
      <c r="L160" s="55" t="n">
        <f aca="false">L50+L89+L128</f>
        <v>0</v>
      </c>
      <c r="M160" s="55" t="n">
        <f aca="false">M50+M89+M128</f>
        <v>0</v>
      </c>
      <c r="N160" s="55" t="n">
        <f aca="false">N50+N89+N128</f>
        <v>0</v>
      </c>
      <c r="O160" s="55" t="n">
        <f aca="false">O50+O89+O128</f>
        <v>1245.0591356297</v>
      </c>
      <c r="P160" s="55" t="n">
        <f aca="false">P50+P89+P128</f>
        <v>1283.01555241274</v>
      </c>
      <c r="Q160" s="55" t="n">
        <f aca="false">Q50+Q89+Q128</f>
        <v>1448.87367168283</v>
      </c>
      <c r="R160" s="55" t="n">
        <f aca="false">R50+R89+R128</f>
        <v>1618.53924198073</v>
      </c>
      <c r="S160" s="55" t="n">
        <f aca="false">S50+S89+S128</f>
        <v>1911.3757401409</v>
      </c>
      <c r="T160" s="55" t="n">
        <f aca="false">T50+T89+T128</f>
        <v>2208.67832097764</v>
      </c>
      <c r="U160" s="55" t="n">
        <f aca="false">U50+U89+U128</f>
        <v>2432.88103694719</v>
      </c>
      <c r="V160" s="55" t="n">
        <f aca="false">V50+V89+V128</f>
        <v>2885.8240087406</v>
      </c>
      <c r="W160" s="55" t="n">
        <f aca="false">W50+W89+W128</f>
        <v>4358.2018997565</v>
      </c>
      <c r="X160" s="55" t="n">
        <f aca="false">X50+X89+X128</f>
        <v>5524.25375233351</v>
      </c>
      <c r="Y160" s="55" t="n">
        <f aca="false">Y50+Y89+Y128</f>
        <v>6929.73444366881</v>
      </c>
      <c r="Z160" s="55" t="n">
        <f aca="false">Z50+Z89+Z128</f>
        <v>9422.68503311008</v>
      </c>
      <c r="AA160" s="55" t="n">
        <f aca="false">AA50+AA89+AA128</f>
        <v>911609.606148021</v>
      </c>
      <c r="AB160" s="55" t="n">
        <f aca="false">AB50+AB89+AB128</f>
        <v>2201315.76621394</v>
      </c>
      <c r="AC160" s="55" t="n">
        <f aca="false">AC50+AC89+AC128</f>
        <v>4299332.04290563</v>
      </c>
      <c r="AD160" s="55" t="n">
        <f aca="false">AD50+AD89+AD128</f>
        <v>7446246.44338812</v>
      </c>
      <c r="AE160" s="55" t="n">
        <f aca="false">AE50+AE89+AE128</f>
        <v>11932426.2445837</v>
      </c>
    </row>
    <row r="161" customFormat="false" ht="15" hidden="false" customHeight="false" outlineLevel="0" collapsed="false">
      <c r="A161" s="6" t="s">
        <v>514</v>
      </c>
      <c r="B161" s="23" t="s">
        <v>114</v>
      </c>
      <c r="C161" s="57" t="n">
        <f aca="false">C154*C21</f>
        <v>7878.33014703029</v>
      </c>
      <c r="D161" s="57" t="n">
        <f aca="false">D154*D21</f>
        <v>22813.0550411765</v>
      </c>
      <c r="E161" s="57" t="n">
        <f aca="false">E154*E21</f>
        <v>44101.9396950499</v>
      </c>
      <c r="F161" s="57" t="n">
        <f aca="false">F154*F21</f>
        <v>73178.176759932</v>
      </c>
      <c r="G161" s="57" t="n">
        <f aca="false">G154*G21</f>
        <v>108747.576777021</v>
      </c>
      <c r="H161" s="57" t="n">
        <f aca="false">H154*H21</f>
        <v>149196.94460407</v>
      </c>
      <c r="I161" s="57" t="n">
        <f aca="false">I154*I21</f>
        <v>194008.937554198</v>
      </c>
      <c r="J161" s="57" t="n">
        <f aca="false">J154*J21</f>
        <v>242925.191572629</v>
      </c>
      <c r="K161" s="57" t="n">
        <f aca="false">K154*K21</f>
        <v>296319.351383012</v>
      </c>
      <c r="L161" s="57" t="n">
        <f aca="false">L154*L21</f>
        <v>356399.854495118</v>
      </c>
      <c r="M161" s="57" t="n">
        <f aca="false">M154*M21</f>
        <v>421996.759253137</v>
      </c>
      <c r="N161" s="57" t="n">
        <f aca="false">N154*N21</f>
        <v>491694.30744971</v>
      </c>
      <c r="O161" s="57" t="n">
        <f aca="false">O154*O21</f>
        <v>625065.882139981</v>
      </c>
      <c r="P161" s="57" t="n">
        <f aca="false">P154*P21</f>
        <v>740561.311173684</v>
      </c>
      <c r="Q161" s="57" t="n">
        <f aca="false">Q154*Q21</f>
        <v>876165.806242524</v>
      </c>
      <c r="R161" s="57" t="n">
        <f aca="false">R154*R21</f>
        <v>1037990.35760624</v>
      </c>
      <c r="S161" s="57" t="n">
        <f aca="false">S154*S21</f>
        <v>1222010.6803971</v>
      </c>
      <c r="T161" s="57" t="n">
        <f aca="false">T154*T21</f>
        <v>1422628.60819565</v>
      </c>
      <c r="U161" s="57" t="n">
        <f aca="false">U154*U21</f>
        <v>1638298.77060389</v>
      </c>
      <c r="V161" s="57" t="n">
        <f aca="false">V154*V21</f>
        <v>1868437.07987231</v>
      </c>
      <c r="W161" s="57" t="n">
        <f aca="false">W154*W21</f>
        <v>2115016.60224351</v>
      </c>
      <c r="X161" s="57" t="n">
        <f aca="false">X154*X21</f>
        <v>2387736.49038746</v>
      </c>
      <c r="Y161" s="57" t="n">
        <f aca="false">Y154*Y21</f>
        <v>2682571.13791928</v>
      </c>
      <c r="Z161" s="57" t="n">
        <f aca="false">Z154*Z21</f>
        <v>2994130.26102907</v>
      </c>
      <c r="AA161" s="57" t="n">
        <f aca="false">AA154*AA21</f>
        <v>10501266.8900033</v>
      </c>
      <c r="AB161" s="57" t="n">
        <f aca="false">AB154*AB21</f>
        <v>22686577.2065115</v>
      </c>
      <c r="AC161" s="57" t="n">
        <f aca="false">AC154*AC21</f>
        <v>40123373.4246744</v>
      </c>
      <c r="AD161" s="57" t="n">
        <f aca="false">AD154*AD21</f>
        <v>61624245.5798964</v>
      </c>
      <c r="AE161" s="57" t="n">
        <f aca="false">AE154*AE21</f>
        <v>84566963.663645</v>
      </c>
    </row>
    <row r="162" customFormat="false" ht="15" hidden="false" customHeight="false" outlineLevel="0" collapsed="false">
      <c r="A162" s="9" t="s">
        <v>515</v>
      </c>
    </row>
    <row r="163" customFormat="false" ht="15" hidden="false" customHeight="false" outlineLevel="0" collapsed="false">
      <c r="A163" s="6" t="s">
        <v>516</v>
      </c>
      <c r="B163" s="23" t="s">
        <v>114</v>
      </c>
      <c r="C163" s="55" t="n">
        <f aca="false">C154*Assumptions!$B$6</f>
        <v>7878.33014703029</v>
      </c>
      <c r="D163" s="55" t="n">
        <f aca="false">D154*Assumptions!$B$6</f>
        <v>22813.0550411765</v>
      </c>
      <c r="E163" s="55" t="n">
        <f aca="false">E154*Assumptions!$B$6</f>
        <v>44101.9396950499</v>
      </c>
      <c r="F163" s="55" t="n">
        <f aca="false">F154*Assumptions!$B$6</f>
        <v>73178.176759932</v>
      </c>
      <c r="G163" s="55" t="n">
        <f aca="false">G154*Assumptions!$B$6</f>
        <v>108747.576777021</v>
      </c>
      <c r="H163" s="55" t="n">
        <f aca="false">H154*Assumptions!$B$6</f>
        <v>149196.94460407</v>
      </c>
      <c r="I163" s="55" t="n">
        <f aca="false">I154*Assumptions!$B$6</f>
        <v>194008.937554198</v>
      </c>
      <c r="J163" s="55" t="n">
        <f aca="false">J154*Assumptions!$B$6</f>
        <v>242925.191572629</v>
      </c>
      <c r="K163" s="55" t="n">
        <f aca="false">K154*Assumptions!$B$6</f>
        <v>296319.351383012</v>
      </c>
      <c r="L163" s="55" t="n">
        <f aca="false">L154*Assumptions!$B$6</f>
        <v>356399.854495118</v>
      </c>
      <c r="M163" s="55" t="n">
        <f aca="false">M154*Assumptions!$B$6</f>
        <v>421996.759253137</v>
      </c>
      <c r="N163" s="55" t="n">
        <f aca="false">N154*Assumptions!$B$6</f>
        <v>491694.30744971</v>
      </c>
      <c r="O163" s="55" t="n">
        <f aca="false">O154*Assumptions!$B$6</f>
        <v>578229.308177596</v>
      </c>
      <c r="P163" s="55" t="n">
        <f aca="false">P154*Assumptions!$B$6</f>
        <v>685070.593130142</v>
      </c>
      <c r="Q163" s="55" t="n">
        <f aca="false">Q154*Assumptions!$B$6</f>
        <v>810514.159336285</v>
      </c>
      <c r="R163" s="55" t="n">
        <f aca="false">R154*Assumptions!$B$6</f>
        <v>960213.096768034</v>
      </c>
      <c r="S163" s="55" t="n">
        <f aca="false">S154*Assumptions!$B$6</f>
        <v>1130444.66271702</v>
      </c>
      <c r="T163" s="55" t="n">
        <f aca="false">T154*Assumptions!$B$6</f>
        <v>1316030.16484334</v>
      </c>
      <c r="U163" s="55" t="n">
        <f aca="false">U154*Assumptions!$B$6</f>
        <v>1515540.02831072</v>
      </c>
      <c r="V163" s="55" t="n">
        <f aca="false">V154*Assumptions!$B$6</f>
        <v>1728433.93142675</v>
      </c>
      <c r="W163" s="55" t="n">
        <f aca="false">W154*Assumptions!$B$6</f>
        <v>1956537.09735755</v>
      </c>
      <c r="X163" s="55" t="n">
        <f aca="false">X154*Assumptions!$B$6</f>
        <v>2208821.91525204</v>
      </c>
      <c r="Y163" s="55" t="n">
        <f aca="false">Y154*Assumptions!$B$6</f>
        <v>2481564.41990683</v>
      </c>
      <c r="Z163" s="55" t="n">
        <f aca="false">Z154*Assumptions!$B$6</f>
        <v>2769778.22481875</v>
      </c>
      <c r="AA163" s="55" t="n">
        <f aca="false">AA154*Assumptions!$B$6</f>
        <v>8986494.40637101</v>
      </c>
      <c r="AB163" s="55" t="n">
        <f aca="false">AB154*Assumptions!$B$6</f>
        <v>17959402.9882623</v>
      </c>
      <c r="AC163" s="55" t="n">
        <f aca="false">AC154*Assumptions!$B$6</f>
        <v>29382900.4648291</v>
      </c>
      <c r="AD163" s="55" t="n">
        <f aca="false">AD154*Assumptions!$B$6</f>
        <v>41746795.6265462</v>
      </c>
      <c r="AE163" s="55" t="n">
        <f aca="false">AE154*Assumptions!$B$6</f>
        <v>52996424.9749849</v>
      </c>
    </row>
    <row r="164" customFormat="false" ht="15" hidden="false" customHeight="false" outlineLevel="0" collapsed="false">
      <c r="A164" s="6" t="s">
        <v>517</v>
      </c>
      <c r="B164" s="23" t="s">
        <v>114</v>
      </c>
      <c r="C164" s="55" t="n">
        <f aca="false">C161-C163</f>
        <v>0</v>
      </c>
      <c r="D164" s="55" t="n">
        <f aca="false">D161-D163</f>
        <v>0</v>
      </c>
      <c r="E164" s="55" t="n">
        <f aca="false">E161-E163</f>
        <v>0</v>
      </c>
      <c r="F164" s="55" t="n">
        <f aca="false">F161-F163</f>
        <v>0</v>
      </c>
      <c r="G164" s="55" t="n">
        <f aca="false">G161-G163</f>
        <v>0</v>
      </c>
      <c r="H164" s="55" t="n">
        <f aca="false">H161-H163</f>
        <v>0</v>
      </c>
      <c r="I164" s="55" t="n">
        <f aca="false">I161-I163</f>
        <v>0</v>
      </c>
      <c r="J164" s="55" t="n">
        <f aca="false">J161-J163</f>
        <v>0</v>
      </c>
      <c r="K164" s="55" t="n">
        <f aca="false">K161-K163</f>
        <v>0</v>
      </c>
      <c r="L164" s="55" t="n">
        <f aca="false">L161-L163</f>
        <v>0</v>
      </c>
      <c r="M164" s="55" t="n">
        <f aca="false">M161-M163</f>
        <v>0</v>
      </c>
      <c r="N164" s="55" t="n">
        <f aca="false">N161-N163</f>
        <v>0</v>
      </c>
      <c r="O164" s="55" t="n">
        <f aca="false">O161-O163</f>
        <v>46836.5739623852</v>
      </c>
      <c r="P164" s="55" t="n">
        <f aca="false">P161-P163</f>
        <v>55490.7180435415</v>
      </c>
      <c r="Q164" s="55" t="n">
        <f aca="false">Q161-Q163</f>
        <v>65651.6469062391</v>
      </c>
      <c r="R164" s="55" t="n">
        <f aca="false">R161-R163</f>
        <v>77777.2608382107</v>
      </c>
      <c r="S164" s="55" t="n">
        <f aca="false">S161-S163</f>
        <v>91566.017680079</v>
      </c>
      <c r="T164" s="55" t="n">
        <f aca="false">T161-T163</f>
        <v>106598.44335231</v>
      </c>
      <c r="U164" s="55" t="n">
        <f aca="false">U161-U163</f>
        <v>122758.742293168</v>
      </c>
      <c r="V164" s="55" t="n">
        <f aca="false">V161-V163</f>
        <v>140003.148445566</v>
      </c>
      <c r="W164" s="55" t="n">
        <f aca="false">W161-W163</f>
        <v>158479.504885961</v>
      </c>
      <c r="X164" s="55" t="n">
        <f aca="false">X161-X163</f>
        <v>178914.575135415</v>
      </c>
      <c r="Y164" s="55" t="n">
        <f aca="false">Y161-Y163</f>
        <v>201006.718012453</v>
      </c>
      <c r="Z164" s="55" t="n">
        <f aca="false">Z161-Z163</f>
        <v>224352.036210319</v>
      </c>
      <c r="AA164" s="55" t="n">
        <f aca="false">AA161-AA163</f>
        <v>1514772.48363231</v>
      </c>
      <c r="AB164" s="55" t="n">
        <f aca="false">AB161-AB163</f>
        <v>4727174.21824918</v>
      </c>
      <c r="AC164" s="55" t="n">
        <f aca="false">AC161-AC163</f>
        <v>10740472.9598453</v>
      </c>
      <c r="AD164" s="55" t="n">
        <f aca="false">AD161-AD163</f>
        <v>19877449.9533502</v>
      </c>
      <c r="AE164" s="55" t="n">
        <f aca="false">AE161-AE163</f>
        <v>31570538.6886601</v>
      </c>
    </row>
    <row r="165" customFormat="false" ht="15" hidden="false" customHeight="false" outlineLevel="0" collapsed="false">
      <c r="A165" s="9" t="s">
        <v>518</v>
      </c>
    </row>
    <row r="166" customFormat="false" ht="15" hidden="false" customHeight="false" outlineLevel="0" collapsed="false">
      <c r="A166" s="6" t="s">
        <v>519</v>
      </c>
      <c r="B166" s="23" t="s">
        <v>520</v>
      </c>
      <c r="C166" s="59" t="n">
        <f aca="false">C148+C149-C150</f>
        <v>0</v>
      </c>
      <c r="D166" s="59" t="n">
        <f aca="false">D148+D149-D150</f>
        <v>0</v>
      </c>
      <c r="E166" s="59" t="n">
        <f aca="false">E148+E149-E150</f>
        <v>0</v>
      </c>
      <c r="F166" s="59" t="n">
        <f aca="false">F148+F149-F150</f>
        <v>0</v>
      </c>
      <c r="G166" s="59" t="n">
        <f aca="false">G148+G149-G150</f>
        <v>0</v>
      </c>
      <c r="H166" s="59" t="n">
        <f aca="false">H148+H149-H150</f>
        <v>0</v>
      </c>
      <c r="I166" s="59" t="n">
        <f aca="false">I148+I149-I150</f>
        <v>0</v>
      </c>
      <c r="J166" s="59" t="n">
        <f aca="false">J148+J149-J150</f>
        <v>0</v>
      </c>
      <c r="K166" s="59" t="n">
        <f aca="false">K148+K149-K150</f>
        <v>0</v>
      </c>
      <c r="L166" s="59" t="n">
        <f aca="false">L148+L149-L150</f>
        <v>0</v>
      </c>
      <c r="M166" s="59" t="n">
        <f aca="false">M148+M149-M150</f>
        <v>0</v>
      </c>
      <c r="N166" s="59" t="n">
        <f aca="false">N148+N149-N150</f>
        <v>0</v>
      </c>
      <c r="O166" s="59" t="n">
        <f aca="false">O148+O149-O150</f>
        <v>0</v>
      </c>
      <c r="P166" s="59" t="n">
        <f aca="false">P148+P149-P150</f>
        <v>0</v>
      </c>
      <c r="Q166" s="59" t="n">
        <f aca="false">Q148+Q149-Q150</f>
        <v>0</v>
      </c>
      <c r="R166" s="59" t="n">
        <f aca="false">R148+R149-R150</f>
        <v>0</v>
      </c>
      <c r="S166" s="59" t="n">
        <f aca="false">S148+S149-S150</f>
        <v>0</v>
      </c>
      <c r="T166" s="59" t="n">
        <f aca="false">T148+T149-T150</f>
        <v>0</v>
      </c>
      <c r="U166" s="59" t="n">
        <f aca="false">U148+U149-U150</f>
        <v>0</v>
      </c>
      <c r="V166" s="59" t="n">
        <f aca="false">V148+V149-V150</f>
        <v>0</v>
      </c>
      <c r="W166" s="59" t="n">
        <f aca="false">W148+W149-W150</f>
        <v>0</v>
      </c>
      <c r="X166" s="59" t="n">
        <f aca="false">X148+X149-X150</f>
        <v>0</v>
      </c>
      <c r="Y166" s="59" t="n">
        <f aca="false">Y148+Y149-Y150</f>
        <v>0</v>
      </c>
      <c r="Z166" s="59" t="n">
        <f aca="false">Z148+Z149-Z150</f>
        <v>0</v>
      </c>
      <c r="AA166" s="59" t="n">
        <f aca="false">AA148+AA149-AA150</f>
        <v>0</v>
      </c>
      <c r="AB166" s="59" t="n">
        <f aca="false">AB148+AB149-AB150</f>
        <v>0</v>
      </c>
      <c r="AC166" s="59" t="n">
        <f aca="false">AC148+AC149-AC150</f>
        <v>0</v>
      </c>
      <c r="AD166" s="59" t="n">
        <f aca="false">AD148+AD149-AD150</f>
        <v>0</v>
      </c>
      <c r="AE166" s="59" t="n">
        <f aca="false">AE148+AE149-AE150</f>
        <v>0</v>
      </c>
    </row>
    <row r="167" customFormat="false" ht="15" hidden="false" customHeight="false" outlineLevel="0" collapsed="false">
      <c r="A167" s="6" t="s">
        <v>521</v>
      </c>
      <c r="B167" s="23" t="s">
        <v>47</v>
      </c>
      <c r="C167" s="59" t="n">
        <f aca="false">C154-C153</f>
        <v>0</v>
      </c>
      <c r="D167" s="59" t="n">
        <f aca="false">D154-D153</f>
        <v>0.278464942281573</v>
      </c>
      <c r="E167" s="59" t="n">
        <f aca="false">E154-E153</f>
        <v>1.08196251116669</v>
      </c>
      <c r="F167" s="59" t="n">
        <f aca="false">F154-F153</f>
        <v>2.62965963393026</v>
      </c>
      <c r="G167" s="59" t="n">
        <f aca="false">G154-G153</f>
        <v>5.18900552633954</v>
      </c>
      <c r="H167" s="59" t="n">
        <f aca="false">H154-H153</f>
        <v>8.97874620925859</v>
      </c>
      <c r="I167" s="59" t="n">
        <f aca="false">I154-I153</f>
        <v>14.1581325131574</v>
      </c>
      <c r="J167" s="59" t="n">
        <f aca="false">J154-J153</f>
        <v>20.8662479904183</v>
      </c>
      <c r="K167" s="59" t="n">
        <f aca="false">K154-K153</f>
        <v>29.2314521573999</v>
      </c>
      <c r="L167" s="59" t="n">
        <f aca="false">L154-L153</f>
        <v>39.3942094334443</v>
      </c>
      <c r="M167" s="59" t="n">
        <f aca="false">M154-M153</f>
        <v>51.5707198777159</v>
      </c>
      <c r="N167" s="59" t="n">
        <f aca="false">N154-N153</f>
        <v>65.9330455965633</v>
      </c>
      <c r="O167" s="59" t="n">
        <f aca="false">O154-O153</f>
        <v>82.6085709631889</v>
      </c>
      <c r="P167" s="59" t="n">
        <f aca="false">P154-P153</f>
        <v>102.165739966502</v>
      </c>
      <c r="Q167" s="59" t="n">
        <f aca="false">Q154-Q153</f>
        <v>125.28968138954</v>
      </c>
      <c r="R167" s="59" t="n">
        <f aca="false">R154-R153</f>
        <v>152.600611021082</v>
      </c>
      <c r="S167" s="59" t="n">
        <f aca="false">S154-S153</f>
        <v>184.907887567211</v>
      </c>
      <c r="T167" s="59" t="n">
        <f aca="false">T154-T153</f>
        <v>222.879378930564</v>
      </c>
      <c r="U167" s="59" t="n">
        <f aca="false">U154-U153</f>
        <v>266.993682033448</v>
      </c>
      <c r="V167" s="59" t="n">
        <f aca="false">V154-V153</f>
        <v>317.673489744415</v>
      </c>
      <c r="W167" s="59" t="n">
        <f aca="false">W154-W153</f>
        <v>375.318929900985</v>
      </c>
      <c r="X167" s="59" t="n">
        <f aca="false">X154-X153</f>
        <v>440.395999619916</v>
      </c>
      <c r="Y167" s="59" t="n">
        <f aca="false">Y154-Y153</f>
        <v>513.67206315721</v>
      </c>
      <c r="Z167" s="59" t="n">
        <f aca="false">Z154-Z153</f>
        <v>595.772042979868</v>
      </c>
      <c r="AA167" s="59" t="n">
        <f aca="false">AA154-AA153</f>
        <v>1690.09380356965</v>
      </c>
      <c r="AB167" s="59" t="n">
        <f aca="false">AB154-AB153</f>
        <v>5269.20649623728</v>
      </c>
      <c r="AC167" s="59" t="n">
        <f aca="false">AC154-AC153</f>
        <v>12151.1124072588</v>
      </c>
      <c r="AD167" s="59" t="n">
        <f aca="false">AD154-AD153</f>
        <v>22891.3942748681</v>
      </c>
      <c r="AE167" s="59" t="n">
        <f aca="false">AE154-AE153</f>
        <v>37299.8524592803</v>
      </c>
    </row>
    <row r="168" customFormat="false" ht="15" hidden="false" customHeight="false" outlineLevel="0" collapsed="false">
      <c r="A168" s="6" t="s">
        <v>522</v>
      </c>
      <c r="B168" s="23" t="s">
        <v>114</v>
      </c>
      <c r="C168" s="55" t="n">
        <f aca="false">IF(C148=0,0,C156/C148)</f>
        <v>31.3278250354432</v>
      </c>
      <c r="D168" s="55" t="n">
        <f aca="false">IF(D148=0,0,D156/D148)</f>
        <v>47.6424680111073</v>
      </c>
      <c r="E168" s="55" t="n">
        <f aca="false">IF(E148=0,0,E156/E148)</f>
        <v>64.3154103938476</v>
      </c>
      <c r="F168" s="55" t="n">
        <f aca="false">IF(F148=0,0,F156/F148)</f>
        <v>77.8248596196364</v>
      </c>
      <c r="G168" s="55" t="n">
        <f aca="false">IF(G148=0,0,G156/G148)</f>
        <v>94.1050089121244</v>
      </c>
      <c r="H168" s="55" t="n">
        <f aca="false">IF(H148=0,0,H156/H148)</f>
        <v>112.934030059673</v>
      </c>
      <c r="I168" s="55" t="n">
        <f aca="false">IF(I148=0,0,I156/I148)</f>
        <v>131.836980616793</v>
      </c>
      <c r="J168" s="55" t="n">
        <f aca="false">IF(J148=0,0,J156/J148)</f>
        <v>150.396749112734</v>
      </c>
      <c r="K168" s="55" t="n">
        <f aca="false">IF(K148=0,0,K156/K148)</f>
        <v>167.192798357701</v>
      </c>
      <c r="L168" s="55" t="n">
        <f aca="false">IF(L148=0,0,L156/L148)</f>
        <v>178.009157536709</v>
      </c>
      <c r="M168" s="55" t="n">
        <f aca="false">IF(M148=0,0,M156/M148)</f>
        <v>192.153774429332</v>
      </c>
      <c r="N168" s="55" t="n">
        <f aca="false">IF(N148=0,0,N156/N148)</f>
        <v>209.577894438693</v>
      </c>
      <c r="O168" s="55" t="n">
        <f aca="false">IF(O148=0,0,O156/O148)</f>
        <v>198.03680606311</v>
      </c>
      <c r="P168" s="55" t="n">
        <f aca="false">IF(P148=0,0,P156/P148)</f>
        <v>189.789097401618</v>
      </c>
      <c r="Q168" s="55" t="n">
        <f aca="false">IF(Q148=0,0,Q156/Q148)</f>
        <v>190.794871758463</v>
      </c>
      <c r="R168" s="55" t="n">
        <f aca="false">IF(R148=0,0,R156/R148)</f>
        <v>189.138120354977</v>
      </c>
      <c r="S168" s="55" t="n">
        <f aca="false">IF(S148=0,0,S156/S148)</f>
        <v>195.280838738315</v>
      </c>
      <c r="T168" s="55" t="n">
        <f aca="false">IF(T148=0,0,T156/T148)</f>
        <v>207.701341139814</v>
      </c>
      <c r="U168" s="55" t="n">
        <f aca="false">IF(U148=0,0,U156/U148)</f>
        <v>221.520754820252</v>
      </c>
      <c r="V168" s="55" t="n">
        <f aca="false">IF(V148=0,0,V156/V148)</f>
        <v>235.676128118633</v>
      </c>
      <c r="W168" s="55" t="n">
        <f aca="false">IF(W148=0,0,W156/W148)</f>
        <v>247.938690059253</v>
      </c>
      <c r="X168" s="55" t="n">
        <f aca="false">IF(X148=0,0,X156/X148)</f>
        <v>252.455136994756</v>
      </c>
      <c r="Y168" s="55" t="n">
        <f aca="false">IF(Y148=0,0,Y156/Y148)</f>
        <v>261.458511125584</v>
      </c>
      <c r="Z168" s="55" t="n">
        <f aca="false">IF(Z148=0,0,Z156/Z148)</f>
        <v>274.925841249557</v>
      </c>
      <c r="AA168" s="55" t="n">
        <f aca="false">IF(AA148=0,0,AA156/AA148)</f>
        <v>507.11828277856</v>
      </c>
      <c r="AB168" s="55" t="n">
        <f aca="false">IF(AB148=0,0,AB156/AB148)</f>
        <v>663.780320460246</v>
      </c>
      <c r="AC168" s="55" t="n">
        <f aca="false">IF(AC148=0,0,AC156/AC148)</f>
        <v>804.147598793093</v>
      </c>
      <c r="AD168" s="55" t="n">
        <f aca="false">IF(AD148=0,0,AD156/AD148)</f>
        <v>977.083399027146</v>
      </c>
      <c r="AE168" s="55" t="n">
        <f aca="false">IF(AE148=0,0,AE156/AE148)</f>
        <v>1216.42773058504</v>
      </c>
    </row>
    <row r="169" customFormat="false" ht="15" hidden="false" customHeight="false" outlineLevel="0" collapsed="false">
      <c r="A169" s="6" t="s">
        <v>523</v>
      </c>
      <c r="B169" s="23" t="s">
        <v>114</v>
      </c>
      <c r="C169" s="55" t="n">
        <f aca="false">C45*C46+C84*C85+C123*C124</f>
        <v>0</v>
      </c>
      <c r="D169" s="55" t="n">
        <f aca="false">D45*D46+D84*D85+D123*D124</f>
        <v>0</v>
      </c>
      <c r="E169" s="55" t="n">
        <f aca="false">E45*E46+E84*E85+E123*E124</f>
        <v>0</v>
      </c>
      <c r="F169" s="55" t="n">
        <f aca="false">F45*F46+F84*F85+F123*F124</f>
        <v>0</v>
      </c>
      <c r="G169" s="55" t="n">
        <f aca="false">G45*G46+G84*G85+G123*G124</f>
        <v>0</v>
      </c>
      <c r="H169" s="55" t="n">
        <f aca="false">H45*H46+H84*H85+H123*H124</f>
        <v>0</v>
      </c>
      <c r="I169" s="55" t="n">
        <f aca="false">I45*I46+I84*I85+I123*I124</f>
        <v>0</v>
      </c>
      <c r="J169" s="55" t="n">
        <f aca="false">J45*J46+J84*J85+J123*J124</f>
        <v>0</v>
      </c>
      <c r="K169" s="55" t="n">
        <f aca="false">K45*K46+K84*K85+K123*K124</f>
        <v>0</v>
      </c>
      <c r="L169" s="55" t="n">
        <f aca="false">L45*L46+L84*L85+L123*L124</f>
        <v>0</v>
      </c>
      <c r="M169" s="55" t="n">
        <f aca="false">M45*M46+M84*M85+M123*M124</f>
        <v>0</v>
      </c>
      <c r="N169" s="55" t="n">
        <f aca="false">N45*N46+N84*N85+N123*N124</f>
        <v>0</v>
      </c>
      <c r="O169" s="55" t="n">
        <f aca="false">O45*O46+O84*O85+O123*O124</f>
        <v>12935.6793312176</v>
      </c>
      <c r="P169" s="55" t="n">
        <f aca="false">P45*P46+P84*P85+P123*P124</f>
        <v>14663.034884717</v>
      </c>
      <c r="Q169" s="55" t="n">
        <f aca="false">Q45*Q46+Q84*Q85+Q123*Q124</f>
        <v>16896.4859671467</v>
      </c>
      <c r="R169" s="55" t="n">
        <f aca="false">R45*R46+R84*R85+R123*R124</f>
        <v>18875.0932009415</v>
      </c>
      <c r="S169" s="55" t="n">
        <f aca="false">S45*S46+S84*S85+S123*S124</f>
        <v>21844.2941730388</v>
      </c>
      <c r="T169" s="55" t="n">
        <f aca="false">T45*T46+T84*T85+T123*T124</f>
        <v>26570.5662674001</v>
      </c>
      <c r="U169" s="55" t="n">
        <f aca="false">U45*U46+U84*U85+U123*U124</f>
        <v>31595.8576226907</v>
      </c>
      <c r="V169" s="55" t="n">
        <f aca="false">V45*V46+V84*V85+V123*V124</f>
        <v>36645.3842379759</v>
      </c>
      <c r="W169" s="55" t="n">
        <f aca="false">W45*W46+W84*W85+W123*W124</f>
        <v>49808.0217115028</v>
      </c>
      <c r="X169" s="55" t="n">
        <f aca="false">X45*X46+X84*X85+X123*X124</f>
        <v>61896.4005863699</v>
      </c>
      <c r="Y169" s="55" t="n">
        <f aca="false">Y45*Y46+Y84*Y85+Y123*Y124</f>
        <v>75425.6810195245</v>
      </c>
      <c r="Z169" s="55" t="n">
        <f aca="false">Z45*Z46+Z84*Z85+Z123*Z124</f>
        <v>94463.0078507276</v>
      </c>
      <c r="AA169" s="55" t="n">
        <f aca="false">AA45*AA46+AA84*AA85+AA123*AA124</f>
        <v>868199.624902877</v>
      </c>
      <c r="AB169" s="55" t="n">
        <f aca="false">AB45*AB46+AB84*AB85+AB123*AB124</f>
        <v>2096491.20591804</v>
      </c>
      <c r="AC169" s="55" t="n">
        <f aca="false">AC45*AC46+AC84*AC85+AC123*AC124</f>
        <v>4094601.94562441</v>
      </c>
      <c r="AD169" s="55" t="n">
        <f aca="false">AD45*AD46+AD84*AD85+AD123*AD124</f>
        <v>7091663.27941726</v>
      </c>
      <c r="AE169" s="55" t="n">
        <f aca="false">AE45*AE46+AE84*AE85+AE123*AE124</f>
        <v>11364215.4710321</v>
      </c>
    </row>
    <row r="170" customFormat="false" ht="15" hidden="false" customHeight="false" outlineLevel="0" collapsed="false">
      <c r="A170" s="6" t="s">
        <v>524</v>
      </c>
      <c r="B170" s="23" t="s">
        <v>449</v>
      </c>
      <c r="C170" s="60" t="n">
        <f aca="false">IF(C169=0,0,((C50+C89+C128)/C7)/C169)</f>
        <v>0</v>
      </c>
      <c r="D170" s="60" t="n">
        <f aca="false">IF(D169=0,0,((D50+D89+D128)/D7)/D169)</f>
        <v>0</v>
      </c>
      <c r="E170" s="60" t="n">
        <f aca="false">IF(E169=0,0,((E50+E89+E128)/E7)/E169)</f>
        <v>0</v>
      </c>
      <c r="F170" s="60" t="n">
        <f aca="false">IF(F169=0,0,((F50+F89+F128)/F7)/F169)</f>
        <v>0</v>
      </c>
      <c r="G170" s="60" t="n">
        <f aca="false">IF(G169=0,0,((G50+G89+G128)/G7)/G169)</f>
        <v>0</v>
      </c>
      <c r="H170" s="60" t="n">
        <f aca="false">IF(H169=0,0,((H50+H89+H128)/H7)/H169)</f>
        <v>0</v>
      </c>
      <c r="I170" s="60" t="n">
        <f aca="false">IF(I169=0,0,((I50+I89+I128)/I7)/I169)</f>
        <v>0</v>
      </c>
      <c r="J170" s="60" t="n">
        <f aca="false">IF(J169=0,0,((J50+J89+J128)/J7)/J169)</f>
        <v>0</v>
      </c>
      <c r="K170" s="60" t="n">
        <f aca="false">IF(K169=0,0,((K50+K89+K128)/K7)/K169)</f>
        <v>0</v>
      </c>
      <c r="L170" s="60" t="n">
        <f aca="false">IF(L169=0,0,((L50+L89+L128)/L7)/L169)</f>
        <v>0</v>
      </c>
      <c r="M170" s="60" t="n">
        <f aca="false">IF(M169=0,0,((M50+M89+M128)/M7)/M169)</f>
        <v>0</v>
      </c>
      <c r="N170" s="60" t="n">
        <f aca="false">IF(N169=0,0,((N50+N89+N128)/N7)/N169)</f>
        <v>0</v>
      </c>
      <c r="O170" s="60" t="n">
        <f aca="false">IF(O169=0,0,((O50+O89+O128)/O7)/O169)</f>
        <v>0.09625</v>
      </c>
      <c r="P170" s="60" t="n">
        <f aca="false">IF(P169=0,0,((P50+P89+P128)/P7)/P169)</f>
        <v>0.0875</v>
      </c>
      <c r="Q170" s="60" t="n">
        <f aca="false">IF(Q169=0,0,((Q50+Q89+Q128)/Q7)/Q169)</f>
        <v>0.08575</v>
      </c>
      <c r="R170" s="60" t="n">
        <f aca="false">IF(R169=0,0,((R50+R89+R128)/R7)/R169)</f>
        <v>0.08575</v>
      </c>
      <c r="S170" s="60" t="n">
        <f aca="false">IF(S169=0,0,((S50+S89+S128)/S7)/S169)</f>
        <v>0.0875</v>
      </c>
      <c r="T170" s="60" t="n">
        <f aca="false">IF(T169=0,0,((T50+T89+T128)/T7)/T169)</f>
        <v>0.083125</v>
      </c>
      <c r="U170" s="60" t="n">
        <f aca="false">IF(U169=0,0,((U50+U89+U128)/U7)/U169)</f>
        <v>0.077</v>
      </c>
      <c r="V170" s="60" t="n">
        <f aca="false">IF(V169=0,0,((V50+V89+V128)/V7)/V169)</f>
        <v>0.07875</v>
      </c>
      <c r="W170" s="60" t="n">
        <f aca="false">IF(W169=0,0,((W50+W89+W128)/W7)/W169)</f>
        <v>0.0875</v>
      </c>
      <c r="X170" s="60" t="n">
        <f aca="false">IF(X169=0,0,((X50+X89+X128)/X7)/X169)</f>
        <v>0.08925</v>
      </c>
      <c r="Y170" s="60" t="n">
        <f aca="false">IF(Y169=0,0,((Y50+Y89+Y128)/Y7)/Y169)</f>
        <v>0.091875</v>
      </c>
      <c r="Z170" s="60" t="n">
        <f aca="false">IF(Z169=0,0,((Z50+Z89+Z128)/Z7)/Z169)</f>
        <v>0.09975</v>
      </c>
      <c r="AA170" s="60" t="n">
        <f aca="false">IF(AA169=0,0,((AA50+AA89+AA128)/AA7)/AA169)</f>
        <v>0.0875</v>
      </c>
      <c r="AB170" s="60" t="n">
        <f aca="false">IF(AB169=0,0,((AB50+AB89+AB128)/AB7)/AB169)</f>
        <v>0.0875</v>
      </c>
      <c r="AC170" s="60" t="n">
        <f aca="false">IF(AC169=0,0,((AC50+AC89+AC128)/AC7)/AC169)</f>
        <v>0.0875</v>
      </c>
      <c r="AD170" s="60" t="n">
        <f aca="false">IF(AD169=0,0,((AD50+AD89+AD128)/AD7)/AD169)</f>
        <v>0.0875</v>
      </c>
      <c r="AE170" s="60" t="n">
        <f aca="false">IF(AE169=0,0,((AE50+AE89+AE128)/AE7)/AE169)</f>
        <v>0.0875</v>
      </c>
    </row>
    <row r="172" customFormat="false" ht="15" hidden="false" customHeight="false" outlineLevel="0" collapsed="false">
      <c r="A172" s="6" t="s">
        <v>117</v>
      </c>
      <c r="B172" s="23" t="s">
        <v>114</v>
      </c>
      <c r="C172" s="55" t="n">
        <f aca="false">C53+C92+C131</f>
        <v>391.117663509693</v>
      </c>
      <c r="D172" s="55" t="n">
        <f aca="false">D53+D92+D131</f>
        <v>743.441533946926</v>
      </c>
      <c r="E172" s="55" t="n">
        <f aca="false">E53+E92+E131</f>
        <v>1062.78529592104</v>
      </c>
      <c r="F172" s="55" t="n">
        <f aca="false">F53+F92+F131</f>
        <v>1455.01680379848</v>
      </c>
      <c r="G172" s="55" t="n">
        <f aca="false">G53+G92+G131</f>
        <v>1785.20739824728</v>
      </c>
      <c r="H172" s="55" t="n">
        <f aca="false">H53+H92+H131</f>
        <v>2037.2758806589</v>
      </c>
      <c r="I172" s="55" t="n">
        <f aca="false">I53+I92+I131</f>
        <v>2265.2184589206</v>
      </c>
      <c r="J172" s="55" t="n">
        <f aca="false">J53+J92+J131</f>
        <v>2481.77000275631</v>
      </c>
      <c r="K172" s="55" t="n">
        <f aca="false">K53+K92+K131</f>
        <v>2718.19750290084</v>
      </c>
      <c r="L172" s="55" t="n">
        <f aca="false">L53+L92+L131</f>
        <v>3065.48417380096</v>
      </c>
      <c r="M172" s="55" t="n">
        <f aca="false">M53+M92+M131</f>
        <v>3356.92081296287</v>
      </c>
      <c r="N172" s="55" t="n">
        <f aca="false">N53+N92+N131</f>
        <v>3580.07691539052</v>
      </c>
      <c r="O172" s="55" t="n">
        <f aca="false">O53+O92+O131</f>
        <v>4793.08368605366</v>
      </c>
      <c r="P172" s="55" t="n">
        <f aca="false">P53+P92+P131</f>
        <v>5908.28338027476</v>
      </c>
      <c r="Q172" s="55" t="n">
        <f aca="false">Q53+Q92+Q131</f>
        <v>6938.90813394099</v>
      </c>
      <c r="R172" s="55" t="n">
        <f aca="false">R53+R92+R131</f>
        <v>8278.12685952212</v>
      </c>
      <c r="S172" s="55" t="n">
        <f aca="false">S53+S92+S131</f>
        <v>9426.08960474313</v>
      </c>
      <c r="T172" s="55" t="n">
        <f aca="false">T53+T92+T131</f>
        <v>10303.9066532203</v>
      </c>
      <c r="U172" s="55" t="n">
        <f aca="false">U53+U92+U131</f>
        <v>11110.6715650194</v>
      </c>
      <c r="V172" s="55" t="n">
        <f aca="false">V53+V92+V131</f>
        <v>11893.5741593741</v>
      </c>
      <c r="W172" s="55" t="n">
        <f aca="false">W53+W92+W131</f>
        <v>12778.8719623681</v>
      </c>
      <c r="X172" s="55" t="n">
        <f aca="false">X53+X92+X131</f>
        <v>14148.8150312871</v>
      </c>
      <c r="Y172" s="55" t="n">
        <f aca="false">Y53+Y92+Y131</f>
        <v>15328.2449586272</v>
      </c>
      <c r="Z172" s="55" t="n">
        <f aca="false">Z53+Z92+Z131</f>
        <v>16248.7593821359</v>
      </c>
      <c r="AA172" s="55" t="n">
        <f aca="false">AA53+AA92+AA131</f>
        <v>372337.92343287</v>
      </c>
      <c r="AB172" s="55" t="n">
        <f aca="false">AB53+AB92+AB131</f>
        <v>605536.71741992</v>
      </c>
      <c r="AC172" s="55" t="n">
        <f aca="false">AC53+AC92+AC131</f>
        <v>869531.012354416</v>
      </c>
      <c r="AD172" s="55" t="n">
        <f aca="false">AD53+AD92+AD131</f>
        <v>1078972.99760021</v>
      </c>
      <c r="AE172" s="55" t="n">
        <f aca="false">AE53+AE92+AE131</f>
        <v>1164459.52217361</v>
      </c>
    </row>
    <row r="173" customFormat="false" ht="15" hidden="false" customHeight="false" outlineLevel="0" collapsed="false">
      <c r="A173" s="6" t="s">
        <v>120</v>
      </c>
      <c r="B173" s="23" t="s">
        <v>114</v>
      </c>
      <c r="C173" s="55" t="n">
        <f aca="false">C54+C93+C132</f>
        <v>29.751025923767</v>
      </c>
      <c r="D173" s="55" t="n">
        <f aca="false">D54+D93+D132</f>
        <v>56.5532994307766</v>
      </c>
      <c r="E173" s="55" t="n">
        <f aca="false">E54+E93+E132</f>
        <v>80.8486563667288</v>
      </c>
      <c r="F173" s="55" t="n">
        <f aca="false">F54+F93+F132</f>
        <v>110.691512538695</v>
      </c>
      <c r="G173" s="55" t="n">
        <f aca="false">G54+G93+G132</f>
        <v>135.816721661515</v>
      </c>
      <c r="H173" s="55" t="n">
        <f aca="false">H54+H93+H132</f>
        <v>154.999605098433</v>
      </c>
      <c r="I173" s="55" t="n">
        <f aca="false">I54+I93+I132</f>
        <v>172.348193302246</v>
      </c>
      <c r="J173" s="55" t="n">
        <f aca="false">J54+J93+J132</f>
        <v>188.83142230981</v>
      </c>
      <c r="K173" s="55" t="n">
        <f aca="false">K54+K93+K132</f>
        <v>206.828969633334</v>
      </c>
      <c r="L173" s="55" t="n">
        <f aca="false">L54+L93+L132</f>
        <v>233.26654805063</v>
      </c>
      <c r="M173" s="55" t="n">
        <f aca="false">M54+M93+M132</f>
        <v>255.45604782699</v>
      </c>
      <c r="N173" s="55" t="n">
        <f aca="false">N54+N93+N132</f>
        <v>272.450153239912</v>
      </c>
      <c r="O173" s="55" t="n">
        <f aca="false">O54+O93+O132</f>
        <v>365.252598064191</v>
      </c>
      <c r="P173" s="55" t="n">
        <f aca="false">P54+P93+P132</f>
        <v>450.603094628631</v>
      </c>
      <c r="Q173" s="55" t="n">
        <f aca="false">Q54+Q93+Q132</f>
        <v>529.510490787603</v>
      </c>
      <c r="R173" s="55" t="n">
        <f aca="false">R54+R93+R132</f>
        <v>632.056934177997</v>
      </c>
      <c r="S173" s="55" t="n">
        <f aca="false">S54+S93+S132</f>
        <v>720.007220437696</v>
      </c>
      <c r="T173" s="55" t="n">
        <f aca="false">T54+T93+T132</f>
        <v>787.309244116775</v>
      </c>
      <c r="U173" s="55" t="n">
        <f aca="false">U54+U93+U132</f>
        <v>849.195845210995</v>
      </c>
      <c r="V173" s="55" t="n">
        <f aca="false">V54+V93+V132</f>
        <v>909.279635037379</v>
      </c>
      <c r="W173" s="55" t="n">
        <f aca="false">W54+W93+W132</f>
        <v>977.237030156217</v>
      </c>
      <c r="X173" s="55" t="n">
        <f aca="false">X54+X93+X132</f>
        <v>1082.38281909407</v>
      </c>
      <c r="Y173" s="55" t="n">
        <f aca="false">Y54+Y93+Y132</f>
        <v>1172.98301573145</v>
      </c>
      <c r="Z173" s="55" t="n">
        <f aca="false">Z54+Z93+Z132</f>
        <v>1243.77367461072</v>
      </c>
      <c r="AA173" s="55" t="n">
        <f aca="false">AA54+AA93+AA132</f>
        <v>28721.6704419004</v>
      </c>
      <c r="AB173" s="55" t="n">
        <f aca="false">AB54+AB93+AB132</f>
        <v>46988.2201591933</v>
      </c>
      <c r="AC173" s="55" t="n">
        <f aca="false">AC54+AC93+AC132</f>
        <v>68029.9909833698</v>
      </c>
      <c r="AD173" s="55" t="n">
        <f aca="false">AD54+AD93+AD132</f>
        <v>85336.4431777994</v>
      </c>
      <c r="AE173" s="55" t="n">
        <f aca="false">AE54+AE93+AE132</f>
        <v>93518.4402319574</v>
      </c>
    </row>
    <row r="174" customFormat="false" ht="15" hidden="false" customHeight="false" outlineLevel="0" collapsed="false">
      <c r="A174" s="6" t="s">
        <v>126</v>
      </c>
      <c r="B174" s="23" t="s">
        <v>114</v>
      </c>
      <c r="C174" s="55" t="n">
        <f aca="false">C55+C94+C133</f>
        <v>0</v>
      </c>
      <c r="D174" s="55" t="n">
        <f aca="false">D55+D94+D133</f>
        <v>0</v>
      </c>
      <c r="E174" s="55" t="n">
        <f aca="false">E55+E94+E133</f>
        <v>0</v>
      </c>
      <c r="F174" s="55" t="n">
        <f aca="false">F55+F94+F133</f>
        <v>0</v>
      </c>
      <c r="G174" s="55" t="n">
        <f aca="false">G55+G94+G133</f>
        <v>0</v>
      </c>
      <c r="H174" s="55" t="n">
        <f aca="false">H55+H94+H133</f>
        <v>0</v>
      </c>
      <c r="I174" s="55" t="n">
        <f aca="false">I55+I94+I133</f>
        <v>0</v>
      </c>
      <c r="J174" s="55" t="n">
        <f aca="false">J55+J94+J133</f>
        <v>0</v>
      </c>
      <c r="K174" s="55" t="n">
        <f aca="false">K55+K94+K133</f>
        <v>0</v>
      </c>
      <c r="L174" s="55" t="n">
        <f aca="false">L55+L94+L133</f>
        <v>0</v>
      </c>
      <c r="M174" s="55" t="n">
        <f aca="false">M55+M94+M133</f>
        <v>0</v>
      </c>
      <c r="N174" s="55" t="n">
        <f aca="false">N55+N94+N133</f>
        <v>0</v>
      </c>
      <c r="O174" s="55" t="n">
        <f aca="false">O55+O94+O133</f>
        <v>6.27509804357367</v>
      </c>
      <c r="P174" s="55" t="n">
        <f aca="false">P55+P94+P133</f>
        <v>6.46639838416021</v>
      </c>
      <c r="Q174" s="55" t="n">
        <f aca="false">Q55+Q94+Q133</f>
        <v>7.30232330528144</v>
      </c>
      <c r="R174" s="55" t="n">
        <f aca="false">R55+R94+R133</f>
        <v>8.1574377795829</v>
      </c>
      <c r="S174" s="55" t="n">
        <f aca="false">S55+S94+S133</f>
        <v>9.63333373031012</v>
      </c>
      <c r="T174" s="55" t="n">
        <f aca="false">T55+T94+T133</f>
        <v>11.1317387377273</v>
      </c>
      <c r="U174" s="55" t="n">
        <f aca="false">U55+U94+U133</f>
        <v>12.2617204262138</v>
      </c>
      <c r="V174" s="55" t="n">
        <f aca="false">V55+V94+V133</f>
        <v>14.5445530040526</v>
      </c>
      <c r="W174" s="55" t="n">
        <f aca="false">W55+W94+W133</f>
        <v>21.9653375747727</v>
      </c>
      <c r="X174" s="55" t="n">
        <f aca="false">X55+X94+X133</f>
        <v>27.8422389117609</v>
      </c>
      <c r="Y174" s="55" t="n">
        <f aca="false">Y55+Y94+Y133</f>
        <v>34.9258615960908</v>
      </c>
      <c r="Z174" s="55" t="n">
        <f aca="false">Z55+Z94+Z133</f>
        <v>47.4903325668748</v>
      </c>
      <c r="AA174" s="55" t="n">
        <f aca="false">AA55+AA94+AA133</f>
        <v>4594.51241498603</v>
      </c>
      <c r="AB174" s="55" t="n">
        <f aca="false">AB55+AB94+AB133</f>
        <v>11094.6314617182</v>
      </c>
      <c r="AC174" s="55" t="n">
        <f aca="false">AC55+AC94+AC133</f>
        <v>21668.6334962444</v>
      </c>
      <c r="AD174" s="55" t="n">
        <f aca="false">AD55+AD94+AD133</f>
        <v>37529.0820746761</v>
      </c>
      <c r="AE174" s="55" t="n">
        <f aca="false">AE55+AE94+AE133</f>
        <v>60139.4282727017</v>
      </c>
    </row>
    <row r="175" customFormat="false" ht="15" hidden="false" customHeight="false" outlineLevel="0" collapsed="false">
      <c r="A175" s="6" t="s">
        <v>124</v>
      </c>
      <c r="B175" s="23" t="s">
        <v>114</v>
      </c>
      <c r="C175" s="55" t="n">
        <f aca="false">C57+C96+C135</f>
        <v>0</v>
      </c>
      <c r="D175" s="55" t="n">
        <f aca="false">D57+D96+D135</f>
        <v>0</v>
      </c>
      <c r="E175" s="55" t="n">
        <f aca="false">E57+E96+E135</f>
        <v>0</v>
      </c>
      <c r="F175" s="55" t="n">
        <f aca="false">F57+F96+F135</f>
        <v>0</v>
      </c>
      <c r="G175" s="55" t="n">
        <f aca="false">G57+G96+G135</f>
        <v>0</v>
      </c>
      <c r="H175" s="55" t="n">
        <f aca="false">H57+H96+H135</f>
        <v>0</v>
      </c>
      <c r="I175" s="55" t="n">
        <f aca="false">I57+I96+I135</f>
        <v>49.8460957172272</v>
      </c>
      <c r="J175" s="55" t="n">
        <f aca="false">J57+J96+J135</f>
        <v>96.097666216821</v>
      </c>
      <c r="K175" s="55" t="n">
        <f aca="false">K57+K96+K135</f>
        <v>143.692708864281</v>
      </c>
      <c r="L175" s="55" t="n">
        <f aca="false">L57+L96+L135</f>
        <v>206.552867705933</v>
      </c>
      <c r="M175" s="55" t="n">
        <f aca="false">M57+M96+M135</f>
        <v>258.998348798022</v>
      </c>
      <c r="N175" s="55" t="n">
        <f aca="false">N57+N96+N135</f>
        <v>299.461788742774</v>
      </c>
      <c r="O175" s="55" t="n">
        <f aca="false">O57+O96+O135</f>
        <v>492.24145794303</v>
      </c>
      <c r="P175" s="55" t="n">
        <f aca="false">P57+P96+P135</f>
        <v>665.309915454368</v>
      </c>
      <c r="Q175" s="55" t="n">
        <f aca="false">Q57+Q96+Q135</f>
        <v>821.377462137478</v>
      </c>
      <c r="R175" s="55" t="n">
        <f aca="false">R57+R96+R135</f>
        <v>1021.70340357398</v>
      </c>
      <c r="S175" s="55" t="n">
        <f aca="false">S57+S96+S135</f>
        <v>1188.29908193634</v>
      </c>
      <c r="T175" s="55" t="n">
        <f aca="false">T57+T96+T135</f>
        <v>1309.95454789656</v>
      </c>
      <c r="U175" s="55" t="n">
        <f aca="false">U57+U96+U135</f>
        <v>1418.57052452359</v>
      </c>
      <c r="V175" s="55" t="n">
        <f aca="false">V57+V96+V135</f>
        <v>1521.82457540763</v>
      </c>
      <c r="W175" s="55" t="n">
        <f aca="false">W57+W96+W135</f>
        <v>1639.40401687041</v>
      </c>
      <c r="X175" s="55" t="n">
        <f aca="false">X57+X96+X135</f>
        <v>1830.04648566793</v>
      </c>
      <c r="Y175" s="55" t="n">
        <f aca="false">Y57+Y96+Y135</f>
        <v>1987.98497130536</v>
      </c>
      <c r="Z175" s="55" t="n">
        <f aca="false">Z57+Z96+Z135</f>
        <v>2103.56461886099</v>
      </c>
      <c r="AA175" s="55" t="n">
        <f aca="false">AA57+AA96+AA135</f>
        <v>46201.7263440061</v>
      </c>
      <c r="AB175" s="55" t="n">
        <f aca="false">AB57+AB96+AB135</f>
        <v>73114.2105116155</v>
      </c>
      <c r="AC175" s="55" t="n">
        <f aca="false">AC57+AC96+AC135</f>
        <v>102387.837499778</v>
      </c>
      <c r="AD175" s="55" t="n">
        <f aca="false">AD57+AD96+AD135</f>
        <v>122896.507201377</v>
      </c>
      <c r="AE175" s="55" t="n">
        <f aca="false">AE57+AE96+AE135</f>
        <v>127019.739578721</v>
      </c>
    </row>
    <row r="176" customFormat="false" ht="15" hidden="false" customHeight="false" outlineLevel="0" collapsed="false">
      <c r="A176" s="6" t="s">
        <v>128</v>
      </c>
      <c r="B176" s="23" t="s">
        <v>114</v>
      </c>
      <c r="C176" s="55" t="n">
        <f aca="false">C58+C97+C136</f>
        <v>0</v>
      </c>
      <c r="D176" s="55" t="n">
        <f aca="false">D58+D97+D136</f>
        <v>0</v>
      </c>
      <c r="E176" s="55" t="n">
        <f aca="false">E58+E97+E136</f>
        <v>0</v>
      </c>
      <c r="F176" s="55" t="n">
        <f aca="false">F58+F97+F136</f>
        <v>0</v>
      </c>
      <c r="G176" s="55" t="n">
        <f aca="false">G58+G97+G136</f>
        <v>0</v>
      </c>
      <c r="H176" s="55" t="n">
        <f aca="false">H58+H97+H136</f>
        <v>0</v>
      </c>
      <c r="I176" s="55" t="n">
        <f aca="false">I58+I97+I136</f>
        <v>0</v>
      </c>
      <c r="J176" s="55" t="n">
        <f aca="false">J58+J97+J136</f>
        <v>0</v>
      </c>
      <c r="K176" s="55" t="n">
        <f aca="false">K58+K97+K136</f>
        <v>0</v>
      </c>
      <c r="L176" s="55" t="n">
        <f aca="false">L58+L97+L136</f>
        <v>0</v>
      </c>
      <c r="M176" s="55" t="n">
        <f aca="false">M58+M97+M136</f>
        <v>0</v>
      </c>
      <c r="N176" s="55" t="n">
        <f aca="false">N58+N97+N136</f>
        <v>0</v>
      </c>
      <c r="O176" s="55" t="n">
        <f aca="false">O58+O97+O136</f>
        <v>436.816256756109</v>
      </c>
      <c r="P176" s="55" t="n">
        <f aca="false">P58+P97+P136</f>
        <v>511.311947152971</v>
      </c>
      <c r="Q176" s="55" t="n">
        <f aca="false">Q58+Q97+Q136</f>
        <v>583.858513472843</v>
      </c>
      <c r="R176" s="55" t="n">
        <f aca="false">R58+R97+R136</f>
        <v>656.908396442744</v>
      </c>
      <c r="S176" s="55" t="n">
        <f aca="false">S58+S97+S136</f>
        <v>737.455504413594</v>
      </c>
      <c r="T176" s="55" t="n">
        <f aca="false">T58+T97+T136</f>
        <v>852.235563356146</v>
      </c>
      <c r="U176" s="55" t="n">
        <f aca="false">U58+U97+U136</f>
        <v>952.994187815089</v>
      </c>
      <c r="V176" s="55" t="n">
        <f aca="false">V58+V97+V136</f>
        <v>1040.36867078755</v>
      </c>
      <c r="W176" s="55" t="n">
        <f aca="false">W58+W97+W136</f>
        <v>1347.48474551165</v>
      </c>
      <c r="X176" s="55" t="n">
        <f aca="false">X58+X97+X136</f>
        <v>1659.63147317688</v>
      </c>
      <c r="Y176" s="55" t="n">
        <f aca="false">Y58+Y97+Y136</f>
        <v>1959.90920480287</v>
      </c>
      <c r="Z176" s="55" t="n">
        <f aca="false">Z58+Z97+Z136</f>
        <v>2336.24972360817</v>
      </c>
      <c r="AA176" s="55" t="n">
        <f aca="false">AA58+AA97+AA136</f>
        <v>144166.463702563</v>
      </c>
      <c r="AB176" s="55" t="n">
        <f aca="false">AB58+AB97+AB136</f>
        <v>269608.797326508</v>
      </c>
      <c r="AC176" s="55" t="n">
        <f aca="false">AC58+AC97+AC136</f>
        <v>439769.857282121</v>
      </c>
      <c r="AD176" s="55" t="n">
        <f aca="false">AD58+AD97+AD136</f>
        <v>635265.522997427</v>
      </c>
      <c r="AE176" s="55" t="n">
        <f aca="false">AE58+AE97+AE136</f>
        <v>830508.260513189</v>
      </c>
    </row>
    <row r="177" customFormat="false" ht="15" hidden="false" customHeight="false" outlineLevel="0" collapsed="false">
      <c r="A177" s="6" t="s">
        <v>130</v>
      </c>
      <c r="B177" s="23" t="s">
        <v>114</v>
      </c>
      <c r="C177" s="55" t="n">
        <f aca="false">C60+C99+C138</f>
        <v>0</v>
      </c>
      <c r="D177" s="55" t="n">
        <f aca="false">D60+D99+D138</f>
        <v>0</v>
      </c>
      <c r="E177" s="55" t="n">
        <f aca="false">E60+E99+E138</f>
        <v>0</v>
      </c>
      <c r="F177" s="55" t="n">
        <f aca="false">F60+F99+F138</f>
        <v>0</v>
      </c>
      <c r="G177" s="55" t="n">
        <f aca="false">G60+G99+G138</f>
        <v>0</v>
      </c>
      <c r="H177" s="55" t="n">
        <f aca="false">H60+H99+H138</f>
        <v>0</v>
      </c>
      <c r="I177" s="55" t="n">
        <f aca="false">I60+I99+I138</f>
        <v>0</v>
      </c>
      <c r="J177" s="55" t="n">
        <f aca="false">J60+J99+J138</f>
        <v>0</v>
      </c>
      <c r="K177" s="55" t="n">
        <f aca="false">K60+K99+K138</f>
        <v>0</v>
      </c>
      <c r="L177" s="55" t="n">
        <f aca="false">L60+L99+L138</f>
        <v>0</v>
      </c>
      <c r="M177" s="55" t="n">
        <f aca="false">M60+M99+M138</f>
        <v>0</v>
      </c>
      <c r="N177" s="55" t="n">
        <f aca="false">N60+N99+N138</f>
        <v>0</v>
      </c>
      <c r="O177" s="55" t="n">
        <f aca="false">O60+O99+O138</f>
        <v>6.4516700664448</v>
      </c>
      <c r="P177" s="55" t="n">
        <f aca="false">P60+P99+P138</f>
        <v>7.31318864875262</v>
      </c>
      <c r="Q177" s="55" t="n">
        <f aca="false">Q60+Q99+Q138</f>
        <v>8.4271223761144</v>
      </c>
      <c r="R177" s="55" t="n">
        <f aca="false">R60+R99+R138</f>
        <v>9.41395273396957</v>
      </c>
      <c r="S177" s="55" t="n">
        <f aca="false">S60+S99+S138</f>
        <v>10.8948417188031</v>
      </c>
      <c r="T177" s="55" t="n">
        <f aca="false">T60+T99+T138</f>
        <v>13.2520699258658</v>
      </c>
      <c r="U177" s="55" t="n">
        <f aca="false">U60+U99+U138</f>
        <v>15.758433989317</v>
      </c>
      <c r="V177" s="55" t="n">
        <f aca="false">V60+V99+V138</f>
        <v>18.2768853886905</v>
      </c>
      <c r="W177" s="55" t="n">
        <f aca="false">W60+W99+W138</f>
        <v>24.841750828612</v>
      </c>
      <c r="X177" s="55" t="n">
        <f aca="false">X60+X99+X138</f>
        <v>30.870829792452</v>
      </c>
      <c r="Y177" s="55" t="n">
        <f aca="false">Y60+Y99+Y138</f>
        <v>37.6185584084878</v>
      </c>
      <c r="Z177" s="55" t="n">
        <f aca="false">Z60+Z99+Z138</f>
        <v>47.1134251655504</v>
      </c>
      <c r="AA177" s="55" t="n">
        <f aca="false">AA60+AA99+AA138</f>
        <v>5196.17475504372</v>
      </c>
      <c r="AB177" s="55" t="n">
        <f aca="false">AB60+AB99+AB138</f>
        <v>12547.4998674194</v>
      </c>
      <c r="AC177" s="55" t="n">
        <f aca="false">AC60+AC99+AC138</f>
        <v>24506.1926445621</v>
      </c>
      <c r="AD177" s="55" t="n">
        <f aca="false">AD60+AD99+AD138</f>
        <v>42443.6047273123</v>
      </c>
      <c r="AE177" s="55" t="n">
        <f aca="false">AE60+AE99+AE138</f>
        <v>68014.829594127</v>
      </c>
    </row>
    <row r="178" customFormat="false" ht="15" hidden="false" customHeight="false" outlineLevel="0" collapsed="false">
      <c r="A178" s="6" t="s">
        <v>525</v>
      </c>
      <c r="B178" s="23" t="s">
        <v>491</v>
      </c>
      <c r="C178" s="45" t="n">
        <f aca="false">C61+C100+C139</f>
        <v>1.30814551913446</v>
      </c>
      <c r="D178" s="45" t="n">
        <f aca="false">D61+D100+D139</f>
        <v>2.58675306167188</v>
      </c>
      <c r="E178" s="45" t="n">
        <f aca="false">E61+E100+E139</f>
        <v>3.84532758451489</v>
      </c>
      <c r="F178" s="45" t="n">
        <f aca="false">F61+F100+F139</f>
        <v>5.42948684849851</v>
      </c>
      <c r="G178" s="45" t="n">
        <f aca="false">G61+G100+G139</f>
        <v>6.90664072243681</v>
      </c>
      <c r="H178" s="45" t="n">
        <f aca="false">H61+H100+H139</f>
        <v>8.20711921134805</v>
      </c>
      <c r="I178" s="45" t="n">
        <f aca="false">I61+I100+I139</f>
        <v>9.4914888654283</v>
      </c>
      <c r="J178" s="45" t="n">
        <f aca="false">J61+J100+J139</f>
        <v>10.7961561534234</v>
      </c>
      <c r="K178" s="45" t="n">
        <f aca="false">K61+K100+K139</f>
        <v>12.222761141226</v>
      </c>
      <c r="L178" s="45" t="n">
        <f aca="false">L61+L100+L139</f>
        <v>14.0806402241137</v>
      </c>
      <c r="M178" s="45" t="n">
        <f aca="false">M61+M100+M139</f>
        <v>15.8407051030053</v>
      </c>
      <c r="N178" s="45" t="n">
        <f aca="false">N61+N100+N139</f>
        <v>17.4470880900082</v>
      </c>
      <c r="O178" s="45" t="n">
        <f aca="false">O61+O100+O139</f>
        <v>22.4786493909802</v>
      </c>
      <c r="P178" s="45" t="n">
        <f aca="false">P61+P100+P139</f>
        <v>27.4939635137418</v>
      </c>
      <c r="Q178" s="45" t="n">
        <f aca="false">Q61+Q100+Q139</f>
        <v>32.5124331484969</v>
      </c>
      <c r="R178" s="45" t="n">
        <f aca="false">R61+R100+R139</f>
        <v>38.8432450770324</v>
      </c>
      <c r="S178" s="45" t="n">
        <f aca="false">S61+S100+S139</f>
        <v>44.8740180489433</v>
      </c>
      <c r="T178" s="45" t="n">
        <f aca="false">T61+T100+T139</f>
        <v>50.2880625958323</v>
      </c>
      <c r="U178" s="45" t="n">
        <f aca="false">U61+U100+U139</f>
        <v>55.6893647853302</v>
      </c>
      <c r="V178" s="45" t="n">
        <f aca="false">V61+V100+V139</f>
        <v>61.2192366475133</v>
      </c>
      <c r="W178" s="45" t="n">
        <f aca="false">W61+W100+W139</f>
        <v>67.2988878611282</v>
      </c>
      <c r="X178" s="45" t="n">
        <f aca="false">X61+X100+X139</f>
        <v>75.2488149546821</v>
      </c>
      <c r="Y178" s="45" t="n">
        <f aca="false">Y61+Y100+Y139</f>
        <v>82.9089521953463</v>
      </c>
      <c r="Z178" s="45" t="n">
        <f aca="false">Z61+Z100+Z139</f>
        <v>89.9983923144912</v>
      </c>
      <c r="AA178" s="45" t="n">
        <f aca="false">AA61+AA100+AA139</f>
        <v>2591.92136435562</v>
      </c>
      <c r="AB178" s="45" t="n">
        <f aca="false">AB61+AB100+AB139</f>
        <v>4943.7330569372</v>
      </c>
      <c r="AC178" s="45" t="n">
        <f aca="false">AC61+AC100+AC139</f>
        <v>8180.54942662806</v>
      </c>
      <c r="AD178" s="45" t="n">
        <f aca="false">AD61+AD100+AD139</f>
        <v>11963.6497746372</v>
      </c>
      <c r="AE178" s="45" t="n">
        <f aca="false">AE61+AE100+AE139</f>
        <v>15765.7267337119</v>
      </c>
    </row>
    <row r="179" customFormat="false" ht="15" hidden="false" customHeight="false" outlineLevel="0" collapsed="false">
      <c r="A179" s="6" t="s">
        <v>526</v>
      </c>
      <c r="B179" s="23" t="s">
        <v>491</v>
      </c>
      <c r="C179" s="45" t="n">
        <f aca="false">C52+C91+C130</f>
        <v>0</v>
      </c>
      <c r="D179" s="45" t="n">
        <f aca="false">D52+D91+D130</f>
        <v>0</v>
      </c>
      <c r="E179" s="45" t="n">
        <f aca="false">E52+E91+E130</f>
        <v>0</v>
      </c>
      <c r="F179" s="45" t="n">
        <f aca="false">F52+F91+F130</f>
        <v>0</v>
      </c>
      <c r="G179" s="45" t="n">
        <f aca="false">G52+G91+G130</f>
        <v>0</v>
      </c>
      <c r="H179" s="45" t="n">
        <f aca="false">H52+H91+H130</f>
        <v>0</v>
      </c>
      <c r="I179" s="45" t="n">
        <f aca="false">I52+I91+I130</f>
        <v>0</v>
      </c>
      <c r="J179" s="45" t="n">
        <f aca="false">J52+J91+J130</f>
        <v>0</v>
      </c>
      <c r="K179" s="45" t="n">
        <f aca="false">K52+K91+K130</f>
        <v>0</v>
      </c>
      <c r="L179" s="45" t="n">
        <f aca="false">L52+L91+L130</f>
        <v>0</v>
      </c>
      <c r="M179" s="45" t="n">
        <f aca="false">M52+M91+M130</f>
        <v>0</v>
      </c>
      <c r="N179" s="45" t="n">
        <f aca="false">N52+N91+N130</f>
        <v>0</v>
      </c>
      <c r="O179" s="45" t="n">
        <f aca="false">O52+O91+O130</f>
        <v>95.0366060478943</v>
      </c>
      <c r="P179" s="45" t="n">
        <f aca="false">P52+P91+P130</f>
        <v>111.44197279353</v>
      </c>
      <c r="Q179" s="45" t="n">
        <f aca="false">Q52+Q91+Q130</f>
        <v>127.272049060415</v>
      </c>
      <c r="R179" s="45" t="n">
        <f aca="false">R52+R91+R130</f>
        <v>143.086672266183</v>
      </c>
      <c r="S179" s="45" t="n">
        <f aca="false">S52+S91+S130</f>
        <v>160.372841634623</v>
      </c>
      <c r="T179" s="45" t="n">
        <f aca="false">T52+T91+T130</f>
        <v>183.582130719161</v>
      </c>
      <c r="U179" s="45" t="n">
        <f aca="false">U52+U91+U130</f>
        <v>204.904034958532</v>
      </c>
      <c r="V179" s="45" t="n">
        <f aca="false">V52+V91+V130</f>
        <v>223.605510448706</v>
      </c>
      <c r="W179" s="45" t="n">
        <f aca="false">W52+W91+W130</f>
        <v>291.593556574873</v>
      </c>
      <c r="X179" s="45" t="n">
        <f aca="false">X52+X91+X130</f>
        <v>357.676896430034</v>
      </c>
      <c r="Y179" s="45" t="n">
        <f aca="false">Y52+Y91+Y130</f>
        <v>422.27096102955</v>
      </c>
      <c r="Z179" s="45" t="n">
        <f aca="false">Z52+Z91+Z130</f>
        <v>504.446348803787</v>
      </c>
      <c r="AA179" s="45" t="n">
        <f aca="false">AA52+AA91+AA130</f>
        <v>30462.7250033736</v>
      </c>
      <c r="AB179" s="45" t="n">
        <f aca="false">AB52+AB91+AB130</f>
        <v>56223.5504416642</v>
      </c>
      <c r="AC179" s="45" t="n">
        <f aca="false">AC52+AC91+AC130</f>
        <v>90644.4985010189</v>
      </c>
      <c r="AD179" s="45" t="n">
        <f aca="false">AD52+AD91+AD130</f>
        <v>129084.40354491</v>
      </c>
      <c r="AE179" s="45" t="n">
        <f aca="false">AE52+AE91+AE130</f>
        <v>165457.669527143</v>
      </c>
    </row>
    <row r="180" customFormat="false" ht="15" hidden="false" customHeight="false" outlineLevel="0" collapsed="false">
      <c r="A180" s="3" t="s">
        <v>527</v>
      </c>
      <c r="B180" s="23" t="s">
        <v>114</v>
      </c>
      <c r="C180" s="57" t="n">
        <f aca="false">C62+C101+C140+C144</f>
        <v>420.868689433461</v>
      </c>
      <c r="D180" s="57" t="n">
        <f aca="false">D62+D101+D140+D144</f>
        <v>799.994833377703</v>
      </c>
      <c r="E180" s="57" t="n">
        <f aca="false">E62+E101+E140+E144</f>
        <v>1143.63395228777</v>
      </c>
      <c r="F180" s="57" t="n">
        <f aca="false">F62+F101+F140+F144</f>
        <v>1565.70831633717</v>
      </c>
      <c r="G180" s="57" t="n">
        <f aca="false">G62+G101+G140+G144</f>
        <v>1921.0241199088</v>
      </c>
      <c r="H180" s="57" t="n">
        <f aca="false">H62+H101+H140+H144</f>
        <v>2192.27548575734</v>
      </c>
      <c r="I180" s="57" t="n">
        <f aca="false">I62+I101+I140+I144</f>
        <v>2487.41274794008</v>
      </c>
      <c r="J180" s="57" t="n">
        <f aca="false">J62+J101+J140+J144</f>
        <v>2766.69909128294</v>
      </c>
      <c r="K180" s="57" t="n">
        <f aca="false">K62+K101+K140+K144</f>
        <v>3068.71918139845</v>
      </c>
      <c r="L180" s="57" t="n">
        <f aca="false">L62+L101+L140+L144</f>
        <v>3505.30358955752</v>
      </c>
      <c r="M180" s="57" t="n">
        <f aca="false">M62+M101+M140+M144</f>
        <v>3871.37520958788</v>
      </c>
      <c r="N180" s="57" t="n">
        <f aca="false">N62+N101+N140+N144</f>
        <v>4151.98885737321</v>
      </c>
      <c r="O180" s="57" t="n">
        <f aca="false">O62+O101+O140+O144</f>
        <v>15943.870766927</v>
      </c>
      <c r="P180" s="57" t="n">
        <f aca="false">P62+P101+P140+P144</f>
        <v>17393.0379245436</v>
      </c>
      <c r="Q180" s="57" t="n">
        <f aca="false">Q62+Q101+Q140+Q144</f>
        <v>18733.1340460203</v>
      </c>
      <c r="R180" s="57" t="n">
        <f aca="false">R62+R101+R140+R144</f>
        <v>20450.1169842304</v>
      </c>
      <c r="S180" s="57" t="n">
        <f aca="false">S62+S101+S140+S144</f>
        <v>21936.1295869799</v>
      </c>
      <c r="T180" s="57" t="n">
        <f aca="false">T62+T101+T140+T144</f>
        <v>23121.5398172534</v>
      </c>
      <c r="U180" s="57" t="n">
        <f aca="false">U62+U101+U140+U144</f>
        <v>24203.2022769846</v>
      </c>
      <c r="V180" s="57" t="n">
        <f aca="false">V62+V101+V140+V144</f>
        <v>25241.6184789994</v>
      </c>
      <c r="W180" s="57" t="n">
        <f aca="false">W62+W101+W140+W144</f>
        <v>26633.5548433098</v>
      </c>
      <c r="X180" s="57" t="n">
        <f aca="false">X62+X101+X140+X144</f>
        <v>28623.3388779302</v>
      </c>
      <c r="Y180" s="57" t="n">
        <f aca="false">Y62+Y101+Y140+Y144</f>
        <v>30365.4165704715</v>
      </c>
      <c r="Z180" s="57" t="n">
        <f aca="false">Z62+Z101+Z140+Z144</f>
        <v>31870.7011569483</v>
      </c>
      <c r="AA180" s="57" t="n">
        <f aca="false">AA62+AA101+AA140+AA144</f>
        <v>955593.471091369</v>
      </c>
      <c r="AB180" s="57" t="n">
        <f aca="false">AB62+AB101+AB140+AB144</f>
        <v>1609515.07674637</v>
      </c>
      <c r="AC180" s="57" t="n">
        <f aca="false">AC62+AC101+AC140+AC144</f>
        <v>2352768.52426049</v>
      </c>
      <c r="AD180" s="57" t="n">
        <f aca="false">AD62+AD101+AD140+AD144</f>
        <v>3065569.1577788</v>
      </c>
      <c r="AE180" s="57" t="n">
        <f aca="false">AE62+AE101+AE140+AE144</f>
        <v>3643035.22036431</v>
      </c>
    </row>
    <row r="181" customFormat="false" ht="15" hidden="false" customHeight="false" outlineLevel="0" collapsed="false">
      <c r="A181" s="6" t="s">
        <v>528</v>
      </c>
      <c r="B181" s="23" t="s">
        <v>114</v>
      </c>
      <c r="C181" s="55" t="n">
        <f aca="false">IF(C148=0,0,C180/C148/C7*12)</f>
        <v>20.0827846806157</v>
      </c>
      <c r="D181" s="55" t="n">
        <f aca="false">IF(D148=0,0,D180/D148/D7*12)</f>
        <v>20.0830552053803</v>
      </c>
      <c r="E181" s="55" t="n">
        <f aca="false">IF(E148=0,0,E180/E148/E7*12)</f>
        <v>20.0833181136022</v>
      </c>
      <c r="F181" s="55" t="n">
        <f aca="false">IF(F148=0,0,F180/F148/F7*12)</f>
        <v>20.0836282922871</v>
      </c>
      <c r="G181" s="55" t="n">
        <f aca="false">IF(G148=0,0,G180/G148/G7*12)</f>
        <v>20.083925607689</v>
      </c>
      <c r="H181" s="55" t="n">
        <f aca="false">IF(H148=0,0,H180/H148/H7*12)</f>
        <v>20.0841892276794</v>
      </c>
      <c r="I181" s="55" t="n">
        <f aca="false">IF(I148=0,0,I180/I148/I7*12)</f>
        <v>20.4951574888908</v>
      </c>
      <c r="J181" s="55" t="n">
        <f aca="false">IF(J148=0,0,J180/J148/J7*12)</f>
        <v>20.8074290921178</v>
      </c>
      <c r="K181" s="55" t="n">
        <f aca="false">IF(K148=0,0,K180/K148/K7*12)</f>
        <v>21.071678377329</v>
      </c>
      <c r="L181" s="55" t="n">
        <f aca="false">IF(L148=0,0,L180/L148/L7*12)</f>
        <v>21.3430279685477</v>
      </c>
      <c r="M181" s="55" t="n">
        <f aca="false">IF(M148=0,0,M180/M148/M7*12)</f>
        <v>21.5258225522594</v>
      </c>
      <c r="N181" s="55" t="n">
        <f aca="false">IF(N148=0,0,N180/N148/N7*12)</f>
        <v>21.6473596311426</v>
      </c>
      <c r="O181" s="55" t="n">
        <f aca="false">IF(O148=0,0,O180/O148/O7*12)</f>
        <v>61.8674149598494</v>
      </c>
      <c r="P181" s="55" t="n">
        <f aca="false">IF(P148=0,0,P180/P148/P7*12)</f>
        <v>54.6420397534938</v>
      </c>
      <c r="Q181" s="55" t="n">
        <f aca="false">IF(Q148=0,0,Q180/Q148/Q7*12)</f>
        <v>50.0465510779464</v>
      </c>
      <c r="R181" s="55" t="n">
        <f aca="false">IF(R148=0,0,R180/R148/R7*12)</f>
        <v>45.7443792218949</v>
      </c>
      <c r="S181" s="55" t="n">
        <f aca="false">IF(S148=0,0,S180/S148/S7*12)</f>
        <v>43.0618807668653</v>
      </c>
      <c r="T181" s="55" t="n">
        <f aca="false">IF(T148=0,0,T180/T148/T7*12)</f>
        <v>41.5027563171118</v>
      </c>
      <c r="U181" s="55" t="n">
        <f aca="false">IF(U148=0,0,U180/U148/U7*12)</f>
        <v>40.2750080080117</v>
      </c>
      <c r="V181" s="55" t="n">
        <f aca="false">IF(V148=0,0,V180/V148/V7*12)</f>
        <v>39.2262053412005</v>
      </c>
      <c r="W181" s="55" t="n">
        <f aca="false">IF(W148=0,0,W180/W148/W7*12)</f>
        <v>38.5113530192093</v>
      </c>
      <c r="X181" s="55" t="n">
        <f aca="false">IF(X148=0,0,X180/X148/X7*12)</f>
        <v>37.3701128833487</v>
      </c>
      <c r="Y181" s="55" t="n">
        <f aca="false">IF(Y148=0,0,Y180/Y148/Y7*12)</f>
        <v>36.5863210418479</v>
      </c>
      <c r="Z181" s="55" t="n">
        <f aca="false">IF(Z148=0,0,Z180/Z148/Z7*12)</f>
        <v>36.2190892641785</v>
      </c>
      <c r="AA181" s="55" t="n">
        <f aca="false">IF(AA148=0,0,AA180/AA148/AA7*12)</f>
        <v>47.4079728841172</v>
      </c>
      <c r="AB181" s="55" t="n">
        <f aca="false">IF(AB148=0,0,AB180/AB148/AB7*12)</f>
        <v>49.1314985189817</v>
      </c>
      <c r="AC181" s="55" t="n">
        <f aca="false">IF(AC148=0,0,AC180/AC148/AC7*12)</f>
        <v>50.083786411131</v>
      </c>
      <c r="AD181" s="55" t="n">
        <f aca="false">IF(AD148=0,0,AD180/AD148/AD7*12)</f>
        <v>52.6934688976464</v>
      </c>
      <c r="AE181" s="55" t="n">
        <f aca="false">IF(AE148=0,0,AE180/AE148/AE7*12)</f>
        <v>58.1962758732255</v>
      </c>
    </row>
    <row r="182" customFormat="false" ht="15" hidden="false" customHeight="false" outlineLevel="0" collapsed="false">
      <c r="A182" s="6" t="s">
        <v>529</v>
      </c>
      <c r="B182" s="23" t="s">
        <v>520</v>
      </c>
      <c r="C182" s="59" t="n">
        <f aca="false">C180-(C172+C173+C174+C175+C176+C177+C144)</f>
        <v>0</v>
      </c>
      <c r="D182" s="59" t="n">
        <f aca="false">D180-(D172+D173+D174+D175+D176+D177+D144)</f>
        <v>0</v>
      </c>
      <c r="E182" s="59" t="n">
        <f aca="false">E180-(E172+E173+E174+E175+E176+E177+E144)</f>
        <v>0</v>
      </c>
      <c r="F182" s="59" t="n">
        <f aca="false">F180-(F172+F173+F174+F175+F176+F177+F144)</f>
        <v>0</v>
      </c>
      <c r="G182" s="59" t="n">
        <f aca="false">G180-(G172+G173+G174+G175+G176+G177+G144)</f>
        <v>0</v>
      </c>
      <c r="H182" s="59" t="n">
        <f aca="false">H180-(H172+H173+H174+H175+H176+H177+H144)</f>
        <v>0</v>
      </c>
      <c r="I182" s="59" t="n">
        <f aca="false">I180-(I172+I173+I174+I175+I176+I177+I144)</f>
        <v>0</v>
      </c>
      <c r="J182" s="59" t="n">
        <f aca="false">J180-(J172+J173+J174+J175+J176+J177+J144)</f>
        <v>0</v>
      </c>
      <c r="K182" s="59" t="n">
        <f aca="false">K180-(K172+K173+K174+K175+K176+K177+K144)</f>
        <v>0</v>
      </c>
      <c r="L182" s="59" t="n">
        <f aca="false">L180-(L172+L173+L174+L175+L176+L177+L144)</f>
        <v>0</v>
      </c>
      <c r="M182" s="59" t="n">
        <f aca="false">M180-(M172+M173+M174+M175+M176+M177+M144)</f>
        <v>0</v>
      </c>
      <c r="N182" s="59" t="n">
        <f aca="false">N180-(N172+N173+N174+N175+N176+N177+N144)</f>
        <v>0</v>
      </c>
      <c r="O182" s="59" t="n">
        <f aca="false">O180-(O172+O173+O174+O175+O176+O177+O144)</f>
        <v>0</v>
      </c>
      <c r="P182" s="59" t="n">
        <f aca="false">P180-(P172+P173+P174+P175+P176+P177+P144)</f>
        <v>0</v>
      </c>
      <c r="Q182" s="59" t="n">
        <f aca="false">Q180-(Q172+Q173+Q174+Q175+Q176+Q177+Q144)</f>
        <v>0</v>
      </c>
      <c r="R182" s="59" t="n">
        <f aca="false">R180-(R172+R173+R174+R175+R176+R177+R144)</f>
        <v>0</v>
      </c>
      <c r="S182" s="59" t="n">
        <f aca="false">S180-(S172+S173+S174+S175+S176+S177+S144)</f>
        <v>0</v>
      </c>
      <c r="T182" s="59" t="n">
        <f aca="false">T180-(T172+T173+T174+T175+T176+T177+T144)</f>
        <v>0</v>
      </c>
      <c r="U182" s="59" t="n">
        <f aca="false">U180-(U172+U173+U174+U175+U176+U177+U144)</f>
        <v>0</v>
      </c>
      <c r="V182" s="59" t="n">
        <f aca="false">V180-(V172+V173+V174+V175+V176+V177+V144)</f>
        <v>0</v>
      </c>
      <c r="W182" s="59" t="n">
        <f aca="false">W180-(W172+W173+W174+W175+W176+W177+W144)</f>
        <v>0</v>
      </c>
      <c r="X182" s="59" t="n">
        <f aca="false">X180-(X172+X173+X174+X175+X176+X177+X144)</f>
        <v>0</v>
      </c>
      <c r="Y182" s="59" t="n">
        <f aca="false">Y180-(Y172+Y173+Y174+Y175+Y176+Y177+Y144)</f>
        <v>0</v>
      </c>
      <c r="Z182" s="59" t="n">
        <f aca="false">Z180-(Z172+Z173+Z174+Z175+Z176+Z177+Z144)</f>
        <v>0</v>
      </c>
      <c r="AA182" s="59" t="n">
        <f aca="false">AA180-(AA172+AA173+AA174+AA175+AA176+AA177+AA144)</f>
        <v>0</v>
      </c>
      <c r="AB182" s="59" t="n">
        <f aca="false">AB180-(AB172+AB173+AB174+AB175+AB176+AB177+AB144)</f>
        <v>0</v>
      </c>
      <c r="AC182" s="59" t="n">
        <f aca="false">AC180-(AC172+AC173+AC174+AC175+AC176+AC177+AC144)</f>
        <v>0</v>
      </c>
      <c r="AD182" s="59" t="n">
        <f aca="false">AD180-(AD172+AD173+AD174+AD175+AD176+AD177+AD144)</f>
        <v>0</v>
      </c>
      <c r="AE182" s="59" t="n">
        <f aca="false">AE180-(AE172+AE173+AE174+AE175+AE176+AE177+AE144)</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530</v>
      </c>
    </row>
    <row r="4" customFormat="false" ht="15" hidden="false" customHeight="false" outlineLevel="0" collapsed="false">
      <c r="D4" s="61" t="s">
        <v>531</v>
      </c>
      <c r="E4" s="61" t="s">
        <v>532</v>
      </c>
      <c r="F4" s="61" t="s">
        <v>418</v>
      </c>
      <c r="G4" s="61" t="s">
        <v>419</v>
      </c>
      <c r="H4" s="61" t="s">
        <v>420</v>
      </c>
      <c r="I4" s="61" t="s">
        <v>421</v>
      </c>
      <c r="J4" s="61" t="s">
        <v>422</v>
      </c>
    </row>
    <row r="6" customFormat="false" ht="18" hidden="false" customHeight="true" outlineLevel="0" collapsed="false">
      <c r="A6" s="12" t="s">
        <v>533</v>
      </c>
      <c r="B6" s="13"/>
      <c r="C6" s="13"/>
      <c r="D6" s="13"/>
      <c r="E6" s="13"/>
      <c r="F6" s="13"/>
      <c r="G6" s="13"/>
      <c r="H6" s="13"/>
      <c r="I6" s="13"/>
      <c r="J6" s="13"/>
      <c r="K6" s="13"/>
    </row>
    <row r="7" customFormat="false" ht="15" hidden="false" customHeight="false" outlineLevel="0" collapsed="false">
      <c r="A7" s="6" t="s">
        <v>534</v>
      </c>
      <c r="D7" s="36" t="n">
        <f aca="false">SUM(Model!C62:N62)</f>
        <v>9412.23242161533</v>
      </c>
      <c r="E7" s="36" t="n">
        <f aca="false">SUM(Model!O62:Z62)</f>
        <v>53723.8894447686</v>
      </c>
      <c r="F7" s="36" t="n">
        <f aca="false">Model!AA62</f>
        <v>199857.560518129</v>
      </c>
      <c r="G7" s="36" t="n">
        <f aca="false">Model!AB62</f>
        <v>350362.18983711</v>
      </c>
      <c r="H7" s="36" t="n">
        <f aca="false">Model!AC62</f>
        <v>549678.69099595</v>
      </c>
      <c r="I7" s="36" t="n">
        <f aca="false">Model!AD62</f>
        <v>762850.51564628</v>
      </c>
      <c r="J7" s="36" t="n">
        <f aca="false">Model!AE62</f>
        <v>955487.690361437</v>
      </c>
    </row>
    <row r="8" customFormat="false" ht="15" hidden="false" customHeight="false" outlineLevel="0" collapsed="false">
      <c r="A8" s="6" t="s">
        <v>535</v>
      </c>
      <c r="D8" s="36" t="n">
        <f aca="false">SUM(Model!C101:N101)</f>
        <v>0</v>
      </c>
      <c r="E8" s="36" t="n">
        <f aca="false">SUM(Model!O101:Z101)</f>
        <v>8328.01976349172</v>
      </c>
      <c r="F8" s="36" t="n">
        <f aca="false">Model!AA101</f>
        <v>43114.7550417482</v>
      </c>
      <c r="G8" s="36" t="n">
        <f aca="false">Model!AB101</f>
        <v>78518.2878413993</v>
      </c>
      <c r="H8" s="36" t="n">
        <f aca="false">Model!AC101</f>
        <v>125059.206244743</v>
      </c>
      <c r="I8" s="36" t="n">
        <f aca="false">Model!AD101</f>
        <v>174964.018262132</v>
      </c>
      <c r="J8" s="36" t="n">
        <f aca="false">Model!AE101</f>
        <v>219175.774824282</v>
      </c>
    </row>
    <row r="9" customFormat="false" ht="15" hidden="false" customHeight="false" outlineLevel="0" collapsed="false">
      <c r="A9" s="6" t="s">
        <v>536</v>
      </c>
      <c r="D9" s="36" t="n">
        <f aca="false">SUM(Model!C140:N140)</f>
        <v>18482.771652627</v>
      </c>
      <c r="E9" s="36" t="n">
        <f aca="false">SUM(Model!O140:Z140)</f>
        <v>104338.752122338</v>
      </c>
      <c r="F9" s="36" t="n">
        <f aca="false">Model!AA140</f>
        <v>358246.155531492</v>
      </c>
      <c r="G9" s="36" t="n">
        <f aca="false">Model!AB140</f>
        <v>590009.599067865</v>
      </c>
      <c r="H9" s="36" t="n">
        <f aca="false">Model!AC140</f>
        <v>851155.627019798</v>
      </c>
      <c r="I9" s="36" t="n">
        <f aca="false">Model!AD140</f>
        <v>1064629.62387039</v>
      </c>
      <c r="J9" s="36" t="n">
        <f aca="false">Model!AE140</f>
        <v>1168996.75517859</v>
      </c>
    </row>
    <row r="10" customFormat="false" ht="15" hidden="false" customHeight="false" outlineLevel="0" collapsed="false">
      <c r="A10" s="6" t="s">
        <v>537</v>
      </c>
      <c r="D10" s="36" t="n">
        <f aca="false">SUM(Model!C144:N144)</f>
        <v>0</v>
      </c>
      <c r="E10" s="36" t="n">
        <f aca="false">SUM(Model!O144:Z144)</f>
        <v>118125</v>
      </c>
      <c r="F10" s="36" t="n">
        <f aca="false">Model!AA144</f>
        <v>354375</v>
      </c>
      <c r="G10" s="36" t="n">
        <f aca="false">Model!AB144</f>
        <v>590625</v>
      </c>
      <c r="H10" s="36" t="n">
        <f aca="false">Model!AC144</f>
        <v>826875</v>
      </c>
      <c r="I10" s="36" t="n">
        <f aca="false">Model!AD144</f>
        <v>1063125</v>
      </c>
      <c r="J10" s="36" t="n">
        <f aca="false">Model!AE144</f>
        <v>1299375</v>
      </c>
    </row>
    <row r="11" customFormat="false" ht="15" hidden="false" customHeight="false" outlineLevel="0" collapsed="false">
      <c r="A11" s="3" t="s">
        <v>538</v>
      </c>
      <c r="D11" s="62" t="n">
        <f aca="false">SUM(Model!C180:N180)</f>
        <v>27895.0040742423</v>
      </c>
      <c r="E11" s="62" t="n">
        <f aca="false">SUM(Model!O180:Z180)</f>
        <v>284515.661330598</v>
      </c>
      <c r="F11" s="62" t="n">
        <f aca="false">Model!AA180</f>
        <v>955593.471091369</v>
      </c>
      <c r="G11" s="62" t="n">
        <f aca="false">Model!AB180</f>
        <v>1609515.07674637</v>
      </c>
      <c r="H11" s="62" t="n">
        <f aca="false">Model!AC180</f>
        <v>2352768.52426049</v>
      </c>
      <c r="I11" s="62" t="n">
        <f aca="false">Model!AD180</f>
        <v>3065569.1577788</v>
      </c>
      <c r="J11" s="62" t="n">
        <f aca="false">Model!AE180</f>
        <v>3643035.22036431</v>
      </c>
    </row>
    <row r="13" customFormat="false" ht="18" hidden="false" customHeight="true" outlineLevel="0" collapsed="false">
      <c r="A13" s="12" t="s">
        <v>539</v>
      </c>
      <c r="B13" s="13"/>
      <c r="C13" s="13"/>
      <c r="D13" s="13"/>
      <c r="E13" s="13"/>
      <c r="F13" s="13"/>
      <c r="G13" s="13"/>
      <c r="H13" s="13"/>
      <c r="I13" s="13"/>
      <c r="J13" s="13"/>
      <c r="K13" s="13"/>
    </row>
    <row r="14" customFormat="false" ht="15" hidden="false" customHeight="false" outlineLevel="0" collapsed="false">
      <c r="A14" s="6" t="s">
        <v>540</v>
      </c>
      <c r="D14" s="36" t="n">
        <f aca="false">SUM(Model!C172:N172)</f>
        <v>24942.5124428144</v>
      </c>
      <c r="E14" s="36" t="n">
        <f aca="false">SUM(Model!O172:Z172)</f>
        <v>127157.335376567</v>
      </c>
      <c r="F14" s="36" t="n">
        <f aca="false">Model!AA172</f>
        <v>372337.92343287</v>
      </c>
      <c r="G14" s="36" t="n">
        <f aca="false">Model!AB172</f>
        <v>605536.71741992</v>
      </c>
      <c r="H14" s="36" t="n">
        <f aca="false">Model!AC172</f>
        <v>869531.012354416</v>
      </c>
      <c r="I14" s="36" t="n">
        <f aca="false">Model!AD172</f>
        <v>1078972.99760021</v>
      </c>
      <c r="J14" s="36" t="n">
        <f aca="false">Model!AE172</f>
        <v>1164459.52217361</v>
      </c>
    </row>
    <row r="15" customFormat="false" ht="15" hidden="false" customHeight="false" outlineLevel="0" collapsed="false">
      <c r="A15" s="6" t="s">
        <v>541</v>
      </c>
      <c r="D15" s="36" t="n">
        <f aca="false">SUM(Model!C173:N173)</f>
        <v>1897.84215538284</v>
      </c>
      <c r="E15" s="36" t="n">
        <f aca="false">SUM(Model!O173:Z173)</f>
        <v>9719.59160205372</v>
      </c>
      <c r="F15" s="36" t="n">
        <f aca="false">Model!AA173</f>
        <v>28721.6704419004</v>
      </c>
      <c r="G15" s="36" t="n">
        <f aca="false">Model!AB173</f>
        <v>46988.2201591933</v>
      </c>
      <c r="H15" s="36" t="n">
        <f aca="false">Model!AC173</f>
        <v>68029.9909833698</v>
      </c>
      <c r="I15" s="36" t="n">
        <f aca="false">Model!AD173</f>
        <v>85336.4431777994</v>
      </c>
      <c r="J15" s="36" t="n">
        <f aca="false">Model!AE173</f>
        <v>93518.4402319574</v>
      </c>
    </row>
    <row r="16" customFormat="false" ht="15" hidden="false" customHeight="false" outlineLevel="0" collapsed="false">
      <c r="A16" s="6" t="s">
        <v>542</v>
      </c>
      <c r="D16" s="36" t="n">
        <f aca="false">SUM(Model!C174:N174)</f>
        <v>0</v>
      </c>
      <c r="E16" s="36" t="n">
        <f aca="false">SUM(Model!O174:Z174)</f>
        <v>207.996374060401</v>
      </c>
      <c r="F16" s="36" t="n">
        <f aca="false">Model!AA174</f>
        <v>4594.51241498603</v>
      </c>
      <c r="G16" s="36" t="n">
        <f aca="false">Model!AB174</f>
        <v>11094.6314617182</v>
      </c>
      <c r="H16" s="36" t="n">
        <f aca="false">Model!AC174</f>
        <v>21668.6334962444</v>
      </c>
      <c r="I16" s="36" t="n">
        <f aca="false">Model!AD174</f>
        <v>37529.0820746761</v>
      </c>
      <c r="J16" s="36" t="n">
        <f aca="false">Model!AE174</f>
        <v>60139.4282727017</v>
      </c>
    </row>
    <row r="17" customFormat="false" ht="15" hidden="false" customHeight="false" outlineLevel="0" collapsed="false">
      <c r="A17" s="6" t="s">
        <v>543</v>
      </c>
      <c r="D17" s="36" t="n">
        <f aca="false">SUM(Model!C175:N175)</f>
        <v>1054.64947604506</v>
      </c>
      <c r="E17" s="36" t="n">
        <f aca="false">SUM(Model!O175:Z175)</f>
        <v>16000.2810615777</v>
      </c>
      <c r="F17" s="36" t="n">
        <f aca="false">Model!AA175</f>
        <v>46201.7263440061</v>
      </c>
      <c r="G17" s="36" t="n">
        <f aca="false">Model!AB175</f>
        <v>73114.2105116155</v>
      </c>
      <c r="H17" s="36" t="n">
        <f aca="false">Model!AC175</f>
        <v>102387.837499778</v>
      </c>
      <c r="I17" s="36" t="n">
        <f aca="false">Model!AD175</f>
        <v>122896.507201377</v>
      </c>
      <c r="J17" s="36" t="n">
        <f aca="false">Model!AE175</f>
        <v>127019.739578721</v>
      </c>
    </row>
    <row r="18" customFormat="false" ht="15" hidden="false" customHeight="false" outlineLevel="0" collapsed="false">
      <c r="A18" s="6" t="s">
        <v>544</v>
      </c>
      <c r="D18" s="36" t="n">
        <f aca="false">SUM(Model!C176:N176)</f>
        <v>0</v>
      </c>
      <c r="E18" s="36" t="n">
        <f aca="false">SUM(Model!O176:Z176)</f>
        <v>13075.2241872966</v>
      </c>
      <c r="F18" s="36" t="n">
        <f aca="false">Model!AA176</f>
        <v>144166.463702563</v>
      </c>
      <c r="G18" s="36" t="n">
        <f aca="false">Model!AB176</f>
        <v>269608.797326508</v>
      </c>
      <c r="H18" s="36" t="n">
        <f aca="false">Model!AC176</f>
        <v>439769.857282121</v>
      </c>
      <c r="I18" s="36" t="n">
        <f aca="false">Model!AD176</f>
        <v>635265.522997427</v>
      </c>
      <c r="J18" s="36" t="n">
        <f aca="false">Model!AE176</f>
        <v>830508.260513189</v>
      </c>
    </row>
    <row r="19" customFormat="false" ht="15" hidden="false" customHeight="false" outlineLevel="0" collapsed="false">
      <c r="A19" s="6" t="s">
        <v>545</v>
      </c>
      <c r="D19" s="36" t="n">
        <f aca="false">SUM(Model!C177:N177)</f>
        <v>0</v>
      </c>
      <c r="E19" s="36" t="n">
        <f aca="false">SUM(Model!O177:Z177)</f>
        <v>230.23272904306</v>
      </c>
      <c r="F19" s="36" t="n">
        <f aca="false">Model!AA177</f>
        <v>5196.17475504372</v>
      </c>
      <c r="G19" s="36" t="n">
        <f aca="false">Model!AB177</f>
        <v>12547.4998674194</v>
      </c>
      <c r="H19" s="36" t="n">
        <f aca="false">Model!AC177</f>
        <v>24506.1926445621</v>
      </c>
      <c r="I19" s="36" t="n">
        <f aca="false">Model!AD177</f>
        <v>42443.6047273123</v>
      </c>
      <c r="J19" s="36" t="n">
        <f aca="false">Model!AE177</f>
        <v>68014.829594127</v>
      </c>
    </row>
    <row r="20" customFormat="false" ht="15" hidden="false" customHeight="false" outlineLevel="0" collapsed="false">
      <c r="A20" s="6" t="s">
        <v>546</v>
      </c>
      <c r="D20" s="36" t="n">
        <f aca="false">SUM(Model!C144:N144)</f>
        <v>0</v>
      </c>
      <c r="E20" s="36" t="n">
        <f aca="false">SUM(Model!O144:Z144)</f>
        <v>118125</v>
      </c>
      <c r="F20" s="36" t="n">
        <f aca="false">Model!AA144</f>
        <v>354375</v>
      </c>
      <c r="G20" s="36" t="n">
        <f aca="false">Model!AB144</f>
        <v>590625</v>
      </c>
      <c r="H20" s="36" t="n">
        <f aca="false">Model!AC144</f>
        <v>826875</v>
      </c>
      <c r="I20" s="36" t="n">
        <f aca="false">Model!AD144</f>
        <v>1063125</v>
      </c>
      <c r="J20" s="36" t="n">
        <f aca="false">Model!AE144</f>
        <v>1299375</v>
      </c>
    </row>
    <row r="21" customFormat="false" ht="15" hidden="false" customHeight="false" outlineLevel="0" collapsed="false">
      <c r="A21" s="3" t="s">
        <v>547</v>
      </c>
      <c r="D21" s="62" t="n">
        <f aca="false">SUM(Model!C180:N180)</f>
        <v>27895.0040742423</v>
      </c>
      <c r="E21" s="62" t="n">
        <f aca="false">SUM(Model!O180:Z180)</f>
        <v>284515.661330598</v>
      </c>
      <c r="F21" s="62" t="n">
        <f aca="false">Model!AA180</f>
        <v>955593.471091369</v>
      </c>
      <c r="G21" s="62" t="n">
        <f aca="false">Model!AB180</f>
        <v>1609515.07674637</v>
      </c>
      <c r="H21" s="62" t="n">
        <f aca="false">Model!AC180</f>
        <v>2352768.52426049</v>
      </c>
      <c r="I21" s="62" t="n">
        <f aca="false">Model!AD180</f>
        <v>3065569.1577788</v>
      </c>
      <c r="J21" s="62" t="n">
        <f aca="false">Model!AE180</f>
        <v>3643035.22036431</v>
      </c>
    </row>
    <row r="23" customFormat="false" ht="18" hidden="false" customHeight="true" outlineLevel="0" collapsed="false">
      <c r="A23" s="12" t="s">
        <v>548</v>
      </c>
      <c r="B23" s="13"/>
      <c r="C23" s="13"/>
      <c r="D23" s="13"/>
      <c r="E23" s="13"/>
      <c r="F23" s="13"/>
      <c r="G23" s="13"/>
      <c r="H23" s="13"/>
      <c r="I23" s="13"/>
      <c r="J23" s="13"/>
      <c r="K23" s="13"/>
    </row>
    <row r="24" customFormat="false" ht="15" hidden="false" customHeight="false" outlineLevel="0" collapsed="false">
      <c r="A24" s="0" t="s">
        <v>549</v>
      </c>
      <c r="D24" s="63" t="n">
        <f aca="false">IF(D$11=0,0,D14/D$11)</f>
        <v>0.894156974361077</v>
      </c>
      <c r="E24" s="63" t="n">
        <f aca="false">IF(E$11=0,0,E14/E$11)</f>
        <v>0.446925609584683</v>
      </c>
      <c r="F24" s="63" t="n">
        <f aca="false">IF(F$11=0,0,F14/F$11)</f>
        <v>0.389640505818471</v>
      </c>
      <c r="G24" s="63" t="n">
        <f aca="false">IF(G$11=0,0,G14/G$11)</f>
        <v>0.376223078720088</v>
      </c>
      <c r="H24" s="63" t="n">
        <f aca="false">IF(H$11=0,0,H14/H$11)</f>
        <v>0.36957779883073</v>
      </c>
      <c r="I24" s="63" t="n">
        <f aca="false">IF(I$11=0,0,I14/I$11)</f>
        <v>0.351964983357933</v>
      </c>
      <c r="J24" s="63" t="n">
        <f aca="false">IF(J$11=0,0,J14/J$11)</f>
        <v>0.319639929821256</v>
      </c>
    </row>
    <row r="25" customFormat="false" ht="15" hidden="false" customHeight="false" outlineLevel="0" collapsed="false">
      <c r="A25" s="0" t="s">
        <v>550</v>
      </c>
      <c r="D25" s="63" t="n">
        <f aca="false">IF(D$11=0,0,D15/D$11)</f>
        <v>0.0680351990747787</v>
      </c>
      <c r="E25" s="63" t="n">
        <f aca="false">IF(E$11=0,0,E15/E$11)</f>
        <v>0.0341618860508345</v>
      </c>
      <c r="F25" s="63" t="n">
        <f aca="false">IF(F$11=0,0,F15/F$11)</f>
        <v>0.0300563694822003</v>
      </c>
      <c r="G25" s="63" t="n">
        <f aca="false">IF(G$11=0,0,G15/G$11)</f>
        <v>0.0291940229936707</v>
      </c>
      <c r="H25" s="63" t="n">
        <f aca="false">IF(H$11=0,0,H15/H$11)</f>
        <v>0.0289148678596645</v>
      </c>
      <c r="I25" s="63" t="n">
        <f aca="false">IF(I$11=0,0,I15/I$11)</f>
        <v>0.02783706345729</v>
      </c>
      <c r="J25" s="63" t="n">
        <f aca="false">IF(J$11=0,0,J15/J$11)</f>
        <v>0.0256704738151298</v>
      </c>
    </row>
    <row r="26" customFormat="false" ht="15" hidden="false" customHeight="false" outlineLevel="0" collapsed="false">
      <c r="A26" s="0" t="s">
        <v>551</v>
      </c>
      <c r="D26" s="63" t="n">
        <f aca="false">IF(D$11=0,0,D16/D$11)</f>
        <v>0</v>
      </c>
      <c r="E26" s="63" t="n">
        <f aca="false">IF(E$11=0,0,E16/E$11)</f>
        <v>0.000731054217148054</v>
      </c>
      <c r="F26" s="63" t="n">
        <f aca="false">IF(F$11=0,0,F16/F$11)</f>
        <v>0.00480801988918855</v>
      </c>
      <c r="G26" s="63" t="n">
        <f aca="false">IF(G$11=0,0,G16/G$11)</f>
        <v>0.00689315162188228</v>
      </c>
      <c r="H26" s="63" t="n">
        <f aca="false">IF(H$11=0,0,H16/H$11)</f>
        <v>0.00920984502844586</v>
      </c>
      <c r="I26" s="63" t="n">
        <f aca="false">IF(I$11=0,0,I16/I$11)</f>
        <v>0.0122421254074295</v>
      </c>
      <c r="J26" s="63" t="n">
        <f aca="false">IF(J$11=0,0,J16/J$11)</f>
        <v>0.0165080556829444</v>
      </c>
    </row>
    <row r="27" customFormat="false" ht="15" hidden="false" customHeight="false" outlineLevel="0" collapsed="false">
      <c r="A27" s="0" t="s">
        <v>552</v>
      </c>
      <c r="D27" s="63" t="n">
        <f aca="false">IF(D$11=0,0,D17/D$11)</f>
        <v>0.0378078265641445</v>
      </c>
      <c r="E27" s="63" t="n">
        <f aca="false">IF(E$11=0,0,E17/E$11)</f>
        <v>0.0562369079675577</v>
      </c>
      <c r="F27" s="63" t="n">
        <f aca="false">IF(F$11=0,0,F17/F$11)</f>
        <v>0.0483487254169284</v>
      </c>
      <c r="G27" s="63" t="n">
        <f aca="false">IF(G$11=0,0,G17/G$11)</f>
        <v>0.045426235248082</v>
      </c>
      <c r="H27" s="63" t="n">
        <f aca="false">IF(H$11=0,0,H17/H$11)</f>
        <v>0.0435180241677026</v>
      </c>
      <c r="I27" s="63" t="n">
        <f aca="false">IF(I$11=0,0,I17/I$11)</f>
        <v>0.0400892952910655</v>
      </c>
      <c r="J27" s="63" t="n">
        <f aca="false">IF(J$11=0,0,J17/J$11)</f>
        <v>0.0348664593931701</v>
      </c>
    </row>
    <row r="28" customFormat="false" ht="15" hidden="false" customHeight="false" outlineLevel="0" collapsed="false">
      <c r="A28" s="0" t="s">
        <v>553</v>
      </c>
      <c r="D28" s="63" t="n">
        <f aca="false">IF(D$11=0,0,D18/D$11)</f>
        <v>0</v>
      </c>
      <c r="E28" s="63" t="n">
        <f aca="false">IF(E$11=0,0,E18/E$11)</f>
        <v>0.0459560789242586</v>
      </c>
      <c r="F28" s="63" t="n">
        <f aca="false">IF(F$11=0,0,F18/F$11)</f>
        <v>0.150865894403728</v>
      </c>
      <c r="G28" s="63" t="n">
        <f aca="false">IF(G$11=0,0,G18/G$11)</f>
        <v>0.167509333228192</v>
      </c>
      <c r="H28" s="63" t="n">
        <f aca="false">IF(H$11=0,0,H18/H$11)</f>
        <v>0.186915904708623</v>
      </c>
      <c r="I28" s="63" t="n">
        <f aca="false">IF(I$11=0,0,I18/I$11)</f>
        <v>0.207225963695993</v>
      </c>
      <c r="J28" s="63" t="n">
        <f aca="false">IF(J$11=0,0,J18/J$11)</f>
        <v>0.227971515584232</v>
      </c>
    </row>
    <row r="29" customFormat="false" ht="15" hidden="false" customHeight="false" outlineLevel="0" collapsed="false">
      <c r="A29" s="0" t="s">
        <v>554</v>
      </c>
      <c r="D29" s="63" t="n">
        <f aca="false">IF(D$11=0,0,D19/D$11)</f>
        <v>0</v>
      </c>
      <c r="E29" s="63" t="n">
        <f aca="false">IF(E$11=0,0,E19/E$11)</f>
        <v>0.000809209334791369</v>
      </c>
      <c r="F29" s="63" t="n">
        <f aca="false">IF(F$11=0,0,F19/F$11)</f>
        <v>0.0054376415413442</v>
      </c>
      <c r="G29" s="63" t="n">
        <f aca="false">IF(G$11=0,0,G19/G$11)</f>
        <v>0.00779582623903353</v>
      </c>
      <c r="H29" s="63" t="n">
        <f aca="false">IF(H$11=0,0,H19/H$11)</f>
        <v>0.0104158961631233</v>
      </c>
      <c r="I29" s="63" t="n">
        <f aca="false">IF(I$11=0,0,I19/I$11)</f>
        <v>0.01384526087745</v>
      </c>
      <c r="J29" s="63" t="n">
        <f aca="false">IF(J$11=0,0,J19/J$11)</f>
        <v>0.0186698248795205</v>
      </c>
    </row>
    <row r="30" customFormat="false" ht="15" hidden="false" customHeight="false" outlineLevel="0" collapsed="false">
      <c r="A30" s="0" t="s">
        <v>555</v>
      </c>
      <c r="D30" s="63" t="n">
        <f aca="false">IF(D$11=0,0,D20/D$11)</f>
        <v>0</v>
      </c>
      <c r="E30" s="63" t="n">
        <f aca="false">IF(E$11=0,0,E20/E$11)</f>
        <v>0.415179253920727</v>
      </c>
      <c r="F30" s="63" t="n">
        <f aca="false">IF(F$11=0,0,F20/F$11)</f>
        <v>0.370842843448139</v>
      </c>
      <c r="G30" s="63" t="n">
        <f aca="false">IF(G$11=0,0,G20/G$11)</f>
        <v>0.366958351949051</v>
      </c>
      <c r="H30" s="63" t="n">
        <f aca="false">IF(H$11=0,0,H20/H$11)</f>
        <v>0.351447663241712</v>
      </c>
      <c r="I30" s="63" t="n">
        <f aca="false">IF(I$11=0,0,I20/I$11)</f>
        <v>0.346795307912838</v>
      </c>
      <c r="J30" s="63" t="n">
        <f aca="false">IF(J$11=0,0,J20/J$11)</f>
        <v>0.356673740823747</v>
      </c>
    </row>
    <row r="31" customFormat="false" ht="15" hidden="false" customHeight="false" outlineLevel="0" collapsed="false">
      <c r="A31" s="3" t="s">
        <v>556</v>
      </c>
      <c r="D31" s="40" t="n">
        <f aca="false">SUM(D24:D30)</f>
        <v>1</v>
      </c>
      <c r="E31" s="40" t="n">
        <f aca="false">SUM(E24:E30)</f>
        <v>1</v>
      </c>
      <c r="F31" s="40" t="n">
        <f aca="false">SUM(F24:F30)</f>
        <v>1</v>
      </c>
      <c r="G31" s="40" t="n">
        <f aca="false">SUM(G24:G30)</f>
        <v>1</v>
      </c>
      <c r="H31" s="40" t="n">
        <f aca="false">SUM(H24:H30)</f>
        <v>1</v>
      </c>
      <c r="I31" s="40" t="n">
        <f aca="false">SUM(I24:I30)</f>
        <v>1</v>
      </c>
      <c r="J31" s="40" t="n">
        <f aca="false">SUM(J24:J30)</f>
        <v>1</v>
      </c>
    </row>
    <row r="33" customFormat="false" ht="18" hidden="false" customHeight="true" outlineLevel="0" collapsed="false">
      <c r="A33" s="12" t="s">
        <v>557</v>
      </c>
      <c r="B33" s="13"/>
      <c r="C33" s="13"/>
      <c r="D33" s="13"/>
      <c r="E33" s="13"/>
      <c r="F33" s="13"/>
      <c r="G33" s="13"/>
      <c r="H33" s="13"/>
      <c r="I33" s="13"/>
      <c r="J33" s="13"/>
      <c r="K33" s="13"/>
    </row>
    <row r="34" customFormat="false" ht="15" hidden="false" customHeight="false" outlineLevel="0" collapsed="false">
      <c r="A34" s="6" t="s">
        <v>558</v>
      </c>
      <c r="D34" s="37" t="n">
        <f aca="false">SUM(Model!C151:N151)</f>
        <v>3043.99126642035</v>
      </c>
      <c r="E34" s="37" t="n">
        <f aca="false">SUM(Model!O151:Z151)</f>
        <v>12165.5471843431</v>
      </c>
      <c r="F34" s="37" t="n">
        <f aca="false">Model!AA151</f>
        <v>19348.4459341612</v>
      </c>
      <c r="G34" s="37" t="n">
        <f aca="false">Model!AB151</f>
        <v>29223.9844971396</v>
      </c>
      <c r="H34" s="37" t="n">
        <f aca="false">Model!AC151</f>
        <v>39048.3315401938</v>
      </c>
      <c r="I34" s="37" t="n">
        <f aca="false">Model!AD151</f>
        <v>43607.577395577</v>
      </c>
      <c r="J34" s="37" t="n">
        <f aca="false">Model!AE151</f>
        <v>41263.1095118219</v>
      </c>
    </row>
    <row r="35" customFormat="false" ht="15" hidden="false" customHeight="false" outlineLevel="0" collapsed="false">
      <c r="A35" s="3" t="s">
        <v>559</v>
      </c>
      <c r="D35" s="64" t="n">
        <f aca="false">Model!N148</f>
        <v>2301.61401378486</v>
      </c>
      <c r="E35" s="64" t="n">
        <f aca="false">Model!Z148</f>
        <v>10559.3050972055</v>
      </c>
      <c r="F35" s="64" t="n">
        <f aca="false">Model!AA148</f>
        <v>20156.8093499209</v>
      </c>
      <c r="G35" s="64" t="n">
        <f aca="false">Model!AB148</f>
        <v>32759.3321039159</v>
      </c>
      <c r="H35" s="64" t="n">
        <f aca="false">Model!AC148</f>
        <v>46976.6503863533</v>
      </c>
      <c r="I35" s="64" t="n">
        <f aca="false">Model!AD148</f>
        <v>58177.4026631928</v>
      </c>
      <c r="J35" s="64" t="n">
        <f aca="false">Model!AE148</f>
        <v>62599.1124981996</v>
      </c>
    </row>
    <row r="36" customFormat="false" ht="15" hidden="false" customHeight="false" outlineLevel="0" collapsed="false">
      <c r="A36" s="6" t="s">
        <v>560</v>
      </c>
      <c r="D36" s="37" t="n">
        <f aca="false">Model!N149</f>
        <v>742.377252635484</v>
      </c>
      <c r="E36" s="37" t="n">
        <f aca="false">Model!Z149</f>
        <v>4650.23335355799</v>
      </c>
      <c r="F36" s="37" t="n">
        <f aca="false">Model!AA149</f>
        <v>14401.1750350038</v>
      </c>
      <c r="G36" s="37" t="n">
        <f aca="false">Model!AB149</f>
        <v>31022.6367781484</v>
      </c>
      <c r="H36" s="37" t="n">
        <f aca="false">Model!AC149</f>
        <v>55853.6500359049</v>
      </c>
      <c r="I36" s="37" t="n">
        <f aca="false">Model!AD149</f>
        <v>88260.4751546423</v>
      </c>
      <c r="J36" s="37" t="n">
        <f aca="false">Model!AE149</f>
        <v>125101.874831457</v>
      </c>
    </row>
    <row r="37" customFormat="false" ht="15" hidden="false" customHeight="false" outlineLevel="0" collapsed="false">
      <c r="A37" s="6" t="s">
        <v>503</v>
      </c>
      <c r="D37" s="37" t="n">
        <f aca="false">Model!N150</f>
        <v>3043.99126642035</v>
      </c>
      <c r="E37" s="37" t="n">
        <f aca="false">Model!Z150</f>
        <v>15209.5384507635</v>
      </c>
      <c r="F37" s="37" t="n">
        <f aca="false">Model!AA150</f>
        <v>34557.9843849247</v>
      </c>
      <c r="G37" s="37" t="n">
        <f aca="false">Model!AB150</f>
        <v>63781.9688820643</v>
      </c>
      <c r="H37" s="37" t="n">
        <f aca="false">Model!AC150</f>
        <v>102830.300422258</v>
      </c>
      <c r="I37" s="37" t="n">
        <f aca="false">Model!AD150</f>
        <v>146437.877817835</v>
      </c>
      <c r="J37" s="37" t="n">
        <f aca="false">Model!AE150</f>
        <v>187700.987329657</v>
      </c>
    </row>
    <row r="38" customFormat="false" ht="15" hidden="false" customHeight="false" outlineLevel="0" collapsed="false">
      <c r="A38" s="6" t="s">
        <v>561</v>
      </c>
      <c r="D38" s="37" t="n">
        <f aca="false">Model!N152</f>
        <v>0</v>
      </c>
      <c r="E38" s="37" t="n">
        <f aca="false">Model!Z152</f>
        <v>679.846831271951</v>
      </c>
      <c r="F38" s="37" t="n">
        <f aca="false">Model!AA152</f>
        <v>3421.24045410754</v>
      </c>
      <c r="G38" s="37" t="n">
        <f aca="false">Model!AB152</f>
        <v>6314.41491932437</v>
      </c>
      <c r="H38" s="37" t="n">
        <f aca="false">Model!AC152</f>
        <v>10180.1997418036</v>
      </c>
      <c r="I38" s="37" t="n">
        <f aca="false">Model!AD152</f>
        <v>14497.3499039657</v>
      </c>
      <c r="J38" s="37" t="n">
        <f aca="false">Model!AE152</f>
        <v>18582.397745636</v>
      </c>
    </row>
    <row r="39" customFormat="false" ht="15" hidden="false" customHeight="false" outlineLevel="0" collapsed="false">
      <c r="A39" s="6" t="s">
        <v>562</v>
      </c>
      <c r="D39" s="37" t="n">
        <f aca="false">Model!N154</f>
        <v>3475.85400431012</v>
      </c>
      <c r="E39" s="37" t="n">
        <f aca="false">Model!Z154</f>
        <v>19579.9393808762</v>
      </c>
      <c r="F39" s="37" t="n">
        <f aca="false">Model!AA154</f>
        <v>63526.7524838895</v>
      </c>
      <c r="G39" s="37" t="n">
        <f aca="false">Model!AB154</f>
        <v>126957.464924801</v>
      </c>
      <c r="H39" s="37" t="n">
        <f aca="false">Model!AC154</f>
        <v>207711.72391368</v>
      </c>
      <c r="I39" s="37" t="n">
        <f aca="false">Model!AD154</f>
        <v>295113.7821755</v>
      </c>
      <c r="J39" s="37" t="n">
        <f aca="false">Model!AE154</f>
        <v>374638.943694224</v>
      </c>
    </row>
    <row r="40" customFormat="false" ht="15" hidden="false" customHeight="false" outlineLevel="0" collapsed="false">
      <c r="A40" s="3" t="s">
        <v>563</v>
      </c>
      <c r="D40" s="62" t="n">
        <f aca="false">Model!N161</f>
        <v>491694.30744971</v>
      </c>
      <c r="E40" s="62" t="n">
        <f aca="false">Model!Z161</f>
        <v>2994130.26102907</v>
      </c>
      <c r="F40" s="62" t="n">
        <f aca="false">Model!AA161</f>
        <v>10501266.8900033</v>
      </c>
      <c r="G40" s="62" t="n">
        <f aca="false">Model!AB161</f>
        <v>22686577.2065115</v>
      </c>
      <c r="H40" s="62" t="n">
        <f aca="false">Model!AC161</f>
        <v>40123373.4246744</v>
      </c>
      <c r="I40" s="62" t="n">
        <f aca="false">Model!AD161</f>
        <v>61624245.5798964</v>
      </c>
      <c r="J40" s="62" t="n">
        <f aca="false">Model!AE161</f>
        <v>84566963.663645</v>
      </c>
    </row>
    <row r="41" customFormat="false" ht="15" hidden="false" customHeight="false" outlineLevel="0" collapsed="false">
      <c r="A41" s="6" t="s">
        <v>564</v>
      </c>
      <c r="D41" s="37" t="n">
        <f aca="false">Model!N153</f>
        <v>3409.92095871356</v>
      </c>
      <c r="E41" s="37" t="n">
        <f aca="false">Model!Z153</f>
        <v>18984.1673378964</v>
      </c>
      <c r="F41" s="37" t="n">
        <f aca="false">Model!AA153</f>
        <v>61836.6586803199</v>
      </c>
      <c r="G41" s="37" t="n">
        <f aca="false">Model!AB153</f>
        <v>121688.258428563</v>
      </c>
      <c r="H41" s="37" t="n">
        <f aca="false">Model!AC153</f>
        <v>195560.611506421</v>
      </c>
      <c r="I41" s="37" t="n">
        <f aca="false">Model!AD153</f>
        <v>272222.387900632</v>
      </c>
      <c r="J41" s="37" t="n">
        <f aca="false">Model!AE153</f>
        <v>337339.091234944</v>
      </c>
    </row>
    <row r="42" customFormat="false" ht="15" hidden="false" customHeight="false" outlineLevel="0" collapsed="false">
      <c r="A42" s="3" t="s">
        <v>565</v>
      </c>
      <c r="D42" s="62" t="n">
        <f aca="false">Model!N156</f>
        <v>482367.41881962</v>
      </c>
      <c r="E42" s="62" t="n">
        <f aca="false">Model!Z156</f>
        <v>2903025.83685994</v>
      </c>
      <c r="F42" s="62" t="n">
        <f aca="false">Model!AA156</f>
        <v>10221886.5438267</v>
      </c>
      <c r="G42" s="62" t="n">
        <f aca="false">Model!AB156</f>
        <v>21744999.9620009</v>
      </c>
      <c r="H42" s="62" t="n">
        <f aca="false">Model!AC156</f>
        <v>37776160.6075286</v>
      </c>
      <c r="I42" s="62" t="n">
        <f aca="false">Model!AD156</f>
        <v>56844174.3407233</v>
      </c>
      <c r="J42" s="62" t="n">
        <f aca="false">Model!AE156</f>
        <v>76147296.3528226</v>
      </c>
    </row>
    <row r="43" customFormat="false" ht="15" hidden="false" customHeight="false" outlineLevel="0" collapsed="false">
      <c r="A43" s="6" t="s">
        <v>528</v>
      </c>
      <c r="D43" s="36" t="n">
        <f aca="false">Model!N181</f>
        <v>21.6473596311426</v>
      </c>
      <c r="E43" s="36" t="n">
        <f aca="false">Model!Z181</f>
        <v>36.2190892641785</v>
      </c>
      <c r="F43" s="36" t="n">
        <f aca="false">Model!AA181</f>
        <v>47.4079728841172</v>
      </c>
      <c r="G43" s="36" t="n">
        <f aca="false">Model!AB181</f>
        <v>49.1314985189817</v>
      </c>
      <c r="H43" s="36" t="n">
        <f aca="false">Model!AC181</f>
        <v>50.083786411131</v>
      </c>
      <c r="I43" s="36" t="n">
        <f aca="false">Model!AD181</f>
        <v>52.6934688976464</v>
      </c>
      <c r="J43" s="36" t="n">
        <f aca="false">Model!AE181</f>
        <v>58.1962758732255</v>
      </c>
    </row>
    <row r="45" customFormat="false" ht="15" hidden="false" customHeight="false" outlineLevel="0" collapsed="false">
      <c r="A45" s="9" t="s">
        <v>566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2026-08-21T11:05:42Z</dcterms:created>
  <dc:creator>openpyxl</dc:creator>
  <dc:description/>
  <dc:language>en-US</dc:language>
  <cp:lastModifiedBy/>
  <dcterms:modified xsi:type="dcterms:W3CDTF">2026-08-21T11:05:42Z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