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commission">'Scenario Parameters'!$B$113</definedName>
    <definedName name="agent_productivity">'Scenario Parameters'!$B$17</definedName>
    <definedName name="agents_gulf_y1">Assumptions!$B$100</definedName>
    <definedName name="agents_gulf_y2">Assumptions!$B$101</definedName>
    <definedName name="agents_gulf_y3">Assumptions!$B$102</definedName>
    <definedName name="agents_gulf_y4">Assumptions!$B$103</definedName>
    <definedName name="agents_gulf_y5">Assumptions!$B$104</definedName>
    <definedName name="agents_gulf_y6">Assumptions!$B$105</definedName>
    <definedName name="agents_gulf_y7">Assumptions!$B$106</definedName>
    <definedName name="agents_india_y1">Assumptions!$B$107</definedName>
    <definedName name="agents_india_y2">Assumptions!$B$108</definedName>
    <definedName name="agents_india_y3">Assumptions!$B$109</definedName>
    <definedName name="agents_india_y4">Assumptions!$B$110</definedName>
    <definedName name="agents_india_y5">Assumptions!$B$111</definedName>
    <definedName name="agents_india_y6">Assumptions!$B$112</definedName>
    <definedName name="agents_india_y7">Assumptions!$B$113</definedName>
    <definedName name="agents_uae_y1">Assumptions!$B$93</definedName>
    <definedName name="agents_uae_y2">Assumptions!$B$94</definedName>
    <definedName name="agents_uae_y3">Assumptions!$B$95</definedName>
    <definedName name="agents_uae_y4">Assumptions!$B$96</definedName>
    <definedName name="agents_uae_y5">Assumptions!$B$97</definedName>
    <definedName name="agents_uae_y6">Assumptions!$B$98</definedName>
    <definedName name="agents_uae_y7">Assumptions!$B$99</definedName>
    <definedName name="atm_a1500">'Scenario Parameters'!$B$55</definedName>
    <definedName name="atm_a3000">'Scenario Parameters'!$B$56</definedName>
    <definedName name="atm_a3000p">'Scenario Parameters'!$B$57</definedName>
    <definedName name="atm_a500">'Scenario Parameters'!$B$54</definedName>
    <definedName name="atm_allowance">Assumptions!$B$18</definedName>
    <definedName name="atm_fee">Assumptions!$B$19</definedName>
    <definedName name="atmm_a1500">'Scenario Parameters'!$B$59</definedName>
    <definedName name="atmm_a3000">'Scenario Parameters'!$B$60</definedName>
    <definedName name="atmm_a3000p">'Scenario Parameters'!$B$61</definedName>
    <definedName name="atmm_a500">'Scenario Parameters'!$B$58</definedName>
    <definedName name="audit_usd">'Scenario Parameters'!$B$106</definedName>
    <definedName name="aum_per_partner">'Scenario Parameters'!$B$83</definedName>
    <definedName name="aum_per_partner_user">'Scenario Parameters'!$B$82</definedName>
    <definedName name="b2b_fee">'Scenario Parameters'!$B$79</definedName>
    <definedName name="bar_grams">Assumptions!$B$10</definedName>
    <definedName name="benef_count">'Scenario Parameters'!$B$70</definedName>
    <definedName name="benef_fee">Assumptions!$B$26</definedName>
    <definedName name="cac7_gulf">'Scenario Parameters'!$B$22</definedName>
    <definedName name="cac7_india">'Scenario Parameters'!$B$23</definedName>
    <definedName name="cac7_uae">'Scenario Parameters'!$B$21</definedName>
    <definedName name="cac_gulf">'Scenario Parameters'!$B$19</definedName>
    <definedName name="cac_india">'Scenario Parameters'!$B$20</definedName>
    <definedName name="cac_uae">'Scenario Parameters'!$B$18</definedName>
    <definedName name="card_activation">'Scenario Parameters'!$B$49</definedName>
    <definedName name="card_fixed_usd">'Scenario Parameters'!$B$115</definedName>
    <definedName name="card_fraud_bps">'Scenario Parameters'!$B$119</definedName>
    <definedName name="card_per_auth">'Scenario Parameters'!$B$118</definedName>
    <definedName name="card_per_card">'Scenario Parameters'!$B$117</definedName>
    <definedName name="card_setup_usd">'Scenario Parameters'!$B$116</definedName>
    <definedName name="card_txns_per_draw">'Scenario Parameters'!$B$50</definedName>
    <definedName name="ceil_gulf">Assumptions!$B$85</definedName>
    <definedName name="ceil_india">Assumptions!$B$86</definedName>
    <definedName name="ceil_total">Assumptions!$B$87</definedName>
    <definedName name="ceil_uae">Assumptions!$B$84</definedName>
    <definedName name="cost_contingency">'Scenario Parameters'!$B$127</definedName>
    <definedName name="decline_uplift">Assumptions!$B$16</definedName>
    <definedName name="disc_card">'Scenario Parameters'!$B$110</definedName>
    <definedName name="disc_entry">'Scenario Parameters'!$B$109</definedName>
    <definedName name="disc_family">'Scenario Parameters'!$B$112</definedName>
    <definedName name="disc_rebate">'Scenario Parameters'!$B$111</definedName>
    <definedName name="dmcc_annual_aed">'Scenario Parameters'!$B$99</definedName>
    <definedName name="dmcc_setup_aed">'Scenario Parameters'!$B$100</definedName>
    <definedName name="draw_events">'Scenario Parameters'!$B$67</definedName>
    <definedName name="drawn_share">'Scenario Parameters'!$B$65</definedName>
    <definedName name="entry_fee">Assumptions!$B$8</definedName>
    <definedName name="ever_qualify">'Scenario Parameters'!$B$34</definedName>
    <definedName name="fab_premium">Assumptions!$B$9</definedName>
    <definedName name="facility_turnover">'Scenario Parameters'!$B$66</definedName>
    <definedName name="family_attach">'Scenario Parameters'!$B$68</definedName>
    <definedName name="family_churn">'Scenario Parameters'!$B$69</definedName>
    <definedName name="family_churn_m">'Scenario Parameters'!$B$71</definedName>
    <definedName name="family_price">Assumptions!$B$25</definedName>
    <definedName name="float_buffer_days">'Scenario Parameters'!$B$11</definedName>
    <definedName name="foreign_spend_share">'Scenario Parameters'!$B$51</definedName>
    <definedName name="fx_margin">Assumptions!$B$17</definedName>
    <definedName name="gate_run">Assumptions!$B$42</definedName>
    <definedName name="gold_cagr">'Scenario Parameters'!$B$10</definedName>
    <definedName name="gold_price">Assumptions!$B$6</definedName>
    <definedName name="ic_gold">Assumptions!$B$14</definedName>
    <definedName name="insurance_usd">'Scenario Parameters'!$B$105</definedName>
    <definedName name="issuance_fee">Assumptions!$B$20</definedName>
    <definedName name="kyc_min_month">'Scenario Parameters'!$B$128</definedName>
    <definedName name="kyc_per_check">'Scenario Parameters'!$B$101</definedName>
    <definedName name="lapsed_redemption_mult">'Scenario Parameters'!$B$41</definedName>
    <definedName name="launch_audit_usd">'Scenario Parameters'!$B$108</definedName>
    <definedName name="ltv_gold">Assumptions!$B$31</definedName>
    <definedName name="mktg_y1">Assumptions!$B$114</definedName>
    <definedName name="mktg_y2">Assumptions!$B$115</definedName>
    <definedName name="mktg_y3">Assumptions!$B$116</definedName>
    <definedName name="mktg_y4">Assumptions!$B$117</definedName>
    <definedName name="mktg_y5">Assumptions!$B$118</definedName>
    <definedName name="mktg_y6">Assumptions!$B$119</definedName>
    <definedName name="mktg_y7">Assumptions!$B$120</definedName>
    <definedName name="mktshare_gulf">'Scenario Parameters'!$B$25</definedName>
    <definedName name="mktshare_india">'Scenario Parameters'!$B$26</definedName>
    <definedName name="mktshare_uae">'Scenario Parameters'!$B$24</definedName>
    <definedName name="monthly_churn">'Scenario Parameters'!$B$16</definedName>
    <definedName name="months_to_qualify">'Scenario Parameters'!$B$35</definedName>
    <definedName name="nla_months">'Scenario Parameters'!$B$104</definedName>
    <definedName name="organic_share">'Scenario Parameters'!$B$29</definedName>
    <definedName name="origination_gross">Assumptions!$B$27</definedName>
    <definedName name="origination_share">Assumptions!$B$28</definedName>
    <definedName name="paidup_activity_aed">'Scenario Parameters'!$B$103</definedName>
    <definedName name="paidup_issuance_aed">'Scenario Parameters'!$B$102</definedName>
    <definedName name="partner_adoption">'Scenario Parameters'!$B$81</definedName>
    <definedName name="partner_users">'Scenario Parameters'!$B$80</definedName>
    <definedName name="partners_y1">'Scenario Parameters'!$B$72</definedName>
    <definedName name="partners_y2">'Scenario Parameters'!$B$73</definedName>
    <definedName name="partners_y3">'Scenario Parameters'!$B$74</definedName>
    <definedName name="partners_y4">'Scenario Parameters'!$B$75</definedName>
    <definedName name="partners_y5">'Scenario Parameters'!$B$76</definedName>
    <definedName name="partners_y6">'Scenario Parameters'!$B$77</definedName>
    <definedName name="partners_y7">'Scenario Parameters'!$B$78</definedName>
    <definedName name="persistency_m13">'Scenario Parameters'!$B$15</definedName>
    <definedName name="pm_share">'Scenario Parameters'!$B$48</definedName>
    <definedName name="prefund_days">'Scenario Parameters'!$B$122</definedName>
    <definedName name="prefund_floor">'Scenario Parameters'!$B$123</definedName>
    <definedName name="ramp_y1">Assumptions!$B$121</definedName>
    <definedName name="ramp_y2">Assumptions!$B$122</definedName>
    <definedName name="ramp_y3">Assumptions!$B$123</definedName>
    <definedName name="ramp_y4">Assumptions!$B$124</definedName>
    <definedName name="ramp_y5">Assumptions!$B$125</definedName>
    <definedName name="ramp_y6">Assumptions!$B$126</definedName>
    <definedName name="ramp_y7">Assumptions!$B$127</definedName>
    <definedName name="redemption_cost">Assumptions!$B$43</definedName>
    <definedName name="redemption_rate">'Scenario Parameters'!$B$40</definedName>
    <definedName name="referral_conversion">'Scenario Parameters'!$B$28</definedName>
    <definedName name="referral_rate">'Scenario Parameters'!$B$27</definedName>
    <definedName name="referral_reward">'Scenario Parameters'!$B$114</definedName>
    <definedName name="reissue_rate">'Scenario Parameters'!$B$52</definedName>
    <definedName name="replacement_events">'Scenario Parameters'!$B$53</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Parameters'!$B$30</definedName>
    <definedName name="self_custody_leakage">'Scenario Parameters'!$B$39</definedName>
    <definedName name="servicing_gross">Assumptions!$B$29</definedName>
    <definedName name="servicing_share">Assumptions!$B$30</definedName>
    <definedName name="sip_floor">Assumptions!$B$41</definedName>
    <definedName name="spot_attach_mult">'Scenario Parameters'!$B$42</definedName>
    <definedName name="spot_frequency">'Scenario Parameters'!$B$44</definedName>
    <definedName name="spot_ticket_mult">'Scenario Parameters'!$B$43</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torage_min_day">'Scenario Parameters'!$B$96</definedName>
    <definedName name="storage_rate">'Scenario Parameters'!$B$95</definedName>
    <definedName name="sw_lapsed_keeps_card">'Scenario Parameters'!$B$131</definedName>
    <definedName name="sw_premium_absorbed">'Scenario Parameters'!$B$132</definedName>
    <definedName name="sw_premium_on_gross">'Scenario Parameters'!$B$133</definedName>
    <definedName name="sw_prepaid_vs_credit">'Scenario Parameters'!$B$130</definedName>
    <definedName name="tech_build_y1">'Scenario Parameters'!$B$124</definedName>
    <definedName name="tech_build_y2">'Scenario Parameters'!$B$125</definedName>
    <definedName name="tech_maint">'Scenario Parameters'!$B$126</definedName>
    <definedName name="techaudit_usd">'Scenario Parameters'!$B$107</definedName>
    <definedName name="ticket_gulf">'Scenario Parameters'!$B$88</definedName>
    <definedName name="ticket_india">'Scenario Parameters'!$B$89</definedName>
    <definedName name="ticket_uae">'Scenario Parameters'!$B$87</definedName>
    <definedName name="txn_fee">Assumptions!$B$15</definedName>
    <definedName name="uae_spend_abroad">'Scenario Parameters'!$B$121</definedName>
    <definedName name="vara_application_aed">'Scenario Parameters'!$B$98</definedName>
    <definedName name="vara_supervision_aed">'Scenario Parameters'!$B$97</definedName>
    <definedName name="xborder_rate">'Scenario Parameters'!$B$120</definedName>
    <definedName name="xchk_uae_obs">Assumptions!$B$89</definedName>
  </definedNames>
  <calcPr calcId="124519" fullCalcOnLoad="1"/>
</workbook>
</file>

<file path=xl/styles.xml><?xml version="1.0" encoding="utf-8"?>
<styleSheet xmlns="http://schemas.openxmlformats.org/spreadsheetml/2006/main">
  <numFmts count="9">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 numFmtId="172"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0" fontId="6" fillId="0" borderId="0" pivotButton="0" quotePrefix="0" xfId="0"/>
    <xf numFmtId="166" fontId="6" fillId="0" borderId="0" pivotButton="0" quotePrefix="0" xfId="0"/>
    <xf numFmtId="168" fontId="6" fillId="0" borderId="0" pivotButton="0" quotePrefix="0" xfId="0"/>
    <xf numFmtId="165" fontId="6" fillId="0" borderId="0" pivotButton="0" quotePrefix="0" xfId="0"/>
    <xf numFmtId="169" fontId="6" fillId="0" borderId="0" pivotButton="0" quotePrefix="0" xfId="0"/>
    <xf numFmtId="171" fontId="6" fillId="0" borderId="0" pivotButton="0" quotePrefix="0" xfId="0"/>
    <xf numFmtId="167" fontId="6" fillId="0" borderId="0" pivotButton="0" quotePrefix="0" xfId="0"/>
    <xf numFmtId="0" fontId="14" fillId="0" borderId="0" pivotButton="0" quotePrefix="0" xfId="0"/>
    <xf numFmtId="10" fontId="3" fillId="0" borderId="0" pivotButton="0" quotePrefix="0" xfId="0"/>
    <xf numFmtId="168" fontId="3" fillId="0" borderId="0" pivotButton="0" quotePrefix="0" xfId="0"/>
    <xf numFmtId="165" fontId="3" fillId="0" borderId="0" pivotButton="0" quotePrefix="0" xfId="0"/>
    <xf numFmtId="169" fontId="3" fillId="0" borderId="0" pivotButton="0" quotePrefix="0" xfId="0"/>
    <xf numFmtId="171" fontId="3" fillId="0" borderId="0" pivotButton="0" quotePrefix="0" xfId="0"/>
    <xf numFmtId="171" fontId="4" fillId="0" borderId="0" pivotButton="0" quotePrefix="0" xfId="0"/>
    <xf numFmtId="167"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2" fontId="6" fillId="0" borderId="0" applyAlignment="1" pivotButton="0" quotePrefix="0" xfId="0">
      <alignment horizontal="center"/>
    </xf>
    <xf numFmtId="168" fontId="6" fillId="0" borderId="0" applyAlignment="1" pivotButton="0" quotePrefix="0" xfId="0">
      <alignment horizontal="center"/>
    </xf>
    <xf numFmtId="172" fontId="3" fillId="0" borderId="0" pivotButton="0" quotePrefix="0" xfId="0"/>
    <xf numFmtId="172"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7" fontId="5"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6" fontId="13" fillId="0" borderId="0" applyAlignment="1" pivotButton="0" quotePrefix="0" xfId="0">
      <alignment horizontal="center"/>
    </xf>
    <xf numFmtId="169" fontId="6" fillId="0" borderId="0" applyAlignment="1" pivotButton="0" quotePrefix="0" xfId="0">
      <alignment horizontal="center"/>
    </xf>
    <xf numFmtId="172" fontId="3" fillId="0" borderId="0" applyAlignment="1" pivotButton="0" quotePrefix="0" xfId="0">
      <alignment horizontal="center"/>
    </xf>
    <xf numFmtId="170" fontId="3" fillId="0" borderId="0" applyAlignment="1" pivotButton="0" quotePrefix="0" xfId="0">
      <alignment horizontal="center"/>
    </xf>
    <xf numFmtId="165" fontId="3" fillId="0" borderId="0" applyAlignment="1" pivotButton="0" quotePrefix="0" xfId="0">
      <alignment horizontal="center"/>
    </xf>
    <xf numFmtId="171" fontId="5" fillId="0" borderId="0" applyAlignment="1" pivotButton="0" quotePrefix="0" xfId="0">
      <alignment horizontal="center"/>
    </xf>
    <xf numFmtId="168"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5" fontId="6" fillId="0" borderId="2"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at M1</t>
        </is>
      </c>
      <c r="B6" s="15" t="n">
        <v>141.46</v>
      </c>
      <c r="C6" t="inlineStr">
        <is>
          <t>USD/g</t>
        </is>
      </c>
      <c r="D6" t="inlineStr">
        <is>
          <t>USD 4,400/oz verified 2026-08-17. THE STARTING PRICE - it no longer holds for the whole horizon; see the appreciation rate below and the live 'Gold price (this period)' row on the Model.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50</v>
      </c>
      <c r="C25" t="inlineStr">
        <is>
          <t>USD/yr</t>
        </is>
      </c>
      <c r="D25" t="inlineStr">
        <is>
          <t>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is>
      </c>
    </row>
    <row r="26">
      <c r="A26" t="inlineStr">
        <is>
          <t>Additional beneficiary fee</t>
        </is>
      </c>
      <c r="B26" s="20" t="n">
        <v>6</v>
      </c>
      <c r="C26" t="inlineStr">
        <is>
          <t>USD/yr each</t>
        </is>
      </c>
      <c r="D26" t="inlineStr">
        <is>
          <t>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is>
      </c>
    </row>
    <row r="35">
      <c r="A35" t="inlineStr">
        <is>
          <t>Spot attach rate - UAE</t>
        </is>
      </c>
      <c r="B35" s="19" t="n">
        <v>0.12</v>
      </c>
      <c r="C35" t="inlineStr">
        <is>
          <t>% of customers/yr</t>
        </is>
      </c>
      <c r="D35"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6">
      <c r="A36" t="inlineStr">
        <is>
          <t>Spot attach rate - Oman and Bahrain</t>
        </is>
      </c>
      <c r="B36" s="19" t="n">
        <v>0.1</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India</t>
        </is>
      </c>
      <c r="B37" s="19" t="n">
        <v>0.35</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9" ht="18" customHeight="1">
      <c r="A39" s="12" t="inlineStr">
        <is>
          <t>SIP RULES</t>
        </is>
      </c>
      <c r="B39" s="13" t="n"/>
      <c r="C39" s="13" t="n"/>
      <c r="D39" s="13" t="n"/>
    </row>
    <row r="40">
      <c r="A40" s="14" t="inlineStr">
        <is>
          <t>Parameter</t>
        </is>
      </c>
      <c r="B40" s="14" t="inlineStr">
        <is>
          <t>Value</t>
        </is>
      </c>
      <c r="C40" s="14" t="inlineStr">
        <is>
          <t>Unit</t>
        </is>
      </c>
      <c r="D40" s="14" t="inlineStr">
        <is>
          <t>Source</t>
        </is>
      </c>
    </row>
    <row r="41">
      <c r="A41" t="inlineStr">
        <is>
          <t>SIP hard floor</t>
        </is>
      </c>
      <c r="B41" s="18" t="n">
        <v>20</v>
      </c>
      <c r="C41" t="inlineStr">
        <is>
          <t>USD/month</t>
        </is>
      </c>
      <c r="D41" t="inlineStr">
        <is>
          <t>Rejected outright below; never partially credited. CITED.</t>
        </is>
      </c>
    </row>
    <row r="42">
      <c r="A42" t="inlineStr">
        <is>
          <t>Confirmed SIP gate</t>
        </is>
      </c>
      <c r="B42" s="17" t="n">
        <v>6</v>
      </c>
      <c r="C42" t="inlineStr">
        <is>
          <t>consecutive payments</t>
        </is>
      </c>
      <c r="D42" t="inlineStr">
        <is>
          <t>Client's own figure. The gate is why eligibility is NOT universal - see the two eligibility parameters on the Scenario sheet. CLIENT INPUT.</t>
        </is>
      </c>
    </row>
    <row r="43">
      <c r="A43" t="inlineStr">
        <is>
          <t>Cost per redemption event</t>
        </is>
      </c>
      <c r="B43" s="18" t="n">
        <v>1.85</v>
      </c>
      <c r="C43" t="inlineStr">
        <is>
          <t>USD</t>
        </is>
      </c>
      <c r="D43" t="inlineStr">
        <is>
          <t>CUT TWICE, AND BOTH CUTS WERE DELIBERATE. From 4.20 to 3.20 on 2026-08-20, removing the outbound bank transfer fee (USD 1.00-2.50) as the customer's cost to bear. From 3.20 to 1.85 on 2026-08-26, client instruction, removing the ~1.35 of operational handling. WHAT REMAINS IS SUMSUB AML RE-SCREENING AT 1.85, the same published per-verification rate the onboarding line uses - a redemption triggers a re-screen. NOT a double count with the KYC line: that one charges new customers at onboarding, this one charges a different event. WHAT WAS REMOVED IS NOT ZERO. Operational handling - the staff time to check, approve and settle a redemption - is real work; it is now assumed to sit inside headcount rather than being priced per event. WHEN HEADCOUNT LANDS, CONFIRM IT IS ACTUALLY CARRIED THERE, or this cost has quietly vanished from the model rather than moved.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5" ht="18" customHeight="1">
      <c r="A45" s="12" t="inlineStr">
        <is>
          <t>ACTIVATION CALENDAR - the single source of every activation period</t>
        </is>
      </c>
      <c r="B45" s="13" t="n"/>
      <c r="C45" s="13" t="n"/>
      <c r="D45" s="13" t="n"/>
    </row>
    <row r="46">
      <c r="A46" s="14" t="inlineStr">
        <is>
          <t>Parameter</t>
        </is>
      </c>
      <c r="B46" s="14" t="inlineStr">
        <is>
          <t>Value</t>
        </is>
      </c>
      <c r="C46" s="14" t="inlineStr">
        <is>
          <t>Unit</t>
        </is>
      </c>
      <c r="D46" s="14" t="inlineStr">
        <is>
          <t>Source</t>
        </is>
      </c>
    </row>
    <row r="47">
      <c r="A47" t="inlineStr">
        <is>
          <t>Stream 1a - Entry fee, SIP</t>
        </is>
      </c>
      <c r="B47" s="17" t="n">
        <v>1</v>
      </c>
      <c r="C47" t="inlineStr">
        <is>
          <t>period # (from)</t>
        </is>
      </c>
      <c r="D47" t="inlineStr">
        <is>
          <t>M1. The core product - live at launch.</t>
        </is>
      </c>
    </row>
    <row r="48">
      <c r="A48" t="inlineStr">
        <is>
          <t>Stream 1b - Entry fee, SPOT</t>
        </is>
      </c>
      <c r="B48" s="17" t="n">
        <v>1</v>
      </c>
      <c r="C48" t="inlineStr">
        <is>
          <t>period # (from)</t>
        </is>
      </c>
      <c r="D48" t="inlineStr">
        <is>
          <t>M1. A sub-stream of 1: the same fee on the same gold through a different rail, so it needs no additional build.</t>
        </is>
      </c>
    </row>
    <row r="49">
      <c r="A49" t="inlineStr">
        <is>
          <t>Stream 0 - Redemption cost</t>
        </is>
      </c>
      <c r="B49" s="17" t="n">
        <v>1</v>
      </c>
      <c r="C49" t="inlineStr">
        <is>
          <t>period # (from)</t>
        </is>
      </c>
      <c r="D49" t="inlineStr">
        <is>
          <t>M1. A mandatory cost from day one. VARA Annex 2 III.E.4 forbids charging any fee on redemption, so there is no offsetting revenue and there can never be an exit fee.</t>
        </is>
      </c>
    </row>
    <row r="50">
      <c r="A50" t="inlineStr">
        <is>
          <t>Stream 3 - Family plan and Digital Will</t>
        </is>
      </c>
      <c r="B50" s="17" t="n">
        <v>7</v>
      </c>
      <c r="C50" t="inlineStr">
        <is>
          <t>period # (from)</t>
        </is>
      </c>
      <c r="D50"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1">
      <c r="A51" t="inlineStr">
        <is>
          <t>Stream 2 - Card interchange</t>
        </is>
      </c>
      <c r="B51" s="17" t="n">
        <v>13</v>
      </c>
      <c r="C51" t="inlineStr">
        <is>
          <t>period # (from)</t>
        </is>
      </c>
      <c r="D51"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2">
      <c r="A52" t="inlineStr">
        <is>
          <t>Stream 4 - Cardholder fees</t>
        </is>
      </c>
      <c r="B52" s="17" t="n">
        <v>13</v>
      </c>
      <c r="C52" t="inlineStr">
        <is>
          <t>period # (from)</t>
        </is>
      </c>
      <c r="D52" t="inlineStr">
        <is>
          <t>M13, necessarily with stream 2 - FX, ATM and issuance fees cannot exist before the card does.</t>
        </is>
      </c>
    </row>
    <row r="53">
      <c r="A53" t="inlineStr">
        <is>
          <t>Stream 5 - Lending revenue share</t>
        </is>
      </c>
      <c r="B53" s="17" t="n">
        <v>13</v>
      </c>
      <c r="C53" t="inlineStr">
        <is>
          <t>period # (from)</t>
        </is>
      </c>
      <c r="D53"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4">
      <c r="A54" t="inlineStr">
        <is>
          <t>Stream 6 - B2B platform fee</t>
        </is>
      </c>
      <c r="B54" s="17" t="n">
        <v>13</v>
      </c>
      <c r="C54" t="inlineStr">
        <is>
          <t>period # (from)</t>
        </is>
      </c>
      <c r="D54"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5">
      <c r="A55" t="inlineStr">
        <is>
          <t>Referral channel begins</t>
        </is>
      </c>
      <c r="B55" s="17" t="n">
        <v>13</v>
      </c>
      <c r="C55" t="inlineStr">
        <is>
          <t>period # (from)</t>
        </is>
      </c>
      <c r="D55"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6">
      <c r="A56" t="inlineStr">
        <is>
          <t>Region opens - Oman and Bahrain</t>
        </is>
      </c>
      <c r="B56" s="17" t="n">
        <v>13</v>
      </c>
      <c r="C56" t="inlineStr">
        <is>
          <t>period # (from)</t>
        </is>
      </c>
      <c r="D56" t="inlineStr">
        <is>
          <t>M13 (client decision 2026-08-20). THE ONLY STAGED REGION, and the reason is regulatory: it requires local authorisation in a second and third jurisdiction. These customers are also NOT UAE-resident, so the VAT and reporting treatment differs.</t>
        </is>
      </c>
    </row>
    <row r="57">
      <c r="A57" t="inlineStr">
        <is>
          <t>Region opens - India</t>
        </is>
      </c>
      <c r="B57" s="17" t="n">
        <v>1</v>
      </c>
      <c r="C57" t="inlineStr">
        <is>
          <t>period # (from)</t>
        </is>
      </c>
      <c r="D57" t="inlineStr">
        <is>
          <t>M1 (client decision 2026-08-20, moved earlier from M13). The India payment route is ASSUMED SOLVED in this model. That is a live assumption, not a settled fact - if the route is not solved, this region does not open at all and roughly a quarter of terminal revenue goes with it.</t>
        </is>
      </c>
    </row>
    <row r="59" ht="18" customHeight="1">
      <c r="A59" s="12" t="inlineStr">
        <is>
          <t>SEASONALITY VECTORS (raw - the Model normalises to exactly 12.000)</t>
        </is>
      </c>
      <c r="B59" s="13" t="n"/>
      <c r="C59" s="13" t="n"/>
      <c r="D59" s="13" t="n"/>
    </row>
    <row r="60">
      <c r="A60" t="inlineStr">
        <is>
          <t>Vector</t>
        </is>
      </c>
      <c r="F60" s="21" t="inlineStr">
        <is>
          <t>Jan</t>
        </is>
      </c>
      <c r="G60" s="21" t="inlineStr">
        <is>
          <t>Feb</t>
        </is>
      </c>
      <c r="H60" s="21" t="inlineStr">
        <is>
          <t>Mar</t>
        </is>
      </c>
      <c r="I60" s="21" t="inlineStr">
        <is>
          <t>Apr</t>
        </is>
      </c>
      <c r="J60" s="21" t="inlineStr">
        <is>
          <t>May</t>
        </is>
      </c>
      <c r="K60" s="21" t="inlineStr">
        <is>
          <t>Jun</t>
        </is>
      </c>
      <c r="L60" s="21" t="inlineStr">
        <is>
          <t>Jul</t>
        </is>
      </c>
      <c r="M60" s="21" t="inlineStr">
        <is>
          <t>Aug</t>
        </is>
      </c>
      <c r="N60" s="21" t="inlineStr">
        <is>
          <t>Sep</t>
        </is>
      </c>
      <c r="O60" s="21" t="inlineStr">
        <is>
          <t>Oct</t>
        </is>
      </c>
      <c r="P60" s="21" t="inlineStr">
        <is>
          <t>Nov</t>
        </is>
      </c>
      <c r="Q60" s="21" t="inlineStr">
        <is>
          <t>Dec</t>
        </is>
      </c>
    </row>
    <row r="61">
      <c r="A61" t="inlineStr">
        <is>
          <t>Acquisition seasonality</t>
        </is>
      </c>
      <c r="D61"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 r="A62" t="inlineStr">
        <is>
          <t>Card spend seasonality</t>
        </is>
      </c>
      <c r="D62"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2" s="22" t="n">
        <v>1.1</v>
      </c>
      <c r="G62" s="22" t="n">
        <v>1</v>
      </c>
      <c r="H62" s="22" t="n">
        <v>0.98</v>
      </c>
      <c r="I62" s="22" t="n">
        <v>0.98</v>
      </c>
      <c r="J62" s="22" t="n">
        <v>1</v>
      </c>
      <c r="K62" s="22" t="n">
        <v>0.95</v>
      </c>
      <c r="L62" s="22" t="n">
        <v>0.88</v>
      </c>
      <c r="M62" s="22" t="n">
        <v>0.9</v>
      </c>
      <c r="N62" s="22" t="n">
        <v>1</v>
      </c>
      <c r="O62" s="22" t="n">
        <v>1.02</v>
      </c>
      <c r="P62" s="22" t="n">
        <v>1.05</v>
      </c>
      <c r="Q62" s="22" t="n">
        <v>1.14</v>
      </c>
    </row>
    <row r="63">
      <c r="A63" t="inlineStr">
        <is>
          <t>Foreign-spend share vector</t>
        </is>
      </c>
      <c r="D63" t="inlineStr">
        <is>
          <t>The one seasonality vector the brief itself tabulates. Raw mean 39.75, rescaled on the Model to the foreign-spend-share parameter. THE SUMMER TRAVEL SEASON IS THE LARGEST STREAM-4 MONTH on the weakest total-spend base.</t>
        </is>
      </c>
      <c r="F63" s="22" t="n">
        <v>30</v>
      </c>
      <c r="G63" s="22" t="n">
        <v>30</v>
      </c>
      <c r="H63" s="22" t="n">
        <v>30</v>
      </c>
      <c r="I63" s="22" t="n">
        <v>32</v>
      </c>
      <c r="J63" s="22" t="n">
        <v>34</v>
      </c>
      <c r="K63" s="22" t="n">
        <v>55</v>
      </c>
      <c r="L63" s="22" t="n">
        <v>60</v>
      </c>
      <c r="M63" s="22" t="n">
        <v>56</v>
      </c>
      <c r="N63" s="22" t="n">
        <v>36</v>
      </c>
      <c r="O63" s="22" t="n">
        <v>42</v>
      </c>
      <c r="P63" s="22" t="n">
        <v>40</v>
      </c>
      <c r="Q63" s="22" t="n">
        <v>32</v>
      </c>
    </row>
    <row r="65" ht="18" customHeight="1">
      <c r="A65" s="12" t="inlineStr">
        <is>
          <t>REGION KEY - who each region is</t>
        </is>
      </c>
      <c r="B65" s="13" t="n"/>
      <c r="C65" s="13" t="n"/>
      <c r="D65" s="13" t="n"/>
    </row>
    <row r="66">
      <c r="A66" s="14" t="inlineStr">
        <is>
          <t>Parameter</t>
        </is>
      </c>
      <c r="B66" s="14" t="inlineStr">
        <is>
          <t>Value</t>
        </is>
      </c>
      <c r="C66" s="14" t="inlineStr">
        <is>
          <t>Unit</t>
        </is>
      </c>
      <c r="D66" s="14" t="inlineStr">
        <is>
          <t>Source</t>
        </is>
      </c>
    </row>
    <row r="67">
      <c r="A67" s="3" t="inlineStr">
        <is>
          <t>UAE</t>
        </is>
      </c>
      <c r="B67" s="23" t="inlineStr">
        <is>
          <t>opens M1</t>
        </is>
      </c>
      <c r="D67"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8">
      <c r="A68" s="3" t="inlineStr">
        <is>
          <t>Oman and Bahrain</t>
        </is>
      </c>
      <c r="B68" s="23" t="inlineStr">
        <is>
          <t>opens M13</t>
        </is>
      </c>
      <c r="D68" t="inlineStr">
        <is>
          <t>Expatriate workers in Oman and Bahrain. ~600,000 addressable. NOT UAE-resident, so VAT and reporting treatment differ. Requires local authorisation in a second and third jurisdiction, which is why it is the only staged region.</t>
        </is>
      </c>
    </row>
    <row r="69">
      <c r="A69" s="3" t="inlineStr">
        <is>
          <t>India</t>
        </is>
      </c>
      <c r="B69" s="23" t="inlineStr">
        <is>
          <t>opens M1</t>
        </is>
      </c>
      <c r="D69"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1" ht="18" customHeight="1">
      <c r="A71" s="12" t="inlineStr">
        <is>
          <t>MARKET SIZING - how each region's reachable SIP account ceiling is derived</t>
        </is>
      </c>
      <c r="B71" s="13" t="n"/>
      <c r="C71" s="13" t="n"/>
      <c r="D71" s="13" t="n"/>
    </row>
    <row r="72">
      <c r="A72" s="24" t="inlineStr">
        <is>
          <t>Funnel step</t>
        </is>
      </c>
      <c r="F72" s="25" t="inlineStr">
        <is>
          <t>UAE - Indian</t>
        </is>
      </c>
      <c r="G72" s="25" t="inlineStr">
        <is>
          <t>UAE - other South Asian</t>
        </is>
      </c>
      <c r="H72" s="25" t="inlineStr">
        <is>
          <t>Oman and Bahrain</t>
        </is>
      </c>
      <c r="I72" s="25" t="inlineStr">
        <is>
          <t>India</t>
        </is>
      </c>
    </row>
    <row r="73">
      <c r="A73" t="inlineStr">
        <is>
          <t>Source population</t>
        </is>
      </c>
      <c r="D73"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is>
      </c>
      <c r="F73" s="26" t="n">
        <v>4360000</v>
      </c>
      <c r="G73" s="26" t="n">
        <v>3460000</v>
      </c>
      <c r="H73" s="26" t="n">
        <v>2630000</v>
      </c>
      <c r="I73" s="26" t="n">
        <v>12500000</v>
      </c>
    </row>
    <row r="74">
      <c r="A74" t="inlineStr">
        <is>
          <t xml:space="preserve">  x Economically active</t>
        </is>
      </c>
      <c r="D74" t="inlineStr">
        <is>
          <t>Oman and Bahrain is 100% because the source counts EXPAT WORKERS, who are working-age and economically active by definition - applying a labour-force filter would double-count.</t>
        </is>
      </c>
      <c r="F74" s="27" t="n">
        <v>0.8</v>
      </c>
      <c r="G74" s="27" t="n">
        <v>0.8</v>
      </c>
      <c r="H74" s="27" t="n">
        <v>1</v>
      </c>
      <c r="I74" s="27" t="n">
        <v>1</v>
      </c>
    </row>
    <row r="75">
      <c r="A75" t="inlineStr">
        <is>
          <t xml:space="preserve">  x Payment capable (IBAN able to carry a direct debit)</t>
        </is>
      </c>
      <c r="D75"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5" s="27" t="n">
        <v>0.57</v>
      </c>
      <c r="G75" s="27" t="n">
        <v>0.57</v>
      </c>
      <c r="H75" s="27" t="n">
        <v>0.57</v>
      </c>
      <c r="I75" s="27" t="n">
        <v>1</v>
      </c>
    </row>
    <row r="76">
      <c r="A76" t="inlineStr">
        <is>
          <t xml:space="preserve">  x Money capable (USD 20/month after remittances)</t>
        </is>
      </c>
      <c r="D76" t="inlineStr">
        <is>
          <t>Discretionary capacity for a RECURRING USD 240/year commitment, tested after remittance obligations rather than before them.</t>
        </is>
      </c>
      <c r="F76" s="27" t="n">
        <v>0.4</v>
      </c>
      <c r="G76" s="27" t="n">
        <v>0.4</v>
      </c>
      <c r="H76" s="27" t="n">
        <v>0.4</v>
      </c>
      <c r="I76" s="27" t="n">
        <v>1</v>
      </c>
    </row>
    <row r="77">
      <c r="A77" t="inlineStr">
        <is>
          <t xml:space="preserve">  = Addressable base</t>
        </is>
      </c>
      <c r="D77" t="inlineStr">
        <is>
          <t>Population x the three filters. The UAE-Indian column reproduces the brief's worked figure of ~640,000.</t>
        </is>
      </c>
      <c r="F77" s="28">
        <f>F73*F74*F75*F76</f>
        <v/>
      </c>
      <c r="G77" s="28">
        <f>G73*G74*G75*G76</f>
        <v/>
      </c>
      <c r="H77" s="28">
        <f>H73*H74*H75*H76</f>
        <v/>
      </c>
      <c r="I77" s="28">
        <f>I73*I74*I75*I76</f>
        <v/>
      </c>
    </row>
    <row r="78">
      <c r="A78" t="inlineStr">
        <is>
          <t xml:space="preserve">  x Penetration ceiling</t>
        </is>
      </c>
      <c r="D78" t="inlineStr">
        <is>
          <t>The share of the addressable base the product could ever reach. 'base x ceiling' is the INVARIANT - changing one without the other silently re-scales the whole model.</t>
        </is>
      </c>
      <c r="F78" s="29" t="n">
        <v>0.1</v>
      </c>
      <c r="G78" s="29" t="n">
        <v>0.1</v>
      </c>
      <c r="H78" s="29" t="n">
        <v>0.06</v>
      </c>
      <c r="I78" s="29" t="n">
        <v>0.01</v>
      </c>
    </row>
    <row r="79">
      <c r="A79" t="inlineStr">
        <is>
          <t xml:space="preserve">  = REACHABLE SIP ACCOUNTS</t>
        </is>
      </c>
      <c r="D79" t="inlineStr">
        <is>
          <t>This is what the acquisition engine saturates against.</t>
        </is>
      </c>
      <c r="F79" s="28">
        <f>F77*F78</f>
        <v/>
      </c>
      <c r="G79" s="28">
        <f>G77*G78</f>
        <v/>
      </c>
      <c r="H79" s="28">
        <f>H77*H78</f>
        <v/>
      </c>
      <c r="I79" s="28">
        <f>I77*I78</f>
        <v/>
      </c>
    </row>
    <row r="80">
      <c r="A80" t="inlineStr">
        <is>
          <t xml:space="preserve">  Feeds model region</t>
        </is>
      </c>
      <c r="F80" s="30" t="inlineStr">
        <is>
          <t>UAE</t>
        </is>
      </c>
      <c r="G80" s="30" t="inlineStr">
        <is>
          <t>UAE</t>
        </is>
      </c>
      <c r="H80" s="30" t="inlineStr">
        <is>
          <t>Oman and Bahrain</t>
        </is>
      </c>
      <c r="I80" s="30" t="inlineStr">
        <is>
          <t>India</t>
        </is>
      </c>
    </row>
    <row r="82" ht="18" customHeight="1">
      <c r="A82" s="12" t="inlineStr">
        <is>
          <t>MARKET CEILINGS AND ACQUISITION DRIVERS</t>
        </is>
      </c>
      <c r="B82" s="13" t="n"/>
      <c r="C82" s="13" t="n"/>
      <c r="D82" s="13" t="n"/>
    </row>
    <row r="83">
      <c r="A83" s="14" t="inlineStr">
        <is>
          <t>Parameter</t>
        </is>
      </c>
      <c r="B83" s="14" t="inlineStr">
        <is>
          <t>Value</t>
        </is>
      </c>
      <c r="C83" s="14" t="inlineStr">
        <is>
          <t>Unit</t>
        </is>
      </c>
      <c r="D83" s="14" t="inlineStr">
        <is>
          <t>Source</t>
        </is>
      </c>
    </row>
    <row r="84">
      <c r="A84" t="inlineStr">
        <is>
          <t>Reachable SIP ceiling - UAE</t>
        </is>
      </c>
      <c r="B84" s="31">
        <f>F79+G79</f>
        <v/>
      </c>
      <c r="C84" t="inlineStr">
        <is>
          <t>accounts</t>
        </is>
      </c>
      <c r="D84" t="inlineStr">
        <is>
          <t>DERIVED from the market sizing funnel above - the sum of its source populations (UAE - Indian, UAE - other South Asian), not a typed number. Change any filter and this follows.</t>
        </is>
      </c>
    </row>
    <row r="85">
      <c r="A85" t="inlineStr">
        <is>
          <t>Reachable SIP ceiling - Oman and Bahrain</t>
        </is>
      </c>
      <c r="B85" s="31">
        <f>H79</f>
        <v/>
      </c>
      <c r="C85" t="inlineStr">
        <is>
          <t>accounts</t>
        </is>
      </c>
      <c r="D85" t="inlineStr">
        <is>
          <t>DERIVED from the market sizing funnel above - the sum of its source populations (Oman and Bahrain), not a typed number. Change any filter and this follows.</t>
        </is>
      </c>
    </row>
    <row r="86">
      <c r="A86" t="inlineStr">
        <is>
          <t>Reachable SIP ceiling - India</t>
        </is>
      </c>
      <c r="B86" s="31">
        <f>I79</f>
        <v/>
      </c>
      <c r="C86" t="inlineStr">
        <is>
          <t>accounts</t>
        </is>
      </c>
      <c r="D86" t="inlineStr">
        <is>
          <t>DERIVED from the market sizing funnel above - the sum of its source populations (India), not a typed number. Change any filter and this follows.</t>
        </is>
      </c>
    </row>
    <row r="87">
      <c r="A87" s="3" t="inlineStr">
        <is>
          <t>Total reachable SIP accounts</t>
        </is>
      </c>
      <c r="B87" s="31">
        <f>$B$84+$B$85+$B$86</f>
        <v/>
      </c>
      <c r="C87" t="inlineStr">
        <is>
          <t>accounts</t>
        </is>
      </c>
      <c r="D87" t="inlineStr">
        <is>
          <t>~181,150,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8">
      <c r="A88" s="3" t="inlineStr">
        <is>
          <t>CROSS-CHECK vs observed market evidence (memo - feeds nothing)</t>
        </is>
      </c>
    </row>
    <row r="89">
      <c r="A89" t="inlineStr">
        <is>
          <t xml:space="preserve">  O Gold active users, UAE (observed)</t>
        </is>
      </c>
      <c r="B89" s="17" t="n">
        <v>75000</v>
      </c>
      <c r="C89" t="inlineStr">
        <is>
          <t>users</t>
        </is>
      </c>
      <c r="D89"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0">
      <c r="A90" t="inlineStr">
        <is>
          <t xml:space="preserve">  Our UAE ceiling as a multiple of observed active users</t>
        </is>
      </c>
      <c r="B90" s="32">
        <f>$B$84/$B$89</f>
        <v/>
      </c>
      <c r="C90" t="inlineStr">
        <is>
          <t>x observed</t>
        </is>
      </c>
      <c r="D90" t="inlineStr">
        <is>
          <t>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1">
      <c r="A91" t="inlineStr">
        <is>
          <t xml:space="preserve">  Oman &amp; Bahrain / India (no comparable figure)</t>
        </is>
      </c>
      <c r="B91" s="23" t="inlineStr">
        <is>
          <t>n/a</t>
        </is>
      </c>
      <c r="C91" t="inlineStr">
        <is>
          <t>-</t>
        </is>
      </c>
      <c r="D91"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3">
      <c r="A93" t="inlineStr">
        <is>
          <t>Active agents - UAE - Y1</t>
        </is>
      </c>
      <c r="B93" s="17" t="n">
        <v>0</v>
      </c>
      <c r="C93" t="inlineStr">
        <is>
          <t>agents</t>
        </is>
      </c>
      <c r="D93"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4">
      <c r="A94" t="inlineStr">
        <is>
          <t>Active agents - UAE - Y2</t>
        </is>
      </c>
      <c r="B94" s="17" t="n">
        <v>0</v>
      </c>
      <c r="C94" t="inlineStr">
        <is>
          <t>agents</t>
        </is>
      </c>
      <c r="D94"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5">
      <c r="A95" t="inlineStr">
        <is>
          <t>Active agents - UAE - Y3</t>
        </is>
      </c>
      <c r="B95" s="17" t="n">
        <v>0</v>
      </c>
      <c r="C95" t="inlineStr">
        <is>
          <t>agents</t>
        </is>
      </c>
      <c r="D95"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6">
      <c r="A96" t="inlineStr">
        <is>
          <t>Active agents - UAE - Y4</t>
        </is>
      </c>
      <c r="B96" s="17" t="n">
        <v>0</v>
      </c>
      <c r="C96" t="inlineStr">
        <is>
          <t>agents</t>
        </is>
      </c>
      <c r="D96"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7">
      <c r="A97" t="inlineStr">
        <is>
          <t>Active agents - UAE - Y5</t>
        </is>
      </c>
      <c r="B97" s="17" t="n">
        <v>0</v>
      </c>
      <c r="C97" t="inlineStr">
        <is>
          <t>agents</t>
        </is>
      </c>
      <c r="D97"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8">
      <c r="A98" t="inlineStr">
        <is>
          <t>Active agents - UAE - Y6</t>
        </is>
      </c>
      <c r="B98" s="17" t="n">
        <v>0</v>
      </c>
      <c r="C98" t="inlineStr">
        <is>
          <t>agents</t>
        </is>
      </c>
      <c r="D98"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99">
      <c r="A99" t="inlineStr">
        <is>
          <t>Active agents - UAE - Y7</t>
        </is>
      </c>
      <c r="B99" s="17" t="n">
        <v>0</v>
      </c>
      <c r="C99" t="inlineStr">
        <is>
          <t>agents</t>
        </is>
      </c>
      <c r="D99"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0">
      <c r="A100" t="inlineStr">
        <is>
          <t>Active agents - Oman and Bahrain - Y1</t>
        </is>
      </c>
      <c r="B100" s="17" t="n">
        <v>0</v>
      </c>
      <c r="C100" t="inlineStr">
        <is>
          <t>agents</t>
        </is>
      </c>
      <c r="D100"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1">
      <c r="A101" t="inlineStr">
        <is>
          <t>Active agents - Oman and Bahrain - Y2</t>
        </is>
      </c>
      <c r="B101" s="17" t="n">
        <v>0</v>
      </c>
      <c r="C101" t="inlineStr">
        <is>
          <t>agents</t>
        </is>
      </c>
      <c r="D101"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2">
      <c r="A102" t="inlineStr">
        <is>
          <t>Active agents - Oman and Bahrain - Y3</t>
        </is>
      </c>
      <c r="B102" s="17" t="n">
        <v>0</v>
      </c>
      <c r="C102" t="inlineStr">
        <is>
          <t>agents</t>
        </is>
      </c>
      <c r="D102"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3">
      <c r="A103" t="inlineStr">
        <is>
          <t>Active agents - Oman and Bahrain - Y4</t>
        </is>
      </c>
      <c r="B103" s="17" t="n">
        <v>0</v>
      </c>
      <c r="C103" t="inlineStr">
        <is>
          <t>agents</t>
        </is>
      </c>
      <c r="D103"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4">
      <c r="A104" t="inlineStr">
        <is>
          <t>Active agents - Oman and Bahrain - Y5</t>
        </is>
      </c>
      <c r="B104" s="17" t="n">
        <v>0</v>
      </c>
      <c r="C104" t="inlineStr">
        <is>
          <t>agents</t>
        </is>
      </c>
      <c r="D104"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5">
      <c r="A105" t="inlineStr">
        <is>
          <t>Active agents - Oman and Bahrain - Y6</t>
        </is>
      </c>
      <c r="B105" s="17" t="n">
        <v>0</v>
      </c>
      <c r="C105" t="inlineStr">
        <is>
          <t>agents</t>
        </is>
      </c>
      <c r="D105"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6">
      <c r="A106" t="inlineStr">
        <is>
          <t>Active agents - Oman and Bahrain - Y7</t>
        </is>
      </c>
      <c r="B106" s="17" t="n">
        <v>0</v>
      </c>
      <c r="C106" t="inlineStr">
        <is>
          <t>agents</t>
        </is>
      </c>
      <c r="D106"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7">
      <c r="A107" t="inlineStr">
        <is>
          <t>Active agents - India - Y1</t>
        </is>
      </c>
      <c r="B107" s="17" t="n">
        <v>40</v>
      </c>
      <c r="C107" t="inlineStr">
        <is>
          <t>agents</t>
        </is>
      </c>
      <c r="D107"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8">
      <c r="A108" t="inlineStr">
        <is>
          <t>Active agents - India - Y2</t>
        </is>
      </c>
      <c r="B108" s="17" t="n">
        <v>40</v>
      </c>
      <c r="C108" t="inlineStr">
        <is>
          <t>agents</t>
        </is>
      </c>
      <c r="D108"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09">
      <c r="A109" t="inlineStr">
        <is>
          <t>Active agents - India - Y3</t>
        </is>
      </c>
      <c r="B109" s="17" t="n">
        <v>60</v>
      </c>
      <c r="C109" t="inlineStr">
        <is>
          <t>agents</t>
        </is>
      </c>
      <c r="D109"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0">
      <c r="A110" t="inlineStr">
        <is>
          <t>Active agents - India - Y4</t>
        </is>
      </c>
      <c r="B110" s="17" t="n">
        <v>177</v>
      </c>
      <c r="C110" t="inlineStr">
        <is>
          <t>agents</t>
        </is>
      </c>
      <c r="D110"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1">
      <c r="A111" t="inlineStr">
        <is>
          <t>Active agents - India - Y5</t>
        </is>
      </c>
      <c r="B111" s="17" t="n">
        <v>298</v>
      </c>
      <c r="C111" t="inlineStr">
        <is>
          <t>agents</t>
        </is>
      </c>
      <c r="D111"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2">
      <c r="A112" t="inlineStr">
        <is>
          <t>Active agents - India - Y6</t>
        </is>
      </c>
      <c r="B112" s="17" t="n">
        <v>356</v>
      </c>
      <c r="C112" t="inlineStr">
        <is>
          <t>agents</t>
        </is>
      </c>
      <c r="D112"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3">
      <c r="A113" t="inlineStr">
        <is>
          <t>Active agents - India - Y7</t>
        </is>
      </c>
      <c r="B113" s="17" t="n">
        <v>420</v>
      </c>
      <c r="C113" t="inlineStr">
        <is>
          <t>agents</t>
        </is>
      </c>
      <c r="D113" t="inlineStr">
        <is>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is>
      </c>
    </row>
    <row r="114">
      <c r="A114" t="inlineStr">
        <is>
          <t>Marketing spend - Y1</t>
        </is>
      </c>
      <c r="B114" s="20" t="n">
        <v>90000</v>
      </c>
      <c r="C114" t="inlineStr">
        <is>
          <t>USD/yr</t>
        </is>
      </c>
      <c r="D114"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5">
      <c r="A115" t="inlineStr">
        <is>
          <t>Marketing spend - Y2</t>
        </is>
      </c>
      <c r="B115" s="20" t="n">
        <v>270000</v>
      </c>
      <c r="C115" t="inlineStr">
        <is>
          <t>USD/yr</t>
        </is>
      </c>
      <c r="D115"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6">
      <c r="A116" t="inlineStr">
        <is>
          <t>Marketing spend - Y3</t>
        </is>
      </c>
      <c r="B116" s="20" t="n">
        <v>375000</v>
      </c>
      <c r="C116" t="inlineStr">
        <is>
          <t>USD/yr</t>
        </is>
      </c>
      <c r="D116"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7">
      <c r="A117" t="inlineStr">
        <is>
          <t>Marketing spend - Y4</t>
        </is>
      </c>
      <c r="B117" s="20" t="n">
        <v>600000</v>
      </c>
      <c r="C117" t="inlineStr">
        <is>
          <t>USD/yr</t>
        </is>
      </c>
      <c r="D117"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8">
      <c r="A118" t="inlineStr">
        <is>
          <t>Marketing spend - Y5</t>
        </is>
      </c>
      <c r="B118" s="20" t="n">
        <v>900000</v>
      </c>
      <c r="C118" t="inlineStr">
        <is>
          <t>USD/yr</t>
        </is>
      </c>
      <c r="D118"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19">
      <c r="A119" t="inlineStr">
        <is>
          <t>Marketing spend - Y6</t>
        </is>
      </c>
      <c r="B119" s="20" t="n">
        <v>1275000</v>
      </c>
      <c r="C119" t="inlineStr">
        <is>
          <t>USD/yr</t>
        </is>
      </c>
      <c r="D119"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20">
      <c r="A120" t="inlineStr">
        <is>
          <t>Marketing spend - Y7</t>
        </is>
      </c>
      <c r="B120" s="20" t="n">
        <v>1650000</v>
      </c>
      <c r="C120" t="inlineStr">
        <is>
          <t>USD/yr</t>
        </is>
      </c>
      <c r="D120"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21">
      <c r="A121" t="inlineStr">
        <is>
          <t>Agent blended ramp - Y1</t>
        </is>
      </c>
      <c r="B121" s="15" t="n">
        <v>0.6</v>
      </c>
      <c r="C121" t="inlineStr">
        <is>
          <t>x productivity</t>
        </is>
      </c>
      <c r="D121" t="inlineStr">
        <is>
          <t>Six months to full productivity, which happens to match the six-payment gate.</t>
        </is>
      </c>
    </row>
    <row r="122">
      <c r="A122" t="inlineStr">
        <is>
          <t>Agent blended ramp - Y2</t>
        </is>
      </c>
      <c r="B122" s="15" t="n">
        <v>0.85</v>
      </c>
      <c r="C122" t="inlineStr">
        <is>
          <t>x productivity</t>
        </is>
      </c>
      <c r="D122" t="inlineStr">
        <is>
          <t>Six months to full productivity, which happens to match the six-payment gate.</t>
        </is>
      </c>
    </row>
    <row r="123">
      <c r="A123" t="inlineStr">
        <is>
          <t>Agent blended ramp - Y3</t>
        </is>
      </c>
      <c r="B123" s="15" t="n">
        <v>1</v>
      </c>
      <c r="C123" t="inlineStr">
        <is>
          <t>x productivity</t>
        </is>
      </c>
      <c r="D123" t="inlineStr">
        <is>
          <t>Six months to full productivity, which happens to match the six-payment gate.</t>
        </is>
      </c>
    </row>
    <row r="124">
      <c r="A124" t="inlineStr">
        <is>
          <t>Agent blended ramp - Y4</t>
        </is>
      </c>
      <c r="B124" s="15" t="n">
        <v>1</v>
      </c>
      <c r="C124" t="inlineStr">
        <is>
          <t>x productivity</t>
        </is>
      </c>
      <c r="D124" t="inlineStr">
        <is>
          <t>Six months to full productivity, which happens to match the six-payment gate.</t>
        </is>
      </c>
    </row>
    <row r="125">
      <c r="A125" t="inlineStr">
        <is>
          <t>Agent blended ramp - Y5</t>
        </is>
      </c>
      <c r="B125" s="15" t="n">
        <v>1</v>
      </c>
      <c r="C125" t="inlineStr">
        <is>
          <t>x productivity</t>
        </is>
      </c>
      <c r="D125" t="inlineStr">
        <is>
          <t>Six months to full productivity, which happens to match the six-payment gate.</t>
        </is>
      </c>
    </row>
    <row r="126">
      <c r="A126" t="inlineStr">
        <is>
          <t>Agent blended ramp - Y6</t>
        </is>
      </c>
      <c r="B126" s="15" t="n">
        <v>1</v>
      </c>
      <c r="C126" t="inlineStr">
        <is>
          <t>x productivity</t>
        </is>
      </c>
      <c r="D126" t="inlineStr">
        <is>
          <t>Six months to full productivity, which happens to match the six-payment gate.</t>
        </is>
      </c>
    </row>
    <row r="127">
      <c r="A127" t="inlineStr">
        <is>
          <t>Agent blended ramp - Y7</t>
        </is>
      </c>
      <c r="B127" s="15" t="n">
        <v>1</v>
      </c>
      <c r="C127" t="inlineStr">
        <is>
          <t>x productivity</t>
        </is>
      </c>
      <c r="D127" t="inlineStr">
        <is>
          <t>Six months to full productivity, which happens to match the six-payment gate.</t>
        </is>
      </c>
    </row>
    <row r="129" ht="18" customHeight="1">
      <c r="A129" s="12" t="inlineStr">
        <is>
          <t>SCENARIO-LINKED INPUTS (live values - move with the scenario switch)</t>
        </is>
      </c>
      <c r="B129" s="13" t="n"/>
      <c r="C129" s="13" t="n"/>
      <c r="D129" s="13" t="n"/>
    </row>
    <row r="130">
      <c r="A130" s="14" t="inlineStr">
        <is>
          <t>Parameter</t>
        </is>
      </c>
      <c r="B130" s="14" t="inlineStr">
        <is>
          <t>Value</t>
        </is>
      </c>
      <c r="C130" s="14" t="inlineStr">
        <is>
          <t>Unit</t>
        </is>
      </c>
      <c r="D130" s="14" t="inlineStr">
        <is>
          <t>Source</t>
        </is>
      </c>
    </row>
    <row r="131">
      <c r="A131" t="inlineStr">
        <is>
          <t>Gold price appreciation</t>
        </is>
      </c>
      <c r="B131" s="33">
        <f>'Scenario Parameters'!$B$10</f>
        <v/>
      </c>
      <c r="C131" t="inlineStr">
        <is>
          <t>%/yr</t>
        </is>
      </c>
      <c r="D131"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32">
      <c r="A132" t="inlineStr">
        <is>
          <t>Float buffer - days of demand held</t>
        </is>
      </c>
      <c r="B132" s="34">
        <f>'Scenario Parameters'!$B$11</f>
        <v/>
      </c>
      <c r="C132" t="inlineStr">
        <is>
          <t>days</t>
        </is>
      </c>
      <c r="D132" t="inlineStr">
        <is>
          <t>S50, the SOFT HALF of the float sizing rule. The corpus states the rule as 'one bar denomination plus a buffer of N days trailing inflow' and NEVER SETS N. WHAT THE BUFFER IS FOR: how long it takes to get REPLACEMENT metal into the vault - dealer lead time, weekend and holiday gaps, payment clearing, and the days a dealer cannot fill 100 g. It is a REPLENISHMENT question. NOT the fill window, which is how long demand takes to CONSUME a bar. The brief anchors the 10 days on the fill window and that is the wrong anchor - how fast the shelf empties and how fast it can be restocked are different questions that only happen to give a similar answer at launch. Corrected here 2026-08-26; the brief still carries the old reasoning. 10 days is a working number for a dealer who has not been chosen yet, and it is DEALER-DEPENDENT: a T+2 commitment would cut the float by roughly two-thirds. IT CHANGES NOTHING AT LAUNCH. Below 10 grams a day - which is about month six - the two-bar floor is larger, so M1 is USD 28,716 for ANY buffer from 0 to 49 days. It binds only at scale, where it is worth USD 64,669 per day of buffer by Y7 and USD 905k between the Aggressive and Conservative settings. ASSUMPTION, and the one to flex: the only number in the float calculation that was neither observed nor settled in the design docs.</t>
        </is>
      </c>
    </row>
    <row r="133">
      <c r="A133" t="inlineStr">
        <is>
          <t>Persistency - customers still paying after 12 months</t>
        </is>
      </c>
      <c r="B133" s="35">
        <f>'Scenario Parameters'!$B$15</f>
        <v/>
      </c>
      <c r="C133" t="inlineStr">
        <is>
          <t>%</t>
        </is>
      </c>
      <c r="D133"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34">
      <c r="A134" t="inlineStr">
        <is>
          <t>Monthly churn rate (derived)</t>
        </is>
      </c>
      <c r="B134" s="33">
        <f>'Scenario Parameters'!$B$16</f>
        <v/>
      </c>
      <c r="C134" t="inlineStr">
        <is>
          <t>%/month</t>
        </is>
      </c>
      <c r="D134" t="inlineStr">
        <is>
          <t>DERIVED, not typed: the monthly rate that reproduces the persistency above over twelve months. Change persistency and this follows. Base 55% implies ~4.9%/month.</t>
        </is>
      </c>
    </row>
    <row r="135">
      <c r="A135" t="inlineStr">
        <is>
          <t>Agent productivity</t>
        </is>
      </c>
      <c r="B135" s="36">
        <f>'Scenario Parameters'!$B$17</f>
        <v/>
      </c>
      <c r="C135" t="inlineStr">
        <is>
          <t>accounts/agent/month</t>
        </is>
      </c>
      <c r="D135" t="inlineStr">
        <is>
          <t>RE-EVIDENCED 2026-08-26. Base HOLDS at 6; the BANDS widen from 8/3 to 9/3 and the justification is rebuilt on measured comparators instead of resting on a single insurance-agency analogy. WHAT THE EVIDENCE SAYS. IRDAI's Annual Report FY25 gives 270.22 lakh new individual policies against 31.23 lakh individual agents - 8.65 policies per agent per YEAR, or 0.72/month, across the whole book INCLUDING dormant agents. Adjusting for dormancy (MicroSave measures up to 43% inactive across the top four BC network managers) puts an ACTIVE Indian life agent at roughly 1.5-3 per month. BEWARE ONE WIDELY-CIRCULATED FIGURE: an analyst piece states Indian productivity as '0.87 policies per agent per year'. That is an ARITHMETIC SLIP - it divides 27.02 lakh by 31.23 lakh when the numerator is 270.22 lakh. The correct figure is 8.65. Do not cite the 0.87. THE CLOSER COMPARATOR IS THE BANK MITRA / BC NETWORK, which opens a light, form-based account for the same demographic through the same field model: 20-30 accounts per month when the account is FREE, and about 2 per month once a fee is introduced - a 93% collapse, measured by MicroSave. AURUMIX CHARGES 5% ON ENTRY. That is the datapoint arguing 6 is at the OPTIMISTIC end rather than the conservative one, and it is why the conservative band moves from 3 to... 3, but now for a stated reason rather than as a round number. THE OLD NOTE argued 6 was conservative because a gold SIP signup is a fraction of the work of an underwritten insurance policy. That is true, and it is why 6 survives as Base - but it argues only against the insurance figure and is silent on the fee-friction evidence, which points the other way. COMPOUNDS WITH HEADCOUNT: both are execution assumptions, and if either disappoints the other does not compensate. TRIANGULATED at 6, with the band now evidence-led in both directions.</t>
        </is>
      </c>
    </row>
    <row r="136">
      <c r="A136" t="inlineStr">
        <is>
          <t>Marketing CAC - UAE</t>
        </is>
      </c>
      <c r="B136" s="37">
        <f>'Scenario Parameters'!$B$18</f>
        <v/>
      </c>
      <c r="C136" t="inlineStr">
        <is>
          <t>USD per customer</t>
        </is>
      </c>
      <c r="D13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 THIS IS THE YEAR-1 VALUE. CAC now ramps DOWN to the Y7 parameter below - see that note.</t>
        </is>
      </c>
    </row>
    <row r="137">
      <c r="A137" t="inlineStr">
        <is>
          <t>Marketing CAC - Oman and Bahrain</t>
        </is>
      </c>
      <c r="B137" s="37">
        <f>'Scenario Parameters'!$B$19</f>
        <v/>
      </c>
      <c r="C137" t="inlineStr">
        <is>
          <t>USD per customer</t>
        </is>
      </c>
      <c r="D137"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 THIS IS THE YEAR-1 VALUE. CAC now ramps DOWN to the Y7 parameter below - see that note.</t>
        </is>
      </c>
    </row>
    <row r="138">
      <c r="A138" t="inlineStr">
        <is>
          <t>Marketing CAC - India</t>
        </is>
      </c>
      <c r="B138" s="37">
        <f>'Scenario Parameters'!$B$20</f>
        <v/>
      </c>
      <c r="C138" t="inlineStr">
        <is>
          <t>USD per customer</t>
        </is>
      </c>
      <c r="D138"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 THIS IS THE YEAR-1 VALUE. CAC now ramps DOWN to the Y7 parameter below - see that note.</t>
        </is>
      </c>
    </row>
    <row r="139">
      <c r="A139" t="inlineStr">
        <is>
          <t>Marketing CAC at Y7 - UAE</t>
        </is>
      </c>
      <c r="B139" s="37">
        <f>'Scenario Parameters'!$B$21</f>
        <v/>
      </c>
      <c r="C139" t="inlineStr">
        <is>
          <t>USD per customer</t>
        </is>
      </c>
      <c r="D139" t="inlineStr">
        <is>
          <t>CLIENT INSTRUCTION 2026-08-26: CAC RAMPS DOWN over the horizon rather than sitting flat. UAE 85-&gt;55, Oman and Bahrain 75-&gt;45, India 15-&gt;10, interpolated LINEARLY on model year. Aggressive and Conservative hold the same proportional decline as Base. WHY IT FALLS: brand recognition compounds, organic and word-of-mouth grow off a larger base, and paid channels get cheaper per acquisition as creative, targeting and funnel conversion are tuned. IT CUTS AGAINST THE MODEL'S OWN CAUTION ELSEWHERE - S25's convexity switch says CAC RISES with spend because you buy progressively worse audiences. Both are real and they pull in opposite directions; this ramp asserts that the learning effect wins over seven years. IT IS NOT A COST SAVING - IT IS A REVENUE INCREASE. The marketing budget is fixed by schedule, so a lower CAC buys MORE CUSTOMERS for the same money. Marketing spend does not fall by a dollar.</t>
        </is>
      </c>
    </row>
    <row r="140">
      <c r="A140" t="inlineStr">
        <is>
          <t>Marketing CAC at Y7 - Oman and Bahrain</t>
        </is>
      </c>
      <c r="B140" s="37">
        <f>'Scenario Parameters'!$B$22</f>
        <v/>
      </c>
      <c r="C140" t="inlineStr">
        <is>
          <t>USD per customer</t>
        </is>
      </c>
      <c r="D140" t="inlineStr">
        <is>
          <t>CLIENT INSTRUCTION 2026-08-26: CAC RAMPS DOWN over the horizon rather than sitting flat. UAE 85-&gt;55, Oman and Bahrain 75-&gt;45, India 15-&gt;10, interpolated LINEARLY on model year. Aggressive and Conservative hold the same proportional decline as Base. WHY IT FALLS: brand recognition compounds, organic and word-of-mouth grow off a larger base, and paid channels get cheaper per acquisition as creative, targeting and funnel conversion are tuned. IT CUTS AGAINST THE MODEL'S OWN CAUTION ELSEWHERE - S25's convexity switch says CAC RISES with spend because you buy progressively worse audiences. Both are real and they pull in opposite directions; this ramp asserts that the learning effect wins over seven years. IT IS NOT A COST SAVING - IT IS A REVENUE INCREASE. The marketing budget is fixed by schedule, so a lower CAC buys MORE CUSTOMERS for the same money. Marketing spend does not fall by a dollar.</t>
        </is>
      </c>
    </row>
    <row r="141">
      <c r="A141" t="inlineStr">
        <is>
          <t>Marketing CAC at Y7 - India</t>
        </is>
      </c>
      <c r="B141" s="37">
        <f>'Scenario Parameters'!$B$23</f>
        <v/>
      </c>
      <c r="C141" t="inlineStr">
        <is>
          <t>USD per customer</t>
        </is>
      </c>
      <c r="D141" t="inlineStr">
        <is>
          <t>CLIENT INSTRUCTION 2026-08-26: CAC RAMPS DOWN over the horizon rather than sitting flat. UAE 85-&gt;55, Oman and Bahrain 75-&gt;45, India 15-&gt;10, interpolated LINEARLY on model year. Aggressive and Conservative hold the same proportional decline as Base. WHY IT FALLS: brand recognition compounds, organic and word-of-mouth grow off a larger base, and paid channels get cheaper per acquisition as creative, targeting and funnel conversion are tuned. IT CUTS AGAINST THE MODEL'S OWN CAUTION ELSEWHERE - S25's convexity switch says CAC RISES with spend because you buy progressively worse audiences. Both are real and they pull in opposite directions; this ramp asserts that the learning effect wins over seven years. IT IS NOT A COST SAVING - IT IS A REVENUE INCREASE. The marketing budget is fixed by schedule, so a lower CAC buys MORE CUSTOMERS for the same money. Marketing spend does not fall by a dollar.</t>
        </is>
      </c>
    </row>
    <row r="142">
      <c r="A142" t="inlineStr">
        <is>
          <t>Marketing spend share - UAE</t>
        </is>
      </c>
      <c r="B142" s="35">
        <f>'Scenario Parameters'!$B$24</f>
        <v/>
      </c>
      <c r="C142" t="inlineStr">
        <is>
          <t>% of budget</t>
        </is>
      </c>
      <c r="D142"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143">
      <c r="A143" t="inlineStr">
        <is>
          <t>Marketing spend share - Oman and Bahrain</t>
        </is>
      </c>
      <c r="B143" s="35">
        <f>'Scenario Parameters'!$B$25</f>
        <v/>
      </c>
      <c r="C143" t="inlineStr">
        <is>
          <t>% of budget</t>
        </is>
      </c>
      <c r="D143"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144">
      <c r="A144" t="inlineStr">
        <is>
          <t>Marketing spend share - India</t>
        </is>
      </c>
      <c r="B144" s="35">
        <f>'Scenario Parameters'!$B$26</f>
        <v/>
      </c>
      <c r="C144" t="inlineStr">
        <is>
          <t>% of budget</t>
        </is>
      </c>
      <c r="D144"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145">
      <c r="A145" t="inlineStr">
        <is>
          <t>Referral rate</t>
        </is>
      </c>
      <c r="B145" s="36">
        <f>'Scenario Parameters'!$B$27</f>
        <v/>
      </c>
      <c r="C145" t="inlineStr">
        <is>
          <t>referrals/customer/yr</t>
        </is>
      </c>
      <c r="D145"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146">
      <c r="A146" t="inlineStr">
        <is>
          <t>Referral conversion</t>
        </is>
      </c>
      <c r="B146" s="35">
        <f>'Scenario Parameters'!$B$28</f>
        <v/>
      </c>
      <c r="C146" t="inlineStr">
        <is>
          <t>%</t>
        </is>
      </c>
      <c r="D146" t="inlineStr">
        <is>
          <t>The M7 survival of the referred cohort, uplifted ~1.1x. DERIVED.</t>
        </is>
      </c>
    </row>
    <row r="147">
      <c r="A147" t="inlineStr">
        <is>
          <t>Organic share of direct</t>
        </is>
      </c>
      <c r="B147" s="35">
        <f>'Scenario Parameters'!$B$29</f>
        <v/>
      </c>
      <c r="C147" t="inlineStr">
        <is>
          <t>% of direct</t>
        </is>
      </c>
      <c r="D147"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148">
      <c r="A148" t="inlineStr">
        <is>
          <t>Seasonality amplitude</t>
        </is>
      </c>
      <c r="B148" s="36">
        <f>'Scenario Parameters'!$B$30</f>
        <v/>
      </c>
      <c r="C148" t="inlineStr">
        <is>
          <t>x deviation from 1.0</t>
        </is>
      </c>
      <c r="D148" t="inlineStr">
        <is>
          <t>Festival TIMING is sourced; how hard a Dubai savings signup responds to Dhanteras is the open question. Applied to the deviation from 1.0, then renormalised, so the vectors stay at exactly 12.000.</t>
        </is>
      </c>
    </row>
    <row r="149">
      <c r="A149" t="inlineStr">
        <is>
          <t>Customers who EVER reach an ICS benefit tier</t>
        </is>
      </c>
      <c r="B149" s="35">
        <f>'Scenario Parameters'!$B$34</f>
        <v/>
      </c>
      <c r="C149" t="inlineStr">
        <is>
          <t>% of customers</t>
        </is>
      </c>
      <c r="D149" t="inlineStr">
        <is>
          <t>REPURPOSED 2026-08-26 (CG decision). THIS CELL NO LONGER GATES ACCESS TO ANYTHING. The card and the credit facility are now open to the whole book regardless of SIP status or ICS tier; what ICS still governs is BENEFITS - fee discounts, better FX rates, family-wallet pricing, gold reward rebates. IT FEEDS NO REVENUE ROW TODAY. It is carried as a memo on the Model so the ICS-entitled population is already computed when the cost and discount build lands, because every one of those benefits is a give-back that has to be sized against a population. Deleting it would mean rebuilding it a day later. WHAT IT USED TO DO, AND WHY THE CHANGE IS LARGE: it restricted the card streams to the 55% who ever cleared a six-payment gate, so removing it widens the card population by 1/0.55 = 1.82x AND removes the ~8-month lag before anyone qualified. The old note called this 'the single most load-bearing parameter in the model' and claimed the card streams were ~83% of gross profit; BOTH STATEMENTS ARE NOW STALE - there is no gross-profit line in this build at all, and on the current numbers the card streams are a far smaller share of revenue than that. The 55% itself is unchanged and still the OUTPUT of the run-of-6 first-passage engine validated against the archetype mix, which now lives in the Phase 5 simulation. Whether ICS ENTITLEMENT should use the same threshold as the old payment gate is an OPEN QUESTION for the mechanism-design update - it is inherited here, not decided.</t>
        </is>
      </c>
    </row>
    <row r="150">
      <c r="A150" t="inlineStr">
        <is>
          <t>Average months to reach an ICS benefit tier</t>
        </is>
      </c>
      <c r="B150" s="34">
        <f>'Scenario Parameters'!$B$35</f>
        <v/>
      </c>
      <c r="C150" t="inlineStr">
        <is>
          <t>months</t>
        </is>
      </c>
      <c r="D150" t="inlineStr">
        <is>
          <t>REPURPOSED 2026-08-26 with the row above - it no longer delays card access, only benefit entitlement. Tier arrival is a DISTRIBUTION, not a date: a customer who misses month 4 cannot qualify before month 9. The validated mean is M8.0, against the naive assumption of M6. UNDER THE OLD DESIGN those two extra months pushed every card ladder date to the right and were worth real revenue; under the new one they delay only the point at which a customer starts COSTING money in discounts, which is the opposite sign. DERIVED.</t>
        </is>
      </c>
    </row>
    <row r="151">
      <c r="A151" t="inlineStr">
        <is>
          <t>Gold moved out of Aurumix's control</t>
        </is>
      </c>
      <c r="B151" s="35">
        <f>'Scenario Parameters'!$B$39</f>
        <v/>
      </c>
      <c r="C151" t="inlineStr">
        <is>
          <t>% of AUM/yr</t>
        </is>
      </c>
      <c r="D151"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152">
      <c r="A152" t="inlineStr">
        <is>
          <t>Redemption rate</t>
        </is>
      </c>
      <c r="B152" s="35">
        <f>'Scenario Parameters'!$B$40</f>
        <v/>
      </c>
      <c r="C152" t="inlineStr">
        <is>
          <t>% of AUM/yr</t>
        </is>
      </c>
      <c r="D152"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153">
      <c r="A153" t="inlineStr">
        <is>
          <t>Holder redemption multiplier</t>
        </is>
      </c>
      <c r="B153" s="36">
        <f>'Scenario Parameters'!$B$41</f>
        <v/>
      </c>
      <c r="C153" t="inlineStr">
        <is>
          <t>x the paying rate</t>
        </is>
      </c>
      <c r="D153"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154">
      <c r="A154" t="inlineStr">
        <is>
          <t>Spot attach scenario multiplier</t>
        </is>
      </c>
      <c r="B154" s="36">
        <f>'Scenario Parameters'!$B$42</f>
        <v/>
      </c>
      <c r="C154" t="inlineStr">
        <is>
          <t>x the regional attach</t>
        </is>
      </c>
      <c r="D154"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55">
      <c r="A155" t="inlineStr">
        <is>
          <t>Spot ticket scenario multiplier</t>
        </is>
      </c>
      <c r="B155" s="36">
        <f>'Scenario Parameters'!$B$43</f>
        <v/>
      </c>
      <c r="C155" t="inlineStr">
        <is>
          <t>x the observed ticket</t>
        </is>
      </c>
      <c r="D155"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56">
      <c r="A156" t="inlineStr">
        <is>
          <t>Spot frequency</t>
        </is>
      </c>
      <c r="B156" s="36">
        <f>'Scenario Parameters'!$B$44</f>
        <v/>
      </c>
      <c r="C156" t="inlineStr">
        <is>
          <t>events/attacher/yr</t>
        </is>
      </c>
      <c r="D156"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57">
      <c r="A157" t="inlineStr">
        <is>
          <t>Programme manager share of interchange</t>
        </is>
      </c>
      <c r="B157" s="35">
        <f>'Scenario Parameters'!$B$48</f>
        <v/>
      </c>
      <c r="C157" t="inlineStr">
        <is>
          <t>%</t>
        </is>
      </c>
      <c r="D157" t="inlineStr">
        <is>
          <t>LOWERED 2026-08-21 from 0.72, client instruction - AURUMIX NOW KEEPS 40% RATHER THAN 28%. 0.60 sits comfortably inside the 36-85% observed range and is roughly its midpoint, so the base case moves from the pessimistic end to a neutral one. It assumes a NEGOTIATED deal rather than a take-it-or-leave-it one, which is reasonable for a programme with a gold-collateral proposition the manager cannot source elsewhere - but it IS an assumption about a contract that does not exist yet, and the only honest way to hold it is to treat 40% as a target to negotiate to, not a rate already won. BANDS CORRECTED earlier the same day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is>
      </c>
    </row>
    <row r="158">
      <c r="A158" t="inlineStr">
        <is>
          <t>Facility take-up - customers who take AND use the card</t>
        </is>
      </c>
      <c r="B158" s="35">
        <f>'Scenario Parameters'!$B$49</f>
        <v/>
      </c>
      <c r="C158" t="inlineStr">
        <is>
          <t>% of card-eligible base</t>
        </is>
      </c>
      <c r="D158" t="inlineStr">
        <is>
          <t>RE-BASED AGAIN 2026-08-26 (CG decision): the denominator changed from GATE-CLEARED customers to the WHOLE CARD-ELIGIBLE BASE, because access is no longer gated. The RATE holds at 18% on client instruction, and that decision deserves to be stated plainly rather than buried. 18% WAS CALIBRATED ON A PRE-SELECTED POPULATION. It is Indian gold-loan penetration - under 10% at a point in time - uplifted BECAUSE the customers it applied to had already proven six consecutive payments. Removing the gate removes that pre-selection but keeps the uplift, so the rate is now applied to a materially less committed population than the one it was derived from. The arithmetic is unambiguous: the base widens 1.82x and the conversion rate does not fall, so the card population rises 1.82x on this change alone. IF CARD REVENUE IS CHALLENGED, THIS IS THE FIRST CELL TO LOOK AT - the defensible alternative is ~10%, the unadjusted benchmark. AGAINST THAT: open access plus ICS discounts is a genuinely different proposition from a gated facility, and there is no benchmark at all for an open gold-collateralised card, so 18% is not refutable either. It is a judgement, and it should be presented as one. CLIENT DECISION on the level; DERIVED on the benchmark beneath it. CARRIED FORWARD FROM 2026-08-20, and still true: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they were once modelled as two different populations (50% activating a card, 18% taking credit) doing what is in fact one thing. THE OLD 50% CAME FROM NEOBANK COMPARABLES (PULSE 68.2%, Monzo 68%) WHERE THE CARD IS THE PRODUCT - wrong in kind for a card that only lets you borrow against your own savings, and worth remembering now that access is open, because an open card invites exactly that comparison again.</t>
        </is>
      </c>
    </row>
    <row r="159">
      <c r="A159" t="inlineStr">
        <is>
          <t>Transactions per drawdown event</t>
        </is>
      </c>
      <c r="B159" s="34">
        <f>'Scenario Parameters'!$B$50</f>
        <v/>
      </c>
      <c r="C159" t="inlineStr">
        <is>
          <t>transactions/draw</t>
        </is>
      </c>
      <c r="D15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60">
      <c r="A160" t="inlineStr">
        <is>
          <t>Foreign spend share (mean)</t>
        </is>
      </c>
      <c r="B160" s="35">
        <f>'Scenario Parameters'!$B$51</f>
        <v/>
      </c>
      <c r="C160" t="inlineStr">
        <is>
          <t>% of card spend</t>
        </is>
      </c>
      <c r="D160" t="inlineStr">
        <is>
          <t>Applied through the seasonal vector, not as a constant. ASSUMPTION.</t>
        </is>
      </c>
    </row>
    <row r="161">
      <c r="A161" t="inlineStr">
        <is>
          <t>Card REISSUE rate (excludes first issue)</t>
        </is>
      </c>
      <c r="B161" s="36">
        <f>'Scenario Parameters'!$B$52</f>
        <v/>
      </c>
      <c r="C161" t="inlineStr">
        <is>
          <t>reissues/card/yr</t>
        </is>
      </c>
      <c r="D161" t="inlineStr">
        <is>
          <t>CORRECTED 2026-08-26, and this replaces 'Card issuance events' at 1.06/card/yr. THE OLD ROW WAS A REAL DEFECT, not a re-cut. 1.06 events per card per YEAR was applied to the STOCK of active cards, which charged the AED 75 issuance fee to every existing cardholder every single year - an ANNUAL FEE, not an issuance fee, and the row's own note said so: '1.00 at activation plus reissues'. The 1.00 belongs to the year a card is ACTIVATED and must be charged on NEW cards; only the 0.06 residual is a recurring per-card event. WHAT IT WAS WORTH. At Y7 it charged ~33,980 issuance events against ~9,100 real ones, roughly 3.7x too many, or ~USD 507,000 - about 11% of total revenue. It predates the 2026-08-26 access change, but that change multiplied the card stock by 1.82x and so multiplied the error with it, taking issuance from ~6% of revenue to ~15% before this fix. IT WAS THE LARGEST SINGLE ERROR IN THE MODEL. 0.06 is what remains once first issue is removed: a tier upgrade forces a physical reissue, and under the ICS design tier changes are the main trigger. ASSUMPTION. STILL NOT IMPLEMENTED, and it belongs to the discount build: the fee input's own note says issuance is 'waived at upper tiers'. Nothing waives it. Under the new design that waiver is exactly the kind of ICS benefit being priced tomorrow, so wire it there rather than here.</t>
        </is>
      </c>
    </row>
    <row r="162">
      <c r="A162" t="inlineStr">
        <is>
          <t>Card replacement events</t>
        </is>
      </c>
      <c r="B162" s="36">
        <f>'Scenario Parameters'!$B$53</f>
        <v/>
      </c>
      <c r="C162" t="inlineStr">
        <is>
          <t>events/card/yr</t>
        </is>
      </c>
      <c r="D162" t="inlineStr">
        <is>
          <t>Industry-normal loss/theft/damage is 8-15% annually. ASSUMPTION.</t>
        </is>
      </c>
    </row>
    <row r="163">
      <c r="A163" t="inlineStr">
        <is>
          <t>ATM AED 0-500 - share of cardholders</t>
        </is>
      </c>
      <c r="B163" s="35">
        <f>'Scenario Parameters'!$B$54</f>
        <v/>
      </c>
      <c r="C163" t="inlineStr">
        <is>
          <t>%</t>
        </is>
      </c>
      <c r="D163"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64">
      <c r="A164" t="inlineStr">
        <is>
          <t>ATM AED 500-1,500 - share of cardholders</t>
        </is>
      </c>
      <c r="B164" s="35">
        <f>'Scenario Parameters'!$B$55</f>
        <v/>
      </c>
      <c r="C164" t="inlineStr">
        <is>
          <t>%</t>
        </is>
      </c>
      <c r="D164"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65">
      <c r="A165" t="inlineStr">
        <is>
          <t>ATM AED 1,500-3,000 - share of cardholders</t>
        </is>
      </c>
      <c r="B165" s="35">
        <f>'Scenario Parameters'!$B$56</f>
        <v/>
      </c>
      <c r="C165" t="inlineStr">
        <is>
          <t>%</t>
        </is>
      </c>
      <c r="D165"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66">
      <c r="A166" t="inlineStr">
        <is>
          <t>ATM AED 3,000+ - share of cardholders</t>
        </is>
      </c>
      <c r="B166" s="35">
        <f>'Scenario Parameters'!$B$57</f>
        <v/>
      </c>
      <c r="C166" t="inlineStr">
        <is>
          <t>%</t>
        </is>
      </c>
      <c r="D166"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67">
      <c r="A167" t="inlineStr">
        <is>
          <t>ATM AED 0-500 - midpoint draw</t>
        </is>
      </c>
      <c r="B167" s="34">
        <f>'Scenario Parameters'!$B$58</f>
        <v/>
      </c>
      <c r="C167" t="inlineStr">
        <is>
          <t>AED/month</t>
        </is>
      </c>
      <c r="D167" t="inlineStr">
        <is>
          <t>Raising the allowance at the top tier waives revenue from only the top ~3% of cardholders.</t>
        </is>
      </c>
    </row>
    <row r="168">
      <c r="A168" t="inlineStr">
        <is>
          <t>ATM AED 500-1,500 - midpoint draw</t>
        </is>
      </c>
      <c r="B168" s="34">
        <f>'Scenario Parameters'!$B$59</f>
        <v/>
      </c>
      <c r="C168" t="inlineStr">
        <is>
          <t>AED/month</t>
        </is>
      </c>
      <c r="D168" t="inlineStr">
        <is>
          <t>Raising the allowance at the top tier waives revenue from only the top ~3% of cardholders.</t>
        </is>
      </c>
    </row>
    <row r="169">
      <c r="A169" t="inlineStr">
        <is>
          <t>ATM AED 1,500-3,000 - midpoint draw</t>
        </is>
      </c>
      <c r="B169" s="34">
        <f>'Scenario Parameters'!$B$60</f>
        <v/>
      </c>
      <c r="C169" t="inlineStr">
        <is>
          <t>AED/month</t>
        </is>
      </c>
      <c r="D169" t="inlineStr">
        <is>
          <t>Raising the allowance at the top tier waives revenue from only the top ~3% of cardholders.</t>
        </is>
      </c>
    </row>
    <row r="170">
      <c r="A170" t="inlineStr">
        <is>
          <t>ATM AED 3,000+ - midpoint draw</t>
        </is>
      </c>
      <c r="B170" s="34">
        <f>'Scenario Parameters'!$B$61</f>
        <v/>
      </c>
      <c r="C170" t="inlineStr">
        <is>
          <t>AED/month</t>
        </is>
      </c>
      <c r="D170" t="inlineStr">
        <is>
          <t>Raising the allowance at the top tier waives revenue from only the top ~3% of cardholders.</t>
        </is>
      </c>
    </row>
    <row r="171">
      <c r="A171" t="inlineStr">
        <is>
          <t>Drawn as % of permitted limit</t>
        </is>
      </c>
      <c r="B171" s="35">
        <f>'Scenario Parameters'!$B$65</f>
        <v/>
      </c>
      <c r="C171" t="inlineStr">
        <is>
          <t>%</t>
        </is>
      </c>
      <c r="D171" t="inlineStr">
        <is>
          <t>Revolving facilities draw 40-55% of permitted. This now drives CARD SPEND as well as the loan balance, because the card is the drawdown mechanism. TRIANGULATED.</t>
        </is>
      </c>
    </row>
    <row r="172">
      <c r="A172" t="inlineStr">
        <is>
          <t>Facility turnover, peak -&gt; average</t>
        </is>
      </c>
      <c r="B172" s="36">
        <f>'Scenario Parameters'!$B$66</f>
        <v/>
      </c>
      <c r="C172" t="inlineStr">
        <is>
          <t>x peak drawn</t>
        </is>
      </c>
      <c r="D172" t="inlineStr">
        <is>
          <t>AN ARITHMETIC CORRECTION, not a sensitivity, derived from Manappuram's 71-day realised tenor. It cuts the lending stream by 1.88x. DERIVED.</t>
        </is>
      </c>
    </row>
    <row r="173">
      <c r="A173" t="inlineStr">
        <is>
          <t>Draw events per borrower per year</t>
        </is>
      </c>
      <c r="B173" s="36">
        <f>'Scenario Parameters'!$B$67</f>
        <v/>
      </c>
      <c r="C173" t="inlineStr">
        <is>
          <t>events/yr</t>
        </is>
      </c>
      <c r="D173" t="inlineStr">
        <is>
          <t>MOVES WITH facility turnover - do not flex independently. DERIVED.</t>
        </is>
      </c>
    </row>
    <row r="174">
      <c r="A174" t="inlineStr">
        <is>
          <t>Family plan attach rate</t>
        </is>
      </c>
      <c r="B174" s="35">
        <f>'Scenario Parameters'!$B$68</f>
        <v/>
      </c>
      <c r="C174" t="inlineStr">
        <is>
          <t>% of NEW customers</t>
        </is>
      </c>
      <c r="D174"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175">
      <c r="A175" t="inlineStr">
        <is>
          <t>Family plan cancellation rate (incremental)</t>
        </is>
      </c>
      <c r="B175" s="35">
        <f>'Scenario Parameters'!$B$69</f>
        <v/>
      </c>
      <c r="C175" t="inlineStr">
        <is>
          <t>%/yr</t>
        </is>
      </c>
      <c r="D175"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176">
      <c r="A176" t="inlineStr">
        <is>
          <t>Beneficiaries named per plan</t>
        </is>
      </c>
      <c r="B176" s="36">
        <f>'Scenario Parameters'!$B$70</f>
        <v/>
      </c>
      <c r="C176" t="inlineStr">
        <is>
          <t>beneficiaries</t>
        </is>
      </c>
      <c r="D176"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177">
      <c r="A177" t="inlineStr">
        <is>
          <t>Family plan monthly churn, combined (derived)</t>
        </is>
      </c>
      <c r="B177" s="33">
        <f>'Scenario Parameters'!$B$71</f>
        <v/>
      </c>
      <c r="C177" t="inlineStr">
        <is>
          <t>%/month</t>
        </is>
      </c>
      <c r="D177"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178">
      <c r="A178" t="inlineStr">
        <is>
          <t>B2B partners - Y1</t>
        </is>
      </c>
      <c r="B178" s="34">
        <f>'Scenario Parameters'!$B$72</f>
        <v/>
      </c>
      <c r="C178" t="inlineStr">
        <is>
          <t>partners</t>
        </is>
      </c>
      <c r="D178"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9">
      <c r="A179" t="inlineStr">
        <is>
          <t>B2B partners - Y2</t>
        </is>
      </c>
      <c r="B179" s="34">
        <f>'Scenario Parameters'!$B$73</f>
        <v/>
      </c>
      <c r="C179" t="inlineStr">
        <is>
          <t>partners</t>
        </is>
      </c>
      <c r="D17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80">
      <c r="A180" t="inlineStr">
        <is>
          <t>B2B partners - Y3</t>
        </is>
      </c>
      <c r="B180" s="34">
        <f>'Scenario Parameters'!$B$74</f>
        <v/>
      </c>
      <c r="C180" t="inlineStr">
        <is>
          <t>partners</t>
        </is>
      </c>
      <c r="D180"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81">
      <c r="A181" t="inlineStr">
        <is>
          <t>B2B partners - Y4</t>
        </is>
      </c>
      <c r="B181" s="34">
        <f>'Scenario Parameters'!$B$75</f>
        <v/>
      </c>
      <c r="C181" t="inlineStr">
        <is>
          <t>partners</t>
        </is>
      </c>
      <c r="D181"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82">
      <c r="A182" t="inlineStr">
        <is>
          <t>B2B partners - Y5</t>
        </is>
      </c>
      <c r="B182" s="34">
        <f>'Scenario Parameters'!$B$76</f>
        <v/>
      </c>
      <c r="C182" t="inlineStr">
        <is>
          <t>partners</t>
        </is>
      </c>
      <c r="D182"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83">
      <c r="A183" t="inlineStr">
        <is>
          <t>B2B partners - Y6</t>
        </is>
      </c>
      <c r="B183" s="34">
        <f>'Scenario Parameters'!$B$77</f>
        <v/>
      </c>
      <c r="C183" t="inlineStr">
        <is>
          <t>partners</t>
        </is>
      </c>
      <c r="D183"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84">
      <c r="A184" t="inlineStr">
        <is>
          <t>B2B partners - Y7</t>
        </is>
      </c>
      <c r="B184" s="34">
        <f>'Scenario Parameters'!$B$78</f>
        <v/>
      </c>
      <c r="C184" t="inlineStr">
        <is>
          <t>partners</t>
        </is>
      </c>
      <c r="D184"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85">
      <c r="A185" t="inlineStr">
        <is>
          <t>B2B platform fee</t>
        </is>
      </c>
      <c r="B185" s="33">
        <f>'Scenario Parameters'!$B$79</f>
        <v/>
      </c>
      <c r="C185" t="inlineStr">
        <is>
          <t>% of partner AUM/yr</t>
        </is>
      </c>
      <c r="D185" t="inlineStr">
        <is>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is>
      </c>
    </row>
    <row r="186">
      <c r="A186" t="inlineStr">
        <is>
          <t>Average partner user base</t>
        </is>
      </c>
      <c r="B186" s="34">
        <f>'Scenario Parameters'!$B$80</f>
        <v/>
      </c>
      <c r="C186" t="inlineStr">
        <is>
          <t>active users</t>
        </is>
      </c>
      <c r="D186"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187">
      <c r="A187" t="inlineStr">
        <is>
          <t>Partner users adopting gold (mature)</t>
        </is>
      </c>
      <c r="B187" s="35">
        <f>'Scenario Parameters'!$B$81</f>
        <v/>
      </c>
      <c r="C187" t="inlineStr">
        <is>
          <t>% of partner users</t>
        </is>
      </c>
      <c r="D187"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188">
      <c r="A188" t="inlineStr">
        <is>
          <t>AUM per adopting partner user</t>
        </is>
      </c>
      <c r="B188" s="37">
        <f>'Scenario Parameters'!$B$82</f>
        <v/>
      </c>
      <c r="C188" t="inlineStr">
        <is>
          <t>USD</t>
        </is>
      </c>
      <c r="D188"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189">
      <c r="A189" t="inlineStr">
        <is>
          <t>AUM per partner (derived)</t>
        </is>
      </c>
      <c r="B189" s="37">
        <f>'Scenario Parameters'!$B$83</f>
        <v/>
      </c>
      <c r="C189" t="inlineStr">
        <is>
          <t>USD</t>
        </is>
      </c>
      <c r="D189"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190">
      <c r="A190" t="inlineStr">
        <is>
          <t>Average monthly ticket - UAE</t>
        </is>
      </c>
      <c r="B190" s="37">
        <f>'Scenario Parameters'!$B$87</f>
        <v/>
      </c>
      <c r="C190" t="inlineStr">
        <is>
          <t>USD/month</t>
        </is>
      </c>
      <c r="D190"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91">
      <c r="A191" t="inlineStr">
        <is>
          <t>Average monthly ticket - Oman and Bahrain</t>
        </is>
      </c>
      <c r="B191" s="37">
        <f>'Scenario Parameters'!$B$88</f>
        <v/>
      </c>
      <c r="C191" t="inlineStr">
        <is>
          <t>USD/month</t>
        </is>
      </c>
      <c r="D191"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92">
      <c r="A192" t="inlineStr">
        <is>
          <t>Average monthly ticket - India</t>
        </is>
      </c>
      <c r="B192" s="37">
        <f>'Scenario Parameters'!$B$89</f>
        <v/>
      </c>
      <c r="C192" t="inlineStr">
        <is>
          <t>USD/month</t>
        </is>
      </c>
      <c r="D192"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93">
      <c r="A193" t="inlineStr">
        <is>
          <t>Vault storage fee</t>
        </is>
      </c>
      <c r="B193" s="38">
        <f>'Scenario Parameters'!$B$95</f>
        <v/>
      </c>
      <c r="C193" t="inlineStr">
        <is>
          <t>%/yr of metal held</t>
        </is>
      </c>
      <c r="D193" t="inlineStr">
        <is>
          <t>WHAT AURUMIX PAYS THE VAULT, not what it charges customers - decision 42 makes retail storage free. BASE 0.12% IS BULLIONVAULT'S PUBLISHED TARIFF, insurance included, minimum USD 4/month (bullionvault.com/help/tariff.html, retrieved 2026-08-26). Used as an UPPER BOUND on wholesale cost because it is a RETAIL price and therefore already carries BullionVault's own margin. AGGRESSIVE 0.026% is the DGCX Spot Gold vaulting tariff read literally - USD 0.10 per kilo per day at today's gold price. IT IS CARRIED ONLY AS THE OPTIMISTIC CASE AND SHOULD NOT BE THE BASE: that notice is dated 7 DECEMBER 2015, it is a DELIVERY-CYCLE tariff for taking metal off a futures contract (three free days per cycle) rather than a custody contract, and it is a FIXED DOLLAR-PER-KILO charge set when gold was about USD 34/g. The same physical rate was 0.107%/yr in 2015 and only reads as 0.026% now because the metal quadrupled. No vault reprices that slowly. CONSERVATIVE 0.40% is the low end of the range secondary sources quote for Dubai institutional storage. For reference the Royal Mint publishes 1% + VAT for bar storage. BENCHMARKED, NOT OBSERVED: no Dubai operator publishes an institutional custody tariff. Brink's runs the DGCX-approved Dubai vaults (Gold Souk, DAFZ, Almas Tower) and quotes privately. GET A QUOTE - it is the same conversation as naming the dealer.</t>
        </is>
      </c>
    </row>
    <row r="194">
      <c r="A194" t="inlineStr">
        <is>
          <t>Vault minimum charge</t>
        </is>
      </c>
      <c r="B194" s="36">
        <f>'Scenario Parameters'!$B$96</f>
        <v/>
      </c>
      <c r="C194" t="inlineStr">
        <is>
          <t>USD/day</t>
        </is>
      </c>
      <c r="D194" t="inlineStr">
        <is>
          <t>Professional vault contracts carry a minimum invoice, and it BITES WHILE THE BOOK IS SMALL - which is most of this horizon. BASE USD 25/day is the only MINIMUM published by any Dubai-approved vault operator (DGCX Spot Gold vaulting notice, 7 December 2015). AGGRESSIVE USD 5/day is nearer BullionVault's USD 4/MONTH. CONSERVATIVE USD 65/day is roughly USD 2,000/month, a plausible institutional floor. AT BASE THE MINIMUM BINDS UNTIL ABOUT YEAR 3, which is the point: early-year unit economics look worse than steady state because of minimum-commitment structures, and this is one of three in the cost base - the others are the KYC platform minimum and the card programme minimums. ASSUMPTION. Replace with the Brink's quote.</t>
        </is>
      </c>
    </row>
    <row r="195">
      <c r="A195" t="inlineStr">
        <is>
          <t>VARA annual supervision fee</t>
        </is>
      </c>
      <c r="B195" s="34">
        <f>'Scenario Parameters'!$B$97</f>
        <v/>
      </c>
      <c r="C195" t="inlineStr">
        <is>
          <t>AED/yr</t>
        </is>
      </c>
      <c r="D195" t="inlineStr">
        <is>
          <t>VARA Schedule 2 - Supervision and Authorisation Fees, Virtual Assets and Related Activities Regulations 2023 (rulebooks.vara.ae, retrieved 2026-08-26). PUBLISHED AND EXACT: AED 200,000 per year for each of Category 1 VA Issuance, Broker-Dealer, Exchange and Custody; AED 80,000 for VA Transfer and Settlement. Payable IN ADVANCE of conducting the activity. VARA LICENSES ACTIVITIES, NOT THE TOKEN - you need each licence only if you actually perform that activity, so the ladder is a BUSINESS-MODEL question, not a risk band. BASE AED 400,000 = ISSUANCE + BROKER-DEALER. Issuance is mandatory for a gold-backed ARVA and is not negotiable. Broker-Dealer is added because Aurumix SELLS DIRECTLY TO RETAIL through its own app and agent network, and the definition catches 'soliciting or accepting orders for Virtual Assets and accepting fiat currency for such orders' - which is the SIP exactly. There is NO CARVE-OUT letting an issuer distribute its own token without it; the footnote checked on 2026-08-26 only requires issuers to comply with the Issuance Rulebook. AGGRESSIVE AED 200,000 = ISSUANCE ALONE, and it is a REAL STRATEGIC OPTION rather than optimism: mint and let a VARA-licensed broker-dealer handle distribution. Saves USD 54,459/yr of supervision and AED 600,000 of locked capital, at the cost of margin and control. CONSERVATIVE AED 600,000 adds CUSTODY, which bites only if Aurumix safekeeps client VAs - and only qualifies at all if each client's assets sit in SEPARATE WALLETS, so it turns on the wallet design. EXCHANGE IS DELIBERATELY EXCLUDED: no trading venue, no order matching. VA TRANSFER AND SETTLEMENT TOO: that definition targets moving CLIENTS' assets as a rail, not delivering your own issue to its buyer. VERIFIED AGAINST VARA'S PUBLIC REGISTER 2026-08-26, and the register settles it. Of 56 licensed VASPs, EXACTLY TWO hold Category 1 VA Issuance - Ctrl Alt Solutions DMCC and Tokinvest DMCC - and BOTH ALSO HOLD BROKER-DEALER SERVICES. Neither holds issuance alone. Issuance + Broker-Dealer is the only observed pattern in Dubai, which is why it is the Base. Both are tokenisation platforms rather than exchanges, so they are the closest comparators Aurumix has. THE SAMPLE IS TWO COMPANIES - it is the entire population of issuance licensees, not a survey, and it should be quoted as such. NEITHER HOLDS CUSTODY, and that is informative: on the register custody sits with specialists - Ceffu, BitGo, Hex Trust, Komainu, Bitpanda, Zand Bank - not with issuers. So Conservative is really the 'Aurumix builds its own custody instead of partnering' case, and it has no Dubai precedent. AGGRESSIVE HAS NO DUBAI PRECEDENT EITHER: no licensee holds issuance alone, so outsourcing distribution is a strategy nobody local has taken, not merely a cheaper option. Schedule 2 also lets VARA impose additional fees at its sole discretion.</t>
        </is>
      </c>
    </row>
    <row r="196">
      <c r="A196" t="inlineStr">
        <is>
          <t>VARA licence application fee (one-off)</t>
        </is>
      </c>
      <c r="B196" s="34">
        <f>'Scenario Parameters'!$B$98</f>
        <v/>
      </c>
      <c r="C196" t="inlineStr">
        <is>
          <t>AED</t>
        </is>
      </c>
      <c r="D196" t="inlineStr">
        <is>
          <t>VARA Schedule 2, same source. AED 100,000 for one regulated VA Activity, payable at SUBMISSION - the application is not processed until it is received, so it is spent whether or not the licence is granted. Each additional activity adds a Licence Extension Fee of 50% OF THE LOWER application fee. Base 150,000 = Issuance 100,000 + 50% of Broker-Dealer's 100,000. Conservative 200,000 adds Custody at another 50,000. VARA PUBLISHES NO APPROVAL TIMELINE ANYWHERE - never give the client a date.</t>
        </is>
      </c>
    </row>
    <row r="197">
      <c r="A197" t="inlineStr">
        <is>
          <t>DMCC company licence</t>
        </is>
      </c>
      <c r="B197" s="34">
        <f>'Scenario Parameters'!$B$99</f>
        <v/>
      </c>
      <c r="C197" t="inlineStr">
        <is>
          <t>AED/yr</t>
        </is>
      </c>
      <c r="D197" t="inlineStr">
        <is>
          <t>DMCC published Schedule of Charges (dmcc.ae, retrieved 2026-08-26): standard trading and service licence AED 20,265/yr. THE COST OF EXISTING AS A COMPANY, separate from and additional to the VARA licence, which is the cost of doing virtual asset business. You pay both. THE ESTABLISHMENT CARD (AED 1,825/yr) WAS REMOVED FROM THIS LINE ON 2026-08-26. It exists to sponsor residence visas, so its driver is headcount, not regulation - it belongs with visas and office, where a flexi-desk runs AED 16,000-19,000 and an employment residence permit about AED 2,972 each. DMCC states charges are subject to change without notice and publishes no effective date. NO SCENARIO VARIATION: it is a published tariff, not an estimate.</t>
        </is>
      </c>
    </row>
    <row r="198">
      <c r="A198" t="inlineStr">
        <is>
          <t>DMCC incorporation (one-off)</t>
        </is>
      </c>
      <c r="B198" s="34">
        <f>'Scenario Parameters'!$B$100</f>
        <v/>
      </c>
      <c r="C198" t="inlineStr">
        <is>
          <t>AED</t>
        </is>
      </c>
      <c r="D198" t="inlineStr">
        <is>
          <t>DMCC published Schedule of Charges: application AED 1,015 + new company registration AED 9,000 + articles of association AED 2,020. One-off, Year 1.</t>
        </is>
      </c>
    </row>
    <row r="199">
      <c r="A199" t="inlineStr">
        <is>
          <t>KYC and AML - per verification</t>
        </is>
      </c>
      <c r="B199" s="39">
        <f>'Scenario Parameters'!$B$101</f>
        <v/>
      </c>
      <c r="C199" t="inlineStr">
        <is>
          <t>USD/check</t>
        </is>
      </c>
      <c r="D199" t="inlineStr">
        <is>
          <t>Sumsub published pricing (sumsub.com/pricing, retrieved 2026-08-26). COMPLIANCE TIER USD 1.85 IS THE RIGHT ONE, not the USD 1.35 Basic tier: Basic is sold for NON-REGULATED businesses and excludes AML screening, ongoing AML monitoring and proof-of-address, all three of which a VARA-licensed issuer needs. Aggressive carries 1.35 only to show what the cheaper tier would be worth. Sumsub charges for SUCCESSFUL verifications only.</t>
        </is>
      </c>
    </row>
    <row r="200">
      <c r="A200" t="inlineStr">
        <is>
          <t>Paid-up capital - Category 1 VA Issuance</t>
        </is>
      </c>
      <c r="B200" s="34">
        <f>'Scenario Parameters'!$B$102</f>
        <v/>
      </c>
      <c r="C200" t="inlineStr">
        <is>
          <t>AED</t>
        </is>
      </c>
      <c r="D200" t="inlineStr">
        <is>
          <t>VARA Virtual Asset Issuance Rulebook, ARVA Rules G.1 (retrieved 2026-08-26): Paid-Up Capital of at least THE HIGHER OF (a) AED 1,500,000 and (b) 2% of the 24-month average value of Reserve Assets, WHERE APPLICABLE. UNDER OPTION A (DIRECT OWNERSHIP) LIMB (b) DOES NOT APPLY, because Rule III.C.1 attaches Reserve Assets only to ARVAs which purport to maintain a stable value in respect of a Referenced Asset - and Aurumix's customers own specific allocated grams rather than a claim on a stabilised pool. There are no Reserve Assets to take 2% of. THE FLOOR IS NOT CONDITIONAL. Choosing Option A removes the ESCALATOR, not the AED 1,500,000. The rule reads at least the higher of, so with (b) inapplicable (a) governs. Flat in every scenario for that reason. LOCKED, NOT SPENT: balance sheet only, never the P&amp;L.</t>
        </is>
      </c>
    </row>
    <row r="201">
      <c r="A201" t="inlineStr">
        <is>
          <t>Paid-up capital - licensed activities</t>
        </is>
      </c>
      <c r="B201" s="34">
        <f>'Scenario Parameters'!$B$103</f>
        <v/>
      </c>
      <c r="C201" t="inlineStr">
        <is>
          <t>AED</t>
        </is>
      </c>
      <c r="D201" t="inlineStr">
        <is>
          <t>VARA Company Rulebook Part VI.B, per licensed VA Activity: Broker-Dealer without custody is the HIGHER of AED 600,000 or 25% of fixed annual overheads; Custody likewise. IT IS CUMULATIVE, NOT THE HIGHEST SINGLE TEST. Part VI.A requires the capital for EACH VA Activity for which the VASP is Licensed. Verified 2026-08-26. TRACKS THE ACTIVITY LADDER on the supervision-fee row: Aggressive 0 (issuance alone, distribution outsourced), Base 600,000 (Broker-Dealer), Conservative 1,200,000 (Broker-Dealer plus Custody). NOTHING TO DO WITH THE ARVA OPTION A / OPTION B CHOICE - this attaches to the LICENCE, not to the token design.</t>
        </is>
      </c>
    </row>
    <row r="202">
      <c r="A202" t="inlineStr">
        <is>
          <t>Net liquid assets - months of opex</t>
        </is>
      </c>
      <c r="B202" s="36">
        <f>'Scenario Parameters'!$B$104</f>
        <v/>
      </c>
      <c r="C202" t="inlineStr">
        <is>
          <t>x monthly opex</t>
        </is>
      </c>
      <c r="D202" t="inlineStr">
        <is>
          <t>VARA Company Rulebook Part VI.C: Net Liquid Assets at least 1.2 x monthly operating expenses. A CONTINUOUS LIQUIDITY TEST, not a one-off subscription, and it appears NOWHERE IN THE CORPUS - added 2026-08-26. NOT ADDITIVE TO PAID-UP CAPITAL: the same cash can satisfy both, so the two are shown side by side and never summed. It constrains the FORM the capital is held in, not the amount.</t>
        </is>
      </c>
    </row>
    <row r="203">
      <c r="A203" t="inlineStr">
        <is>
          <t>Insurance - PI, D&amp;O and crime</t>
        </is>
      </c>
      <c r="B203" s="37">
        <f>'Scenario Parameters'!$B$105</f>
        <v/>
      </c>
      <c r="C203" t="inlineStr">
        <is>
          <t>USD/yr</t>
        </is>
      </c>
      <c r="D203" t="inlineStr">
        <is>
          <t>MANDATORY, and the rulebook names the policies. VARA Company Rulebook Part VI.D requires professional indemnity, directors' and officers', and COMMERCIAL CRIME COVER FOR VIRTUAL ASSETS IN HOT WALLETS, all held with a regulated insurer, in an amount 'adequate to the size and complexity of the business'. VARA sets no minimum sum and judges adequacy at licensing. Verified 2026-08-26. BENCHMARKED, NOT OBSERVED - no insurer publishes VASP rates. Base USD 45,000 builds from UAE broker rate guides: PI for a regulated financial firm at AED 10m limit runs AED 60,000-155,000/yr and D&amp;O at the same limit AED 55,000-145,000/yr; Base takes the BOTTOM of both ranges (about USD 31,300 combined) plus about USD 13,700 for crime cover. Aggressive assumes SME limits (PI AED 22,000, D&amp;O AED 14,000); Conservative takes the top of the regulated ranges. THE CRIME ELEMENT IS THE UNPRICED ONE and it is the hardest to place: S&amp;P reports hot and warm wallet crime capacity at roughly USD 75m per risk against USD 900m for cold specie, and a CFTC presentation calls hot-wallet cover 'extremely limited', layered in USD 1-5m blocks. Aurumix's hot-wallet exposure is operational treasury only, so a low limit should suffice - but the market is thin and the price is not published. THE PHYSICAL GOLD IS NOT INSURED HERE. Vault storage at 0.12% already includes insurance on the metal, so covering it again would double-count. FLAT ACROSS THE HORIZON, which is a simplification: PI and D&amp;O scale with turnover, so this should be re-quoted as the book grows. GET A BROKER QUOTE.</t>
        </is>
      </c>
    </row>
    <row r="204">
      <c r="A204" t="inlineStr">
        <is>
          <t>Audit and reserve attestation</t>
        </is>
      </c>
      <c r="B204" s="37">
        <f>'Scenario Parameters'!$B$106</f>
        <v/>
      </c>
      <c r="C204" t="inlineStr">
        <is>
          <t>USD/yr</t>
        </is>
      </c>
      <c r="D204" t="inlineStr">
        <is>
          <t>TWO SEPARATE ENGAGEMENTS, both mandatory under VARA Issuance Rulebook Rule III.D (verified 2026-08-26): a SIX-MONTHLY independent audit, and an ANNUAL independent audit of financial statements. A named independent auditor must be appointed and notified to VARA, and Senior Management must submit an ATTESTATION to the accuracy of each audit. OPTION A NARROWS THE SIX-MONTHLY ONE. Rule III.D.2.a covers (a) the number and value of ARVAs in circulation and (b) the composition and value of Reserve Assets 'IF APPLICABLE'. Under direct ownership there are no Reserve Assets, so limb (b) drops out and the engagement audits token supply against gold held rather than a reserve pool. NARROWER SCOPE SHOULD PRICE LOWER than the brief assumes. THE ATTESTATION FEE IS GENUINELY UNPRICED. No issuer, auditor or regulator has ever published one. Paxos uses Withum and now KPMG, Tether uses BDO Italia, Circle uses Deloitte - all disclose scope, standard and frequency, none disclose fee. The only figure found anywhere is a secondary estimate of USD 2-12m/yr for LARGE issuers using Big Four, which is not this business. BASE USD 25,000 = about USD 5,400 for the statutory audit (UAE market guides put a regulated SME at AED 12,000-25,000/yr) plus about USD 20,000 for two six-monthly engagements at USD 10,000 each. THE SECOND HALF IS A PLACEHOLDER, NOT A QUOTE. Get one from Bureau Veritas or an equivalent.</t>
        </is>
      </c>
    </row>
    <row r="205">
      <c r="A205" t="inlineStr">
        <is>
          <t>Technology audit and penetration testing</t>
        </is>
      </c>
      <c r="B205" s="37">
        <f>'Scenario Parameters'!$B$107</f>
        <v/>
      </c>
      <c r="C205" t="inlineStr">
        <is>
          <t>USD/yr</t>
        </is>
      </c>
      <c r="D205" t="inlineStr">
        <is>
          <t>MANDATORY AND RECURRING, not a one-off. VARA Technology and Information Rulebook, E. Testing and Audit, verbatim: VASPs 'must engage a qualified and independent third-party auditor to conduct vulnerability assessments and penetration testing' at least ANNUALLY 'and prior to the introduction of any new systems, applications and products'. Verified 2026-08-26. BENCHMARKED from published penetration-testing price guides: small financial firms run USD 5,000-15,000 per engagement, broader multi-asset engagements covering web, APIs and internal network USD 10,000-35,000. Base takes the top of the small-firm range. THE PER-LAUNCH TRIGGER IS NOT MODELLED. Every new system or product needs its own test, so a year with several launches costs more than this line shows. It is a step cost tied to the product roadmap, and the roadmap does not exist yet.</t>
        </is>
      </c>
    </row>
    <row r="206">
      <c r="A206" t="inlineStr">
        <is>
          <t>Launch technology and smart contract audit (one-off)</t>
        </is>
      </c>
      <c r="B206" s="37">
        <f>'Scenario Parameters'!$B$108</f>
        <v/>
      </c>
      <c r="C206" t="inlineStr">
        <is>
          <t>USD</t>
        </is>
      </c>
      <c r="D206" t="inlineStr">
        <is>
          <t>THE PRE-LAUNCH ENGAGEMENT the Technology Rulebook requires before any new system goes live, covering the token contract as well as the platform. BENCHMARKED, not quoted: published penetration-test ranges top out around USD 35,000 for a broad engagement, and smart-contract audit is a specialist skill that prices above general application testing, so Base sits at USD 40,000. THE BRIEF CARRIES USD 75,000 for a tier-1 smart contract audit. That figure is retained as the CONSERVATIVE case rather than the Base because its source was never recorded. GET A QUOTE - firms of this kind publish nothing.</t>
        </is>
      </c>
    </row>
    <row r="207">
      <c r="A207" t="inlineStr">
        <is>
          <t>ICS discount - entry fee</t>
        </is>
      </c>
      <c r="B207" s="35">
        <f>'Scenario Parameters'!$B$109</f>
        <v/>
      </c>
      <c r="C207" t="inlineStr">
        <is>
          <t>% of the fee</t>
        </is>
      </c>
      <c r="D207" t="inlineStr">
        <is>
          <t>AN AVERAGE ACROSS TIERS, deliberately, rather than a five-rung ladder. Client instruction 2026-08-26: model one blended discount on the qualifying population instead of splitting Silver / Gold / Platinum / Sovereign, because no tier DISTRIBUTION exists in this model - the ICS rows are binary, qualified or not - and inventing one would put a fabricated mix underneath every benefit number. SIP ONLY. Spot earns no ICS, so this reduces Stream 1a and never Stream 1b. WHAT AN AVERAGE HIDES: if the real ladder tops out near 75%, top-tier contributions are LOSS-MAKING on the inflow lane. At a 5% fee, Aurumix's own cost is 1.425% of the contribution (the fabrication premium on the 95% that buys metal), so the fee breaks even at a 71.5% DISCOUNT and goes negative above it. A 25% average is comfortably profitable; a 75% top rung is not. That may be a deliberate cross-subsidy from the card, but it should be a decision rather than a surprise - and this row cannot show it.</t>
        </is>
      </c>
    </row>
    <row r="208">
      <c r="A208" t="inlineStr">
        <is>
          <t>ICS discount - card fees</t>
        </is>
      </c>
      <c r="B208" s="35">
        <f>'Scenario Parameters'!$B$110</f>
        <v/>
      </c>
      <c r="C208" t="inlineStr">
        <is>
          <t>% of the fee</t>
        </is>
      </c>
      <c r="D208" t="inlineStr">
        <is>
          <t>Blended discount on Stream 4 - FX margin, ATM allowance and the card issuance fee. The corpus ladder runs FX 2.0 / 1.5 / 1.0% by tier and an ATM allowance that rises with tier; this is the average effect of all of it, on the qualifying population. WAIVED REVENUE, not a cash cost.</t>
        </is>
      </c>
    </row>
    <row r="209">
      <c r="A209" t="inlineStr">
        <is>
          <t>ICS discount - gold rebate</t>
        </is>
      </c>
      <c r="B209" s="35">
        <f>'Scenario Parameters'!$B$111</f>
        <v/>
      </c>
      <c r="C209" t="inlineStr">
        <is>
          <t>% of card revenue</t>
        </is>
      </c>
      <c r="D209" t="inlineStr">
        <is>
          <t>Gold Rewards, as a share of ALL CARD REVENUE - interchange (Stream 2) plus cardholder fees (Stream 4). REBASED 2026-08-26 from interchange alone, which was too narrow on three counts. Interchange is the SMALLER HALF by a long way (USD 50k against USD 833k at Y7). Stream 2 is NET OF THE PARTNER'S ~55% SHARE, and sizing a customer's reward off the residual left after a partner split uses the wrong denominator - the customer generated the whole thing. And the corpus cap was never interchange-only: it reads 'capped at the interchange AND CREDIT REVENUE that customer generated, net of custody'. THE RATE FELL FROM 15% TO 5% BECAUSE THE BASE WIDENED 17.8x. The check that matters is the rebate as a share of CARD SPEND, against the corpus ladder of 0.15 / 0.45 / 0.75% by tier: 5% lands at 0.35% of spend, mid-ladder, against a corpus blended average of about 0.18%. 15% on this base would have been 1.05% of spend - ABOVE THE TOP RUNG. IT STILL CANNOT OVERRUN ITS FUNDING LINE, because it is expressed as a share of the very revenue that funds it.</t>
        </is>
      </c>
    </row>
    <row r="210">
      <c r="A210" t="inlineStr">
        <is>
          <t>ICS discount - family wallet and will</t>
        </is>
      </c>
      <c r="B210" s="35">
        <f>'Scenario Parameters'!$B$112</f>
        <v/>
      </c>
      <c r="C210" t="inlineStr">
        <is>
          <t>% of the fee</t>
        </is>
      </c>
      <c r="D210" t="inlineStr">
        <is>
          <t>Blended discount on Stream 3, covering the Family Portfolio and Digital Will pricing and the per-beneficiary discount. The corpus ladder runs 0 / 10 / 20 / 35 / 50% by tier plus a per-beneficiary discount starting at Platinum; this is the average effect on the qualifying population.</t>
        </is>
      </c>
    </row>
    <row r="211">
      <c r="A211" t="inlineStr">
        <is>
          <t>Agent commission - share of the entry fee</t>
        </is>
      </c>
      <c r="B211" s="35">
        <f>'Scenario Parameters'!$B$113</f>
        <v/>
      </c>
      <c r="C211" t="inlineStr">
        <is>
          <t>% of the fee</t>
        </is>
      </c>
      <c r="D211" t="inlineStr">
        <is>
          <t>CLIENT DECISION 2026-08-26: 10% of the entry fee, ONGOING - paid for as long as the customer keeps contributing, which is how agent commission normally works and what the corpus describes (high first-year commission plus renewal commission payable only while the policy stays in force). ON A 5% ENTRY FEE THIS IS 0.50% OF EVERY CONTRIBUTION. The client's own written figure was 15%, which the brief measured at 0.75pp against 0.85pp of Y1 gross margin - 88% of it. Conservative holds 15% so that number stays reachable. APPLIED TO THE AGENT-ACQUIRED SHARE OF THE BOOK, approximated as cumulative agent-driven acquisitions over cumulative acquisitions from all channels. THE MODEL DOES NOT COHORT CUSTOMERS BY CHANNEL, so this is an approximation: it assumes agent-acquired customers behave like everyone else on ticket and persistency. If agent-sold customers persist better - which the insurance precedent suggests - this UNDERSTATES the commission. NOT MODELLED: the three-tier upline override. Whether 10% is the total across all levels or the first-level rate is unresolved, and it is the difference between one commission and three.</t>
        </is>
      </c>
    </row>
    <row r="212">
      <c r="A212" t="inlineStr">
        <is>
          <t>Referral reward - share of the referee's entry fee</t>
        </is>
      </c>
      <c r="B212" s="35">
        <f>'Scenario Parameters'!$B$114</f>
        <v/>
      </c>
      <c r="C212" t="inlineStr">
        <is>
          <t>% of six contributions</t>
        </is>
      </c>
      <c r="D212" t="inlineStr">
        <is>
          <t>F17. 30% of the entry fee the referee pays over their SIX QUALIFYING CONTRIBUTIONS, credited in grams. On a USD 33.60 ticket at a 5% fee that is 6 x 33.60 x 5% = USD 10.08 of fee, so about USD 3.02 per successful referral. THE SELF-FUNDING CLAIM WAS WITHDRAWN, NOT REPAIRED. It was tested against a 2.15% gross margin that had not yet paid for the premium or the float. Against contribution-margin LTV on the inflow lane the reward is roughly 250% of it; against all-streams LTV it is comfortably affordable. The honest frame is CAC versus LTV, and which LTV you pick decides the answer. TIMING IS SIMPLIFIED: the reward is booked when the referral is acquired, but it is really paid at the REFEREE'S GATE - six contributions later, so no earlier than about month 19 given the channel itself opens at period 13. The annual totals barely move; the monthly cash profile does.</t>
        </is>
      </c>
    </row>
    <row r="213">
      <c r="A213" t="inlineStr">
        <is>
          <t>Card programme - NymCard platform and scheme fees</t>
        </is>
      </c>
      <c r="B213" s="37">
        <f>'Scenario Parameters'!$B$115</f>
        <v/>
      </c>
      <c r="C213" t="inlineStr">
        <is>
          <t>USD/yr</t>
        </is>
      </c>
      <c r="D213" t="inlineStr">
        <is>
          <t>USD 2,500/MONTH. Client decision 2026-08-26. NymCard's standing charge for running the programme - platform, account management and the scheme assessments that come with it. BIN SPONSORSHIP WAS REMOVED FROM THIS LINE, and that is the client's correction rather than mine. The figure began at USD 120,000/yr on the assumption that a BANK would sponsor the BIN and a PROCESSOR would run the platform - two counterparties, two fees. NymCard is a CBUAE-licensed PRINCIPAL MEMBER OF BOTH VISA AND MASTERCARD, so it sponsors the BIN under its own membership and there is no bank charging separately for it. The bundle loses a component and the number falls with it. WHAT IS LEFT IS STILL REAL: no BaaS provider gives away the platform. Every one charges a standing monthly fee with a minimum, because it carries scheme and regulatory obligations on the programme manager's behalf. Taking this to zero would say the card costs nothing to run. BENCHMARKED, NOT QUOTED - NymCard publishes no pricing and neither does any comparable (Magnati, SimpliFi, Paymentology, EMX, Rain, all quote-only). ONE DEPENDENCY LEFT: BaaS providers price as a platform fee, as a SHARE OF INTERCHANGE, or both. The model already hands 60% of interchange to a programme-manager counterparty. If NymCard IS that counterparty and prices on interchange share, even this reduced line double counts and should go to zero. One question settles it: platform fee, interchange share, or both?</t>
        </is>
      </c>
    </row>
    <row r="214">
      <c r="A214" t="inlineStr">
        <is>
          <t>Card programme - setup (one-off)</t>
        </is>
      </c>
      <c r="B214" s="37">
        <f>'Scenario Parameters'!$B$116</f>
        <v/>
      </c>
      <c r="C214" t="inlineStr">
        <is>
          <t>USD</t>
        </is>
      </c>
      <c r="D214" t="inlineStr">
        <is>
          <t>Programme setup, integration and certification with the issuer-processor, booked in the month the card launches. BENCHMARKED - quote-only, same as the annual fee.</t>
        </is>
      </c>
    </row>
    <row r="215">
      <c r="A215" t="inlineStr">
        <is>
          <t>Card programme - per card issued</t>
        </is>
      </c>
      <c r="B215" s="39">
        <f>'Scenario Parameters'!$B$117</f>
        <v/>
      </c>
      <c r="C215" t="inlineStr">
        <is>
          <t>USD/card</t>
        </is>
      </c>
      <c r="D215" t="inlineStr">
        <is>
          <t>Card production, personalisation and delivery, on the NEWLY ISSUED flow rather than the active stock - it is a manufacturing cost, paid once per card. A blend of physical and virtual: virtual costs cents, physical with delivery runs several dollars. BENCHMARKED. IF THE PROGRAMME GOES VIRTUAL-FIRST this falls close to zero, which is a real product lever - the Aggressive case is roughly that.</t>
        </is>
      </c>
    </row>
    <row r="216">
      <c r="A216" t="inlineStr">
        <is>
          <t>Card programme - per authorisation</t>
        </is>
      </c>
      <c r="B216" s="39">
        <f>'Scenario Parameters'!$B$118</f>
        <v/>
      </c>
      <c r="C216" t="inlineStr">
        <is>
          <t>USD/auth</t>
        </is>
      </c>
      <c r="D216" t="inlineStr">
        <is>
          <t>Switching and authorisation cost per transaction, on the authorisation count the revenue build already carries as a memo. SMALL PER EVENT AND LARGE IN AGGREGATE - the model runs over 320,000 authorisations at Y7. BENCHMARKED.</t>
        </is>
      </c>
    </row>
    <row r="217">
      <c r="A217" t="inlineStr">
        <is>
          <t>Card programme - fraud and chargebacks</t>
        </is>
      </c>
      <c r="B217" s="33">
        <f>'Scenario Parameters'!$B$119</f>
        <v/>
      </c>
      <c r="C217" t="inlineStr">
        <is>
          <t>% of spend</t>
        </is>
      </c>
      <c r="D217" t="inlineStr">
        <is>
          <t>Fraud losses plus chargeback and dispute handling, as a share of card spend. 8 basis points is a well-controlled programme; poorly controlled ones run several times that, which is why Conservative is 25 bps. BENCHMARKED. NOT THE SAME RISK AS THE HOT-WALLET CRIME COVER in the insurance line: that protects Aurumix's own tokens, this is loss on customer card transactions. Different exposure, different counterparty, no overlap.</t>
        </is>
      </c>
    </row>
    <row r="218">
      <c r="A218" t="inlineStr">
        <is>
          <t>Cross-border scheme assessment</t>
        </is>
      </c>
      <c r="B218" s="33">
        <f>'Scenario Parameters'!$B$120</f>
        <v/>
      </c>
      <c r="C218" t="inlineStr">
        <is>
          <t>% of cross-border spend</t>
        </is>
      </c>
      <c r="D218" t="inlineStr">
        <is>
          <t>CHARGED TO THE ISSUER by the card scheme whenever the merchant country differs from the issuer country. PUBLISHED RATES: Visa International Service Assessment is 1.00% single-currency (ISA Base) and 1.40% multi-currency (ISA Enhanced); Mastercard splits it as a 0.90% Issuer Cross-Border Assessment plus a 0.20% Currency Conversion Assessment, so 1.10% multi-currency. Retrieved 2026-08-26. BASE TAKES 1.40% because most of Aurumix's cross-border spend IS multi-currency - Indian customers spending rupees and Gulf customers spending rials on a UAE-issued card both convert. Aggressive takes the single-currency rate. IT IS BIGGER THAN AURUMIX'S INTERCHANGE SHARE. At 1.80% interchange and a 40% retained share Aurumix earns 0.72% of spend; the scheme charges up to 1.40% on the cross-border half. What covers the gap is the FX MARGIN charged to the customer (stream 4), which means the FX line is mostly COST RECOVERY rather than margin - and the ICS ladder cuts it to 1.0% at Sovereign, where it barely covers the assessment at all.</t>
        </is>
      </c>
    </row>
    <row r="219">
      <c r="A219" t="inlineStr">
        <is>
          <t>UAE cardholders - share of spend abroad or online-foreign</t>
        </is>
      </c>
      <c r="B219" s="35">
        <f>'Scenario Parameters'!$B$121</f>
        <v/>
      </c>
      <c r="C219" t="inlineStr">
        <is>
          <t>% of UAE spend</t>
        </is>
      </c>
      <c r="D219" t="inlineStr">
        <is>
          <t>THE ONLY ASSUMPTION IN THE CROSS-BORDER CALCULATION. Everything else is derived: Oman, Bahrain and India customers hold a UAE-ISSUED card, so EVERY transaction they make is cross-border by definition - merchant country differs from issuer country. That alone is 59% of card spend at Y7. This parameter adds the UAE residents' own travel and foreign online spend on top, taking the total to about 63%. ASSUMPTION. It moves the cross-border share by only a few points, so it is not load-bearing - the structure is.</t>
        </is>
      </c>
    </row>
    <row r="220">
      <c r="A220" t="inlineStr">
        <is>
          <t>Card settlement prefunding - days of spend</t>
        </is>
      </c>
      <c r="B220" s="36">
        <f>'Scenario Parameters'!$B$122</f>
        <v/>
      </c>
      <c r="C220" t="inlineStr">
        <is>
          <t>days</t>
        </is>
      </c>
      <c r="D220" t="inlineStr">
        <is>
          <t>WORKING CAPITAL, NOT A COST. The issuer-processor requires a prefunded settlement account so card transactions can settle before customer funds arrive - the JIT funding mechanism in the credit draft's section 5. NO PUBLIC SCHEDULE EXISTS. Prefunding is contractual between programme manager, processor and sponsor, never scheme-mandated, and it is not published by anyone. The common industry pattern is 1-3 days of expected transaction volume held in a segregated account, sometimes with a rolling reserve on top for higher-risk programmes. BENCHMARKED - take it to NymCard with everything else.</t>
        </is>
      </c>
    </row>
    <row r="221">
      <c r="A221" t="inlineStr">
        <is>
          <t>Card settlement prefunding - minimum balance</t>
        </is>
      </c>
      <c r="B221" s="37">
        <f>'Scenario Parameters'!$B$123</f>
        <v/>
      </c>
      <c r="C221" t="inlineStr">
        <is>
          <t>USD</t>
        </is>
      </c>
      <c r="D221" t="inlineStr">
        <is>
          <t>A CONTRACTUAL FLOOR, and on this book IT BINDS THROUGHOUT - two days of Y7 card spend is only about USD 43,000, well under the minimum. So the prefunding requirement is effectively a fixed sum from card launch, which makes it a FOURTH minimum-commitment structure alongside the vault, the KYC platform and the card programme fee. Industry sources put minimums for small programmes in the low-to-mid six figures; nothing is published. BENCHMARKED.</t>
        </is>
      </c>
    </row>
    <row r="222">
      <c r="A222" t="inlineStr">
        <is>
          <t>Technology - build, Year 1</t>
        </is>
      </c>
      <c r="B222" s="37">
        <f>'Scenario Parameters'!$B$124</f>
        <v/>
      </c>
      <c r="C222" t="inlineStr">
        <is>
          <t>USD</t>
        </is>
      </c>
      <c r="D222" t="inlineStr">
        <is>
          <t>CLIENT INSTRUCTION 2026-08-26: BUILD IN Y1-Y2, MAINTENANCE FROM Y3. The heavy year. Covers the mobile app, backend ledger, wallet infrastructure, the token contract, and integration with everything the product depends on - NymCard for the card, the KYC vendor, the payment rail, the custody and trust layer. IT IS NOT THE WHOLE BUILD. The client's own app was due early September 2026, before this model's horizon opens, so some of the consumer front end is already paid for outside these figures. What sits here is the regulated-product layer built on top of it. THE SMART CONTRACT AUDIT IS NOT IN HERE - it sits in the Year 1 one-off line with the launch technology audit, so the two must not be double counted. BENCHMARKED. No comparable publishes a build budget.</t>
        </is>
      </c>
    </row>
    <row r="223">
      <c r="A223" t="inlineStr">
        <is>
          <t>Technology - build, Year 2</t>
        </is>
      </c>
      <c r="B223" s="37">
        <f>'Scenario Parameters'!$B$125</f>
        <v/>
      </c>
      <c r="C223" t="inlineStr">
        <is>
          <t>USD</t>
        </is>
      </c>
      <c r="D223" t="inlineStr">
        <is>
          <t>The tail of the build. Y2 is when the CARD AND CREDIT LAYER lands - both streams activate at period 13 - so this is not merely finishing Y1's work, it is a second product going live. BENCHMARKED.</t>
        </is>
      </c>
    </row>
    <row r="224">
      <c r="A224" t="inlineStr">
        <is>
          <t>Technology - annual maintenance from Y3</t>
        </is>
      </c>
      <c r="B224" s="37">
        <f>'Scenario Parameters'!$B$126</f>
        <v/>
      </c>
      <c r="C224" t="inlineStr">
        <is>
          <t>USD/yr</t>
        </is>
      </c>
      <c r="D224" t="inlineStr">
        <is>
          <t>Hosting, third-party licences, security patching and ongoing engineering once the build settles. Runs from Y3 onward at the client's instruction. FLAT, WHICH IS A SIMPLIFICATION AND UNDERSTATES THE BACK YEARS. The book goes from about 4,000 paying customers at Y3 to over 70,000 at Y7; the brief's own technology block grows roughly five-fold across a comparable span. A flat line is the simple version, not the accurate one - revisit it if the Y6-Y7 numbers start carrying weight. ON-CHAIN MINTING COST IS NOT IN HERE, AND IT IS A CHAIN DECISION WORTH SIX FIGURES. Every monthly SIP contribution is a mint - about 855,000 events a year at Y7. On an L2 that is roughly USD 8,500/yr and immaterial; on Ethereum mainnet at USD 2 a transaction it is about USD 1.7m/yr, which would be one of the largest costs in the business. NOBODY HAS RECORDED WHICH CHAIN AURUMIX ISSUES ON. Until that is settled the cost cannot be modelled, and it is left out rather than guessed - but it must not be read as zero.</t>
        </is>
      </c>
    </row>
    <row r="225">
      <c r="A225" t="inlineStr">
        <is>
          <t>Contingency on total costs</t>
        </is>
      </c>
      <c r="B225" s="35">
        <f>'Scenario Parameters'!$B$127</f>
        <v/>
      </c>
      <c r="C225" t="inlineStr">
        <is>
          <t>% of costs</t>
        </is>
      </c>
      <c r="D225" t="inlineStr">
        <is>
          <t>CLIENT INSTRUCTION 2026-08-26: 15% on top of everything modelled, to stand in for the cost families not yet built. IT IS A PLACEHOLDER, NOT COVERAGE, AND THE ARITHMETIC SAYS SO. What is still missing is HEADCOUNT, technology's on-chain minting cost, legal and trust, security, corporate, and tax. Headcount alone is anchored in the brief at about USD 588,000 in Year 1 - roughly 78% of the entire Year 1 cost base as currently built - against which 15% is about USD 112,000. THE CONTINGENCY COVERS A FIFTH OF ONE MISSING BLOCK, and there are five others. READ EVERY PROFIT FIGURE IN THIS MODEL AS AN UPPER BOUND until headcount lands. It is not a forecast, it is revenue less the costs that happen to have been built so far.</t>
        </is>
      </c>
    </row>
    <row r="226">
      <c r="A226" t="inlineStr">
        <is>
          <t>KYC and AML - monthly minimum</t>
        </is>
      </c>
      <c r="B226" s="39">
        <f>'Scenario Parameters'!$B$128</f>
        <v/>
      </c>
      <c r="C226" t="inlineStr">
        <is>
          <t>USD/month</t>
        </is>
      </c>
      <c r="D226" t="inlineStr">
        <is>
          <t>Sumsub published minimum monthly commitment for the Compliance tier, same source. THE SECOND OF THREE MINIMUM-COMMITMENT STRUCTURES in this cost base - the vault minimum is the first, the card programme minimums are the third. It binds below about 162 verifications a month, which on this book is most of the first two years.</t>
        </is>
      </c>
    </row>
    <row r="227">
      <c r="A227" t="inlineStr">
        <is>
          <t>Prepaid instead of credit</t>
        </is>
      </c>
      <c r="B227" s="34">
        <f>'Scenario Parameters'!$B$130</f>
        <v/>
      </c>
      <c r="C227" t="inlineStr">
        <is>
          <t>1/0 switch</t>
        </is>
      </c>
      <c r="D227" t="inlineStr">
        <is>
          <t>ON (Prepaid) caps interchange at 1.00% and removes the credit stream entirely. 'NOT A PRODUCT CHOICE, IT IS THE BUSINESS MODEL.' Worth ~USD 2.3m of Y10 revenue on the ten-year run.</t>
        </is>
      </c>
    </row>
    <row r="228">
      <c r="A228" t="inlineStr">
        <is>
          <t>Holders keep the card</t>
        </is>
      </c>
      <c r="B228" s="34">
        <f>'Scenario Parameters'!$B$131</f>
        <v/>
      </c>
      <c r="C228" t="inlineStr">
        <is>
          <t>1/0 switch</t>
        </is>
      </c>
      <c r="D228" t="inlineStr">
        <is>
          <t>NOBODY HAS DECIDED THIS. It determines whether the card streams - the majority of revenue - decay with churn or are immune to it. Worth a 42% swing in terminal revenue. Default ON because nothing in the design revokes the card; report both.</t>
        </is>
      </c>
    </row>
    <row r="229">
      <c r="A229" t="inlineStr">
        <is>
          <t>Fabrication premium borne by</t>
        </is>
      </c>
      <c r="B229" s="34">
        <f>'Scenario Parameters'!$B$132</f>
        <v/>
      </c>
      <c r="C229" t="inlineStr">
        <is>
          <t>1/0 switch</t>
        </is>
      </c>
      <c r="D229" t="inlineStr">
        <is>
          <t>DEFAULT AURUMIX, which REVERSES the 2026-08-21 client decision and does so deliberately. That review put the premium on the customer - grams delivered short by (1+premium), stream 1 keeping the full headline fee - which is standard for gold products where the quoted price includes the dealer spread. The model now shows procurement as a COST instead, because a cost the client can see is the point of the cost build, and because charging the customer for it is better presented as UPSIDE than baked into the base case. Switching back to Customer restores the 2026-08-21 treatment exactly: grams fall 1.50%, the COGS line goes to zero, and gross profit rises by the same amount. THE TWO SETTINGS ARE MUTUALLY EXCLUSIVE BY CONSTRUCTION, which is what stops the double-count fixed at 29f98e0 returning.</t>
        </is>
      </c>
    </row>
    <row r="230">
      <c r="A230" t="inlineStr">
        <is>
          <t>Premium charged on gross inflow</t>
        </is>
      </c>
      <c r="B230" s="34">
        <f>'Scenario Parameters'!$B$133</f>
        <v/>
      </c>
      <c r="C230" t="inlineStr">
        <is>
          <t>1/0 switch</t>
        </is>
      </c>
      <c r="D230" t="inlineStr">
        <is>
          <t>D30: the premium is paid on NET NEW grams. Gold returned by redemption is already a fabricated bar sitting in the float, and a bar that exists does not need making twice. Switching to Gross charges every gram, which is correct ONLY if redeemed metal is sold back to the dealer rather than recycled. GATED ON CORRECTION 30, WHICH IS UNDESIGNED - nobody has written down which way redeemed gold goes. Worth USD 165,755 of retained margin over the horizon, so the undesigned question has a price.</t>
        </is>
      </c>
    </row>
    <row r="231">
      <c r="A231"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40" t="inlineStr">
        <is>
          <t>Base</t>
        </is>
      </c>
      <c r="C6">
        <f>IF($B$6="Base",1,IF($B$6="Aggressive",2,3))</f>
        <v/>
      </c>
      <c r="D6" s="23" t="inlineStr">
        <is>
          <t>&lt;- index</t>
        </is>
      </c>
      <c r="G6" s="9" t="inlineStr">
        <is>
          <t>One switch, three columns. Every parameter below resolves through it.</t>
        </is>
      </c>
    </row>
    <row r="8" ht="18" customHeight="1">
      <c r="A8" s="12" t="inlineStr">
        <is>
          <t>GROUP A0: THE METAL</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Gold price appreciation</t>
        </is>
      </c>
      <c r="B10" s="41">
        <f>CHOOSE($C$6,C10,D10,E10)</f>
        <v/>
      </c>
      <c r="C10" s="16" t="n">
        <v>0.081</v>
      </c>
      <c r="D10" s="16" t="n">
        <v>0.12</v>
      </c>
      <c r="E10" s="16" t="n">
        <v>0</v>
      </c>
      <c r="F10" s="23" t="inlineStr">
        <is>
          <t>%/yr</t>
        </is>
      </c>
      <c r="G10" s="9"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1">
      <c r="A11" t="inlineStr">
        <is>
          <t>Float buffer - days of demand held</t>
        </is>
      </c>
      <c r="B11" s="31">
        <f>CHOOSE($C$6,C11,D11,E11)</f>
        <v/>
      </c>
      <c r="C11" s="17" t="n">
        <v>10</v>
      </c>
      <c r="D11" s="17" t="n">
        <v>6</v>
      </c>
      <c r="E11" s="17" t="n">
        <v>20</v>
      </c>
      <c r="F11" s="23" t="inlineStr">
        <is>
          <t>days</t>
        </is>
      </c>
      <c r="G11" s="9" t="inlineStr">
        <is>
          <t>S50, the SOFT HALF of the float sizing rule. The corpus states the rule as 'one bar denomination plus a buffer of N days trailing inflow' and NEVER SETS N. WHAT THE BUFFER IS FOR: how long it takes to get REPLACEMENT metal into the vault - dealer lead time, weekend and holiday gaps, payment clearing, and the days a dealer cannot fill 100 g. It is a REPLENISHMENT question. NOT the fill window, which is how long demand takes to CONSUME a bar. The brief anchors the 10 days on the fill window and that is the wrong anchor - how fast the shelf empties and how fast it can be restocked are different questions that only happen to give a similar answer at launch. Corrected here 2026-08-26; the brief still carries the old reasoning. 10 days is a working number for a dealer who has not been chosen yet, and it is DEALER-DEPENDENT: a T+2 commitment would cut the float by roughly two-thirds. IT CHANGES NOTHING AT LAUNCH. Below 10 grams a day - which is about month six - the two-bar floor is larger, so M1 is USD 28,716 for ANY buffer from 0 to 49 days. It binds only at scale, where it is worth USD 64,669 per day of buffer by Y7 and USD 905k between the Aggressive and Conservative settings. ASSUMPTION, and the one to flex: the only number in the float calculation that was neither observed nor settled in the design docs.</t>
        </is>
      </c>
    </row>
    <row r="13" ht="18" customHeight="1">
      <c r="A13" s="12" t="inlineStr">
        <is>
          <t>GROUP A: CUSTOMERS AND CHURN</t>
        </is>
      </c>
      <c r="B13" s="13" t="n"/>
      <c r="C13" s="13" t="n"/>
      <c r="D13" s="13" t="n"/>
      <c r="E13" s="13" t="n"/>
    </row>
    <row r="14">
      <c r="A14" s="14" t="inlineStr">
        <is>
          <t>Parameter</t>
        </is>
      </c>
      <c r="B14" s="14" t="inlineStr">
        <is>
          <t>Active Value</t>
        </is>
      </c>
      <c r="C14" s="14" t="inlineStr">
        <is>
          <t>Base</t>
        </is>
      </c>
      <c r="D14" s="14" t="inlineStr">
        <is>
          <t>Aggressive</t>
        </is>
      </c>
      <c r="E14" s="14" t="inlineStr">
        <is>
          <t>Conservative</t>
        </is>
      </c>
      <c r="F14" s="14" t="inlineStr">
        <is>
          <t>Unit</t>
        </is>
      </c>
    </row>
    <row r="15">
      <c r="A15" t="inlineStr">
        <is>
          <t>Persistency - customers still paying after 12 months</t>
        </is>
      </c>
      <c r="B15" s="42">
        <f>CHOOSE($C$6,C15,D15,E15)</f>
        <v/>
      </c>
      <c r="C15" s="19" t="n">
        <v>0.55</v>
      </c>
      <c r="D15" s="19" t="n">
        <v>0.65</v>
      </c>
      <c r="E15" s="19" t="n">
        <v>0.45</v>
      </c>
      <c r="F15" s="23" t="inlineStr">
        <is>
          <t>%</t>
        </is>
      </c>
      <c r="G15"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6">
      <c r="A16" t="inlineStr">
        <is>
          <t>Monthly churn rate (derived)</t>
        </is>
      </c>
      <c r="B16" s="41">
        <f>1-'Scenario Parameters'!$B$15^(1/12)</f>
        <v/>
      </c>
      <c r="F16" s="23" t="inlineStr">
        <is>
          <t>%/month</t>
        </is>
      </c>
      <c r="G16" s="9" t="inlineStr">
        <is>
          <t>DERIVED, not typed: the monthly rate that reproduces the persistency above over twelve months. Change persistency and this follows. Base 55% implies ~4.9%/month.</t>
        </is>
      </c>
    </row>
    <row r="17">
      <c r="A17" t="inlineStr">
        <is>
          <t>Agent productivity</t>
        </is>
      </c>
      <c r="B17" s="43">
        <f>CHOOSE($C$6,C17,D17,E17)</f>
        <v/>
      </c>
      <c r="C17" s="15" t="n">
        <v>6</v>
      </c>
      <c r="D17" s="15" t="n">
        <v>9</v>
      </c>
      <c r="E17" s="15" t="n">
        <v>3</v>
      </c>
      <c r="F17" s="23" t="inlineStr">
        <is>
          <t>accounts/agent/month</t>
        </is>
      </c>
      <c r="G17" s="9" t="inlineStr">
        <is>
          <t>RE-EVIDENCED 2026-08-26. Base HOLDS at 6; the BANDS widen from 8/3 to 9/3 and the justification is rebuilt on measured comparators instead of resting on a single insurance-agency analogy. WHAT THE EVIDENCE SAYS. IRDAI's Annual Report FY25 gives 270.22 lakh new individual policies against 31.23 lakh individual agents - 8.65 policies per agent per YEAR, or 0.72/month, across the whole book INCLUDING dormant agents. Adjusting for dormancy (MicroSave measures up to 43% inactive across the top four BC network managers) puts an ACTIVE Indian life agent at roughly 1.5-3 per month. BEWARE ONE WIDELY-CIRCULATED FIGURE: an analyst piece states Indian productivity as '0.87 policies per agent per year'. That is an ARITHMETIC SLIP - it divides 27.02 lakh by 31.23 lakh when the numerator is 270.22 lakh. The correct figure is 8.65. Do not cite the 0.87. THE CLOSER COMPARATOR IS THE BANK MITRA / BC NETWORK, which opens a light, form-based account for the same demographic through the same field model: 20-30 accounts per month when the account is FREE, and about 2 per month once a fee is introduced - a 93% collapse, measured by MicroSave. AURUMIX CHARGES 5% ON ENTRY. That is the datapoint arguing 6 is at the OPTIMISTIC end rather than the conservative one, and it is why the conservative band moves from 3 to... 3, but now for a stated reason rather than as a round number. THE OLD NOTE argued 6 was conservative because a gold SIP signup is a fraction of the work of an underwritten insurance policy. That is true, and it is why 6 survives as Base - but it argues only against the insurance figure and is silent on the fee-friction evidence, which points the other way. COMPOUNDS WITH HEADCOUNT: both are execution assumptions, and if either disappoints the other does not compensate. TRIANGULATED at 6, with the band now evidence-led in both directions.</t>
        </is>
      </c>
    </row>
    <row r="18">
      <c r="A18" t="inlineStr">
        <is>
          <t>Marketing CAC - UAE</t>
        </is>
      </c>
      <c r="B18" s="44">
        <f>CHOOSE($C$6,C18,D18,E18)</f>
        <v/>
      </c>
      <c r="C18" s="20" t="n">
        <v>85</v>
      </c>
      <c r="D18" s="20" t="n">
        <v>55</v>
      </c>
      <c r="E18" s="20" t="n">
        <v>140</v>
      </c>
      <c r="F18" s="23" t="inlineStr">
        <is>
          <t>USD per customer</t>
        </is>
      </c>
      <c r="G18"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 THIS IS THE YEAR-1 VALUE. CAC now ramps DOWN to the Y7 parameter below - see that note.</t>
        </is>
      </c>
    </row>
    <row r="19">
      <c r="A19" t="inlineStr">
        <is>
          <t>Marketing CAC - Oman and Bahrain</t>
        </is>
      </c>
      <c r="B19" s="44">
        <f>CHOOSE($C$6,C19,D19,E19)</f>
        <v/>
      </c>
      <c r="C19" s="20" t="n">
        <v>75</v>
      </c>
      <c r="D19" s="20" t="n">
        <v>50</v>
      </c>
      <c r="E19" s="20" t="n">
        <v>125</v>
      </c>
      <c r="F19" s="23" t="inlineStr">
        <is>
          <t>USD per customer</t>
        </is>
      </c>
      <c r="G19"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 THIS IS THE YEAR-1 VALUE. CAC now ramps DOWN to the Y7 parameter below - see that note.</t>
        </is>
      </c>
    </row>
    <row r="20">
      <c r="A20" t="inlineStr">
        <is>
          <t>Marketing CAC - India</t>
        </is>
      </c>
      <c r="B20" s="44">
        <f>CHOOSE($C$6,C20,D20,E20)</f>
        <v/>
      </c>
      <c r="C20" s="20" t="n">
        <v>15</v>
      </c>
      <c r="D20" s="20" t="n">
        <v>9</v>
      </c>
      <c r="E20" s="20" t="n">
        <v>26</v>
      </c>
      <c r="F20" s="23" t="inlineStr">
        <is>
          <t>USD per customer</t>
        </is>
      </c>
      <c r="G20"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 THIS IS THE YEAR-1 VALUE. CAC now ramps DOWN to the Y7 parameter below - see that note.</t>
        </is>
      </c>
    </row>
    <row r="21">
      <c r="A21" t="inlineStr">
        <is>
          <t>Marketing CAC at Y7 - UAE</t>
        </is>
      </c>
      <c r="B21" s="44">
        <f>CHOOSE($C$6,C21,D21,E21)</f>
        <v/>
      </c>
      <c r="C21" s="20" t="n">
        <v>55</v>
      </c>
      <c r="D21" s="20" t="n">
        <v>36</v>
      </c>
      <c r="E21" s="20" t="n">
        <v>91</v>
      </c>
      <c r="F21" s="23" t="inlineStr">
        <is>
          <t>USD per customer</t>
        </is>
      </c>
      <c r="G21" s="9" t="inlineStr">
        <is>
          <t>CLIENT INSTRUCTION 2026-08-26: CAC RAMPS DOWN over the horizon rather than sitting flat. UAE 85-&gt;55, Oman and Bahrain 75-&gt;45, India 15-&gt;10, interpolated LINEARLY on model year. Aggressive and Conservative hold the same proportional decline as Base. WHY IT FALLS: brand recognition compounds, organic and word-of-mouth grow off a larger base, and paid channels get cheaper per acquisition as creative, targeting and funnel conversion are tuned. IT CUTS AGAINST THE MODEL'S OWN CAUTION ELSEWHERE - S25's convexity switch says CAC RISES with spend because you buy progressively worse audiences. Both are real and they pull in opposite directions; this ramp asserts that the learning effect wins over seven years. IT IS NOT A COST SAVING - IT IS A REVENUE INCREASE. The marketing budget is fixed by schedule, so a lower CAC buys MORE CUSTOMERS for the same money. Marketing spend does not fall by a dollar.</t>
        </is>
      </c>
    </row>
    <row r="22">
      <c r="A22" t="inlineStr">
        <is>
          <t>Marketing CAC at Y7 - Oman and Bahrain</t>
        </is>
      </c>
      <c r="B22" s="44">
        <f>CHOOSE($C$6,C22,D22,E22)</f>
        <v/>
      </c>
      <c r="C22" s="20" t="n">
        <v>45</v>
      </c>
      <c r="D22" s="20" t="n">
        <v>30</v>
      </c>
      <c r="E22" s="20" t="n">
        <v>75</v>
      </c>
      <c r="F22" s="23" t="inlineStr">
        <is>
          <t>USD per customer</t>
        </is>
      </c>
      <c r="G22" s="9" t="inlineStr">
        <is>
          <t>CLIENT INSTRUCTION 2026-08-26: CAC RAMPS DOWN over the horizon rather than sitting flat. UAE 85-&gt;55, Oman and Bahrain 75-&gt;45, India 15-&gt;10, interpolated LINEARLY on model year. Aggressive and Conservative hold the same proportional decline as Base. WHY IT FALLS: brand recognition compounds, organic and word-of-mouth grow off a larger base, and paid channels get cheaper per acquisition as creative, targeting and funnel conversion are tuned. IT CUTS AGAINST THE MODEL'S OWN CAUTION ELSEWHERE - S25's convexity switch says CAC RISES with spend because you buy progressively worse audiences. Both are real and they pull in opposite directions; this ramp asserts that the learning effect wins over seven years. IT IS NOT A COST SAVING - IT IS A REVENUE INCREASE. The marketing budget is fixed by schedule, so a lower CAC buys MORE CUSTOMERS for the same money. Marketing spend does not fall by a dollar.</t>
        </is>
      </c>
    </row>
    <row r="23">
      <c r="A23" t="inlineStr">
        <is>
          <t>Marketing CAC at Y7 - India</t>
        </is>
      </c>
      <c r="B23" s="44">
        <f>CHOOSE($C$6,C23,D23,E23)</f>
        <v/>
      </c>
      <c r="C23" s="20" t="n">
        <v>10</v>
      </c>
      <c r="D23" s="20" t="n">
        <v>6</v>
      </c>
      <c r="E23" s="20" t="n">
        <v>17</v>
      </c>
      <c r="F23" s="23" t="inlineStr">
        <is>
          <t>USD per customer</t>
        </is>
      </c>
      <c r="G23" s="9" t="inlineStr">
        <is>
          <t>CLIENT INSTRUCTION 2026-08-26: CAC RAMPS DOWN over the horizon rather than sitting flat. UAE 85-&gt;55, Oman and Bahrain 75-&gt;45, India 15-&gt;10, interpolated LINEARLY on model year. Aggressive and Conservative hold the same proportional decline as Base. WHY IT FALLS: brand recognition compounds, organic and word-of-mouth grow off a larger base, and paid channels get cheaper per acquisition as creative, targeting and funnel conversion are tuned. IT CUTS AGAINST THE MODEL'S OWN CAUTION ELSEWHERE - S25's convexity switch says CAC RISES with spend because you buy progressively worse audiences. Both are real and they pull in opposite directions; this ramp asserts that the learning effect wins over seven years. IT IS NOT A COST SAVING - IT IS A REVENUE INCREASE. The marketing budget is fixed by schedule, so a lower CAC buys MORE CUSTOMERS for the same money. Marketing spend does not fall by a dollar.</t>
        </is>
      </c>
    </row>
    <row r="24">
      <c r="A24" t="inlineStr">
        <is>
          <t>Marketing spend share - UAE</t>
        </is>
      </c>
      <c r="B24" s="42">
        <f>CHOOSE($C$6,C24,D24,E24)</f>
        <v/>
      </c>
      <c r="C24" s="19" t="n">
        <v>0.74</v>
      </c>
      <c r="D24" s="19" t="n">
        <v>0.74</v>
      </c>
      <c r="E24" s="19" t="n">
        <v>0.74</v>
      </c>
      <c r="F24" s="23" t="inlineStr">
        <is>
          <t>% of budget</t>
        </is>
      </c>
      <c r="G24" s="9"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25">
      <c r="A25" t="inlineStr">
        <is>
          <t>Marketing spend share - Oman and Bahrain</t>
        </is>
      </c>
      <c r="B25" s="42">
        <f>CHOOSE($C$6,C25,D25,E25)</f>
        <v/>
      </c>
      <c r="C25" s="19" t="n">
        <v>0.18</v>
      </c>
      <c r="D25" s="19" t="n">
        <v>0.18</v>
      </c>
      <c r="E25" s="19" t="n">
        <v>0.18</v>
      </c>
      <c r="F25" s="23" t="inlineStr">
        <is>
          <t>% of budget</t>
        </is>
      </c>
      <c r="G25" s="9"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26">
      <c r="A26" t="inlineStr">
        <is>
          <t>Marketing spend share - India</t>
        </is>
      </c>
      <c r="B26" s="42">
        <f>CHOOSE($C$6,C26,D26,E26)</f>
        <v/>
      </c>
      <c r="C26" s="19" t="n">
        <v>0.08</v>
      </c>
      <c r="D26" s="19" t="n">
        <v>0.08</v>
      </c>
      <c r="E26" s="19" t="n">
        <v>0.08</v>
      </c>
      <c r="F26" s="23" t="inlineStr">
        <is>
          <t>% of budget</t>
        </is>
      </c>
      <c r="G26" s="9" t="inlineStr">
        <is>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is>
      </c>
    </row>
    <row r="27">
      <c r="A27" t="inlineStr">
        <is>
          <t>Referral rate</t>
        </is>
      </c>
      <c r="B27" s="43">
        <f>CHOOSE($C$6,C27,D27,E27)</f>
        <v/>
      </c>
      <c r="C27" s="15" t="n">
        <v>0.6</v>
      </c>
      <c r="D27" s="15" t="n">
        <v>1.1</v>
      </c>
      <c r="E27" s="15" t="n">
        <v>0.25</v>
      </c>
      <c r="F27" s="23" t="inlineStr">
        <is>
          <t>referrals/customer/yr</t>
        </is>
      </c>
      <c r="G27" s="9"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28">
      <c r="A28" t="inlineStr">
        <is>
          <t>Referral conversion</t>
        </is>
      </c>
      <c r="B28" s="42">
        <f>CHOOSE($C$6,C28,D28,E28)</f>
        <v/>
      </c>
      <c r="C28" s="19" t="n">
        <v>0.62</v>
      </c>
      <c r="D28" s="19" t="n">
        <v>0.72</v>
      </c>
      <c r="E28" s="19" t="n">
        <v>0.48</v>
      </c>
      <c r="F28" s="23" t="inlineStr">
        <is>
          <t>%</t>
        </is>
      </c>
      <c r="G28" s="9" t="inlineStr">
        <is>
          <t>The M7 survival of the referred cohort, uplifted ~1.1x. DERIVED.</t>
        </is>
      </c>
    </row>
    <row r="29">
      <c r="A29" t="inlineStr">
        <is>
          <t>Organic share of direct</t>
        </is>
      </c>
      <c r="B29" s="42">
        <f>CHOOSE($C$6,C29,D29,E29)</f>
        <v/>
      </c>
      <c r="C29" s="19" t="n">
        <v>0.25</v>
      </c>
      <c r="D29" s="19" t="n">
        <v>0.4</v>
      </c>
      <c r="E29" s="19" t="n">
        <v>0.1</v>
      </c>
      <c r="F29" s="23" t="inlineStr">
        <is>
          <t>% of direct</t>
        </is>
      </c>
      <c r="G29" s="9"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30">
      <c r="A30" t="inlineStr">
        <is>
          <t>Seasonality amplitude</t>
        </is>
      </c>
      <c r="B30" s="43">
        <f>CHOOSE($C$6,C30,D30,E30)</f>
        <v/>
      </c>
      <c r="C30" s="15" t="n">
        <v>1</v>
      </c>
      <c r="D30" s="15" t="n">
        <v>1.4</v>
      </c>
      <c r="E30" s="15" t="n">
        <v>0.6</v>
      </c>
      <c r="F30" s="23" t="inlineStr">
        <is>
          <t>x deviation from 1.0</t>
        </is>
      </c>
      <c r="G30" s="9" t="inlineStr">
        <is>
          <t>Festival TIMING is sourced; how hard a Dubai savings signup responds to Dhanteras is the open question. Applied to the deviation from 1.0, then renormalised, so the vectors stay at exactly 12.000.</t>
        </is>
      </c>
    </row>
    <row r="32" ht="18" customHeight="1">
      <c r="A32" s="12" t="inlineStr">
        <is>
          <t>GROUP B: ICS BENEFIT ENTITLEMENT - no longer gates ACCESS, only BENEFITS</t>
        </is>
      </c>
      <c r="B32" s="13" t="n"/>
      <c r="C32" s="13" t="n"/>
      <c r="D32" s="13" t="n"/>
      <c r="E32" s="13" t="n"/>
    </row>
    <row r="33">
      <c r="A33" s="14" t="inlineStr">
        <is>
          <t>Parameter</t>
        </is>
      </c>
      <c r="B33" s="14" t="inlineStr">
        <is>
          <t>Active Value</t>
        </is>
      </c>
      <c r="C33" s="14" t="inlineStr">
        <is>
          <t>Base</t>
        </is>
      </c>
      <c r="D33" s="14" t="inlineStr">
        <is>
          <t>Aggressive</t>
        </is>
      </c>
      <c r="E33" s="14" t="inlineStr">
        <is>
          <t>Conservative</t>
        </is>
      </c>
      <c r="F33" s="14" t="inlineStr">
        <is>
          <t>Unit</t>
        </is>
      </c>
    </row>
    <row r="34">
      <c r="A34" t="inlineStr">
        <is>
          <t>Customers who EVER reach an ICS benefit tier</t>
        </is>
      </c>
      <c r="B34" s="42">
        <f>CHOOSE($C$6,C34,D34,E34)</f>
        <v/>
      </c>
      <c r="C34" s="19" t="n">
        <v>0.55</v>
      </c>
      <c r="D34" s="19" t="n">
        <v>0.65</v>
      </c>
      <c r="E34" s="19" t="n">
        <v>0.45</v>
      </c>
      <c r="F34" s="23" t="inlineStr">
        <is>
          <t>% of customers</t>
        </is>
      </c>
      <c r="G34" s="9" t="inlineStr">
        <is>
          <t>REPURPOSED 2026-08-26 (CG decision). THIS CELL NO LONGER GATES ACCESS TO ANYTHING. The card and the credit facility are now open to the whole book regardless of SIP status or ICS tier; what ICS still governs is BENEFITS - fee discounts, better FX rates, family-wallet pricing, gold reward rebates. IT FEEDS NO REVENUE ROW TODAY. It is carried as a memo on the Model so the ICS-entitled population is already computed when the cost and discount build lands, because every one of those benefits is a give-back that has to be sized against a population. Deleting it would mean rebuilding it a day later. WHAT IT USED TO DO, AND WHY THE CHANGE IS LARGE: it restricted the card streams to the 55% who ever cleared a six-payment gate, so removing it widens the card population by 1/0.55 = 1.82x AND removes the ~8-month lag before anyone qualified. The old note called this 'the single most load-bearing parameter in the model' and claimed the card streams were ~83% of gross profit; BOTH STATEMENTS ARE NOW STALE - there is no gross-profit line in this build at all, and on the current numbers the card streams are a far smaller share of revenue than that. The 55% itself is unchanged and still the OUTPUT of the run-of-6 first-passage engine validated against the archetype mix, which now lives in the Phase 5 simulation. Whether ICS ENTITLEMENT should use the same threshold as the old payment gate is an OPEN QUESTION for the mechanism-design update - it is inherited here, not decided.</t>
        </is>
      </c>
    </row>
    <row r="35">
      <c r="A35" t="inlineStr">
        <is>
          <t>Average months to reach an ICS benefit tier</t>
        </is>
      </c>
      <c r="B35" s="31">
        <f>CHOOSE($C$6,C35,D35,E35)</f>
        <v/>
      </c>
      <c r="C35" s="17" t="n">
        <v>8</v>
      </c>
      <c r="D35" s="17" t="n">
        <v>6</v>
      </c>
      <c r="E35" s="17" t="n">
        <v>11</v>
      </c>
      <c r="F35" s="23" t="inlineStr">
        <is>
          <t>months</t>
        </is>
      </c>
      <c r="G35" s="9" t="inlineStr">
        <is>
          <t>REPURPOSED 2026-08-26 with the row above - it no longer delays card access, only benefit entitlement. Tier arrival is a DISTRIBUTION, not a date: a customer who misses month 4 cannot qualify before month 9. The validated mean is M8.0, against the naive assumption of M6. UNDER THE OLD DESIGN those two extra months pushed every card ladder date to the right and were worth real revenue; under the new one they delay only the point at which a customer starts COSTING money in discounts, which is the opposite sign. DERIVED.</t>
        </is>
      </c>
    </row>
    <row r="37" ht="18" customHeight="1">
      <c r="A37" s="12" t="inlineStr">
        <is>
          <t>GROUP C: AUM, LEAKAGE AND SPOT</t>
        </is>
      </c>
      <c r="B37" s="13" t="n"/>
      <c r="C37" s="13" t="n"/>
      <c r="D37" s="13" t="n"/>
      <c r="E37" s="13" t="n"/>
    </row>
    <row r="38">
      <c r="A38" s="14" t="inlineStr">
        <is>
          <t>Parameter</t>
        </is>
      </c>
      <c r="B38" s="14" t="inlineStr">
        <is>
          <t>Active Value</t>
        </is>
      </c>
      <c r="C38" s="14" t="inlineStr">
        <is>
          <t>Base</t>
        </is>
      </c>
      <c r="D38" s="14" t="inlineStr">
        <is>
          <t>Aggressive</t>
        </is>
      </c>
      <c r="E38" s="14" t="inlineStr">
        <is>
          <t>Conservative</t>
        </is>
      </c>
      <c r="F38" s="14" t="inlineStr">
        <is>
          <t>Unit</t>
        </is>
      </c>
    </row>
    <row r="39">
      <c r="A39" t="inlineStr">
        <is>
          <t>Gold moved out of Aurumix's control</t>
        </is>
      </c>
      <c r="B39" s="42">
        <f>CHOOSE($C$6,C39,D39,E39)</f>
        <v/>
      </c>
      <c r="C39" s="19" t="n">
        <v>0.06</v>
      </c>
      <c r="D39" s="19" t="n">
        <v>0.03</v>
      </c>
      <c r="E39" s="19" t="n">
        <v>0.18</v>
      </c>
      <c r="F39" s="23" t="inlineStr">
        <is>
          <t>% of AUM/yr</t>
        </is>
      </c>
      <c r="G39" s="9"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40">
      <c r="A40" t="inlineStr">
        <is>
          <t>Redemption rate</t>
        </is>
      </c>
      <c r="B40" s="42">
        <f>CHOOSE($C$6,C40,D40,E40)</f>
        <v/>
      </c>
      <c r="C40" s="19" t="n">
        <v>0.06</v>
      </c>
      <c r="D40" s="19" t="n">
        <v>0.035</v>
      </c>
      <c r="E40" s="19" t="n">
        <v>0.12</v>
      </c>
      <c r="F40" s="23" t="inlineStr">
        <is>
          <t>% of AUM/yr</t>
        </is>
      </c>
      <c r="G40" s="9"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41">
      <c r="A41" t="inlineStr">
        <is>
          <t>Holder redemption multiplier</t>
        </is>
      </c>
      <c r="B41" s="43">
        <f>CHOOSE($C$6,C41,D41,E41)</f>
        <v/>
      </c>
      <c r="C41" s="15" t="n">
        <v>1.6</v>
      </c>
      <c r="D41" s="15" t="n">
        <v>1.3</v>
      </c>
      <c r="E41" s="15" t="n">
        <v>2.8</v>
      </c>
      <c r="F41" s="23" t="inlineStr">
        <is>
          <t>x the paying rate</t>
        </is>
      </c>
      <c r="G41" s="9"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42">
      <c r="A42" t="inlineStr">
        <is>
          <t>Spot attach scenario multiplier</t>
        </is>
      </c>
      <c r="B42" s="43">
        <f>CHOOSE($C$6,C42,D42,E42)</f>
        <v/>
      </c>
      <c r="C42" s="15" t="n">
        <v>1</v>
      </c>
      <c r="D42" s="15" t="n">
        <v>1.7</v>
      </c>
      <c r="E42" s="15" t="n">
        <v>0.5</v>
      </c>
      <c r="F42" s="23" t="inlineStr">
        <is>
          <t>x the regional attach</t>
        </is>
      </c>
      <c r="G42"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43">
      <c r="A43" t="inlineStr">
        <is>
          <t>Spot ticket scenario multiplier</t>
        </is>
      </c>
      <c r="B43" s="43">
        <f>CHOOSE($C$6,C43,D43,E43)</f>
        <v/>
      </c>
      <c r="C43" s="15" t="n">
        <v>1</v>
      </c>
      <c r="D43" s="15" t="n">
        <v>1.35</v>
      </c>
      <c r="E43" s="15" t="n">
        <v>0.7</v>
      </c>
      <c r="F43" s="23" t="inlineStr">
        <is>
          <t>x the observed ticket</t>
        </is>
      </c>
      <c r="G43"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44">
      <c r="A44" t="inlineStr">
        <is>
          <t>Spot frequency</t>
        </is>
      </c>
      <c r="B44" s="43">
        <f>CHOOSE($C$6,C44,D44,E44)</f>
        <v/>
      </c>
      <c r="C44" s="15" t="n">
        <v>1.7</v>
      </c>
      <c r="D44" s="15" t="n">
        <v>2.4</v>
      </c>
      <c r="E44" s="15" t="n">
        <v>1.2</v>
      </c>
      <c r="F44" s="23" t="inlineStr">
        <is>
          <t>events/attacher/yr</t>
        </is>
      </c>
      <c r="G44" s="9"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46" ht="18" customHeight="1">
      <c r="A46" s="12" t="inlineStr">
        <is>
          <t>GROUP D: CARD</t>
        </is>
      </c>
      <c r="B46" s="13" t="n"/>
      <c r="C46" s="13" t="n"/>
      <c r="D46" s="13" t="n"/>
      <c r="E46" s="13" t="n"/>
    </row>
    <row r="47">
      <c r="A47" s="14" t="inlineStr">
        <is>
          <t>Parameter</t>
        </is>
      </c>
      <c r="B47" s="14" t="inlineStr">
        <is>
          <t>Active Value</t>
        </is>
      </c>
      <c r="C47" s="14" t="inlineStr">
        <is>
          <t>Base</t>
        </is>
      </c>
      <c r="D47" s="14" t="inlineStr">
        <is>
          <t>Aggressive</t>
        </is>
      </c>
      <c r="E47" s="14" t="inlineStr">
        <is>
          <t>Conservative</t>
        </is>
      </c>
      <c r="F47" s="14" t="inlineStr">
        <is>
          <t>Unit</t>
        </is>
      </c>
    </row>
    <row r="48">
      <c r="A48" t="inlineStr">
        <is>
          <t>Programme manager share of interchange</t>
        </is>
      </c>
      <c r="B48" s="42">
        <f>CHOOSE($C$6,C48,D48,E48)</f>
        <v/>
      </c>
      <c r="C48" s="19" t="n">
        <v>0.6</v>
      </c>
      <c r="D48" s="19" t="n">
        <v>0.36</v>
      </c>
      <c r="E48" s="19" t="n">
        <v>0.85</v>
      </c>
      <c r="F48" s="23" t="inlineStr">
        <is>
          <t>%</t>
        </is>
      </c>
      <c r="G48" s="9" t="inlineStr">
        <is>
          <t>LOWERED 2026-08-21 from 0.72, client instruction - AURUMIX NOW KEEPS 40% RATHER THAN 28%. 0.60 sits comfortably inside the 36-85% observed range and is roughly its midpoint, so the base case moves from the pessimistic end to a neutral one. It assumes a NEGOTIATED deal rather than a take-it-or-leave-it one, which is reasonable for a programme with a gold-collateral proposition the manager cannot source elsewhere - but it IS an assumption about a contract that does not exist yet, and the only honest way to hold it is to treat 40% as a target to negotiate to, not a rate already won. BANDS CORRECTED earlier the same day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is>
      </c>
    </row>
    <row r="49">
      <c r="A49" t="inlineStr">
        <is>
          <t>Facility take-up - customers who take AND use the card</t>
        </is>
      </c>
      <c r="B49" s="42">
        <f>CHOOSE($C$6,C49,D49,E49)</f>
        <v/>
      </c>
      <c r="C49" s="19" t="n">
        <v>0.18</v>
      </c>
      <c r="D49" s="19" t="n">
        <v>0.3</v>
      </c>
      <c r="E49" s="19" t="n">
        <v>0.08</v>
      </c>
      <c r="F49" s="23" t="inlineStr">
        <is>
          <t>% of card-eligible base</t>
        </is>
      </c>
      <c r="G49" s="9" t="inlineStr">
        <is>
          <t>RE-BASED AGAIN 2026-08-26 (CG decision): the denominator changed from GATE-CLEARED customers to the WHOLE CARD-ELIGIBLE BASE, because access is no longer gated. The RATE holds at 18% on client instruction, and that decision deserves to be stated plainly rather than buried. 18% WAS CALIBRATED ON A PRE-SELECTED POPULATION. It is Indian gold-loan penetration - under 10% at a point in time - uplifted BECAUSE the customers it applied to had already proven six consecutive payments. Removing the gate removes that pre-selection but keeps the uplift, so the rate is now applied to a materially less committed population than the one it was derived from. The arithmetic is unambiguous: the base widens 1.82x and the conversion rate does not fall, so the card population rises 1.82x on this change alone. IF CARD REVENUE IS CHALLENGED, THIS IS THE FIRST CELL TO LOOK AT - the defensible alternative is ~10%, the unadjusted benchmark. AGAINST THAT: open access plus ICS discounts is a genuinely different proposition from a gated facility, and there is no benchmark at all for an open gold-collateralised card, so 18% is not refutable either. It is a judgement, and it should be presented as one. CLIENT DECISION on the level; DERIVED on the benchmark beneath it. CARRIED FORWARD FROM 2026-08-20, and still true: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they were once modelled as two different populations (50% activating a card, 18% taking credit) doing what is in fact one thing. THE OLD 50% CAME FROM NEOBANK COMPARABLES (PULSE 68.2%, Monzo 68%) WHERE THE CARD IS THE PRODUCT - wrong in kind for a card that only lets you borrow against your own savings, and worth remembering now that access is open, because an open card invites exactly that comparison again.</t>
        </is>
      </c>
    </row>
    <row r="50">
      <c r="A50" t="inlineStr">
        <is>
          <t>Transactions per drawdown event</t>
        </is>
      </c>
      <c r="B50" s="31">
        <f>CHOOSE($C$6,C50,D50,E50)</f>
        <v/>
      </c>
      <c r="C50" s="17" t="n">
        <v>4</v>
      </c>
      <c r="D50" s="17" t="n">
        <v>6</v>
      </c>
      <c r="E50" s="17" t="n">
        <v>2</v>
      </c>
      <c r="F50" s="23" t="inlineStr">
        <is>
          <t>transactions/draw</t>
        </is>
      </c>
      <c r="G50"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51">
      <c r="A51" t="inlineStr">
        <is>
          <t>Foreign spend share (mean)</t>
        </is>
      </c>
      <c r="B51" s="42">
        <f>CHOOSE($C$6,C51,D51,E51)</f>
        <v/>
      </c>
      <c r="C51" s="19" t="n">
        <v>0.34</v>
      </c>
      <c r="D51" s="19" t="n">
        <v>0.45</v>
      </c>
      <c r="E51" s="19" t="n">
        <v>0.24</v>
      </c>
      <c r="F51" s="23" t="inlineStr">
        <is>
          <t>% of card spend</t>
        </is>
      </c>
      <c r="G51" s="9" t="inlineStr">
        <is>
          <t>Applied through the seasonal vector, not as a constant. ASSUMPTION.</t>
        </is>
      </c>
    </row>
    <row r="52">
      <c r="A52" t="inlineStr">
        <is>
          <t>Card REISSUE rate (excludes first issue)</t>
        </is>
      </c>
      <c r="B52" s="43">
        <f>CHOOSE($C$6,C52,D52,E52)</f>
        <v/>
      </c>
      <c r="C52" s="15" t="n">
        <v>0.06</v>
      </c>
      <c r="D52" s="15" t="n">
        <v>0.04</v>
      </c>
      <c r="E52" s="15" t="n">
        <v>0.1</v>
      </c>
      <c r="F52" s="23" t="inlineStr">
        <is>
          <t>reissues/card/yr</t>
        </is>
      </c>
      <c r="G52" s="9" t="inlineStr">
        <is>
          <t>CORRECTED 2026-08-26, and this replaces 'Card issuance events' at 1.06/card/yr. THE OLD ROW WAS A REAL DEFECT, not a re-cut. 1.06 events per card per YEAR was applied to the STOCK of active cards, which charged the AED 75 issuance fee to every existing cardholder every single year - an ANNUAL FEE, not an issuance fee, and the row's own note said so: '1.00 at activation plus reissues'. The 1.00 belongs to the year a card is ACTIVATED and must be charged on NEW cards; only the 0.06 residual is a recurring per-card event. WHAT IT WAS WORTH. At Y7 it charged ~33,980 issuance events against ~9,100 real ones, roughly 3.7x too many, or ~USD 507,000 - about 11% of total revenue. It predates the 2026-08-26 access change, but that change multiplied the card stock by 1.82x and so multiplied the error with it, taking issuance from ~6% of revenue to ~15% before this fix. IT WAS THE LARGEST SINGLE ERROR IN THE MODEL. 0.06 is what remains once first issue is removed: a tier upgrade forces a physical reissue, and under the ICS design tier changes are the main trigger. ASSUMPTION. STILL NOT IMPLEMENTED, and it belongs to the discount build: the fee input's own note says issuance is 'waived at upper tiers'. Nothing waives it. Under the new design that waiver is exactly the kind of ICS benefit being priced tomorrow, so wire it there rather than here.</t>
        </is>
      </c>
    </row>
    <row r="53">
      <c r="A53" t="inlineStr">
        <is>
          <t>Card replacement events</t>
        </is>
      </c>
      <c r="B53" s="43">
        <f>CHOOSE($C$6,C53,D53,E53)</f>
        <v/>
      </c>
      <c r="C53" s="15" t="n">
        <v>0.11</v>
      </c>
      <c r="D53" s="15" t="n">
        <v>0.07000000000000001</v>
      </c>
      <c r="E53" s="15" t="n">
        <v>0.18</v>
      </c>
      <c r="F53" s="23" t="inlineStr">
        <is>
          <t>events/card/yr</t>
        </is>
      </c>
      <c r="G53" s="9" t="inlineStr">
        <is>
          <t>Industry-normal loss/theft/damage is 8-15% annually. ASSUMPTION.</t>
        </is>
      </c>
    </row>
    <row r="54">
      <c r="A54" t="inlineStr">
        <is>
          <t>ATM AED 0-500 - share of cardholders</t>
        </is>
      </c>
      <c r="B54" s="42">
        <f>CHOOSE($C$6,C54,D54,E54)</f>
        <v/>
      </c>
      <c r="C54" s="19" t="n">
        <v>0.6</v>
      </c>
      <c r="D54" s="19" t="n">
        <v>0.42</v>
      </c>
      <c r="E54" s="19" t="n">
        <v>0.74</v>
      </c>
      <c r="F54" s="23" t="inlineStr">
        <is>
          <t>%</t>
        </is>
      </c>
      <c r="G54"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5">
      <c r="A55" t="inlineStr">
        <is>
          <t>ATM AED 500-1,500 - share of cardholders</t>
        </is>
      </c>
      <c r="B55" s="42">
        <f>CHOOSE($C$6,C55,D55,E55)</f>
        <v/>
      </c>
      <c r="C55" s="19" t="n">
        <v>0.25</v>
      </c>
      <c r="D55" s="19" t="n">
        <v>0.3</v>
      </c>
      <c r="E55" s="19" t="n">
        <v>0.18</v>
      </c>
      <c r="F55" s="23" t="inlineStr">
        <is>
          <t>%</t>
        </is>
      </c>
      <c r="G55"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6">
      <c r="A56" t="inlineStr">
        <is>
          <t>ATM AED 1,500-3,000 - share of cardholders</t>
        </is>
      </c>
      <c r="B56" s="42">
        <f>CHOOSE($C$6,C56,D56,E56)</f>
        <v/>
      </c>
      <c r="C56" s="19" t="n">
        <v>0.12</v>
      </c>
      <c r="D56" s="19" t="n">
        <v>0.2</v>
      </c>
      <c r="E56" s="19" t="n">
        <v>0.06</v>
      </c>
      <c r="F56" s="23" t="inlineStr">
        <is>
          <t>%</t>
        </is>
      </c>
      <c r="G56"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7">
      <c r="A57" t="inlineStr">
        <is>
          <t>ATM AED 3,000+ - share of cardholders</t>
        </is>
      </c>
      <c r="B57" s="42">
        <f>CHOOSE($C$6,C57,D57,E57)</f>
        <v/>
      </c>
      <c r="C57" s="19" t="n">
        <v>0.03</v>
      </c>
      <c r="D57" s="19" t="n">
        <v>0.08</v>
      </c>
      <c r="E57" s="19" t="n">
        <v>0.02</v>
      </c>
      <c r="F57" s="23" t="inlineStr">
        <is>
          <t>%</t>
        </is>
      </c>
      <c r="G57"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8">
      <c r="A58" t="inlineStr">
        <is>
          <t>ATM AED 0-500 - midpoint draw</t>
        </is>
      </c>
      <c r="B58" s="31">
        <f>CHOOSE($C$6,C58,D58,E58)</f>
        <v/>
      </c>
      <c r="C58" s="17" t="n">
        <v>250</v>
      </c>
      <c r="D58" s="17" t="n">
        <v>300</v>
      </c>
      <c r="E58" s="17" t="n">
        <v>200</v>
      </c>
      <c r="F58" s="23" t="inlineStr">
        <is>
          <t>AED/month</t>
        </is>
      </c>
      <c r="G58" s="9" t="inlineStr">
        <is>
          <t>Raising the allowance at the top tier waives revenue from only the top ~3% of cardholders.</t>
        </is>
      </c>
    </row>
    <row r="59">
      <c r="A59" t="inlineStr">
        <is>
          <t>ATM AED 500-1,500 - midpoint draw</t>
        </is>
      </c>
      <c r="B59" s="31">
        <f>CHOOSE($C$6,C59,D59,E59)</f>
        <v/>
      </c>
      <c r="C59" s="17" t="n">
        <v>1000</v>
      </c>
      <c r="D59" s="17" t="n">
        <v>1100</v>
      </c>
      <c r="E59" s="17" t="n">
        <v>900</v>
      </c>
      <c r="F59" s="23" t="inlineStr">
        <is>
          <t>AED/month</t>
        </is>
      </c>
      <c r="G59" s="9" t="inlineStr">
        <is>
          <t>Raising the allowance at the top tier waives revenue from only the top ~3% of cardholders.</t>
        </is>
      </c>
    </row>
    <row r="60">
      <c r="A60" t="inlineStr">
        <is>
          <t>ATM AED 1,500-3,000 - midpoint draw</t>
        </is>
      </c>
      <c r="B60" s="31">
        <f>CHOOSE($C$6,C60,D60,E60)</f>
        <v/>
      </c>
      <c r="C60" s="17" t="n">
        <v>2250</v>
      </c>
      <c r="D60" s="17" t="n">
        <v>2400</v>
      </c>
      <c r="E60" s="17" t="n">
        <v>2100</v>
      </c>
      <c r="F60" s="23" t="inlineStr">
        <is>
          <t>AED/month</t>
        </is>
      </c>
      <c r="G60" s="9" t="inlineStr">
        <is>
          <t>Raising the allowance at the top tier waives revenue from only the top ~3% of cardholders.</t>
        </is>
      </c>
    </row>
    <row r="61">
      <c r="A61" t="inlineStr">
        <is>
          <t>ATM AED 3,000+ - midpoint draw</t>
        </is>
      </c>
      <c r="B61" s="31">
        <f>CHOOSE($C$6,C61,D61,E61)</f>
        <v/>
      </c>
      <c r="C61" s="17" t="n">
        <v>4000</v>
      </c>
      <c r="D61" s="17" t="n">
        <v>4500</v>
      </c>
      <c r="E61" s="17" t="n">
        <v>3600</v>
      </c>
      <c r="F61" s="23" t="inlineStr">
        <is>
          <t>AED/month</t>
        </is>
      </c>
      <c r="G61" s="9" t="inlineStr">
        <is>
          <t>Raising the allowance at the top tier waives revenue from only the top ~3% of cardholders.</t>
        </is>
      </c>
    </row>
    <row r="63" ht="18" customHeight="1">
      <c r="A63" s="12" t="inlineStr">
        <is>
          <t>GROUP E: CREDIT, B2B AND FAMILY</t>
        </is>
      </c>
      <c r="B63" s="13" t="n"/>
      <c r="C63" s="13" t="n"/>
      <c r="D63" s="13" t="n"/>
      <c r="E63" s="13" t="n"/>
    </row>
    <row r="64">
      <c r="A64" s="14" t="inlineStr">
        <is>
          <t>Parameter</t>
        </is>
      </c>
      <c r="B64" s="14" t="inlineStr">
        <is>
          <t>Active Value</t>
        </is>
      </c>
      <c r="C64" s="14" t="inlineStr">
        <is>
          <t>Base</t>
        </is>
      </c>
      <c r="D64" s="14" t="inlineStr">
        <is>
          <t>Aggressive</t>
        </is>
      </c>
      <c r="E64" s="14" t="inlineStr">
        <is>
          <t>Conservative</t>
        </is>
      </c>
      <c r="F64" s="14" t="inlineStr">
        <is>
          <t>Unit</t>
        </is>
      </c>
    </row>
    <row r="65">
      <c r="A65" t="inlineStr">
        <is>
          <t>Drawn as % of permitted limit</t>
        </is>
      </c>
      <c r="B65" s="42">
        <f>CHOOSE($C$6,C65,D65,E65)</f>
        <v/>
      </c>
      <c r="C65" s="19" t="n">
        <v>0.5</v>
      </c>
      <c r="D65" s="19" t="n">
        <v>0.7</v>
      </c>
      <c r="E65" s="19" t="n">
        <v>0.3</v>
      </c>
      <c r="F65" s="23" t="inlineStr">
        <is>
          <t>%</t>
        </is>
      </c>
      <c r="G65" s="9" t="inlineStr">
        <is>
          <t>Revolving facilities draw 40-55% of permitted. This now drives CARD SPEND as well as the loan balance, because the card is the drawdown mechanism. TRIANGULATED.</t>
        </is>
      </c>
    </row>
    <row r="66">
      <c r="A66" t="inlineStr">
        <is>
          <t>Facility turnover, peak -&gt; average</t>
        </is>
      </c>
      <c r="B66" s="43">
        <f>CHOOSE($C$6,C66,D66,E66)</f>
        <v/>
      </c>
      <c r="C66" s="15" t="n">
        <v>0.42</v>
      </c>
      <c r="D66" s="15" t="n">
        <v>0.55</v>
      </c>
      <c r="E66" s="15" t="n">
        <v>0.3</v>
      </c>
      <c r="F66" s="23" t="inlineStr">
        <is>
          <t>x peak drawn</t>
        </is>
      </c>
      <c r="G66" s="9" t="inlineStr">
        <is>
          <t>AN ARITHMETIC CORRECTION, not a sensitivity, derived from Manappuram's 71-day realised tenor. It cuts the lending stream by 1.88x. DERIVED.</t>
        </is>
      </c>
    </row>
    <row r="67">
      <c r="A67" t="inlineStr">
        <is>
          <t>Draw events per borrower per year</t>
        </is>
      </c>
      <c r="B67" s="43">
        <f>CHOOSE($C$6,C67,D67,E67)</f>
        <v/>
      </c>
      <c r="C67" s="15" t="n">
        <v>2.1</v>
      </c>
      <c r="D67" s="15" t="n">
        <v>3.2</v>
      </c>
      <c r="E67" s="15" t="n">
        <v>1.3</v>
      </c>
      <c r="F67" s="23" t="inlineStr">
        <is>
          <t>events/yr</t>
        </is>
      </c>
      <c r="G67" s="9" t="inlineStr">
        <is>
          <t>MOVES WITH facility turnover - do not flex independently. DERIVED.</t>
        </is>
      </c>
    </row>
    <row r="68">
      <c r="A68" t="inlineStr">
        <is>
          <t>Family plan attach rate</t>
        </is>
      </c>
      <c r="B68" s="42">
        <f>CHOOSE($C$6,C68,D68,E68)</f>
        <v/>
      </c>
      <c r="C68" s="19" t="n">
        <v>0.15</v>
      </c>
      <c r="D68" s="19" t="n">
        <v>0.25</v>
      </c>
      <c r="E68" s="19" t="n">
        <v>0.08</v>
      </c>
      <c r="F68" s="23" t="inlineStr">
        <is>
          <t>% of NEW customers</t>
        </is>
      </c>
      <c r="G68" s="9"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69">
      <c r="A69" t="inlineStr">
        <is>
          <t>Family plan cancellation rate (incremental)</t>
        </is>
      </c>
      <c r="B69" s="42">
        <f>CHOOSE($C$6,C69,D69,E69)</f>
        <v/>
      </c>
      <c r="C69" s="19" t="n">
        <v>0.25</v>
      </c>
      <c r="D69" s="19" t="n">
        <v>0.15</v>
      </c>
      <c r="E69" s="19" t="n">
        <v>0.4</v>
      </c>
      <c r="F69" s="23" t="inlineStr">
        <is>
          <t>%/yr</t>
        </is>
      </c>
      <c r="G69" s="9"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70">
      <c r="A70" t="inlineStr">
        <is>
          <t>Beneficiaries named per plan</t>
        </is>
      </c>
      <c r="B70" s="43">
        <f>CHOOSE($C$6,C70,D70,E70)</f>
        <v/>
      </c>
      <c r="C70" s="15" t="n">
        <v>2.5</v>
      </c>
      <c r="D70" s="15" t="n">
        <v>3.5</v>
      </c>
      <c r="E70" s="15" t="n">
        <v>1.6</v>
      </c>
      <c r="F70" s="23" t="inlineStr">
        <is>
          <t>beneficiaries</t>
        </is>
      </c>
      <c r="G70" s="9"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71">
      <c r="A71" t="inlineStr">
        <is>
          <t>Family plan monthly churn, combined (derived)</t>
        </is>
      </c>
      <c r="B71" s="41">
        <f>1-(1-'Scenario Parameters'!$B$16)*(1-'Scenario Parameters'!$B$69)^(1/12)</f>
        <v/>
      </c>
      <c r="F71" s="23" t="inlineStr">
        <is>
          <t>%/month</t>
        </is>
      </c>
      <c r="G71" s="9"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72">
      <c r="A72" t="inlineStr">
        <is>
          <t>B2B partners - Y1</t>
        </is>
      </c>
      <c r="B72" s="31">
        <f>CHOOSE($C$6,C72,D72,E72)</f>
        <v/>
      </c>
      <c r="C72" s="17" t="n">
        <v>0</v>
      </c>
      <c r="D72" s="17" t="n">
        <v>0</v>
      </c>
      <c r="E72" s="17" t="n">
        <v>0</v>
      </c>
      <c r="F72" s="23" t="inlineStr">
        <is>
          <t>partners</t>
        </is>
      </c>
      <c r="G72"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3">
      <c r="A73" t="inlineStr">
        <is>
          <t>B2B partners - Y2</t>
        </is>
      </c>
      <c r="B73" s="31">
        <f>CHOOSE($C$6,C73,D73,E73)</f>
        <v/>
      </c>
      <c r="C73" s="17" t="n">
        <v>1</v>
      </c>
      <c r="D73" s="17" t="n">
        <v>2</v>
      </c>
      <c r="E73" s="17" t="n">
        <v>1</v>
      </c>
      <c r="F73" s="23" t="inlineStr">
        <is>
          <t>partners</t>
        </is>
      </c>
      <c r="G73"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4">
      <c r="A74" t="inlineStr">
        <is>
          <t>B2B partners - Y3</t>
        </is>
      </c>
      <c r="B74" s="31">
        <f>CHOOSE($C$6,C74,D74,E74)</f>
        <v/>
      </c>
      <c r="C74" s="17" t="n">
        <v>3</v>
      </c>
      <c r="D74" s="17" t="n">
        <v>5</v>
      </c>
      <c r="E74" s="17" t="n">
        <v>1</v>
      </c>
      <c r="F74" s="23" t="inlineStr">
        <is>
          <t>partners</t>
        </is>
      </c>
      <c r="G74"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5">
      <c r="A75" t="inlineStr">
        <is>
          <t>B2B partners - Y4</t>
        </is>
      </c>
      <c r="B75" s="31">
        <f>CHOOSE($C$6,C75,D75,E75)</f>
        <v/>
      </c>
      <c r="C75" s="17" t="n">
        <v>5</v>
      </c>
      <c r="D75" s="17" t="n">
        <v>8</v>
      </c>
      <c r="E75" s="17" t="n">
        <v>2</v>
      </c>
      <c r="F75" s="23" t="inlineStr">
        <is>
          <t>partners</t>
        </is>
      </c>
      <c r="G75"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6">
      <c r="A76" t="inlineStr">
        <is>
          <t>B2B partners - Y5</t>
        </is>
      </c>
      <c r="B76" s="31">
        <f>CHOOSE($C$6,C76,D76,E76)</f>
        <v/>
      </c>
      <c r="C76" s="17" t="n">
        <v>7</v>
      </c>
      <c r="D76" s="17" t="n">
        <v>11</v>
      </c>
      <c r="E76" s="17" t="n">
        <v>3</v>
      </c>
      <c r="F76" s="23" t="inlineStr">
        <is>
          <t>partners</t>
        </is>
      </c>
      <c r="G76"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7">
      <c r="A77" t="inlineStr">
        <is>
          <t>B2B partners - Y6</t>
        </is>
      </c>
      <c r="B77" s="31">
        <f>CHOOSE($C$6,C77,D77,E77)</f>
        <v/>
      </c>
      <c r="C77" s="17" t="n">
        <v>9</v>
      </c>
      <c r="D77" s="17" t="n">
        <v>14</v>
      </c>
      <c r="E77" s="17" t="n">
        <v>4</v>
      </c>
      <c r="F77" s="23" t="inlineStr">
        <is>
          <t>partners</t>
        </is>
      </c>
      <c r="G77"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8">
      <c r="A78" t="inlineStr">
        <is>
          <t>B2B partners - Y7</t>
        </is>
      </c>
      <c r="B78" s="31">
        <f>CHOOSE($C$6,C78,D78,E78)</f>
        <v/>
      </c>
      <c r="C78" s="17" t="n">
        <v>11</v>
      </c>
      <c r="D78" s="17" t="n">
        <v>17</v>
      </c>
      <c r="E78" s="17" t="n">
        <v>5</v>
      </c>
      <c r="F78" s="23" t="inlineStr">
        <is>
          <t>partners</t>
        </is>
      </c>
      <c r="G78"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9">
      <c r="A79" t="inlineStr">
        <is>
          <t>B2B platform fee</t>
        </is>
      </c>
      <c r="B79" s="41">
        <f>CHOOSE($C$6,C79,D79,E79)</f>
        <v/>
      </c>
      <c r="C79" s="16" t="n">
        <v>0.0075</v>
      </c>
      <c r="D79" s="16" t="n">
        <v>0.008999999999999999</v>
      </c>
      <c r="E79" s="16" t="n">
        <v>0.005</v>
      </c>
      <c r="F79" s="23" t="inlineStr">
        <is>
          <t>% of partner AUM/yr</t>
        </is>
      </c>
      <c r="G79" s="9" t="inlineStr">
        <is>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is>
      </c>
    </row>
    <row r="80">
      <c r="A80" t="inlineStr">
        <is>
          <t>Average partner user base</t>
        </is>
      </c>
      <c r="B80" s="31">
        <f>CHOOSE($C$6,C80,D80,E80)</f>
        <v/>
      </c>
      <c r="C80" s="17" t="n">
        <v>900000</v>
      </c>
      <c r="D80" s="17" t="n">
        <v>1400000</v>
      </c>
      <c r="E80" s="17" t="n">
        <v>500000</v>
      </c>
      <c r="F80" s="23" t="inlineStr">
        <is>
          <t>active users</t>
        </is>
      </c>
      <c r="G80" s="9"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81">
      <c r="A81" t="inlineStr">
        <is>
          <t>Partner users adopting gold (mature)</t>
        </is>
      </c>
      <c r="B81" s="42">
        <f>CHOOSE($C$6,C81,D81,E81)</f>
        <v/>
      </c>
      <c r="C81" s="19" t="n">
        <v>0.06</v>
      </c>
      <c r="D81" s="19" t="n">
        <v>0.1</v>
      </c>
      <c r="E81" s="19" t="n">
        <v>0.03</v>
      </c>
      <c r="F81" s="23" t="inlineStr">
        <is>
          <t>% of partner users</t>
        </is>
      </c>
      <c r="G81" s="9"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82">
      <c r="A82" t="inlineStr">
        <is>
          <t>AUM per adopting partner user</t>
        </is>
      </c>
      <c r="B82" s="44">
        <f>CHOOSE($C$6,C82,D82,E82)</f>
        <v/>
      </c>
      <c r="C82" s="20" t="n">
        <v>350</v>
      </c>
      <c r="D82" s="20" t="n">
        <v>500</v>
      </c>
      <c r="E82" s="20" t="n">
        <v>220</v>
      </c>
      <c r="F82" s="23" t="inlineStr">
        <is>
          <t>USD</t>
        </is>
      </c>
      <c r="G82" s="9"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83">
      <c r="A83" t="inlineStr">
        <is>
          <t>AUM per partner (derived)</t>
        </is>
      </c>
      <c r="B83" s="44">
        <f>'Scenario Parameters'!$B$80*'Scenario Parameters'!$B$81*'Scenario Parameters'!$B$82</f>
        <v/>
      </c>
      <c r="F83" s="23" t="inlineStr">
        <is>
          <t>USD</t>
        </is>
      </c>
      <c r="G83" s="9"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85" ht="18" customHeight="1">
      <c r="A85" s="12" t="inlineStr">
        <is>
          <t>GROUP F: REGIONS</t>
        </is>
      </c>
      <c r="B85" s="13" t="n"/>
      <c r="C85" s="13" t="n"/>
      <c r="D85" s="13" t="n"/>
      <c r="E85" s="13" t="n"/>
    </row>
    <row r="86">
      <c r="A86" s="14" t="inlineStr">
        <is>
          <t>Parameter</t>
        </is>
      </c>
      <c r="B86" s="14" t="inlineStr">
        <is>
          <t>Active Value</t>
        </is>
      </c>
      <c r="C86" s="14" t="inlineStr">
        <is>
          <t>Base</t>
        </is>
      </c>
      <c r="D86" s="14" t="inlineStr">
        <is>
          <t>Aggressive</t>
        </is>
      </c>
      <c r="E86" s="14" t="inlineStr">
        <is>
          <t>Conservative</t>
        </is>
      </c>
      <c r="F86" s="14" t="inlineStr">
        <is>
          <t>Unit</t>
        </is>
      </c>
    </row>
    <row r="87">
      <c r="A87" t="inlineStr">
        <is>
          <t>Average monthly ticket - UAE</t>
        </is>
      </c>
      <c r="B87" s="44">
        <f>CHOOSE($C$6,C87,D87,E87)</f>
        <v/>
      </c>
      <c r="C87" s="20" t="n">
        <v>33.6</v>
      </c>
      <c r="D87" s="20" t="n">
        <v>41</v>
      </c>
      <c r="E87" s="20" t="n">
        <v>26.5</v>
      </c>
      <c r="F87" s="23" t="inlineStr">
        <is>
          <t>USD/month</t>
        </is>
      </c>
      <c r="G87"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8">
      <c r="A88" t="inlineStr">
        <is>
          <t>Average monthly ticket - Oman and Bahrain</t>
        </is>
      </c>
      <c r="B88" s="44">
        <f>CHOOSE($C$6,C88,D88,E88)</f>
        <v/>
      </c>
      <c r="C88" s="20" t="n">
        <v>26</v>
      </c>
      <c r="D88" s="20" t="n">
        <v>32</v>
      </c>
      <c r="E88" s="20" t="n">
        <v>21</v>
      </c>
      <c r="F88" s="23" t="inlineStr">
        <is>
          <t>USD/month</t>
        </is>
      </c>
      <c r="G88"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9">
      <c r="A89" t="inlineStr">
        <is>
          <t>Average monthly ticket - India</t>
        </is>
      </c>
      <c r="B89" s="44">
        <f>CHOOSE($C$6,C89,D89,E89)</f>
        <v/>
      </c>
      <c r="C89" s="20" t="n">
        <v>30</v>
      </c>
      <c r="D89" s="20" t="n">
        <v>36</v>
      </c>
      <c r="E89" s="20" t="n">
        <v>24</v>
      </c>
      <c r="F89" s="23" t="inlineStr">
        <is>
          <t>USD/month</t>
        </is>
      </c>
      <c r="G89"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91" ht="18" customHeight="1">
      <c r="A91" s="12" t="inlineStr">
        <is>
          <t>STRUCTURAL SWITCHES - the two that move revenue</t>
        </is>
      </c>
      <c r="B91" s="13" t="n"/>
      <c r="C91" s="13" t="n"/>
      <c r="D91" s="13" t="n"/>
      <c r="E91" s="13" t="n"/>
    </row>
    <row r="92">
      <c r="A92" s="14" t="inlineStr">
        <is>
          <t>Switch</t>
        </is>
      </c>
      <c r="B92" s="14" t="inlineStr">
        <is>
          <t>Active (1/0)</t>
        </is>
      </c>
      <c r="C92" s="14" t="inlineStr">
        <is>
          <t>State</t>
        </is>
      </c>
      <c r="D92" s="14" t="inlineStr">
        <is>
          <t>ON value</t>
        </is>
      </c>
    </row>
    <row r="93" ht="18" customHeight="1">
      <c r="A93" s="12" t="inlineStr">
        <is>
          <t>GROUP G: THE COST BASE</t>
        </is>
      </c>
      <c r="B93" s="13" t="n"/>
      <c r="C93" s="13" t="n"/>
      <c r="D93" s="13" t="n"/>
      <c r="E93" s="13" t="n"/>
    </row>
    <row r="94">
      <c r="A94" s="14" t="inlineStr">
        <is>
          <t>Parameter</t>
        </is>
      </c>
      <c r="B94" s="14" t="inlineStr">
        <is>
          <t>Active Value</t>
        </is>
      </c>
      <c r="C94" s="14" t="inlineStr">
        <is>
          <t>Base</t>
        </is>
      </c>
      <c r="D94" s="14" t="inlineStr">
        <is>
          <t>Aggressive</t>
        </is>
      </c>
      <c r="E94" s="14" t="inlineStr">
        <is>
          <t>Conservative</t>
        </is>
      </c>
      <c r="F94" s="14" t="inlineStr">
        <is>
          <t>Unit</t>
        </is>
      </c>
    </row>
    <row r="95">
      <c r="A95" t="inlineStr">
        <is>
          <t>Vault storage fee</t>
        </is>
      </c>
      <c r="B95" s="45">
        <f>CHOOSE($C$6,C95,D95,E95)</f>
        <v/>
      </c>
      <c r="C95" s="46" t="n">
        <v>0.0012</v>
      </c>
      <c r="D95" s="46" t="n">
        <v>0.00026</v>
      </c>
      <c r="E95" s="46" t="n">
        <v>0.004</v>
      </c>
      <c r="F95" s="23" t="inlineStr">
        <is>
          <t>%/yr of metal held</t>
        </is>
      </c>
      <c r="G95" s="9" t="inlineStr">
        <is>
          <t>WHAT AURUMIX PAYS THE VAULT, not what it charges customers - decision 42 makes retail storage free. BASE 0.12% IS BULLIONVAULT'S PUBLISHED TARIFF, insurance included, minimum USD 4/month (bullionvault.com/help/tariff.html, retrieved 2026-08-26). Used as an UPPER BOUND on wholesale cost because it is a RETAIL price and therefore already carries BullionVault's own margin. AGGRESSIVE 0.026% is the DGCX Spot Gold vaulting tariff read literally - USD 0.10 per kilo per day at today's gold price. IT IS CARRIED ONLY AS THE OPTIMISTIC CASE AND SHOULD NOT BE THE BASE: that notice is dated 7 DECEMBER 2015, it is a DELIVERY-CYCLE tariff for taking metal off a futures contract (three free days per cycle) rather than a custody contract, and it is a FIXED DOLLAR-PER-KILO charge set when gold was about USD 34/g. The same physical rate was 0.107%/yr in 2015 and only reads as 0.026% now because the metal quadrupled. No vault reprices that slowly. CONSERVATIVE 0.40% is the low end of the range secondary sources quote for Dubai institutional storage. For reference the Royal Mint publishes 1% + VAT for bar storage. BENCHMARKED, NOT OBSERVED: no Dubai operator publishes an institutional custody tariff. Brink's runs the DGCX-approved Dubai vaults (Gold Souk, DAFZ, Almas Tower) and quotes privately. GET A QUOTE - it is the same conversation as naming the dealer.</t>
        </is>
      </c>
    </row>
    <row r="96">
      <c r="A96" t="inlineStr">
        <is>
          <t>Vault minimum charge</t>
        </is>
      </c>
      <c r="B96" s="43">
        <f>CHOOSE($C$6,C96,D96,E96)</f>
        <v/>
      </c>
      <c r="C96" s="15" t="n">
        <v>25</v>
      </c>
      <c r="D96" s="15" t="n">
        <v>5</v>
      </c>
      <c r="E96" s="15" t="n">
        <v>65</v>
      </c>
      <c r="F96" s="23" t="inlineStr">
        <is>
          <t>USD/day</t>
        </is>
      </c>
      <c r="G96" s="9" t="inlineStr">
        <is>
          <t>Professional vault contracts carry a minimum invoice, and it BITES WHILE THE BOOK IS SMALL - which is most of this horizon. BASE USD 25/day is the only MINIMUM published by any Dubai-approved vault operator (DGCX Spot Gold vaulting notice, 7 December 2015). AGGRESSIVE USD 5/day is nearer BullionVault's USD 4/MONTH. CONSERVATIVE USD 65/day is roughly USD 2,000/month, a plausible institutional floor. AT BASE THE MINIMUM BINDS UNTIL ABOUT YEAR 3, which is the point: early-year unit economics look worse than steady state because of minimum-commitment structures, and this is one of three in the cost base - the others are the KYC platform minimum and the card programme minimums. ASSUMPTION. Replace with the Brink's quote.</t>
        </is>
      </c>
    </row>
    <row r="97">
      <c r="A97" t="inlineStr">
        <is>
          <t>VARA annual supervision fee</t>
        </is>
      </c>
      <c r="B97" s="31">
        <f>CHOOSE($C$6,C97,D97,E97)</f>
        <v/>
      </c>
      <c r="C97" s="17" t="n">
        <v>400000</v>
      </c>
      <c r="D97" s="17" t="n">
        <v>200000</v>
      </c>
      <c r="E97" s="17" t="n">
        <v>600000</v>
      </c>
      <c r="F97" s="23" t="inlineStr">
        <is>
          <t>AED/yr</t>
        </is>
      </c>
      <c r="G97" s="9" t="inlineStr">
        <is>
          <t>VARA Schedule 2 - Supervision and Authorisation Fees, Virtual Assets and Related Activities Regulations 2023 (rulebooks.vara.ae, retrieved 2026-08-26). PUBLISHED AND EXACT: AED 200,000 per year for each of Category 1 VA Issuance, Broker-Dealer, Exchange and Custody; AED 80,000 for VA Transfer and Settlement. Payable IN ADVANCE of conducting the activity. VARA LICENSES ACTIVITIES, NOT THE TOKEN - you need each licence only if you actually perform that activity, so the ladder is a BUSINESS-MODEL question, not a risk band. BASE AED 400,000 = ISSUANCE + BROKER-DEALER. Issuance is mandatory for a gold-backed ARVA and is not negotiable. Broker-Dealer is added because Aurumix SELLS DIRECTLY TO RETAIL through its own app and agent network, and the definition catches 'soliciting or accepting orders for Virtual Assets and accepting fiat currency for such orders' - which is the SIP exactly. There is NO CARVE-OUT letting an issuer distribute its own token without it; the footnote checked on 2026-08-26 only requires issuers to comply with the Issuance Rulebook. AGGRESSIVE AED 200,000 = ISSUANCE ALONE, and it is a REAL STRATEGIC OPTION rather than optimism: mint and let a VARA-licensed broker-dealer handle distribution. Saves USD 54,459/yr of supervision and AED 600,000 of locked capital, at the cost of margin and control. CONSERVATIVE AED 600,000 adds CUSTODY, which bites only if Aurumix safekeeps client VAs - and only qualifies at all if each client's assets sit in SEPARATE WALLETS, so it turns on the wallet design. EXCHANGE IS DELIBERATELY EXCLUDED: no trading venue, no order matching. VA TRANSFER AND SETTLEMENT TOO: that definition targets moving CLIENTS' assets as a rail, not delivering your own issue to its buyer. VERIFIED AGAINST VARA'S PUBLIC REGISTER 2026-08-26, and the register settles it. Of 56 licensed VASPs, EXACTLY TWO hold Category 1 VA Issuance - Ctrl Alt Solutions DMCC and Tokinvest DMCC - and BOTH ALSO HOLD BROKER-DEALER SERVICES. Neither holds issuance alone. Issuance + Broker-Dealer is the only observed pattern in Dubai, which is why it is the Base. Both are tokenisation platforms rather than exchanges, so they are the closest comparators Aurumix has. THE SAMPLE IS TWO COMPANIES - it is the entire population of issuance licensees, not a survey, and it should be quoted as such. NEITHER HOLDS CUSTODY, and that is informative: on the register custody sits with specialists - Ceffu, BitGo, Hex Trust, Komainu, Bitpanda, Zand Bank - not with issuers. So Conservative is really the 'Aurumix builds its own custody instead of partnering' case, and it has no Dubai precedent. AGGRESSIVE HAS NO DUBAI PRECEDENT EITHER: no licensee holds issuance alone, so outsourcing distribution is a strategy nobody local has taken, not merely a cheaper option. Schedule 2 also lets VARA impose additional fees at its sole discretion.</t>
        </is>
      </c>
    </row>
    <row r="98">
      <c r="A98" t="inlineStr">
        <is>
          <t>VARA licence application fee (one-off)</t>
        </is>
      </c>
      <c r="B98" s="31">
        <f>CHOOSE($C$6,C98,D98,E98)</f>
        <v/>
      </c>
      <c r="C98" s="17" t="n">
        <v>150000</v>
      </c>
      <c r="D98" s="17" t="n">
        <v>100000</v>
      </c>
      <c r="E98" s="17" t="n">
        <v>200000</v>
      </c>
      <c r="F98" s="23" t="inlineStr">
        <is>
          <t>AED</t>
        </is>
      </c>
      <c r="G98" s="9" t="inlineStr">
        <is>
          <t>VARA Schedule 2, same source. AED 100,000 for one regulated VA Activity, payable at SUBMISSION - the application is not processed until it is received, so it is spent whether or not the licence is granted. Each additional activity adds a Licence Extension Fee of 50% OF THE LOWER application fee. Base 150,000 = Issuance 100,000 + 50% of Broker-Dealer's 100,000. Conservative 200,000 adds Custody at another 50,000. VARA PUBLISHES NO APPROVAL TIMELINE ANYWHERE - never give the client a date.</t>
        </is>
      </c>
    </row>
    <row r="99">
      <c r="A99" t="inlineStr">
        <is>
          <t>DMCC company licence</t>
        </is>
      </c>
      <c r="B99" s="31">
        <f>CHOOSE($C$6,C99,D99,E99)</f>
        <v/>
      </c>
      <c r="C99" s="17" t="n">
        <v>20265</v>
      </c>
      <c r="D99" s="17" t="n">
        <v>20265</v>
      </c>
      <c r="E99" s="17" t="n">
        <v>20265</v>
      </c>
      <c r="F99" s="23" t="inlineStr">
        <is>
          <t>AED/yr</t>
        </is>
      </c>
      <c r="G99" s="9" t="inlineStr">
        <is>
          <t>DMCC published Schedule of Charges (dmcc.ae, retrieved 2026-08-26): standard trading and service licence AED 20,265/yr. THE COST OF EXISTING AS A COMPANY, separate from and additional to the VARA licence, which is the cost of doing virtual asset business. You pay both. THE ESTABLISHMENT CARD (AED 1,825/yr) WAS REMOVED FROM THIS LINE ON 2026-08-26. It exists to sponsor residence visas, so its driver is headcount, not regulation - it belongs with visas and office, where a flexi-desk runs AED 16,000-19,000 and an employment residence permit about AED 2,972 each. DMCC states charges are subject to change without notice and publishes no effective date. NO SCENARIO VARIATION: it is a published tariff, not an estimate.</t>
        </is>
      </c>
    </row>
    <row r="100">
      <c r="A100" t="inlineStr">
        <is>
          <t>DMCC incorporation (one-off)</t>
        </is>
      </c>
      <c r="B100" s="31">
        <f>CHOOSE($C$6,C100,D100,E100)</f>
        <v/>
      </c>
      <c r="C100" s="17" t="n">
        <v>12035</v>
      </c>
      <c r="D100" s="17" t="n">
        <v>12035</v>
      </c>
      <c r="E100" s="17" t="n">
        <v>12035</v>
      </c>
      <c r="F100" s="23" t="inlineStr">
        <is>
          <t>AED</t>
        </is>
      </c>
      <c r="G100" s="9" t="inlineStr">
        <is>
          <t>DMCC published Schedule of Charges: application AED 1,015 + new company registration AED 9,000 + articles of association AED 2,020. One-off, Year 1.</t>
        </is>
      </c>
    </row>
    <row r="101">
      <c r="A101" t="inlineStr">
        <is>
          <t>KYC and AML - per verification</t>
        </is>
      </c>
      <c r="B101" s="47">
        <f>CHOOSE($C$6,C101,D101,E101)</f>
        <v/>
      </c>
      <c r="C101" s="18" t="n">
        <v>1.85</v>
      </c>
      <c r="D101" s="18" t="n">
        <v>1.35</v>
      </c>
      <c r="E101" s="18" t="n">
        <v>1.85</v>
      </c>
      <c r="F101" s="23" t="inlineStr">
        <is>
          <t>USD/check</t>
        </is>
      </c>
      <c r="G101" s="9" t="inlineStr">
        <is>
          <t>Sumsub published pricing (sumsub.com/pricing, retrieved 2026-08-26). COMPLIANCE TIER USD 1.85 IS THE RIGHT ONE, not the USD 1.35 Basic tier: Basic is sold for NON-REGULATED businesses and excludes AML screening, ongoing AML monitoring and proof-of-address, all three of which a VARA-licensed issuer needs. Aggressive carries 1.35 only to show what the cheaper tier would be worth. Sumsub charges for SUCCESSFUL verifications only.</t>
        </is>
      </c>
    </row>
    <row r="102">
      <c r="A102" t="inlineStr">
        <is>
          <t>Paid-up capital - Category 1 VA Issuance</t>
        </is>
      </c>
      <c r="B102" s="31">
        <f>CHOOSE($C$6,C102,D102,E102)</f>
        <v/>
      </c>
      <c r="C102" s="17" t="n">
        <v>1500000</v>
      </c>
      <c r="D102" s="17" t="n">
        <v>1500000</v>
      </c>
      <c r="E102" s="17" t="n">
        <v>1500000</v>
      </c>
      <c r="F102" s="23" t="inlineStr">
        <is>
          <t>AED</t>
        </is>
      </c>
      <c r="G102" s="9" t="inlineStr">
        <is>
          <t>VARA Virtual Asset Issuance Rulebook, ARVA Rules G.1 (retrieved 2026-08-26): Paid-Up Capital of at least THE HIGHER OF (a) AED 1,500,000 and (b) 2% of the 24-month average value of Reserve Assets, WHERE APPLICABLE. UNDER OPTION A (DIRECT OWNERSHIP) LIMB (b) DOES NOT APPLY, because Rule III.C.1 attaches Reserve Assets only to ARVAs which purport to maintain a stable value in respect of a Referenced Asset - and Aurumix's customers own specific allocated grams rather than a claim on a stabilised pool. There are no Reserve Assets to take 2% of. THE FLOOR IS NOT CONDITIONAL. Choosing Option A removes the ESCALATOR, not the AED 1,500,000. The rule reads at least the higher of, so with (b) inapplicable (a) governs. Flat in every scenario for that reason. LOCKED, NOT SPENT: balance sheet only, never the P&amp;L.</t>
        </is>
      </c>
    </row>
    <row r="103">
      <c r="A103" t="inlineStr">
        <is>
          <t>Paid-up capital - licensed activities</t>
        </is>
      </c>
      <c r="B103" s="31">
        <f>CHOOSE($C$6,C103,D103,E103)</f>
        <v/>
      </c>
      <c r="C103" s="17" t="n">
        <v>600000</v>
      </c>
      <c r="D103" s="17" t="n">
        <v>0</v>
      </c>
      <c r="E103" s="17" t="n">
        <v>1200000</v>
      </c>
      <c r="F103" s="23" t="inlineStr">
        <is>
          <t>AED</t>
        </is>
      </c>
      <c r="G103" s="9" t="inlineStr">
        <is>
          <t>VARA Company Rulebook Part VI.B, per licensed VA Activity: Broker-Dealer without custody is the HIGHER of AED 600,000 or 25% of fixed annual overheads; Custody likewise. IT IS CUMULATIVE, NOT THE HIGHEST SINGLE TEST. Part VI.A requires the capital for EACH VA Activity for which the VASP is Licensed. Verified 2026-08-26. TRACKS THE ACTIVITY LADDER on the supervision-fee row: Aggressive 0 (issuance alone, distribution outsourced), Base 600,000 (Broker-Dealer), Conservative 1,200,000 (Broker-Dealer plus Custody). NOTHING TO DO WITH THE ARVA OPTION A / OPTION B CHOICE - this attaches to the LICENCE, not to the token design.</t>
        </is>
      </c>
    </row>
    <row r="104">
      <c r="A104" t="inlineStr">
        <is>
          <t>Net liquid assets - months of opex</t>
        </is>
      </c>
      <c r="B104" s="43">
        <f>CHOOSE($C$6,C104,D104,E104)</f>
        <v/>
      </c>
      <c r="C104" s="15" t="n">
        <v>1.2</v>
      </c>
      <c r="D104" s="15" t="n">
        <v>1.2</v>
      </c>
      <c r="E104" s="15" t="n">
        <v>1.2</v>
      </c>
      <c r="F104" s="23" t="inlineStr">
        <is>
          <t>x monthly opex</t>
        </is>
      </c>
      <c r="G104" s="9" t="inlineStr">
        <is>
          <t>VARA Company Rulebook Part VI.C: Net Liquid Assets at least 1.2 x monthly operating expenses. A CONTINUOUS LIQUIDITY TEST, not a one-off subscription, and it appears NOWHERE IN THE CORPUS - added 2026-08-26. NOT ADDITIVE TO PAID-UP CAPITAL: the same cash can satisfy both, so the two are shown side by side and never summed. It constrains the FORM the capital is held in, not the amount.</t>
        </is>
      </c>
    </row>
    <row r="105">
      <c r="A105" t="inlineStr">
        <is>
          <t>Insurance - PI, D&amp;O and crime</t>
        </is>
      </c>
      <c r="B105" s="44">
        <f>CHOOSE($C$6,C105,D105,E105)</f>
        <v/>
      </c>
      <c r="C105" s="20" t="n">
        <v>45000</v>
      </c>
      <c r="D105" s="20" t="n">
        <v>20000</v>
      </c>
      <c r="E105" s="20" t="n">
        <v>90000</v>
      </c>
      <c r="F105" s="23" t="inlineStr">
        <is>
          <t>USD/yr</t>
        </is>
      </c>
      <c r="G105" s="9" t="inlineStr">
        <is>
          <t>MANDATORY, and the rulebook names the policies. VARA Company Rulebook Part VI.D requires professional indemnity, directors' and officers', and COMMERCIAL CRIME COVER FOR VIRTUAL ASSETS IN HOT WALLETS, all held with a regulated insurer, in an amount 'adequate to the size and complexity of the business'. VARA sets no minimum sum and judges adequacy at licensing. Verified 2026-08-26. BENCHMARKED, NOT OBSERVED - no insurer publishes VASP rates. Base USD 45,000 builds from UAE broker rate guides: PI for a regulated financial firm at AED 10m limit runs AED 60,000-155,000/yr and D&amp;O at the same limit AED 55,000-145,000/yr; Base takes the BOTTOM of both ranges (about USD 31,300 combined) plus about USD 13,700 for crime cover. Aggressive assumes SME limits (PI AED 22,000, D&amp;O AED 14,000); Conservative takes the top of the regulated ranges. THE CRIME ELEMENT IS THE UNPRICED ONE and it is the hardest to place: S&amp;P reports hot and warm wallet crime capacity at roughly USD 75m per risk against USD 900m for cold specie, and a CFTC presentation calls hot-wallet cover 'extremely limited', layered in USD 1-5m blocks. Aurumix's hot-wallet exposure is operational treasury only, so a low limit should suffice - but the market is thin and the price is not published. THE PHYSICAL GOLD IS NOT INSURED HERE. Vault storage at 0.12% already includes insurance on the metal, so covering it again would double-count. FLAT ACROSS THE HORIZON, which is a simplification: PI and D&amp;O scale with turnover, so this should be re-quoted as the book grows. GET A BROKER QUOTE.</t>
        </is>
      </c>
    </row>
    <row r="106">
      <c r="A106" t="inlineStr">
        <is>
          <t>Audit and reserve attestation</t>
        </is>
      </c>
      <c r="B106" s="44">
        <f>CHOOSE($C$6,C106,D106,E106)</f>
        <v/>
      </c>
      <c r="C106" s="20" t="n">
        <v>25000</v>
      </c>
      <c r="D106" s="20" t="n">
        <v>12000</v>
      </c>
      <c r="E106" s="20" t="n">
        <v>60000</v>
      </c>
      <c r="F106" s="23" t="inlineStr">
        <is>
          <t>USD/yr</t>
        </is>
      </c>
      <c r="G106" s="9" t="inlineStr">
        <is>
          <t>TWO SEPARATE ENGAGEMENTS, both mandatory under VARA Issuance Rulebook Rule III.D (verified 2026-08-26): a SIX-MONTHLY independent audit, and an ANNUAL independent audit of financial statements. A named independent auditor must be appointed and notified to VARA, and Senior Management must submit an ATTESTATION to the accuracy of each audit. OPTION A NARROWS THE SIX-MONTHLY ONE. Rule III.D.2.a covers (a) the number and value of ARVAs in circulation and (b) the composition and value of Reserve Assets 'IF APPLICABLE'. Under direct ownership there are no Reserve Assets, so limb (b) drops out and the engagement audits token supply against gold held rather than a reserve pool. NARROWER SCOPE SHOULD PRICE LOWER than the brief assumes. THE ATTESTATION FEE IS GENUINELY UNPRICED. No issuer, auditor or regulator has ever published one. Paxos uses Withum and now KPMG, Tether uses BDO Italia, Circle uses Deloitte - all disclose scope, standard and frequency, none disclose fee. The only figure found anywhere is a secondary estimate of USD 2-12m/yr for LARGE issuers using Big Four, which is not this business. BASE USD 25,000 = about USD 5,400 for the statutory audit (UAE market guides put a regulated SME at AED 12,000-25,000/yr) plus about USD 20,000 for two six-monthly engagements at USD 10,000 each. THE SECOND HALF IS A PLACEHOLDER, NOT A QUOTE. Get one from Bureau Veritas or an equivalent.</t>
        </is>
      </c>
    </row>
    <row r="107">
      <c r="A107" t="inlineStr">
        <is>
          <t>Technology audit and penetration testing</t>
        </is>
      </c>
      <c r="B107" s="44">
        <f>CHOOSE($C$6,C107,D107,E107)</f>
        <v/>
      </c>
      <c r="C107" s="20" t="n">
        <v>15000</v>
      </c>
      <c r="D107" s="20" t="n">
        <v>6000</v>
      </c>
      <c r="E107" s="20" t="n">
        <v>35000</v>
      </c>
      <c r="F107" s="23" t="inlineStr">
        <is>
          <t>USD/yr</t>
        </is>
      </c>
      <c r="G107" s="9" t="inlineStr">
        <is>
          <t>MANDATORY AND RECURRING, not a one-off. VARA Technology and Information Rulebook, E. Testing and Audit, verbatim: VASPs 'must engage a qualified and independent third-party auditor to conduct vulnerability assessments and penetration testing' at least ANNUALLY 'and prior to the introduction of any new systems, applications and products'. Verified 2026-08-26. BENCHMARKED from published penetration-testing price guides: small financial firms run USD 5,000-15,000 per engagement, broader multi-asset engagements covering web, APIs and internal network USD 10,000-35,000. Base takes the top of the small-firm range. THE PER-LAUNCH TRIGGER IS NOT MODELLED. Every new system or product needs its own test, so a year with several launches costs more than this line shows. It is a step cost tied to the product roadmap, and the roadmap does not exist yet.</t>
        </is>
      </c>
    </row>
    <row r="108">
      <c r="A108" t="inlineStr">
        <is>
          <t>Launch technology and smart contract audit (one-off)</t>
        </is>
      </c>
      <c r="B108" s="44">
        <f>CHOOSE($C$6,C108,D108,E108)</f>
        <v/>
      </c>
      <c r="C108" s="20" t="n">
        <v>40000</v>
      </c>
      <c r="D108" s="20" t="n">
        <v>20000</v>
      </c>
      <c r="E108" s="20" t="n">
        <v>75000</v>
      </c>
      <c r="F108" s="23" t="inlineStr">
        <is>
          <t>USD</t>
        </is>
      </c>
      <c r="G108" s="9" t="inlineStr">
        <is>
          <t>THE PRE-LAUNCH ENGAGEMENT the Technology Rulebook requires before any new system goes live, covering the token contract as well as the platform. BENCHMARKED, not quoted: published penetration-test ranges top out around USD 35,000 for a broad engagement, and smart-contract audit is a specialist skill that prices above general application testing, so Base sits at USD 40,000. THE BRIEF CARRIES USD 75,000 for a tier-1 smart contract audit. That figure is retained as the CONSERVATIVE case rather than the Base because its source was never recorded. GET A QUOTE - firms of this kind publish nothing.</t>
        </is>
      </c>
    </row>
    <row r="109">
      <c r="A109" t="inlineStr">
        <is>
          <t>ICS discount - entry fee</t>
        </is>
      </c>
      <c r="B109" s="42">
        <f>CHOOSE($C$6,C109,D109,E109)</f>
        <v/>
      </c>
      <c r="C109" s="19" t="n">
        <v>0.25</v>
      </c>
      <c r="D109" s="19" t="n">
        <v>0.15</v>
      </c>
      <c r="E109" s="19" t="n">
        <v>0.4</v>
      </c>
      <c r="F109" s="23" t="inlineStr">
        <is>
          <t>% of the fee</t>
        </is>
      </c>
      <c r="G109" s="9" t="inlineStr">
        <is>
          <t>AN AVERAGE ACROSS TIERS, deliberately, rather than a five-rung ladder. Client instruction 2026-08-26: model one blended discount on the qualifying population instead of splitting Silver / Gold / Platinum / Sovereign, because no tier DISTRIBUTION exists in this model - the ICS rows are binary, qualified or not - and inventing one would put a fabricated mix underneath every benefit number. SIP ONLY. Spot earns no ICS, so this reduces Stream 1a and never Stream 1b. WHAT AN AVERAGE HIDES: if the real ladder tops out near 75%, top-tier contributions are LOSS-MAKING on the inflow lane. At a 5% fee, Aurumix's own cost is 1.425% of the contribution (the fabrication premium on the 95% that buys metal), so the fee breaks even at a 71.5% DISCOUNT and goes negative above it. A 25% average is comfortably profitable; a 75% top rung is not. That may be a deliberate cross-subsidy from the card, but it should be a decision rather than a surprise - and this row cannot show it.</t>
        </is>
      </c>
    </row>
    <row r="110">
      <c r="A110" t="inlineStr">
        <is>
          <t>ICS discount - card fees</t>
        </is>
      </c>
      <c r="B110" s="42">
        <f>CHOOSE($C$6,C110,D110,E110)</f>
        <v/>
      </c>
      <c r="C110" s="19" t="n">
        <v>0.2</v>
      </c>
      <c r="D110" s="19" t="n">
        <v>0.1</v>
      </c>
      <c r="E110" s="19" t="n">
        <v>0.35</v>
      </c>
      <c r="F110" s="23" t="inlineStr">
        <is>
          <t>% of the fee</t>
        </is>
      </c>
      <c r="G110" s="9" t="inlineStr">
        <is>
          <t>Blended discount on Stream 4 - FX margin, ATM allowance and the card issuance fee. The corpus ladder runs FX 2.0 / 1.5 / 1.0% by tier and an ATM allowance that rises with tier; this is the average effect of all of it, on the qualifying population. WAIVED REVENUE, not a cash cost.</t>
        </is>
      </c>
    </row>
    <row r="111">
      <c r="A111" t="inlineStr">
        <is>
          <t>ICS discount - gold rebate</t>
        </is>
      </c>
      <c r="B111" s="42">
        <f>CHOOSE($C$6,C111,D111,E111)</f>
        <v/>
      </c>
      <c r="C111" s="19" t="n">
        <v>0.05</v>
      </c>
      <c r="D111" s="19" t="n">
        <v>0.03</v>
      </c>
      <c r="E111" s="19" t="n">
        <v>0.1</v>
      </c>
      <c r="F111" s="23" t="inlineStr">
        <is>
          <t>% of card revenue</t>
        </is>
      </c>
      <c r="G111" s="9" t="inlineStr">
        <is>
          <t>Gold Rewards, as a share of ALL CARD REVENUE - interchange (Stream 2) plus cardholder fees (Stream 4). REBASED 2026-08-26 from interchange alone, which was too narrow on three counts. Interchange is the SMALLER HALF by a long way (USD 50k against USD 833k at Y7). Stream 2 is NET OF THE PARTNER'S ~55% SHARE, and sizing a customer's reward off the residual left after a partner split uses the wrong denominator - the customer generated the whole thing. And the corpus cap was never interchange-only: it reads 'capped at the interchange AND CREDIT REVENUE that customer generated, net of custody'. THE RATE FELL FROM 15% TO 5% BECAUSE THE BASE WIDENED 17.8x. The check that matters is the rebate as a share of CARD SPEND, against the corpus ladder of 0.15 / 0.45 / 0.75% by tier: 5% lands at 0.35% of spend, mid-ladder, against a corpus blended average of about 0.18%. 15% on this base would have been 1.05% of spend - ABOVE THE TOP RUNG. IT STILL CANNOT OVERRUN ITS FUNDING LINE, because it is expressed as a share of the very revenue that funds it.</t>
        </is>
      </c>
    </row>
    <row r="112">
      <c r="A112" t="inlineStr">
        <is>
          <t>ICS discount - family wallet and will</t>
        </is>
      </c>
      <c r="B112" s="42">
        <f>CHOOSE($C$6,C112,D112,E112)</f>
        <v/>
      </c>
      <c r="C112" s="19" t="n">
        <v>0.2</v>
      </c>
      <c r="D112" s="19" t="n">
        <v>0.1</v>
      </c>
      <c r="E112" s="19" t="n">
        <v>0.35</v>
      </c>
      <c r="F112" s="23" t="inlineStr">
        <is>
          <t>% of the fee</t>
        </is>
      </c>
      <c r="G112" s="9" t="inlineStr">
        <is>
          <t>Blended discount on Stream 3, covering the Family Portfolio and Digital Will pricing and the per-beneficiary discount. The corpus ladder runs 0 / 10 / 20 / 35 / 50% by tier plus a per-beneficiary discount starting at Platinum; this is the average effect on the qualifying population.</t>
        </is>
      </c>
    </row>
    <row r="113">
      <c r="A113" t="inlineStr">
        <is>
          <t>Agent commission - share of the entry fee</t>
        </is>
      </c>
      <c r="B113" s="42">
        <f>CHOOSE($C$6,C113,D113,E113)</f>
        <v/>
      </c>
      <c r="C113" s="19" t="n">
        <v>0.1</v>
      </c>
      <c r="D113" s="19" t="n">
        <v>0.05</v>
      </c>
      <c r="E113" s="19" t="n">
        <v>0.15</v>
      </c>
      <c r="F113" s="23" t="inlineStr">
        <is>
          <t>% of the fee</t>
        </is>
      </c>
      <c r="G113" s="9" t="inlineStr">
        <is>
          <t>CLIENT DECISION 2026-08-26: 10% of the entry fee, ONGOING - paid for as long as the customer keeps contributing, which is how agent commission normally works and what the corpus describes (high first-year commission plus renewal commission payable only while the policy stays in force). ON A 5% ENTRY FEE THIS IS 0.50% OF EVERY CONTRIBUTION. The client's own written figure was 15%, which the brief measured at 0.75pp against 0.85pp of Y1 gross margin - 88% of it. Conservative holds 15% so that number stays reachable. APPLIED TO THE AGENT-ACQUIRED SHARE OF THE BOOK, approximated as cumulative agent-driven acquisitions over cumulative acquisitions from all channels. THE MODEL DOES NOT COHORT CUSTOMERS BY CHANNEL, so this is an approximation: it assumes agent-acquired customers behave like everyone else on ticket and persistency. If agent-sold customers persist better - which the insurance precedent suggests - this UNDERSTATES the commission. NOT MODELLED: the three-tier upline override. Whether 10% is the total across all levels or the first-level rate is unresolved, and it is the difference between one commission and three.</t>
        </is>
      </c>
    </row>
    <row r="114">
      <c r="A114" t="inlineStr">
        <is>
          <t>Referral reward - share of the referee's entry fee</t>
        </is>
      </c>
      <c r="B114" s="42">
        <f>CHOOSE($C$6,C114,D114,E114)</f>
        <v/>
      </c>
      <c r="C114" s="19" t="n">
        <v>0.3</v>
      </c>
      <c r="D114" s="19" t="n">
        <v>0.2</v>
      </c>
      <c r="E114" s="19" t="n">
        <v>0.4</v>
      </c>
      <c r="F114" s="23" t="inlineStr">
        <is>
          <t>% of six contributions</t>
        </is>
      </c>
      <c r="G114" s="9" t="inlineStr">
        <is>
          <t>F17. 30% of the entry fee the referee pays over their SIX QUALIFYING CONTRIBUTIONS, credited in grams. On a USD 33.60 ticket at a 5% fee that is 6 x 33.60 x 5% = USD 10.08 of fee, so about USD 3.02 per successful referral. THE SELF-FUNDING CLAIM WAS WITHDRAWN, NOT REPAIRED. It was tested against a 2.15% gross margin that had not yet paid for the premium or the float. Against contribution-margin LTV on the inflow lane the reward is roughly 250% of it; against all-streams LTV it is comfortably affordable. The honest frame is CAC versus LTV, and which LTV you pick decides the answer. TIMING IS SIMPLIFIED: the reward is booked when the referral is acquired, but it is really paid at the REFEREE'S GATE - six contributions later, so no earlier than about month 19 given the channel itself opens at period 13. The annual totals barely move; the monthly cash profile does.</t>
        </is>
      </c>
    </row>
    <row r="115">
      <c r="A115" t="inlineStr">
        <is>
          <t>Card programme - NymCard platform and scheme fees</t>
        </is>
      </c>
      <c r="B115" s="44">
        <f>CHOOSE($C$6,C115,D115,E115)</f>
        <v/>
      </c>
      <c r="C115" s="20" t="n">
        <v>30000</v>
      </c>
      <c r="D115" s="20" t="n">
        <v>18000</v>
      </c>
      <c r="E115" s="20" t="n">
        <v>72000</v>
      </c>
      <c r="F115" s="23" t="inlineStr">
        <is>
          <t>USD/yr</t>
        </is>
      </c>
      <c r="G115" s="9" t="inlineStr">
        <is>
          <t>USD 2,500/MONTH. Client decision 2026-08-26. NymCard's standing charge for running the programme - platform, account management and the scheme assessments that come with it. BIN SPONSORSHIP WAS REMOVED FROM THIS LINE, and that is the client's correction rather than mine. The figure began at USD 120,000/yr on the assumption that a BANK would sponsor the BIN and a PROCESSOR would run the platform - two counterparties, two fees. NymCard is a CBUAE-licensed PRINCIPAL MEMBER OF BOTH VISA AND MASTERCARD, so it sponsors the BIN under its own membership and there is no bank charging separately for it. The bundle loses a component and the number falls with it. WHAT IS LEFT IS STILL REAL: no BaaS provider gives away the platform. Every one charges a standing monthly fee with a minimum, because it carries scheme and regulatory obligations on the programme manager's behalf. Taking this to zero would say the card costs nothing to run. BENCHMARKED, NOT QUOTED - NymCard publishes no pricing and neither does any comparable (Magnati, SimpliFi, Paymentology, EMX, Rain, all quote-only). ONE DEPENDENCY LEFT: BaaS providers price as a platform fee, as a SHARE OF INTERCHANGE, or both. The model already hands 60% of interchange to a programme-manager counterparty. If NymCard IS that counterparty and prices on interchange share, even this reduced line double counts and should go to zero. One question settles it: platform fee, interchange share, or both?</t>
        </is>
      </c>
    </row>
    <row r="116">
      <c r="A116" t="inlineStr">
        <is>
          <t>Card programme - setup (one-off)</t>
        </is>
      </c>
      <c r="B116" s="44">
        <f>CHOOSE($C$6,C116,D116,E116)</f>
        <v/>
      </c>
      <c r="C116" s="20" t="n">
        <v>50000</v>
      </c>
      <c r="D116" s="20" t="n">
        <v>25000</v>
      </c>
      <c r="E116" s="20" t="n">
        <v>100000</v>
      </c>
      <c r="F116" s="23" t="inlineStr">
        <is>
          <t>USD</t>
        </is>
      </c>
      <c r="G116" s="9" t="inlineStr">
        <is>
          <t>Programme setup, integration and certification with the issuer-processor, booked in the month the card launches. BENCHMARKED - quote-only, same as the annual fee.</t>
        </is>
      </c>
    </row>
    <row r="117">
      <c r="A117" t="inlineStr">
        <is>
          <t>Card programme - per card issued</t>
        </is>
      </c>
      <c r="B117" s="47">
        <f>CHOOSE($C$6,C117,D117,E117)</f>
        <v/>
      </c>
      <c r="C117" s="18" t="n">
        <v>4</v>
      </c>
      <c r="D117" s="18" t="n">
        <v>2</v>
      </c>
      <c r="E117" s="18" t="n">
        <v>8</v>
      </c>
      <c r="F117" s="23" t="inlineStr">
        <is>
          <t>USD/card</t>
        </is>
      </c>
      <c r="G117" s="9" t="inlineStr">
        <is>
          <t>Card production, personalisation and delivery, on the NEWLY ISSUED flow rather than the active stock - it is a manufacturing cost, paid once per card. A blend of physical and virtual: virtual costs cents, physical with delivery runs several dollars. BENCHMARKED. IF THE PROGRAMME GOES VIRTUAL-FIRST this falls close to zero, which is a real product lever - the Aggressive case is roughly that.</t>
        </is>
      </c>
    </row>
    <row r="118">
      <c r="A118" t="inlineStr">
        <is>
          <t>Card programme - per authorisation</t>
        </is>
      </c>
      <c r="B118" s="47">
        <f>CHOOSE($C$6,C118,D118,E118)</f>
        <v/>
      </c>
      <c r="C118" s="18" t="n">
        <v>0.03</v>
      </c>
      <c r="D118" s="18" t="n">
        <v>0.02</v>
      </c>
      <c r="E118" s="18" t="n">
        <v>0.06</v>
      </c>
      <c r="F118" s="23" t="inlineStr">
        <is>
          <t>USD/auth</t>
        </is>
      </c>
      <c r="G118" s="9" t="inlineStr">
        <is>
          <t>Switching and authorisation cost per transaction, on the authorisation count the revenue build already carries as a memo. SMALL PER EVENT AND LARGE IN AGGREGATE - the model runs over 320,000 authorisations at Y7. BENCHMARKED.</t>
        </is>
      </c>
    </row>
    <row r="119">
      <c r="A119" t="inlineStr">
        <is>
          <t>Card programme - fraud and chargebacks</t>
        </is>
      </c>
      <c r="B119" s="41">
        <f>CHOOSE($C$6,C119,D119,E119)</f>
        <v/>
      </c>
      <c r="C119" s="16" t="n">
        <v>0.0008</v>
      </c>
      <c r="D119" s="16" t="n">
        <v>0.0004</v>
      </c>
      <c r="E119" s="16" t="n">
        <v>0.002</v>
      </c>
      <c r="F119" s="23" t="inlineStr">
        <is>
          <t>% of spend</t>
        </is>
      </c>
      <c r="G119" s="9" t="inlineStr">
        <is>
          <t>Fraud losses plus chargeback and dispute handling, as a share of card spend. 8 basis points is a well-controlled programme; poorly controlled ones run several times that, which is why Conservative is 25 bps. BENCHMARKED. NOT THE SAME RISK AS THE HOT-WALLET CRIME COVER in the insurance line: that protects Aurumix's own tokens, this is loss on customer card transactions. Different exposure, different counterparty, no overlap.</t>
        </is>
      </c>
    </row>
    <row r="120">
      <c r="A120" t="inlineStr">
        <is>
          <t>Cross-border scheme assessment</t>
        </is>
      </c>
      <c r="B120" s="41">
        <f>CHOOSE($C$6,C120,D120,E120)</f>
        <v/>
      </c>
      <c r="C120" s="16" t="n">
        <v>0.014</v>
      </c>
      <c r="D120" s="16" t="n">
        <v>0.01</v>
      </c>
      <c r="E120" s="16" t="n">
        <v>0.014</v>
      </c>
      <c r="F120" s="23" t="inlineStr">
        <is>
          <t>% of cross-border spend</t>
        </is>
      </c>
      <c r="G120" s="9" t="inlineStr">
        <is>
          <t>CHARGED TO THE ISSUER by the card scheme whenever the merchant country differs from the issuer country. PUBLISHED RATES: Visa International Service Assessment is 1.00% single-currency (ISA Base) and 1.40% multi-currency (ISA Enhanced); Mastercard splits it as a 0.90% Issuer Cross-Border Assessment plus a 0.20% Currency Conversion Assessment, so 1.10% multi-currency. Retrieved 2026-08-26. BASE TAKES 1.40% because most of Aurumix's cross-border spend IS multi-currency - Indian customers spending rupees and Gulf customers spending rials on a UAE-issued card both convert. Aggressive takes the single-currency rate. IT IS BIGGER THAN AURUMIX'S INTERCHANGE SHARE. At 1.80% interchange and a 40% retained share Aurumix earns 0.72% of spend; the scheme charges up to 1.40% on the cross-border half. What covers the gap is the FX MARGIN charged to the customer (stream 4), which means the FX line is mostly COST RECOVERY rather than margin - and the ICS ladder cuts it to 1.0% at Sovereign, where it barely covers the assessment at all.</t>
        </is>
      </c>
    </row>
    <row r="121">
      <c r="A121" t="inlineStr">
        <is>
          <t>UAE cardholders - share of spend abroad or online-foreign</t>
        </is>
      </c>
      <c r="B121" s="42">
        <f>CHOOSE($C$6,C121,D121,E121)</f>
        <v/>
      </c>
      <c r="C121" s="19" t="n">
        <v>0.1</v>
      </c>
      <c r="D121" s="19" t="n">
        <v>0.05</v>
      </c>
      <c r="E121" s="19" t="n">
        <v>0.2</v>
      </c>
      <c r="F121" s="23" t="inlineStr">
        <is>
          <t>% of UAE spend</t>
        </is>
      </c>
      <c r="G121" s="9" t="inlineStr">
        <is>
          <t>THE ONLY ASSUMPTION IN THE CROSS-BORDER CALCULATION. Everything else is derived: Oman, Bahrain and India customers hold a UAE-ISSUED card, so EVERY transaction they make is cross-border by definition - merchant country differs from issuer country. That alone is 59% of card spend at Y7. This parameter adds the UAE residents' own travel and foreign online spend on top, taking the total to about 63%. ASSUMPTION. It moves the cross-border share by only a few points, so it is not load-bearing - the structure is.</t>
        </is>
      </c>
    </row>
    <row r="122">
      <c r="A122" t="inlineStr">
        <is>
          <t>Card settlement prefunding - days of spend</t>
        </is>
      </c>
      <c r="B122" s="43">
        <f>CHOOSE($C$6,C122,D122,E122)</f>
        <v/>
      </c>
      <c r="C122" s="15" t="n">
        <v>2</v>
      </c>
      <c r="D122" s="15" t="n">
        <v>1</v>
      </c>
      <c r="E122" s="15" t="n">
        <v>3</v>
      </c>
      <c r="F122" s="23" t="inlineStr">
        <is>
          <t>days</t>
        </is>
      </c>
      <c r="G122" s="9" t="inlineStr">
        <is>
          <t>WORKING CAPITAL, NOT A COST. The issuer-processor requires a prefunded settlement account so card transactions can settle before customer funds arrive - the JIT funding mechanism in the credit draft's section 5. NO PUBLIC SCHEDULE EXISTS. Prefunding is contractual between programme manager, processor and sponsor, never scheme-mandated, and it is not published by anyone. The common industry pattern is 1-3 days of expected transaction volume held in a segregated account, sometimes with a rolling reserve on top for higher-risk programmes. BENCHMARKED - take it to NymCard with everything else.</t>
        </is>
      </c>
    </row>
    <row r="123">
      <c r="A123" t="inlineStr">
        <is>
          <t>Card settlement prefunding - minimum balance</t>
        </is>
      </c>
      <c r="B123" s="44">
        <f>CHOOSE($C$6,C123,D123,E123)</f>
        <v/>
      </c>
      <c r="C123" s="20" t="n">
        <v>100000</v>
      </c>
      <c r="D123" s="20" t="n">
        <v>50000</v>
      </c>
      <c r="E123" s="20" t="n">
        <v>250000</v>
      </c>
      <c r="F123" s="23" t="inlineStr">
        <is>
          <t>USD</t>
        </is>
      </c>
      <c r="G123" s="9" t="inlineStr">
        <is>
          <t>A CONTRACTUAL FLOOR, and on this book IT BINDS THROUGHOUT - two days of Y7 card spend is only about USD 43,000, well under the minimum. So the prefunding requirement is effectively a fixed sum from card launch, which makes it a FOURTH minimum-commitment structure alongside the vault, the KYC platform and the card programme fee. Industry sources put minimums for small programmes in the low-to-mid six figures; nothing is published. BENCHMARKED.</t>
        </is>
      </c>
    </row>
    <row r="124">
      <c r="A124" t="inlineStr">
        <is>
          <t>Technology - build, Year 1</t>
        </is>
      </c>
      <c r="B124" s="44">
        <f>CHOOSE($C$6,C124,D124,E124)</f>
        <v/>
      </c>
      <c r="C124" s="20" t="n">
        <v>350000</v>
      </c>
      <c r="D124" s="20" t="n">
        <v>200000</v>
      </c>
      <c r="E124" s="20" t="n">
        <v>600000</v>
      </c>
      <c r="F124" s="23" t="inlineStr">
        <is>
          <t>USD</t>
        </is>
      </c>
      <c r="G124" s="9" t="inlineStr">
        <is>
          <t>CLIENT INSTRUCTION 2026-08-26: BUILD IN Y1-Y2, MAINTENANCE FROM Y3. The heavy year. Covers the mobile app, backend ledger, wallet infrastructure, the token contract, and integration with everything the product depends on - NymCard for the card, the KYC vendor, the payment rail, the custody and trust layer. IT IS NOT THE WHOLE BUILD. The client's own app was due early September 2026, before this model's horizon opens, so some of the consumer front end is already paid for outside these figures. What sits here is the regulated-product layer built on top of it. THE SMART CONTRACT AUDIT IS NOT IN HERE - it sits in the Year 1 one-off line with the launch technology audit, so the two must not be double counted. BENCHMARKED. No comparable publishes a build budget.</t>
        </is>
      </c>
    </row>
    <row r="125">
      <c r="A125" t="inlineStr">
        <is>
          <t>Technology - build, Year 2</t>
        </is>
      </c>
      <c r="B125" s="44">
        <f>CHOOSE($C$6,C125,D125,E125)</f>
        <v/>
      </c>
      <c r="C125" s="20" t="n">
        <v>150000</v>
      </c>
      <c r="D125" s="20" t="n">
        <v>80000</v>
      </c>
      <c r="E125" s="20" t="n">
        <v>300000</v>
      </c>
      <c r="F125" s="23" t="inlineStr">
        <is>
          <t>USD</t>
        </is>
      </c>
      <c r="G125" s="9" t="inlineStr">
        <is>
          <t>The tail of the build. Y2 is when the CARD AND CREDIT LAYER lands - both streams activate at period 13 - so this is not merely finishing Y1's work, it is a second product going live. BENCHMARKED.</t>
        </is>
      </c>
    </row>
    <row r="126">
      <c r="A126" t="inlineStr">
        <is>
          <t>Technology - annual maintenance from Y3</t>
        </is>
      </c>
      <c r="B126" s="44">
        <f>CHOOSE($C$6,C126,D126,E126)</f>
        <v/>
      </c>
      <c r="C126" s="20" t="n">
        <v>120000</v>
      </c>
      <c r="D126" s="20" t="n">
        <v>70000</v>
      </c>
      <c r="E126" s="20" t="n">
        <v>220000</v>
      </c>
      <c r="F126" s="23" t="inlineStr">
        <is>
          <t>USD/yr</t>
        </is>
      </c>
      <c r="G126" s="9" t="inlineStr">
        <is>
          <t>Hosting, third-party licences, security patching and ongoing engineering once the build settles. Runs from Y3 onward at the client's instruction. FLAT, WHICH IS A SIMPLIFICATION AND UNDERSTATES THE BACK YEARS. The book goes from about 4,000 paying customers at Y3 to over 70,000 at Y7; the brief's own technology block grows roughly five-fold across a comparable span. A flat line is the simple version, not the accurate one - revisit it if the Y6-Y7 numbers start carrying weight. ON-CHAIN MINTING COST IS NOT IN HERE, AND IT IS A CHAIN DECISION WORTH SIX FIGURES. Every monthly SIP contribution is a mint - about 855,000 events a year at Y7. On an L2 that is roughly USD 8,500/yr and immaterial; on Ethereum mainnet at USD 2 a transaction it is about USD 1.7m/yr, which would be one of the largest costs in the business. NOBODY HAS RECORDED WHICH CHAIN AURUMIX ISSUES ON. Until that is settled the cost cannot be modelled, and it is left out rather than guessed - but it must not be read as zero.</t>
        </is>
      </c>
    </row>
    <row r="127">
      <c r="A127" t="inlineStr">
        <is>
          <t>Contingency on total costs</t>
        </is>
      </c>
      <c r="B127" s="42">
        <f>CHOOSE($C$6,C127,D127,E127)</f>
        <v/>
      </c>
      <c r="C127" s="19" t="n">
        <v>0.15</v>
      </c>
      <c r="D127" s="19" t="n">
        <v>0.1</v>
      </c>
      <c r="E127" s="19" t="n">
        <v>0.3</v>
      </c>
      <c r="F127" s="23" t="inlineStr">
        <is>
          <t>% of costs</t>
        </is>
      </c>
      <c r="G127" s="9" t="inlineStr">
        <is>
          <t>CLIENT INSTRUCTION 2026-08-26: 15% on top of everything modelled, to stand in for the cost families not yet built. IT IS A PLACEHOLDER, NOT COVERAGE, AND THE ARITHMETIC SAYS SO. What is still missing is HEADCOUNT, technology's on-chain minting cost, legal and trust, security, corporate, and tax. Headcount alone is anchored in the brief at about USD 588,000 in Year 1 - roughly 78% of the entire Year 1 cost base as currently built - against which 15% is about USD 112,000. THE CONTINGENCY COVERS A FIFTH OF ONE MISSING BLOCK, and there are five others. READ EVERY PROFIT FIGURE IN THIS MODEL AS AN UPPER BOUND until headcount lands. It is not a forecast, it is revenue less the costs that happen to have been built so far.</t>
        </is>
      </c>
    </row>
    <row r="128">
      <c r="A128" t="inlineStr">
        <is>
          <t>KYC and AML - monthly minimum</t>
        </is>
      </c>
      <c r="B128" s="47">
        <f>CHOOSE($C$6,C128,D128,E128)</f>
        <v/>
      </c>
      <c r="C128" s="18" t="n">
        <v>299</v>
      </c>
      <c r="D128" s="18" t="n">
        <v>149</v>
      </c>
      <c r="E128" s="18" t="n">
        <v>299</v>
      </c>
      <c r="F128" s="23" t="inlineStr">
        <is>
          <t>USD/month</t>
        </is>
      </c>
      <c r="G128" s="9" t="inlineStr">
        <is>
          <t>Sumsub published minimum monthly commitment for the Compliance tier, same source. THE SECOND OF THREE MINIMUM-COMMITMENT STRUCTURES in this cost base - the vault minimum is the first, the card programme minimums are the third. It binds below about 162 verifications a month, which on this book is most of the first two years.</t>
        </is>
      </c>
    </row>
    <row r="130">
      <c r="A130" t="inlineStr">
        <is>
          <t>Prepaid instead of credit</t>
        </is>
      </c>
      <c r="B130" s="31">
        <f>IF($C$130="Prepaid",1,0)</f>
        <v/>
      </c>
      <c r="C130" s="40" t="inlineStr">
        <is>
          <t>Credit</t>
        </is>
      </c>
      <c r="D130" s="23" t="inlineStr">
        <is>
          <t>Prepaid</t>
        </is>
      </c>
      <c r="G130" s="9" t="inlineStr">
        <is>
          <t>ON (Prepaid) caps interchange at 1.00% and removes the credit stream entirely. 'NOT A PRODUCT CHOICE, IT IS THE BUSINESS MODEL.' Worth ~USD 2.3m of Y10 revenue on the ten-year run.</t>
        </is>
      </c>
    </row>
    <row r="131">
      <c r="A131" t="inlineStr">
        <is>
          <t>Holders keep the card</t>
        </is>
      </c>
      <c r="B131" s="31">
        <f>IF($C$131="ON",1,0)</f>
        <v/>
      </c>
      <c r="C131" s="40" t="inlineStr">
        <is>
          <t>ON</t>
        </is>
      </c>
      <c r="D131" s="23" t="inlineStr">
        <is>
          <t>ON</t>
        </is>
      </c>
      <c r="G131" s="9" t="inlineStr">
        <is>
          <t>NOBODY HAS DECIDED THIS. It determines whether the card streams - the majority of revenue - decay with churn or are immune to it. Worth a 42% swing in terminal revenue. Default ON because nothing in the design revokes the card; report both.</t>
        </is>
      </c>
    </row>
    <row r="132">
      <c r="A132" t="inlineStr">
        <is>
          <t>Fabrication premium borne by</t>
        </is>
      </c>
      <c r="B132" s="31">
        <f>IF($C$132="Aurumix",1,0)</f>
        <v/>
      </c>
      <c r="C132" s="40" t="inlineStr">
        <is>
          <t>Aurumix</t>
        </is>
      </c>
      <c r="D132" s="23" t="inlineStr">
        <is>
          <t>Aurumix</t>
        </is>
      </c>
      <c r="G132" s="9" t="inlineStr">
        <is>
          <t>DEFAULT AURUMIX, which REVERSES the 2026-08-21 client decision and does so deliberately. That review put the premium on the customer - grams delivered short by (1+premium), stream 1 keeping the full headline fee - which is standard for gold products where the quoted price includes the dealer spread. The model now shows procurement as a COST instead, because a cost the client can see is the point of the cost build, and because charging the customer for it is better presented as UPSIDE than baked into the base case. Switching back to Customer restores the 2026-08-21 treatment exactly: grams fall 1.50%, the COGS line goes to zero, and gross profit rises by the same amount. THE TWO SETTINGS ARE MUTUALLY EXCLUSIVE BY CONSTRUCTION, which is what stops the double-count fixed at 29f98e0 returning.</t>
        </is>
      </c>
    </row>
    <row r="133">
      <c r="A133" t="inlineStr">
        <is>
          <t>Premium charged on gross inflow</t>
        </is>
      </c>
      <c r="B133" s="31">
        <f>IF($C$133="Gross",1,0)</f>
        <v/>
      </c>
      <c r="C133" s="40" t="inlineStr">
        <is>
          <t>Net new</t>
        </is>
      </c>
      <c r="D133" s="23" t="inlineStr">
        <is>
          <t>Gross</t>
        </is>
      </c>
      <c r="G133" s="9" t="inlineStr">
        <is>
          <t>D30: the premium is paid on NET NEW grams. Gold returned by redemption is already a fabricated bar sitting in the float, and a bar that exists does not need making twice. Switching to Gross charges every gram, which is correct ONLY if redeemed metal is sold back to the dealer rather than recycled. GATED ON CORRECTION 30, WHICH IS UNDESIGNED - nobody has written down which way redeemed gold goes. Worth USD 165,755 of retained margin over the horizon, so the undesigned question has a price.</t>
        </is>
      </c>
    </row>
  </sheetData>
  <dataValidations count="5">
    <dataValidation sqref="B6" showDropDown="0" showInputMessage="0" showErrorMessage="0" allowBlank="0" type="list">
      <formula1>"Base,Aggressive,Conservative"</formula1>
    </dataValidation>
    <dataValidation sqref="C130" showDropDown="0" showInputMessage="0" showErrorMessage="0" allowBlank="0" type="list">
      <formula1>"Credit,Prepaid"</formula1>
    </dataValidation>
    <dataValidation sqref="C131" showDropDown="0" showInputMessage="0" showErrorMessage="0" allowBlank="0" type="list">
      <formula1>"ON,OFF"</formula1>
    </dataValidation>
    <dataValidation sqref="C132" showDropDown="0" showInputMessage="0" showErrorMessage="0" allowBlank="0" type="list">
      <formula1>"Customer,Aurumix"</formula1>
    </dataValidation>
    <dataValidation sqref="C133" showDropDown="0" showInputMessage="0" showErrorMessage="0" allowBlank="0" type="list">
      <formula1>"Net new,Gross"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343"/>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8" t="inlineStr">
        <is>
          <t>M1</t>
        </is>
      </c>
      <c r="D3" s="48" t="inlineStr">
        <is>
          <t>M2</t>
        </is>
      </c>
      <c r="E3" s="48" t="inlineStr">
        <is>
          <t>M3</t>
        </is>
      </c>
      <c r="F3" s="48" t="inlineStr">
        <is>
          <t>M4</t>
        </is>
      </c>
      <c r="G3" s="48" t="inlineStr">
        <is>
          <t>M5</t>
        </is>
      </c>
      <c r="H3" s="48" t="inlineStr">
        <is>
          <t>M6</t>
        </is>
      </c>
      <c r="I3" s="48" t="inlineStr">
        <is>
          <t>M7</t>
        </is>
      </c>
      <c r="J3" s="48" t="inlineStr">
        <is>
          <t>M8</t>
        </is>
      </c>
      <c r="K3" s="48" t="inlineStr">
        <is>
          <t>M9</t>
        </is>
      </c>
      <c r="L3" s="48" t="inlineStr">
        <is>
          <t>M10</t>
        </is>
      </c>
      <c r="M3" s="48" t="inlineStr">
        <is>
          <t>M11</t>
        </is>
      </c>
      <c r="N3" s="48" t="inlineStr">
        <is>
          <t>M12</t>
        </is>
      </c>
      <c r="O3" s="48" t="inlineStr">
        <is>
          <t>M13</t>
        </is>
      </c>
      <c r="P3" s="48" t="inlineStr">
        <is>
          <t>M14</t>
        </is>
      </c>
      <c r="Q3" s="48" t="inlineStr">
        <is>
          <t>M15</t>
        </is>
      </c>
      <c r="R3" s="48" t="inlineStr">
        <is>
          <t>M16</t>
        </is>
      </c>
      <c r="S3" s="48" t="inlineStr">
        <is>
          <t>M17</t>
        </is>
      </c>
      <c r="T3" s="48" t="inlineStr">
        <is>
          <t>M18</t>
        </is>
      </c>
      <c r="U3" s="48" t="inlineStr">
        <is>
          <t>M19</t>
        </is>
      </c>
      <c r="V3" s="48" t="inlineStr">
        <is>
          <t>M20</t>
        </is>
      </c>
      <c r="W3" s="48" t="inlineStr">
        <is>
          <t>M21</t>
        </is>
      </c>
      <c r="X3" s="48" t="inlineStr">
        <is>
          <t>M22</t>
        </is>
      </c>
      <c r="Y3" s="48" t="inlineStr">
        <is>
          <t>M23</t>
        </is>
      </c>
      <c r="Z3" s="48" t="inlineStr">
        <is>
          <t>M24</t>
        </is>
      </c>
      <c r="AA3" s="48" t="inlineStr">
        <is>
          <t>Y3</t>
        </is>
      </c>
      <c r="AB3" s="48" t="inlineStr">
        <is>
          <t>Y4</t>
        </is>
      </c>
      <c r="AC3" s="48" t="inlineStr">
        <is>
          <t>Y5</t>
        </is>
      </c>
      <c r="AD3" s="48" t="inlineStr">
        <is>
          <t>Y6</t>
        </is>
      </c>
      <c r="AE3" s="48" t="inlineStr">
        <is>
          <t>Y7</t>
        </is>
      </c>
    </row>
    <row r="4">
      <c r="A4" s="6" t="inlineStr">
        <is>
          <t>Period type</t>
        </is>
      </c>
      <c r="B4" s="23" t="inlineStr">
        <is>
          <t>-</t>
        </is>
      </c>
      <c r="C4" s="49" t="inlineStr">
        <is>
          <t>Monthly</t>
        </is>
      </c>
      <c r="D4" s="49" t="inlineStr">
        <is>
          <t>Monthly</t>
        </is>
      </c>
      <c r="E4" s="49" t="inlineStr">
        <is>
          <t>Monthly</t>
        </is>
      </c>
      <c r="F4" s="49" t="inlineStr">
        <is>
          <t>Monthly</t>
        </is>
      </c>
      <c r="G4" s="49" t="inlineStr">
        <is>
          <t>Monthly</t>
        </is>
      </c>
      <c r="H4" s="49" t="inlineStr">
        <is>
          <t>Monthly</t>
        </is>
      </c>
      <c r="I4" s="49" t="inlineStr">
        <is>
          <t>Monthly</t>
        </is>
      </c>
      <c r="J4" s="49" t="inlineStr">
        <is>
          <t>Monthly</t>
        </is>
      </c>
      <c r="K4" s="49" t="inlineStr">
        <is>
          <t>Monthly</t>
        </is>
      </c>
      <c r="L4" s="49" t="inlineStr">
        <is>
          <t>Monthly</t>
        </is>
      </c>
      <c r="M4" s="49" t="inlineStr">
        <is>
          <t>Monthly</t>
        </is>
      </c>
      <c r="N4" s="49" t="inlineStr">
        <is>
          <t>Monthly</t>
        </is>
      </c>
      <c r="O4" s="49" t="inlineStr">
        <is>
          <t>Monthly</t>
        </is>
      </c>
      <c r="P4" s="49" t="inlineStr">
        <is>
          <t>Monthly</t>
        </is>
      </c>
      <c r="Q4" s="49" t="inlineStr">
        <is>
          <t>Monthly</t>
        </is>
      </c>
      <c r="R4" s="49" t="inlineStr">
        <is>
          <t>Monthly</t>
        </is>
      </c>
      <c r="S4" s="49" t="inlineStr">
        <is>
          <t>Monthly</t>
        </is>
      </c>
      <c r="T4" s="49" t="inlineStr">
        <is>
          <t>Monthly</t>
        </is>
      </c>
      <c r="U4" s="49" t="inlineStr">
        <is>
          <t>Monthly</t>
        </is>
      </c>
      <c r="V4" s="49" t="inlineStr">
        <is>
          <t>Monthly</t>
        </is>
      </c>
      <c r="W4" s="49" t="inlineStr">
        <is>
          <t>Monthly</t>
        </is>
      </c>
      <c r="X4" s="49" t="inlineStr">
        <is>
          <t>Monthly</t>
        </is>
      </c>
      <c r="Y4" s="49" t="inlineStr">
        <is>
          <t>Monthly</t>
        </is>
      </c>
      <c r="Z4" s="49" t="inlineStr">
        <is>
          <t>Monthly</t>
        </is>
      </c>
      <c r="AA4" s="49" t="inlineStr">
        <is>
          <t>Annual</t>
        </is>
      </c>
      <c r="AB4" s="49" t="inlineStr">
        <is>
          <t>Annual</t>
        </is>
      </c>
      <c r="AC4" s="49" t="inlineStr">
        <is>
          <t>Annual</t>
        </is>
      </c>
      <c r="AD4" s="49" t="inlineStr">
        <is>
          <t>Annual</t>
        </is>
      </c>
      <c r="AE4" s="49" t="inlineStr">
        <is>
          <t>Annual</t>
        </is>
      </c>
    </row>
    <row r="5">
      <c r="A5" s="6" t="inlineStr">
        <is>
          <t>Model year</t>
        </is>
      </c>
      <c r="B5" s="23" t="inlineStr">
        <is>
          <t>1..7</t>
        </is>
      </c>
      <c r="C5" s="50" t="n">
        <v>1</v>
      </c>
      <c r="D5" s="50" t="n">
        <v>1</v>
      </c>
      <c r="E5" s="50" t="n">
        <v>1</v>
      </c>
      <c r="F5" s="50" t="n">
        <v>1</v>
      </c>
      <c r="G5" s="50" t="n">
        <v>1</v>
      </c>
      <c r="H5" s="50" t="n">
        <v>1</v>
      </c>
      <c r="I5" s="50" t="n">
        <v>1</v>
      </c>
      <c r="J5" s="50" t="n">
        <v>1</v>
      </c>
      <c r="K5" s="50" t="n">
        <v>1</v>
      </c>
      <c r="L5" s="50" t="n">
        <v>1</v>
      </c>
      <c r="M5" s="50" t="n">
        <v>1</v>
      </c>
      <c r="N5" s="50" t="n">
        <v>1</v>
      </c>
      <c r="O5" s="50" t="n">
        <v>2</v>
      </c>
      <c r="P5" s="50" t="n">
        <v>2</v>
      </c>
      <c r="Q5" s="50" t="n">
        <v>2</v>
      </c>
      <c r="R5" s="50" t="n">
        <v>2</v>
      </c>
      <c r="S5" s="50" t="n">
        <v>2</v>
      </c>
      <c r="T5" s="50" t="n">
        <v>2</v>
      </c>
      <c r="U5" s="50" t="n">
        <v>2</v>
      </c>
      <c r="V5" s="50" t="n">
        <v>2</v>
      </c>
      <c r="W5" s="50" t="n">
        <v>2</v>
      </c>
      <c r="X5" s="50" t="n">
        <v>2</v>
      </c>
      <c r="Y5" s="50" t="n">
        <v>2</v>
      </c>
      <c r="Z5" s="50" t="n">
        <v>2</v>
      </c>
      <c r="AA5" s="50" t="n">
        <v>3</v>
      </c>
      <c r="AB5" s="50" t="n">
        <v>4</v>
      </c>
      <c r="AC5" s="50" t="n">
        <v>5</v>
      </c>
      <c r="AD5" s="50" t="n">
        <v>6</v>
      </c>
      <c r="AE5" s="50" t="n">
        <v>7</v>
      </c>
    </row>
    <row r="6">
      <c r="A6" s="6" t="inlineStr">
        <is>
          <t>Calendar month</t>
        </is>
      </c>
      <c r="B6" s="23" t="inlineStr">
        <is>
          <t>0 = annual</t>
        </is>
      </c>
      <c r="C6" s="50" t="n">
        <v>1</v>
      </c>
      <c r="D6" s="50" t="n">
        <v>2</v>
      </c>
      <c r="E6" s="50" t="n">
        <v>3</v>
      </c>
      <c r="F6" s="50" t="n">
        <v>4</v>
      </c>
      <c r="G6" s="50" t="n">
        <v>5</v>
      </c>
      <c r="H6" s="50" t="n">
        <v>6</v>
      </c>
      <c r="I6" s="50" t="n">
        <v>7</v>
      </c>
      <c r="J6" s="50" t="n">
        <v>8</v>
      </c>
      <c r="K6" s="50" t="n">
        <v>9</v>
      </c>
      <c r="L6" s="50" t="n">
        <v>10</v>
      </c>
      <c r="M6" s="50" t="n">
        <v>11</v>
      </c>
      <c r="N6" s="50" t="n">
        <v>12</v>
      </c>
      <c r="O6" s="50" t="n">
        <v>1</v>
      </c>
      <c r="P6" s="50" t="n">
        <v>2</v>
      </c>
      <c r="Q6" s="50" t="n">
        <v>3</v>
      </c>
      <c r="R6" s="50" t="n">
        <v>4</v>
      </c>
      <c r="S6" s="50" t="n">
        <v>5</v>
      </c>
      <c r="T6" s="50" t="n">
        <v>6</v>
      </c>
      <c r="U6" s="50" t="n">
        <v>7</v>
      </c>
      <c r="V6" s="50" t="n">
        <v>8</v>
      </c>
      <c r="W6" s="50" t="n">
        <v>9</v>
      </c>
      <c r="X6" s="50" t="n">
        <v>10</v>
      </c>
      <c r="Y6" s="50" t="n">
        <v>11</v>
      </c>
      <c r="Z6" s="50" t="n">
        <v>12</v>
      </c>
      <c r="AA6" s="50" t="n">
        <v>0</v>
      </c>
      <c r="AB6" s="50" t="n">
        <v>0</v>
      </c>
      <c r="AC6" s="50" t="n">
        <v>0</v>
      </c>
      <c r="AD6" s="50" t="n">
        <v>0</v>
      </c>
      <c r="AE6" s="50" t="n">
        <v>0</v>
      </c>
    </row>
    <row r="7">
      <c r="A7" s="6" t="inlineStr">
        <is>
          <t>Months in period</t>
        </is>
      </c>
      <c r="B7" s="23" t="inlineStr">
        <is>
          <t>months</t>
        </is>
      </c>
      <c r="C7" s="50" t="n">
        <v>1</v>
      </c>
      <c r="D7" s="50" t="n">
        <v>1</v>
      </c>
      <c r="E7" s="50" t="n">
        <v>1</v>
      </c>
      <c r="F7" s="50" t="n">
        <v>1</v>
      </c>
      <c r="G7" s="50" t="n">
        <v>1</v>
      </c>
      <c r="H7" s="50" t="n">
        <v>1</v>
      </c>
      <c r="I7" s="50" t="n">
        <v>1</v>
      </c>
      <c r="J7" s="50" t="n">
        <v>1</v>
      </c>
      <c r="K7" s="50" t="n">
        <v>1</v>
      </c>
      <c r="L7" s="50" t="n">
        <v>1</v>
      </c>
      <c r="M7" s="50" t="n">
        <v>1</v>
      </c>
      <c r="N7" s="50" t="n">
        <v>1</v>
      </c>
      <c r="O7" s="50" t="n">
        <v>1</v>
      </c>
      <c r="P7" s="50" t="n">
        <v>1</v>
      </c>
      <c r="Q7" s="50" t="n">
        <v>1</v>
      </c>
      <c r="R7" s="50" t="n">
        <v>1</v>
      </c>
      <c r="S7" s="50" t="n">
        <v>1</v>
      </c>
      <c r="T7" s="50" t="n">
        <v>1</v>
      </c>
      <c r="U7" s="50" t="n">
        <v>1</v>
      </c>
      <c r="V7" s="50" t="n">
        <v>1</v>
      </c>
      <c r="W7" s="50" t="n">
        <v>1</v>
      </c>
      <c r="X7" s="50" t="n">
        <v>1</v>
      </c>
      <c r="Y7" s="50" t="n">
        <v>1</v>
      </c>
      <c r="Z7" s="50" t="n">
        <v>1</v>
      </c>
      <c r="AA7" s="50" t="n">
        <v>12</v>
      </c>
      <c r="AB7" s="50" t="n">
        <v>12</v>
      </c>
      <c r="AC7" s="50" t="n">
        <v>12</v>
      </c>
      <c r="AD7" s="50" t="n">
        <v>12</v>
      </c>
      <c r="AE7" s="50" t="n">
        <v>12</v>
      </c>
    </row>
    <row r="8">
      <c r="A8" s="6" t="inlineStr">
        <is>
          <t>Financial-year end</t>
        </is>
      </c>
      <c r="B8" s="23" t="inlineStr">
        <is>
          <t>1/0</t>
        </is>
      </c>
      <c r="C8" s="50" t="n">
        <v>0</v>
      </c>
      <c r="D8" s="50" t="n">
        <v>0</v>
      </c>
      <c r="E8" s="50" t="n">
        <v>0</v>
      </c>
      <c r="F8" s="50" t="n">
        <v>0</v>
      </c>
      <c r="G8" s="50" t="n">
        <v>0</v>
      </c>
      <c r="H8" s="50" t="n">
        <v>0</v>
      </c>
      <c r="I8" s="50" t="n">
        <v>0</v>
      </c>
      <c r="J8" s="50" t="n">
        <v>0</v>
      </c>
      <c r="K8" s="50" t="n">
        <v>0</v>
      </c>
      <c r="L8" s="50" t="n">
        <v>0</v>
      </c>
      <c r="M8" s="50" t="n">
        <v>0</v>
      </c>
      <c r="N8" s="50" t="n">
        <v>1</v>
      </c>
      <c r="O8" s="50" t="n">
        <v>0</v>
      </c>
      <c r="P8" s="50" t="n">
        <v>0</v>
      </c>
      <c r="Q8" s="50" t="n">
        <v>0</v>
      </c>
      <c r="R8" s="50" t="n">
        <v>0</v>
      </c>
      <c r="S8" s="50" t="n">
        <v>0</v>
      </c>
      <c r="T8" s="50" t="n">
        <v>0</v>
      </c>
      <c r="U8" s="50" t="n">
        <v>0</v>
      </c>
      <c r="V8" s="50" t="n">
        <v>0</v>
      </c>
      <c r="W8" s="50" t="n">
        <v>0</v>
      </c>
      <c r="X8" s="50" t="n">
        <v>0</v>
      </c>
      <c r="Y8" s="50" t="n">
        <v>0</v>
      </c>
      <c r="Z8" s="50" t="n">
        <v>1</v>
      </c>
      <c r="AA8" s="50" t="n">
        <v>1</v>
      </c>
      <c r="AB8" s="50" t="n">
        <v>1</v>
      </c>
      <c r="AC8" s="50" t="n">
        <v>1</v>
      </c>
      <c r="AD8" s="50" t="n">
        <v>1</v>
      </c>
      <c r="AE8" s="50" t="n">
        <v>1</v>
      </c>
    </row>
    <row r="10">
      <c r="A10" s="51" t="inlineStr">
        <is>
          <t>SEASONALITY - normalised to EXACTLY 12.000 by construction</t>
        </is>
      </c>
      <c r="B10" s="52" t="n"/>
      <c r="C10" s="52" t="n"/>
      <c r="D10" s="52" t="n"/>
      <c r="E10" s="52" t="n"/>
      <c r="F10" s="52" t="n"/>
      <c r="G10" s="52" t="n"/>
      <c r="H10" s="52" t="n"/>
      <c r="I10" s="52" t="n"/>
      <c r="J10" s="52" t="n"/>
      <c r="K10" s="52" t="n"/>
      <c r="L10" s="52" t="n"/>
      <c r="M10" s="52" t="n"/>
      <c r="N10" s="52" t="n"/>
      <c r="O10" s="52" t="n"/>
      <c r="P10" s="52" t="n"/>
      <c r="Q10" s="52" t="n"/>
      <c r="R10" s="52" t="n"/>
      <c r="S10" s="52" t="n"/>
      <c r="T10" s="52" t="n"/>
      <c r="U10" s="52" t="n"/>
      <c r="V10" s="52" t="n"/>
      <c r="W10" s="52" t="n"/>
      <c r="X10" s="52" t="n"/>
      <c r="Y10" s="52" t="n"/>
      <c r="Z10" s="52" t="n"/>
      <c r="AA10" s="52" t="n"/>
      <c r="AB10" s="52" t="n"/>
      <c r="AC10" s="52" t="n"/>
      <c r="AD10" s="52" t="n"/>
      <c r="AE10" s="52" t="n"/>
    </row>
    <row r="11">
      <c r="A11" t="inlineStr">
        <is>
          <t>Acquisition seasonality - normalised</t>
        </is>
      </c>
      <c r="B11" s="23" t="inlineStr">
        <is>
          <t>Jan..Dec</t>
        </is>
      </c>
      <c r="C11" s="53">
        <f>(1+(Assumptions!$F$61-1)*Assumptions!$B$148)*12/SUMPRODUCT(1+(Assumptions!$F$61:$Q$61-1)*Assumptions!$B$148)</f>
        <v/>
      </c>
      <c r="D11" s="53">
        <f>(1+(Assumptions!$G$61-1)*Assumptions!$B$148)*12/SUMPRODUCT(1+(Assumptions!$F$61:$Q$61-1)*Assumptions!$B$148)</f>
        <v/>
      </c>
      <c r="E11" s="53">
        <f>(1+(Assumptions!$H$61-1)*Assumptions!$B$148)*12/SUMPRODUCT(1+(Assumptions!$F$61:$Q$61-1)*Assumptions!$B$148)</f>
        <v/>
      </c>
      <c r="F11" s="53">
        <f>(1+(Assumptions!$I$61-1)*Assumptions!$B$148)*12/SUMPRODUCT(1+(Assumptions!$F$61:$Q$61-1)*Assumptions!$B$148)</f>
        <v/>
      </c>
      <c r="G11" s="53">
        <f>(1+(Assumptions!$J$61-1)*Assumptions!$B$148)*12/SUMPRODUCT(1+(Assumptions!$F$61:$Q$61-1)*Assumptions!$B$148)</f>
        <v/>
      </c>
      <c r="H11" s="53">
        <f>(1+(Assumptions!$K$61-1)*Assumptions!$B$148)*12/SUMPRODUCT(1+(Assumptions!$F$61:$Q$61-1)*Assumptions!$B$148)</f>
        <v/>
      </c>
      <c r="I11" s="53">
        <f>(1+(Assumptions!$L$61-1)*Assumptions!$B$148)*12/SUMPRODUCT(1+(Assumptions!$F$61:$Q$61-1)*Assumptions!$B$148)</f>
        <v/>
      </c>
      <c r="J11" s="53">
        <f>(1+(Assumptions!$M$61-1)*Assumptions!$B$148)*12/SUMPRODUCT(1+(Assumptions!$F$61:$Q$61-1)*Assumptions!$B$148)</f>
        <v/>
      </c>
      <c r="K11" s="53">
        <f>(1+(Assumptions!$N$61-1)*Assumptions!$B$148)*12/SUMPRODUCT(1+(Assumptions!$F$61:$Q$61-1)*Assumptions!$B$148)</f>
        <v/>
      </c>
      <c r="L11" s="53">
        <f>(1+(Assumptions!$O$61-1)*Assumptions!$B$148)*12/SUMPRODUCT(1+(Assumptions!$F$61:$Q$61-1)*Assumptions!$B$148)</f>
        <v/>
      </c>
      <c r="M11" s="53">
        <f>(1+(Assumptions!$P$61-1)*Assumptions!$B$148)*12/SUMPRODUCT(1+(Assumptions!$F$61:$Q$61-1)*Assumptions!$B$148)</f>
        <v/>
      </c>
      <c r="N11" s="53">
        <f>(1+(Assumptions!$Q$61-1)*Assumptions!$B$148)*12/SUMPRODUCT(1+(Assumptions!$F$61:$Q$61-1)*Assumptions!$B$148)</f>
        <v/>
      </c>
    </row>
    <row r="12">
      <c r="A12" t="inlineStr">
        <is>
          <t>Card spend seasonality - normalised</t>
        </is>
      </c>
      <c r="B12" s="23" t="inlineStr">
        <is>
          <t>Jan..Dec</t>
        </is>
      </c>
      <c r="C12" s="53">
        <f>(1+(Assumptions!$F$62-1)*Assumptions!$B$148)*12/SUMPRODUCT(1+(Assumptions!$F$62:$Q$62-1)*Assumptions!$B$148)</f>
        <v/>
      </c>
      <c r="D12" s="53">
        <f>(1+(Assumptions!$G$62-1)*Assumptions!$B$148)*12/SUMPRODUCT(1+(Assumptions!$F$62:$Q$62-1)*Assumptions!$B$148)</f>
        <v/>
      </c>
      <c r="E12" s="53">
        <f>(1+(Assumptions!$H$62-1)*Assumptions!$B$148)*12/SUMPRODUCT(1+(Assumptions!$F$62:$Q$62-1)*Assumptions!$B$148)</f>
        <v/>
      </c>
      <c r="F12" s="53">
        <f>(1+(Assumptions!$I$62-1)*Assumptions!$B$148)*12/SUMPRODUCT(1+(Assumptions!$F$62:$Q$62-1)*Assumptions!$B$148)</f>
        <v/>
      </c>
      <c r="G12" s="53">
        <f>(1+(Assumptions!$J$62-1)*Assumptions!$B$148)*12/SUMPRODUCT(1+(Assumptions!$F$62:$Q$62-1)*Assumptions!$B$148)</f>
        <v/>
      </c>
      <c r="H12" s="53">
        <f>(1+(Assumptions!$K$62-1)*Assumptions!$B$148)*12/SUMPRODUCT(1+(Assumptions!$F$62:$Q$62-1)*Assumptions!$B$148)</f>
        <v/>
      </c>
      <c r="I12" s="53">
        <f>(1+(Assumptions!$L$62-1)*Assumptions!$B$148)*12/SUMPRODUCT(1+(Assumptions!$F$62:$Q$62-1)*Assumptions!$B$148)</f>
        <v/>
      </c>
      <c r="J12" s="53">
        <f>(1+(Assumptions!$M$62-1)*Assumptions!$B$148)*12/SUMPRODUCT(1+(Assumptions!$F$62:$Q$62-1)*Assumptions!$B$148)</f>
        <v/>
      </c>
      <c r="K12" s="53">
        <f>(1+(Assumptions!$N$62-1)*Assumptions!$B$148)*12/SUMPRODUCT(1+(Assumptions!$F$62:$Q$62-1)*Assumptions!$B$148)</f>
        <v/>
      </c>
      <c r="L12" s="53">
        <f>(1+(Assumptions!$O$62-1)*Assumptions!$B$148)*12/SUMPRODUCT(1+(Assumptions!$F$62:$Q$62-1)*Assumptions!$B$148)</f>
        <v/>
      </c>
      <c r="M12" s="53">
        <f>(1+(Assumptions!$P$62-1)*Assumptions!$B$148)*12/SUMPRODUCT(1+(Assumptions!$F$62:$Q$62-1)*Assumptions!$B$148)</f>
        <v/>
      </c>
      <c r="N12" s="53">
        <f>(1+(Assumptions!$Q$62-1)*Assumptions!$B$148)*12/SUMPRODUCT(1+(Assumptions!$F$62:$Q$62-1)*Assumptions!$B$148)</f>
        <v/>
      </c>
    </row>
    <row r="13">
      <c r="A13" t="inlineStr">
        <is>
          <t>Foreign-spend share - rescaled to the mean</t>
        </is>
      </c>
      <c r="B13" s="23" t="inlineStr">
        <is>
          <t>Jan..Dec</t>
        </is>
      </c>
      <c r="C13" s="54">
        <f>Assumptions!$F$63/AVERAGE(Assumptions!$F$63:$Q$63)*Assumptions!$B$160</f>
        <v/>
      </c>
      <c r="D13" s="54">
        <f>Assumptions!$G$63/AVERAGE(Assumptions!$F$63:$Q$63)*Assumptions!$B$160</f>
        <v/>
      </c>
      <c r="E13" s="54">
        <f>Assumptions!$H$63/AVERAGE(Assumptions!$F$63:$Q$63)*Assumptions!$B$160</f>
        <v/>
      </c>
      <c r="F13" s="54">
        <f>Assumptions!$I$63/AVERAGE(Assumptions!$F$63:$Q$63)*Assumptions!$B$160</f>
        <v/>
      </c>
      <c r="G13" s="54">
        <f>Assumptions!$J$63/AVERAGE(Assumptions!$F$63:$Q$63)*Assumptions!$B$160</f>
        <v/>
      </c>
      <c r="H13" s="54">
        <f>Assumptions!$K$63/AVERAGE(Assumptions!$F$63:$Q$63)*Assumptions!$B$160</f>
        <v/>
      </c>
      <c r="I13" s="54">
        <f>Assumptions!$L$63/AVERAGE(Assumptions!$F$63:$Q$63)*Assumptions!$B$160</f>
        <v/>
      </c>
      <c r="J13" s="54">
        <f>Assumptions!$M$63/AVERAGE(Assumptions!$F$63:$Q$63)*Assumptions!$B$160</f>
        <v/>
      </c>
      <c r="K13" s="54">
        <f>Assumptions!$N$63/AVERAGE(Assumptions!$F$63:$Q$63)*Assumptions!$B$160</f>
        <v/>
      </c>
      <c r="L13" s="54">
        <f>Assumptions!$O$63/AVERAGE(Assumptions!$F$63:$Q$63)*Assumptions!$B$160</f>
        <v/>
      </c>
      <c r="M13" s="54">
        <f>Assumptions!$P$63/AVERAGE(Assumptions!$F$63:$Q$63)*Assumptions!$B$160</f>
        <v/>
      </c>
      <c r="N13" s="54">
        <f>Assumptions!$Q$63/AVERAGE(Assumptions!$F$63:$Q$63)*Assumptions!$B$160</f>
        <v/>
      </c>
    </row>
    <row r="14">
      <c r="A14" s="3" t="inlineStr">
        <is>
          <t>Seasonality sum check (must be exactly 12.000)</t>
        </is>
      </c>
      <c r="B14" s="23" t="inlineStr">
        <is>
          <t>acq | spend</t>
        </is>
      </c>
      <c r="C14" s="55">
        <f>SUM($C$11:$N$11)</f>
        <v/>
      </c>
      <c r="D14" s="55">
        <f>SUM($C$12:$N$12)</f>
        <v/>
      </c>
    </row>
    <row r="15">
      <c r="A15" s="6" t="inlineStr">
        <is>
          <t>Acquisition seasonality applied</t>
        </is>
      </c>
      <c r="B15" s="23" t="inlineStr">
        <is>
          <t>multiplier</t>
        </is>
      </c>
      <c r="C15" s="56">
        <f>IF(C7=1,INDEX($C$11:$N$11,1,C6),1)</f>
        <v/>
      </c>
      <c r="D15" s="56">
        <f>IF(D7=1,INDEX($C$11:$N$11,1,D6),1)</f>
        <v/>
      </c>
      <c r="E15" s="56">
        <f>IF(E7=1,INDEX($C$11:$N$11,1,E6),1)</f>
        <v/>
      </c>
      <c r="F15" s="56">
        <f>IF(F7=1,INDEX($C$11:$N$11,1,F6),1)</f>
        <v/>
      </c>
      <c r="G15" s="56">
        <f>IF(G7=1,INDEX($C$11:$N$11,1,G6),1)</f>
        <v/>
      </c>
      <c r="H15" s="56">
        <f>IF(H7=1,INDEX($C$11:$N$11,1,H6),1)</f>
        <v/>
      </c>
      <c r="I15" s="56">
        <f>IF(I7=1,INDEX($C$11:$N$11,1,I6),1)</f>
        <v/>
      </c>
      <c r="J15" s="56">
        <f>IF(J7=1,INDEX($C$11:$N$11,1,J6),1)</f>
        <v/>
      </c>
      <c r="K15" s="56">
        <f>IF(K7=1,INDEX($C$11:$N$11,1,K6),1)</f>
        <v/>
      </c>
      <c r="L15" s="56">
        <f>IF(L7=1,INDEX($C$11:$N$11,1,L6),1)</f>
        <v/>
      </c>
      <c r="M15" s="56">
        <f>IF(M7=1,INDEX($C$11:$N$11,1,M6),1)</f>
        <v/>
      </c>
      <c r="N15" s="56">
        <f>IF(N7=1,INDEX($C$11:$N$11,1,N6),1)</f>
        <v/>
      </c>
      <c r="O15" s="56">
        <f>IF(O7=1,INDEX($C$11:$N$11,1,O6),1)</f>
        <v/>
      </c>
      <c r="P15" s="56">
        <f>IF(P7=1,INDEX($C$11:$N$11,1,P6),1)</f>
        <v/>
      </c>
      <c r="Q15" s="56">
        <f>IF(Q7=1,INDEX($C$11:$N$11,1,Q6),1)</f>
        <v/>
      </c>
      <c r="R15" s="56">
        <f>IF(R7=1,INDEX($C$11:$N$11,1,R6),1)</f>
        <v/>
      </c>
      <c r="S15" s="56">
        <f>IF(S7=1,INDEX($C$11:$N$11,1,S6),1)</f>
        <v/>
      </c>
      <c r="T15" s="56">
        <f>IF(T7=1,INDEX($C$11:$N$11,1,T6),1)</f>
        <v/>
      </c>
      <c r="U15" s="56">
        <f>IF(U7=1,INDEX($C$11:$N$11,1,U6),1)</f>
        <v/>
      </c>
      <c r="V15" s="56">
        <f>IF(V7=1,INDEX($C$11:$N$11,1,V6),1)</f>
        <v/>
      </c>
      <c r="W15" s="56">
        <f>IF(W7=1,INDEX($C$11:$N$11,1,W6),1)</f>
        <v/>
      </c>
      <c r="X15" s="56">
        <f>IF(X7=1,INDEX($C$11:$N$11,1,X6),1)</f>
        <v/>
      </c>
      <c r="Y15" s="56">
        <f>IF(Y7=1,INDEX($C$11:$N$11,1,Y6),1)</f>
        <v/>
      </c>
      <c r="Z15" s="56">
        <f>IF(Z7=1,INDEX($C$11:$N$11,1,Z6),1)</f>
        <v/>
      </c>
      <c r="AA15" s="56">
        <f>IF(AA7=1,INDEX($C$11:$N$11,1,AA6),1)</f>
        <v/>
      </c>
      <c r="AB15" s="56">
        <f>IF(AB7=1,INDEX($C$11:$N$11,1,AB6),1)</f>
        <v/>
      </c>
      <c r="AC15" s="56">
        <f>IF(AC7=1,INDEX($C$11:$N$11,1,AC6),1)</f>
        <v/>
      </c>
      <c r="AD15" s="56">
        <f>IF(AD7=1,INDEX($C$11:$N$11,1,AD6),1)</f>
        <v/>
      </c>
      <c r="AE15" s="56">
        <f>IF(AE7=1,INDEX($C$11:$N$11,1,AE6),1)</f>
        <v/>
      </c>
    </row>
    <row r="16">
      <c r="A16" s="6" t="inlineStr">
        <is>
          <t>Card spend seasonality applied</t>
        </is>
      </c>
      <c r="B16" s="23" t="inlineStr">
        <is>
          <t>multiplier</t>
        </is>
      </c>
      <c r="C16" s="56">
        <f>IF(C7=1,INDEX($C$12:$N$12,1,C6),1)</f>
        <v/>
      </c>
      <c r="D16" s="56">
        <f>IF(D7=1,INDEX($C$12:$N$12,1,D6),1)</f>
        <v/>
      </c>
      <c r="E16" s="56">
        <f>IF(E7=1,INDEX($C$12:$N$12,1,E6),1)</f>
        <v/>
      </c>
      <c r="F16" s="56">
        <f>IF(F7=1,INDEX($C$12:$N$12,1,F6),1)</f>
        <v/>
      </c>
      <c r="G16" s="56">
        <f>IF(G7=1,INDEX($C$12:$N$12,1,G6),1)</f>
        <v/>
      </c>
      <c r="H16" s="56">
        <f>IF(H7=1,INDEX($C$12:$N$12,1,H6),1)</f>
        <v/>
      </c>
      <c r="I16" s="56">
        <f>IF(I7=1,INDEX($C$12:$N$12,1,I6),1)</f>
        <v/>
      </c>
      <c r="J16" s="56">
        <f>IF(J7=1,INDEX($C$12:$N$12,1,J6),1)</f>
        <v/>
      </c>
      <c r="K16" s="56">
        <f>IF(K7=1,INDEX($C$12:$N$12,1,K6),1)</f>
        <v/>
      </c>
      <c r="L16" s="56">
        <f>IF(L7=1,INDEX($C$12:$N$12,1,L6),1)</f>
        <v/>
      </c>
      <c r="M16" s="56">
        <f>IF(M7=1,INDEX($C$12:$N$12,1,M6),1)</f>
        <v/>
      </c>
      <c r="N16" s="56">
        <f>IF(N7=1,INDEX($C$12:$N$12,1,N6),1)</f>
        <v/>
      </c>
      <c r="O16" s="56">
        <f>IF(O7=1,INDEX($C$12:$N$12,1,O6),1)</f>
        <v/>
      </c>
      <c r="P16" s="56">
        <f>IF(P7=1,INDEX($C$12:$N$12,1,P6),1)</f>
        <v/>
      </c>
      <c r="Q16" s="56">
        <f>IF(Q7=1,INDEX($C$12:$N$12,1,Q6),1)</f>
        <v/>
      </c>
      <c r="R16" s="56">
        <f>IF(R7=1,INDEX($C$12:$N$12,1,R6),1)</f>
        <v/>
      </c>
      <c r="S16" s="56">
        <f>IF(S7=1,INDEX($C$12:$N$12,1,S6),1)</f>
        <v/>
      </c>
      <c r="T16" s="56">
        <f>IF(T7=1,INDEX($C$12:$N$12,1,T6),1)</f>
        <v/>
      </c>
      <c r="U16" s="56">
        <f>IF(U7=1,INDEX($C$12:$N$12,1,U6),1)</f>
        <v/>
      </c>
      <c r="V16" s="56">
        <f>IF(V7=1,INDEX($C$12:$N$12,1,V6),1)</f>
        <v/>
      </c>
      <c r="W16" s="56">
        <f>IF(W7=1,INDEX($C$12:$N$12,1,W6),1)</f>
        <v/>
      </c>
      <c r="X16" s="56">
        <f>IF(X7=1,INDEX($C$12:$N$12,1,X6),1)</f>
        <v/>
      </c>
      <c r="Y16" s="56">
        <f>IF(Y7=1,INDEX($C$12:$N$12,1,Y6),1)</f>
        <v/>
      </c>
      <c r="Z16" s="56">
        <f>IF(Z7=1,INDEX($C$12:$N$12,1,Z6),1)</f>
        <v/>
      </c>
      <c r="AA16" s="56">
        <f>IF(AA7=1,INDEX($C$12:$N$12,1,AA6),1)</f>
        <v/>
      </c>
      <c r="AB16" s="56">
        <f>IF(AB7=1,INDEX($C$12:$N$12,1,AB6),1)</f>
        <v/>
      </c>
      <c r="AC16" s="56">
        <f>IF(AC7=1,INDEX($C$12:$N$12,1,AC6),1)</f>
        <v/>
      </c>
      <c r="AD16" s="56">
        <f>IF(AD7=1,INDEX($C$12:$N$12,1,AD6),1)</f>
        <v/>
      </c>
      <c r="AE16" s="56">
        <f>IF(AE7=1,INDEX($C$12:$N$12,1,AE6),1)</f>
        <v/>
      </c>
    </row>
    <row r="17">
      <c r="A17" s="6" t="inlineStr">
        <is>
          <t>Foreign-spend share applied</t>
        </is>
      </c>
      <c r="B17" s="23" t="inlineStr">
        <is>
          <t>%</t>
        </is>
      </c>
      <c r="C17" s="57">
        <f>IF(C7=1,INDEX($C$13:$N$13,1,C6),AVERAGE($C$13:$N$13))</f>
        <v/>
      </c>
      <c r="D17" s="57">
        <f>IF(D7=1,INDEX($C$13:$N$13,1,D6),AVERAGE($C$13:$N$13))</f>
        <v/>
      </c>
      <c r="E17" s="57">
        <f>IF(E7=1,INDEX($C$13:$N$13,1,E6),AVERAGE($C$13:$N$13))</f>
        <v/>
      </c>
      <c r="F17" s="57">
        <f>IF(F7=1,INDEX($C$13:$N$13,1,F6),AVERAGE($C$13:$N$13))</f>
        <v/>
      </c>
      <c r="G17" s="57">
        <f>IF(G7=1,INDEX($C$13:$N$13,1,G6),AVERAGE($C$13:$N$13))</f>
        <v/>
      </c>
      <c r="H17" s="57">
        <f>IF(H7=1,INDEX($C$13:$N$13,1,H6),AVERAGE($C$13:$N$13))</f>
        <v/>
      </c>
      <c r="I17" s="57">
        <f>IF(I7=1,INDEX($C$13:$N$13,1,I6),AVERAGE($C$13:$N$13))</f>
        <v/>
      </c>
      <c r="J17" s="57">
        <f>IF(J7=1,INDEX($C$13:$N$13,1,J6),AVERAGE($C$13:$N$13))</f>
        <v/>
      </c>
      <c r="K17" s="57">
        <f>IF(K7=1,INDEX($C$13:$N$13,1,K6),AVERAGE($C$13:$N$13))</f>
        <v/>
      </c>
      <c r="L17" s="57">
        <f>IF(L7=1,INDEX($C$13:$N$13,1,L6),AVERAGE($C$13:$N$13))</f>
        <v/>
      </c>
      <c r="M17" s="57">
        <f>IF(M7=1,INDEX($C$13:$N$13,1,M6),AVERAGE($C$13:$N$13))</f>
        <v/>
      </c>
      <c r="N17" s="57">
        <f>IF(N7=1,INDEX($C$13:$N$13,1,N6),AVERAGE($C$13:$N$13))</f>
        <v/>
      </c>
      <c r="O17" s="57">
        <f>IF(O7=1,INDEX($C$13:$N$13,1,O6),AVERAGE($C$13:$N$13))</f>
        <v/>
      </c>
      <c r="P17" s="57">
        <f>IF(P7=1,INDEX($C$13:$N$13,1,P6),AVERAGE($C$13:$N$13))</f>
        <v/>
      </c>
      <c r="Q17" s="57">
        <f>IF(Q7=1,INDEX($C$13:$N$13,1,Q6),AVERAGE($C$13:$N$13))</f>
        <v/>
      </c>
      <c r="R17" s="57">
        <f>IF(R7=1,INDEX($C$13:$N$13,1,R6),AVERAGE($C$13:$N$13))</f>
        <v/>
      </c>
      <c r="S17" s="57">
        <f>IF(S7=1,INDEX($C$13:$N$13,1,S6),AVERAGE($C$13:$N$13))</f>
        <v/>
      </c>
      <c r="T17" s="57">
        <f>IF(T7=1,INDEX($C$13:$N$13,1,T6),AVERAGE($C$13:$N$13))</f>
        <v/>
      </c>
      <c r="U17" s="57">
        <f>IF(U7=1,INDEX($C$13:$N$13,1,U6),AVERAGE($C$13:$N$13))</f>
        <v/>
      </c>
      <c r="V17" s="57">
        <f>IF(V7=1,INDEX($C$13:$N$13,1,V6),AVERAGE($C$13:$N$13))</f>
        <v/>
      </c>
      <c r="W17" s="57">
        <f>IF(W7=1,INDEX($C$13:$N$13,1,W6),AVERAGE($C$13:$N$13))</f>
        <v/>
      </c>
      <c r="X17" s="57">
        <f>IF(X7=1,INDEX($C$13:$N$13,1,X6),AVERAGE($C$13:$N$13))</f>
        <v/>
      </c>
      <c r="Y17" s="57">
        <f>IF(Y7=1,INDEX($C$13:$N$13,1,Y6),AVERAGE($C$13:$N$13))</f>
        <v/>
      </c>
      <c r="Z17" s="57">
        <f>IF(Z7=1,INDEX($C$13:$N$13,1,Z6),AVERAGE($C$13:$N$13))</f>
        <v/>
      </c>
      <c r="AA17" s="57">
        <f>IF(AA7=1,INDEX($C$13:$N$13,1,AA6),AVERAGE($C$13:$N$13))</f>
        <v/>
      </c>
      <c r="AB17" s="57">
        <f>IF(AB7=1,INDEX($C$13:$N$13,1,AB6),AVERAGE($C$13:$N$13))</f>
        <v/>
      </c>
      <c r="AC17" s="57">
        <f>IF(AC7=1,INDEX($C$13:$N$13,1,AC6),AVERAGE($C$13:$N$13))</f>
        <v/>
      </c>
      <c r="AD17" s="57">
        <f>IF(AD7=1,INDEX($C$13:$N$13,1,AD6),AVERAGE($C$13:$N$13))</f>
        <v/>
      </c>
      <c r="AE17" s="57">
        <f>IF(AE7=1,INDEX($C$13:$N$13,1,AE6),AVERAGE($C$13:$N$13))</f>
        <v/>
      </c>
    </row>
    <row r="19">
      <c r="A19" s="51" t="inlineStr">
        <is>
          <t>ACQUISITION - all channels, then split across regions</t>
        </is>
      </c>
      <c r="B19" s="52" t="n"/>
      <c r="C19" s="52" t="n"/>
      <c r="D19" s="52" t="n"/>
      <c r="E19" s="52" t="n"/>
      <c r="F19" s="52" t="n"/>
      <c r="G19" s="52" t="n"/>
      <c r="H19" s="52" t="n"/>
      <c r="I19" s="52" t="n"/>
      <c r="J19" s="52" t="n"/>
      <c r="K19" s="52" t="n"/>
      <c r="L19" s="52" t="n"/>
      <c r="M19" s="52" t="n"/>
      <c r="N19" s="52" t="n"/>
      <c r="O19" s="52" t="n"/>
      <c r="P19" s="52" t="n"/>
      <c r="Q19" s="52" t="n"/>
      <c r="R19" s="52" t="n"/>
      <c r="S19" s="52" t="n"/>
      <c r="T19" s="52" t="n"/>
      <c r="U19" s="52" t="n"/>
      <c r="V19" s="52" t="n"/>
      <c r="W19" s="52" t="n"/>
      <c r="X19" s="52" t="n"/>
      <c r="Y19" s="52" t="n"/>
      <c r="Z19" s="52" t="n"/>
      <c r="AA19" s="52" t="n"/>
      <c r="AB19" s="52" t="n"/>
      <c r="AC19" s="52" t="n"/>
      <c r="AD19" s="52" t="n"/>
      <c r="AE19" s="52" t="n"/>
    </row>
    <row r="20">
      <c r="A20" s="6" t="inlineStr">
        <is>
          <t>Gold price (this period)</t>
        </is>
      </c>
      <c r="B20" s="23" t="inlineStr">
        <is>
          <t>USD/g</t>
        </is>
      </c>
      <c r="C20" s="58">
        <f>Assumptions!$B$6*(1+Assumptions!$B$131)^(C5-1)</f>
        <v/>
      </c>
      <c r="D20" s="58">
        <f>Assumptions!$B$6*(1+Assumptions!$B$131)^(D5-1)</f>
        <v/>
      </c>
      <c r="E20" s="58">
        <f>Assumptions!$B$6*(1+Assumptions!$B$131)^(E5-1)</f>
        <v/>
      </c>
      <c r="F20" s="58">
        <f>Assumptions!$B$6*(1+Assumptions!$B$131)^(F5-1)</f>
        <v/>
      </c>
      <c r="G20" s="58">
        <f>Assumptions!$B$6*(1+Assumptions!$B$131)^(G5-1)</f>
        <v/>
      </c>
      <c r="H20" s="58">
        <f>Assumptions!$B$6*(1+Assumptions!$B$131)^(H5-1)</f>
        <v/>
      </c>
      <c r="I20" s="58">
        <f>Assumptions!$B$6*(1+Assumptions!$B$131)^(I5-1)</f>
        <v/>
      </c>
      <c r="J20" s="58">
        <f>Assumptions!$B$6*(1+Assumptions!$B$131)^(J5-1)</f>
        <v/>
      </c>
      <c r="K20" s="58">
        <f>Assumptions!$B$6*(1+Assumptions!$B$131)^(K5-1)</f>
        <v/>
      </c>
      <c r="L20" s="58">
        <f>Assumptions!$B$6*(1+Assumptions!$B$131)^(L5-1)</f>
        <v/>
      </c>
      <c r="M20" s="58">
        <f>Assumptions!$B$6*(1+Assumptions!$B$131)^(M5-1)</f>
        <v/>
      </c>
      <c r="N20" s="58">
        <f>Assumptions!$B$6*(1+Assumptions!$B$131)^(N5-1)</f>
        <v/>
      </c>
      <c r="O20" s="58">
        <f>Assumptions!$B$6*(1+Assumptions!$B$131)^(O5-1)</f>
        <v/>
      </c>
      <c r="P20" s="58">
        <f>Assumptions!$B$6*(1+Assumptions!$B$131)^(P5-1)</f>
        <v/>
      </c>
      <c r="Q20" s="58">
        <f>Assumptions!$B$6*(1+Assumptions!$B$131)^(Q5-1)</f>
        <v/>
      </c>
      <c r="R20" s="58">
        <f>Assumptions!$B$6*(1+Assumptions!$B$131)^(R5-1)</f>
        <v/>
      </c>
      <c r="S20" s="58">
        <f>Assumptions!$B$6*(1+Assumptions!$B$131)^(S5-1)</f>
        <v/>
      </c>
      <c r="T20" s="58">
        <f>Assumptions!$B$6*(1+Assumptions!$B$131)^(T5-1)</f>
        <v/>
      </c>
      <c r="U20" s="58">
        <f>Assumptions!$B$6*(1+Assumptions!$B$131)^(U5-1)</f>
        <v/>
      </c>
      <c r="V20" s="58">
        <f>Assumptions!$B$6*(1+Assumptions!$B$131)^(V5-1)</f>
        <v/>
      </c>
      <c r="W20" s="58">
        <f>Assumptions!$B$6*(1+Assumptions!$B$131)^(W5-1)</f>
        <v/>
      </c>
      <c r="X20" s="58">
        <f>Assumptions!$B$6*(1+Assumptions!$B$131)^(X5-1)</f>
        <v/>
      </c>
      <c r="Y20" s="58">
        <f>Assumptions!$B$6*(1+Assumptions!$B$131)^(Y5-1)</f>
        <v/>
      </c>
      <c r="Z20" s="58">
        <f>Assumptions!$B$6*(1+Assumptions!$B$131)^(Z5-1)</f>
        <v/>
      </c>
      <c r="AA20" s="58">
        <f>Assumptions!$B$6*(1+Assumptions!$B$131)^(AA5-1)</f>
        <v/>
      </c>
      <c r="AB20" s="58">
        <f>Assumptions!$B$6*(1+Assumptions!$B$131)^(AB5-1)</f>
        <v/>
      </c>
      <c r="AC20" s="58">
        <f>Assumptions!$B$6*(1+Assumptions!$B$131)^(AC5-1)</f>
        <v/>
      </c>
      <c r="AD20" s="58">
        <f>Assumptions!$B$6*(1+Assumptions!$B$131)^(AD5-1)</f>
        <v/>
      </c>
      <c r="AE20" s="58">
        <f>Assumptions!$B$6*(1+Assumptions!$B$131)^(AE5-1)</f>
        <v/>
      </c>
    </row>
    <row r="21">
      <c r="A21" s="9" t="inlineStr">
        <is>
          <t>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is>
      </c>
    </row>
    <row r="22" ht="20" customHeight="1">
      <c r="A22" s="12" t="inlineStr">
        <is>
          <t>REVENUE - the customer engine and the six streams, by region</t>
        </is>
      </c>
      <c r="B22" s="13" t="n"/>
      <c r="C22" s="13" t="n"/>
      <c r="D22" s="13" t="n"/>
      <c r="E22" s="13" t="n"/>
      <c r="F22" s="13" t="n"/>
      <c r="G22" s="13" t="n"/>
      <c r="H22" s="13" t="n"/>
      <c r="I22" s="13" t="n"/>
      <c r="J22" s="13" t="n"/>
      <c r="K22" s="13" t="n"/>
      <c r="L22" s="13" t="n"/>
      <c r="M22" s="13" t="n"/>
      <c r="N22" s="13" t="n"/>
      <c r="O22" s="13" t="n"/>
      <c r="P22" s="13" t="n"/>
      <c r="Q22" s="13" t="n"/>
      <c r="R22" s="13" t="n"/>
      <c r="S22" s="13" t="n"/>
      <c r="T22" s="13" t="n"/>
      <c r="U22" s="13" t="n"/>
      <c r="V22" s="13" t="n"/>
      <c r="W22" s="13" t="n"/>
      <c r="X22" s="13" t="n"/>
      <c r="Y22" s="13" t="n"/>
      <c r="Z22" s="13" t="n"/>
      <c r="AA22" s="13" t="n"/>
      <c r="AB22" s="13" t="n"/>
      <c r="AC22" s="13" t="n"/>
      <c r="AD22" s="13" t="n"/>
      <c r="AE22" s="13" t="n"/>
    </row>
    <row r="24">
      <c r="A24" s="51" t="inlineStr">
        <is>
          <t>REGION: UAE</t>
        </is>
      </c>
      <c r="B24" s="52" t="n"/>
      <c r="C24" s="52" t="n"/>
      <c r="D24" s="52" t="n"/>
      <c r="E24" s="52" t="n"/>
      <c r="F24" s="52" t="n"/>
      <c r="G24" s="52" t="n"/>
      <c r="H24" s="52" t="n"/>
      <c r="I24" s="52" t="n"/>
      <c r="J24" s="52" t="n"/>
      <c r="K24" s="52" t="n"/>
      <c r="L24" s="52" t="n"/>
      <c r="M24" s="52" t="n"/>
      <c r="N24" s="52" t="n"/>
      <c r="O24" s="52" t="n"/>
      <c r="P24" s="52" t="n"/>
      <c r="Q24" s="52" t="n"/>
      <c r="R24" s="52" t="n"/>
      <c r="S24" s="52" t="n"/>
      <c r="T24" s="52" t="n"/>
      <c r="U24" s="52" t="n"/>
      <c r="V24" s="52" t="n"/>
      <c r="W24" s="52" t="n"/>
      <c r="X24" s="52" t="n"/>
      <c r="Y24" s="52" t="n"/>
      <c r="Z24" s="52" t="n"/>
      <c r="AA24" s="52" t="n"/>
      <c r="AB24" s="52" t="n"/>
      <c r="AC24" s="52" t="n"/>
      <c r="AD24" s="52" t="n"/>
      <c r="AE24" s="52" t="n"/>
    </row>
    <row r="25">
      <c r="A25" s="6" t="inlineStr">
        <is>
          <t xml:space="preserve">  Marketing CAC this period (ramping Y1 to Y7)</t>
        </is>
      </c>
      <c r="B25" s="23" t="inlineStr">
        <is>
          <t>USD/customer</t>
        </is>
      </c>
      <c r="C25" s="59">
        <f>Assumptions!$B$136+(Assumptions!$B$139-Assumptions!$B$136)*(C5-1)/6</f>
        <v/>
      </c>
      <c r="D25" s="59">
        <f>Assumptions!$B$136+(Assumptions!$B$139-Assumptions!$B$136)*(D5-1)/6</f>
        <v/>
      </c>
      <c r="E25" s="59">
        <f>Assumptions!$B$136+(Assumptions!$B$139-Assumptions!$B$136)*(E5-1)/6</f>
        <v/>
      </c>
      <c r="F25" s="59">
        <f>Assumptions!$B$136+(Assumptions!$B$139-Assumptions!$B$136)*(F5-1)/6</f>
        <v/>
      </c>
      <c r="G25" s="59">
        <f>Assumptions!$B$136+(Assumptions!$B$139-Assumptions!$B$136)*(G5-1)/6</f>
        <v/>
      </c>
      <c r="H25" s="59">
        <f>Assumptions!$B$136+(Assumptions!$B$139-Assumptions!$B$136)*(H5-1)/6</f>
        <v/>
      </c>
      <c r="I25" s="59">
        <f>Assumptions!$B$136+(Assumptions!$B$139-Assumptions!$B$136)*(I5-1)/6</f>
        <v/>
      </c>
      <c r="J25" s="59">
        <f>Assumptions!$B$136+(Assumptions!$B$139-Assumptions!$B$136)*(J5-1)/6</f>
        <v/>
      </c>
      <c r="K25" s="59">
        <f>Assumptions!$B$136+(Assumptions!$B$139-Assumptions!$B$136)*(K5-1)/6</f>
        <v/>
      </c>
      <c r="L25" s="59">
        <f>Assumptions!$B$136+(Assumptions!$B$139-Assumptions!$B$136)*(L5-1)/6</f>
        <v/>
      </c>
      <c r="M25" s="59">
        <f>Assumptions!$B$136+(Assumptions!$B$139-Assumptions!$B$136)*(M5-1)/6</f>
        <v/>
      </c>
      <c r="N25" s="59">
        <f>Assumptions!$B$136+(Assumptions!$B$139-Assumptions!$B$136)*(N5-1)/6</f>
        <v/>
      </c>
      <c r="O25" s="59">
        <f>Assumptions!$B$136+(Assumptions!$B$139-Assumptions!$B$136)*(O5-1)/6</f>
        <v/>
      </c>
      <c r="P25" s="59">
        <f>Assumptions!$B$136+(Assumptions!$B$139-Assumptions!$B$136)*(P5-1)/6</f>
        <v/>
      </c>
      <c r="Q25" s="59">
        <f>Assumptions!$B$136+(Assumptions!$B$139-Assumptions!$B$136)*(Q5-1)/6</f>
        <v/>
      </c>
      <c r="R25" s="59">
        <f>Assumptions!$B$136+(Assumptions!$B$139-Assumptions!$B$136)*(R5-1)/6</f>
        <v/>
      </c>
      <c r="S25" s="59">
        <f>Assumptions!$B$136+(Assumptions!$B$139-Assumptions!$B$136)*(S5-1)/6</f>
        <v/>
      </c>
      <c r="T25" s="59">
        <f>Assumptions!$B$136+(Assumptions!$B$139-Assumptions!$B$136)*(T5-1)/6</f>
        <v/>
      </c>
      <c r="U25" s="59">
        <f>Assumptions!$B$136+(Assumptions!$B$139-Assumptions!$B$136)*(U5-1)/6</f>
        <v/>
      </c>
      <c r="V25" s="59">
        <f>Assumptions!$B$136+(Assumptions!$B$139-Assumptions!$B$136)*(V5-1)/6</f>
        <v/>
      </c>
      <c r="W25" s="59">
        <f>Assumptions!$B$136+(Assumptions!$B$139-Assumptions!$B$136)*(W5-1)/6</f>
        <v/>
      </c>
      <c r="X25" s="59">
        <f>Assumptions!$B$136+(Assumptions!$B$139-Assumptions!$B$136)*(X5-1)/6</f>
        <v/>
      </c>
      <c r="Y25" s="59">
        <f>Assumptions!$B$136+(Assumptions!$B$139-Assumptions!$B$136)*(Y5-1)/6</f>
        <v/>
      </c>
      <c r="Z25" s="59">
        <f>Assumptions!$B$136+(Assumptions!$B$139-Assumptions!$B$136)*(Z5-1)/6</f>
        <v/>
      </c>
      <c r="AA25" s="59">
        <f>Assumptions!$B$136+(Assumptions!$B$139-Assumptions!$B$136)*(AA5-1)/6</f>
        <v/>
      </c>
      <c r="AB25" s="59">
        <f>Assumptions!$B$136+(Assumptions!$B$139-Assumptions!$B$136)*(AB5-1)/6</f>
        <v/>
      </c>
      <c r="AC25" s="59">
        <f>Assumptions!$B$136+(Assumptions!$B$139-Assumptions!$B$136)*(AC5-1)/6</f>
        <v/>
      </c>
      <c r="AD25" s="59">
        <f>Assumptions!$B$136+(Assumptions!$B$139-Assumptions!$B$136)*(AD5-1)/6</f>
        <v/>
      </c>
      <c r="AE25" s="59">
        <f>Assumptions!$B$136+(Assumptions!$B$139-Assumptions!$B$136)*(AE5-1)/6</f>
        <v/>
      </c>
    </row>
    <row r="26">
      <c r="A26" s="6" t="inlineStr">
        <is>
          <t xml:space="preserve">  Direct-driven (this market's budget at its own CAC)</t>
        </is>
      </c>
      <c r="B26" s="23" t="inlineStr">
        <is>
          <t>accounts</t>
        </is>
      </c>
      <c r="C26" s="58">
        <f>INDEX(Assumptions!$B$114:$B$120,C5)*Assumptions!$B$142/12*C7/C25*(1+Assumptions!$B$147)*1</f>
        <v/>
      </c>
      <c r="D26" s="58">
        <f>INDEX(Assumptions!$B$114:$B$120,D5)*Assumptions!$B$142/12*D7/D25*(1+Assumptions!$B$147)*1</f>
        <v/>
      </c>
      <c r="E26" s="58">
        <f>INDEX(Assumptions!$B$114:$B$120,E5)*Assumptions!$B$142/12*E7/E25*(1+Assumptions!$B$147)*1</f>
        <v/>
      </c>
      <c r="F26" s="58">
        <f>INDEX(Assumptions!$B$114:$B$120,F5)*Assumptions!$B$142/12*F7/F25*(1+Assumptions!$B$147)*1</f>
        <v/>
      </c>
      <c r="G26" s="58">
        <f>INDEX(Assumptions!$B$114:$B$120,G5)*Assumptions!$B$142/12*G7/G25*(1+Assumptions!$B$147)*1</f>
        <v/>
      </c>
      <c r="H26" s="58">
        <f>INDEX(Assumptions!$B$114:$B$120,H5)*Assumptions!$B$142/12*H7/H25*(1+Assumptions!$B$147)*1</f>
        <v/>
      </c>
      <c r="I26" s="58">
        <f>INDEX(Assumptions!$B$114:$B$120,I5)*Assumptions!$B$142/12*I7/I25*(1+Assumptions!$B$147)*1</f>
        <v/>
      </c>
      <c r="J26" s="58">
        <f>INDEX(Assumptions!$B$114:$B$120,J5)*Assumptions!$B$142/12*J7/J25*(1+Assumptions!$B$147)*1</f>
        <v/>
      </c>
      <c r="K26" s="58">
        <f>INDEX(Assumptions!$B$114:$B$120,K5)*Assumptions!$B$142/12*K7/K25*(1+Assumptions!$B$147)*1</f>
        <v/>
      </c>
      <c r="L26" s="58">
        <f>INDEX(Assumptions!$B$114:$B$120,L5)*Assumptions!$B$142/12*L7/L25*(1+Assumptions!$B$147)*1</f>
        <v/>
      </c>
      <c r="M26" s="58">
        <f>INDEX(Assumptions!$B$114:$B$120,M5)*Assumptions!$B$142/12*M7/M25*(1+Assumptions!$B$147)*1</f>
        <v/>
      </c>
      <c r="N26" s="58">
        <f>INDEX(Assumptions!$B$114:$B$120,N5)*Assumptions!$B$142/12*N7/N25*(1+Assumptions!$B$147)*1</f>
        <v/>
      </c>
      <c r="O26" s="58">
        <f>INDEX(Assumptions!$B$114:$B$120,O5)*Assumptions!$B$142/12*O7/O25*(1+Assumptions!$B$147)*1</f>
        <v/>
      </c>
      <c r="P26" s="58">
        <f>INDEX(Assumptions!$B$114:$B$120,P5)*Assumptions!$B$142/12*P7/P25*(1+Assumptions!$B$147)*1</f>
        <v/>
      </c>
      <c r="Q26" s="58">
        <f>INDEX(Assumptions!$B$114:$B$120,Q5)*Assumptions!$B$142/12*Q7/Q25*(1+Assumptions!$B$147)*1</f>
        <v/>
      </c>
      <c r="R26" s="58">
        <f>INDEX(Assumptions!$B$114:$B$120,R5)*Assumptions!$B$142/12*R7/R25*(1+Assumptions!$B$147)*1</f>
        <v/>
      </c>
      <c r="S26" s="58">
        <f>INDEX(Assumptions!$B$114:$B$120,S5)*Assumptions!$B$142/12*S7/S25*(1+Assumptions!$B$147)*1</f>
        <v/>
      </c>
      <c r="T26" s="58">
        <f>INDEX(Assumptions!$B$114:$B$120,T5)*Assumptions!$B$142/12*T7/T25*(1+Assumptions!$B$147)*1</f>
        <v/>
      </c>
      <c r="U26" s="58">
        <f>INDEX(Assumptions!$B$114:$B$120,U5)*Assumptions!$B$142/12*U7/U25*(1+Assumptions!$B$147)*1</f>
        <v/>
      </c>
      <c r="V26" s="58">
        <f>INDEX(Assumptions!$B$114:$B$120,V5)*Assumptions!$B$142/12*V7/V25*(1+Assumptions!$B$147)*1</f>
        <v/>
      </c>
      <c r="W26" s="58">
        <f>INDEX(Assumptions!$B$114:$B$120,W5)*Assumptions!$B$142/12*W7/W25*(1+Assumptions!$B$147)*1</f>
        <v/>
      </c>
      <c r="X26" s="58">
        <f>INDEX(Assumptions!$B$114:$B$120,X5)*Assumptions!$B$142/12*X7/X25*(1+Assumptions!$B$147)*1</f>
        <v/>
      </c>
      <c r="Y26" s="58">
        <f>INDEX(Assumptions!$B$114:$B$120,Y5)*Assumptions!$B$142/12*Y7/Y25*(1+Assumptions!$B$147)*1</f>
        <v/>
      </c>
      <c r="Z26" s="58">
        <f>INDEX(Assumptions!$B$114:$B$120,Z5)*Assumptions!$B$142/12*Z7/Z25*(1+Assumptions!$B$147)*1</f>
        <v/>
      </c>
      <c r="AA26" s="58">
        <f>INDEX(Assumptions!$B$114:$B$120,AA5)*Assumptions!$B$142/12*AA7/AA25*(1+Assumptions!$B$147)*1</f>
        <v/>
      </c>
      <c r="AB26" s="58">
        <f>INDEX(Assumptions!$B$114:$B$120,AB5)*Assumptions!$B$142/12*AB7/AB25*(1+Assumptions!$B$147)*1</f>
        <v/>
      </c>
      <c r="AC26" s="58">
        <f>INDEX(Assumptions!$B$114:$B$120,AC5)*Assumptions!$B$142/12*AC7/AC25*(1+Assumptions!$B$147)*1</f>
        <v/>
      </c>
      <c r="AD26" s="58">
        <f>INDEX(Assumptions!$B$114:$B$120,AD5)*Assumptions!$B$142/12*AD7/AD25*(1+Assumptions!$B$147)*1</f>
        <v/>
      </c>
      <c r="AE26" s="58">
        <f>INDEX(Assumptions!$B$114:$B$120,AE5)*Assumptions!$B$142/12*AE7/AE25*(1+Assumptions!$B$147)*1</f>
        <v/>
      </c>
    </row>
    <row r="27">
      <c r="A27" s="6" t="inlineStr">
        <is>
          <t xml:space="preserve">  Referral-driven (from this market's own base)</t>
        </is>
      </c>
      <c r="B27" s="23" t="inlineStr">
        <is>
          <t>accounts</t>
        </is>
      </c>
      <c r="C27" s="60" t="n">
        <v>0</v>
      </c>
      <c r="D27" s="60">
        <f>IF(D2&gt;=Assumptions!$B$55,C32*Assumptions!$B$145/12*Assumptions!$B$146*D7,0)</f>
        <v/>
      </c>
      <c r="E27" s="60">
        <f>IF(E2&gt;=Assumptions!$B$55,D32*Assumptions!$B$145/12*Assumptions!$B$146*E7,0)</f>
        <v/>
      </c>
      <c r="F27" s="60">
        <f>IF(F2&gt;=Assumptions!$B$55,E32*Assumptions!$B$145/12*Assumptions!$B$146*F7,0)</f>
        <v/>
      </c>
      <c r="G27" s="60">
        <f>IF(G2&gt;=Assumptions!$B$55,F32*Assumptions!$B$145/12*Assumptions!$B$146*G7,0)</f>
        <v/>
      </c>
      <c r="H27" s="60">
        <f>IF(H2&gt;=Assumptions!$B$55,G32*Assumptions!$B$145/12*Assumptions!$B$146*H7,0)</f>
        <v/>
      </c>
      <c r="I27" s="60">
        <f>IF(I2&gt;=Assumptions!$B$55,H32*Assumptions!$B$145/12*Assumptions!$B$146*I7,0)</f>
        <v/>
      </c>
      <c r="J27" s="60">
        <f>IF(J2&gt;=Assumptions!$B$55,I32*Assumptions!$B$145/12*Assumptions!$B$146*J7,0)</f>
        <v/>
      </c>
      <c r="K27" s="60">
        <f>IF(K2&gt;=Assumptions!$B$55,J32*Assumptions!$B$145/12*Assumptions!$B$146*K7,0)</f>
        <v/>
      </c>
      <c r="L27" s="60">
        <f>IF(L2&gt;=Assumptions!$B$55,K32*Assumptions!$B$145/12*Assumptions!$B$146*L7,0)</f>
        <v/>
      </c>
      <c r="M27" s="60">
        <f>IF(M2&gt;=Assumptions!$B$55,L32*Assumptions!$B$145/12*Assumptions!$B$146*M7,0)</f>
        <v/>
      </c>
      <c r="N27" s="60">
        <f>IF(N2&gt;=Assumptions!$B$55,M32*Assumptions!$B$145/12*Assumptions!$B$146*N7,0)</f>
        <v/>
      </c>
      <c r="O27" s="60">
        <f>IF(O2&gt;=Assumptions!$B$55,N32*Assumptions!$B$145/12*Assumptions!$B$146*O7,0)</f>
        <v/>
      </c>
      <c r="P27" s="60">
        <f>IF(P2&gt;=Assumptions!$B$55,O32*Assumptions!$B$145/12*Assumptions!$B$146*P7,0)</f>
        <v/>
      </c>
      <c r="Q27" s="60">
        <f>IF(Q2&gt;=Assumptions!$B$55,P32*Assumptions!$B$145/12*Assumptions!$B$146*Q7,0)</f>
        <v/>
      </c>
      <c r="R27" s="60">
        <f>IF(R2&gt;=Assumptions!$B$55,Q32*Assumptions!$B$145/12*Assumptions!$B$146*R7,0)</f>
        <v/>
      </c>
      <c r="S27" s="60">
        <f>IF(S2&gt;=Assumptions!$B$55,R32*Assumptions!$B$145/12*Assumptions!$B$146*S7,0)</f>
        <v/>
      </c>
      <c r="T27" s="60">
        <f>IF(T2&gt;=Assumptions!$B$55,S32*Assumptions!$B$145/12*Assumptions!$B$146*T7,0)</f>
        <v/>
      </c>
      <c r="U27" s="60">
        <f>IF(U2&gt;=Assumptions!$B$55,T32*Assumptions!$B$145/12*Assumptions!$B$146*U7,0)</f>
        <v/>
      </c>
      <c r="V27" s="60">
        <f>IF(V2&gt;=Assumptions!$B$55,U32*Assumptions!$B$145/12*Assumptions!$B$146*V7,0)</f>
        <v/>
      </c>
      <c r="W27" s="60">
        <f>IF(W2&gt;=Assumptions!$B$55,V32*Assumptions!$B$145/12*Assumptions!$B$146*W7,0)</f>
        <v/>
      </c>
      <c r="X27" s="60">
        <f>IF(X2&gt;=Assumptions!$B$55,W32*Assumptions!$B$145/12*Assumptions!$B$146*X7,0)</f>
        <v/>
      </c>
      <c r="Y27" s="60">
        <f>IF(Y2&gt;=Assumptions!$B$55,X32*Assumptions!$B$145/12*Assumptions!$B$146*Y7,0)</f>
        <v/>
      </c>
      <c r="Z27" s="60">
        <f>IF(Z2&gt;=Assumptions!$B$55,Y32*Assumptions!$B$145/12*Assumptions!$B$146*Z7,0)</f>
        <v/>
      </c>
      <c r="AA27" s="60">
        <f>IF(AA2&gt;=Assumptions!$B$55,Z32*Assumptions!$B$145/12*Assumptions!$B$146*AA7,0)</f>
        <v/>
      </c>
      <c r="AB27" s="60">
        <f>IF(AB2&gt;=Assumptions!$B$55,AA32*Assumptions!$B$145/12*Assumptions!$B$146*AB7,0)</f>
        <v/>
      </c>
      <c r="AC27" s="60">
        <f>IF(AC2&gt;=Assumptions!$B$55,AB32*Assumptions!$B$145/12*Assumptions!$B$146*AC7,0)</f>
        <v/>
      </c>
      <c r="AD27" s="60">
        <f>IF(AD2&gt;=Assumptions!$B$55,AC32*Assumptions!$B$145/12*Assumptions!$B$146*AD7,0)</f>
        <v/>
      </c>
      <c r="AE27" s="60">
        <f>IF(AE2&gt;=Assumptions!$B$55,AD32*Assumptions!$B$145/12*Assumptions!$B$146*AE7,0)</f>
        <v/>
      </c>
    </row>
    <row r="28">
      <c r="A28" s="6" t="inlineStr">
        <is>
          <t xml:space="preserve">  Agent-driven (this market's own agents)</t>
        </is>
      </c>
      <c r="B28" s="23" t="inlineStr">
        <is>
          <t>accounts</t>
        </is>
      </c>
      <c r="C28" s="58">
        <f>INDEX(Assumptions!$B$93:$B$99,C5)*Assumptions!$B$135*INDEX(Assumptions!$B$121:$B$127,C5)*C7*1</f>
        <v/>
      </c>
      <c r="D28" s="58">
        <f>INDEX(Assumptions!$B$93:$B$99,D5)*Assumptions!$B$135*INDEX(Assumptions!$B$121:$B$127,D5)*D7*1</f>
        <v/>
      </c>
      <c r="E28" s="58">
        <f>INDEX(Assumptions!$B$93:$B$99,E5)*Assumptions!$B$135*INDEX(Assumptions!$B$121:$B$127,E5)*E7*1</f>
        <v/>
      </c>
      <c r="F28" s="58">
        <f>INDEX(Assumptions!$B$93:$B$99,F5)*Assumptions!$B$135*INDEX(Assumptions!$B$121:$B$127,F5)*F7*1</f>
        <v/>
      </c>
      <c r="G28" s="58">
        <f>INDEX(Assumptions!$B$93:$B$99,G5)*Assumptions!$B$135*INDEX(Assumptions!$B$121:$B$127,G5)*G7*1</f>
        <v/>
      </c>
      <c r="H28" s="58">
        <f>INDEX(Assumptions!$B$93:$B$99,H5)*Assumptions!$B$135*INDEX(Assumptions!$B$121:$B$127,H5)*H7*1</f>
        <v/>
      </c>
      <c r="I28" s="58">
        <f>INDEX(Assumptions!$B$93:$B$99,I5)*Assumptions!$B$135*INDEX(Assumptions!$B$121:$B$127,I5)*I7*1</f>
        <v/>
      </c>
      <c r="J28" s="58">
        <f>INDEX(Assumptions!$B$93:$B$99,J5)*Assumptions!$B$135*INDEX(Assumptions!$B$121:$B$127,J5)*J7*1</f>
        <v/>
      </c>
      <c r="K28" s="58">
        <f>INDEX(Assumptions!$B$93:$B$99,K5)*Assumptions!$B$135*INDEX(Assumptions!$B$121:$B$127,K5)*K7*1</f>
        <v/>
      </c>
      <c r="L28" s="58">
        <f>INDEX(Assumptions!$B$93:$B$99,L5)*Assumptions!$B$135*INDEX(Assumptions!$B$121:$B$127,L5)*L7*1</f>
        <v/>
      </c>
      <c r="M28" s="58">
        <f>INDEX(Assumptions!$B$93:$B$99,M5)*Assumptions!$B$135*INDEX(Assumptions!$B$121:$B$127,M5)*M7*1</f>
        <v/>
      </c>
      <c r="N28" s="58">
        <f>INDEX(Assumptions!$B$93:$B$99,N5)*Assumptions!$B$135*INDEX(Assumptions!$B$121:$B$127,N5)*N7*1</f>
        <v/>
      </c>
      <c r="O28" s="58">
        <f>INDEX(Assumptions!$B$93:$B$99,O5)*Assumptions!$B$135*INDEX(Assumptions!$B$121:$B$127,O5)*O7*1</f>
        <v/>
      </c>
      <c r="P28" s="58">
        <f>INDEX(Assumptions!$B$93:$B$99,P5)*Assumptions!$B$135*INDEX(Assumptions!$B$121:$B$127,P5)*P7*1</f>
        <v/>
      </c>
      <c r="Q28" s="58">
        <f>INDEX(Assumptions!$B$93:$B$99,Q5)*Assumptions!$B$135*INDEX(Assumptions!$B$121:$B$127,Q5)*Q7*1</f>
        <v/>
      </c>
      <c r="R28" s="58">
        <f>INDEX(Assumptions!$B$93:$B$99,R5)*Assumptions!$B$135*INDEX(Assumptions!$B$121:$B$127,R5)*R7*1</f>
        <v/>
      </c>
      <c r="S28" s="58">
        <f>INDEX(Assumptions!$B$93:$B$99,S5)*Assumptions!$B$135*INDEX(Assumptions!$B$121:$B$127,S5)*S7*1</f>
        <v/>
      </c>
      <c r="T28" s="58">
        <f>INDEX(Assumptions!$B$93:$B$99,T5)*Assumptions!$B$135*INDEX(Assumptions!$B$121:$B$127,T5)*T7*1</f>
        <v/>
      </c>
      <c r="U28" s="58">
        <f>INDEX(Assumptions!$B$93:$B$99,U5)*Assumptions!$B$135*INDEX(Assumptions!$B$121:$B$127,U5)*U7*1</f>
        <v/>
      </c>
      <c r="V28" s="58">
        <f>INDEX(Assumptions!$B$93:$B$99,V5)*Assumptions!$B$135*INDEX(Assumptions!$B$121:$B$127,V5)*V7*1</f>
        <v/>
      </c>
      <c r="W28" s="58">
        <f>INDEX(Assumptions!$B$93:$B$99,W5)*Assumptions!$B$135*INDEX(Assumptions!$B$121:$B$127,W5)*W7*1</f>
        <v/>
      </c>
      <c r="X28" s="58">
        <f>INDEX(Assumptions!$B$93:$B$99,X5)*Assumptions!$B$135*INDEX(Assumptions!$B$121:$B$127,X5)*X7*1</f>
        <v/>
      </c>
      <c r="Y28" s="58">
        <f>INDEX(Assumptions!$B$93:$B$99,Y5)*Assumptions!$B$135*INDEX(Assumptions!$B$121:$B$127,Y5)*Y7*1</f>
        <v/>
      </c>
      <c r="Z28" s="58">
        <f>INDEX(Assumptions!$B$93:$B$99,Z5)*Assumptions!$B$135*INDEX(Assumptions!$B$121:$B$127,Z5)*Z7*1</f>
        <v/>
      </c>
      <c r="AA28" s="58">
        <f>INDEX(Assumptions!$B$93:$B$99,AA5)*Assumptions!$B$135*INDEX(Assumptions!$B$121:$B$127,AA5)*AA7*1</f>
        <v/>
      </c>
      <c r="AB28" s="58">
        <f>INDEX(Assumptions!$B$93:$B$99,AB5)*Assumptions!$B$135*INDEX(Assumptions!$B$121:$B$127,AB5)*AB7*1</f>
        <v/>
      </c>
      <c r="AC28" s="58">
        <f>INDEX(Assumptions!$B$93:$B$99,AC5)*Assumptions!$B$135*INDEX(Assumptions!$B$121:$B$127,AC5)*AC7*1</f>
        <v/>
      </c>
      <c r="AD28" s="58">
        <f>INDEX(Assumptions!$B$93:$B$99,AD5)*Assumptions!$B$135*INDEX(Assumptions!$B$121:$B$127,AD5)*AD7*1</f>
        <v/>
      </c>
      <c r="AE28" s="58">
        <f>INDEX(Assumptions!$B$93:$B$99,AE5)*Assumptions!$B$135*INDEX(Assumptions!$B$121:$B$127,AE5)*AE7*1</f>
        <v/>
      </c>
    </row>
    <row r="29">
      <c r="A29" s="6" t="inlineStr">
        <is>
          <t xml:space="preserve">  Raw demand</t>
        </is>
      </c>
      <c r="B29" s="23" t="inlineStr">
        <is>
          <t>accounts</t>
        </is>
      </c>
      <c r="C29" s="60">
        <f>C26+C27+C28</f>
        <v/>
      </c>
      <c r="D29" s="60">
        <f>D26+D27+D28</f>
        <v/>
      </c>
      <c r="E29" s="60">
        <f>E26+E27+E28</f>
        <v/>
      </c>
      <c r="F29" s="60">
        <f>F26+F27+F28</f>
        <v/>
      </c>
      <c r="G29" s="60">
        <f>G26+G27+G28</f>
        <v/>
      </c>
      <c r="H29" s="60">
        <f>H26+H27+H28</f>
        <v/>
      </c>
      <c r="I29" s="60">
        <f>I26+I27+I28</f>
        <v/>
      </c>
      <c r="J29" s="60">
        <f>J26+J27+J28</f>
        <v/>
      </c>
      <c r="K29" s="60">
        <f>K26+K27+K28</f>
        <v/>
      </c>
      <c r="L29" s="60">
        <f>L26+L27+L28</f>
        <v/>
      </c>
      <c r="M29" s="60">
        <f>M26+M27+M28</f>
        <v/>
      </c>
      <c r="N29" s="60">
        <f>N26+N27+N28</f>
        <v/>
      </c>
      <c r="O29" s="60">
        <f>O26+O27+O28</f>
        <v/>
      </c>
      <c r="P29" s="60">
        <f>P26+P27+P28</f>
        <v/>
      </c>
      <c r="Q29" s="60">
        <f>Q26+Q27+Q28</f>
        <v/>
      </c>
      <c r="R29" s="60">
        <f>R26+R27+R28</f>
        <v/>
      </c>
      <c r="S29" s="60">
        <f>S26+S27+S28</f>
        <v/>
      </c>
      <c r="T29" s="60">
        <f>T26+T27+T28</f>
        <v/>
      </c>
      <c r="U29" s="60">
        <f>U26+U27+U28</f>
        <v/>
      </c>
      <c r="V29" s="60">
        <f>V26+V27+V28</f>
        <v/>
      </c>
      <c r="W29" s="60">
        <f>W26+W27+W28</f>
        <v/>
      </c>
      <c r="X29" s="60">
        <f>X26+X27+X28</f>
        <v/>
      </c>
      <c r="Y29" s="60">
        <f>Y26+Y27+Y28</f>
        <v/>
      </c>
      <c r="Z29" s="60">
        <f>Z26+Z27+Z28</f>
        <v/>
      </c>
      <c r="AA29" s="60">
        <f>AA26+AA27+AA28</f>
        <v/>
      </c>
      <c r="AB29" s="60">
        <f>AB26+AB27+AB28</f>
        <v/>
      </c>
      <c r="AC29" s="60">
        <f>AC26+AC27+AC28</f>
        <v/>
      </c>
      <c r="AD29" s="60">
        <f>AD26+AD27+AD28</f>
        <v/>
      </c>
      <c r="AE29" s="60">
        <f>AE26+AE27+AE28</f>
        <v/>
      </c>
    </row>
    <row r="30">
      <c r="A30" s="6" t="inlineStr">
        <is>
          <t xml:space="preserve">  Saturation (this region's own headroom)</t>
        </is>
      </c>
      <c r="B30" s="23" t="inlineStr">
        <is>
          <t>x</t>
        </is>
      </c>
      <c r="C30" s="56" t="n">
        <v>1</v>
      </c>
      <c r="D30" s="56">
        <f>MAX(0,1-C35/Assumptions!$B$84)</f>
        <v/>
      </c>
      <c r="E30" s="56">
        <f>MAX(0,1-D35/Assumptions!$B$84)</f>
        <v/>
      </c>
      <c r="F30" s="56">
        <f>MAX(0,1-E35/Assumptions!$B$84)</f>
        <v/>
      </c>
      <c r="G30" s="56">
        <f>MAX(0,1-F35/Assumptions!$B$84)</f>
        <v/>
      </c>
      <c r="H30" s="56">
        <f>MAX(0,1-G35/Assumptions!$B$84)</f>
        <v/>
      </c>
      <c r="I30" s="56">
        <f>MAX(0,1-H35/Assumptions!$B$84)</f>
        <v/>
      </c>
      <c r="J30" s="56">
        <f>MAX(0,1-I35/Assumptions!$B$84)</f>
        <v/>
      </c>
      <c r="K30" s="56">
        <f>MAX(0,1-J35/Assumptions!$B$84)</f>
        <v/>
      </c>
      <c r="L30" s="56">
        <f>MAX(0,1-K35/Assumptions!$B$84)</f>
        <v/>
      </c>
      <c r="M30" s="56">
        <f>MAX(0,1-L35/Assumptions!$B$84)</f>
        <v/>
      </c>
      <c r="N30" s="56">
        <f>MAX(0,1-M35/Assumptions!$B$84)</f>
        <v/>
      </c>
      <c r="O30" s="56">
        <f>MAX(0,1-N35/Assumptions!$B$84)</f>
        <v/>
      </c>
      <c r="P30" s="56">
        <f>MAX(0,1-O35/Assumptions!$B$84)</f>
        <v/>
      </c>
      <c r="Q30" s="56">
        <f>MAX(0,1-P35/Assumptions!$B$84)</f>
        <v/>
      </c>
      <c r="R30" s="56">
        <f>MAX(0,1-Q35/Assumptions!$B$84)</f>
        <v/>
      </c>
      <c r="S30" s="56">
        <f>MAX(0,1-R35/Assumptions!$B$84)</f>
        <v/>
      </c>
      <c r="T30" s="56">
        <f>MAX(0,1-S35/Assumptions!$B$84)</f>
        <v/>
      </c>
      <c r="U30" s="56">
        <f>MAX(0,1-T35/Assumptions!$B$84)</f>
        <v/>
      </c>
      <c r="V30" s="56">
        <f>MAX(0,1-U35/Assumptions!$B$84)</f>
        <v/>
      </c>
      <c r="W30" s="56">
        <f>MAX(0,1-V35/Assumptions!$B$84)</f>
        <v/>
      </c>
      <c r="X30" s="56">
        <f>MAX(0,1-W35/Assumptions!$B$84)</f>
        <v/>
      </c>
      <c r="Y30" s="56">
        <f>MAX(0,1-X35/Assumptions!$B$84)</f>
        <v/>
      </c>
      <c r="Z30" s="56">
        <f>MAX(0,1-Y35/Assumptions!$B$84)</f>
        <v/>
      </c>
      <c r="AA30" s="56">
        <f>MAX(0,1-Z35/Assumptions!$B$84)</f>
        <v/>
      </c>
      <c r="AB30" s="56">
        <f>MAX(0,1-AA35/Assumptions!$B$84)</f>
        <v/>
      </c>
      <c r="AC30" s="56">
        <f>MAX(0,1-AB35/Assumptions!$B$84)</f>
        <v/>
      </c>
      <c r="AD30" s="56">
        <f>MAX(0,1-AC35/Assumptions!$B$84)</f>
        <v/>
      </c>
      <c r="AE30" s="56">
        <f>MAX(0,1-AD35/Assumptions!$B$84)</f>
        <v/>
      </c>
    </row>
    <row r="31">
      <c r="A31" s="6" t="inlineStr">
        <is>
          <t xml:space="preserve">  New customers</t>
        </is>
      </c>
      <c r="B31" s="23" t="inlineStr">
        <is>
          <t>accounts</t>
        </is>
      </c>
      <c r="C31" s="60">
        <f>C29*C30*C15</f>
        <v/>
      </c>
      <c r="D31" s="60">
        <f>D29*D30*D15</f>
        <v/>
      </c>
      <c r="E31" s="60">
        <f>E29*E30*E15</f>
        <v/>
      </c>
      <c r="F31" s="60">
        <f>F29*F30*F15</f>
        <v/>
      </c>
      <c r="G31" s="60">
        <f>G29*G30*G15</f>
        <v/>
      </c>
      <c r="H31" s="60">
        <f>H29*H30*H15</f>
        <v/>
      </c>
      <c r="I31" s="60">
        <f>I29*I30*I15</f>
        <v/>
      </c>
      <c r="J31" s="60">
        <f>J29*J30*J15</f>
        <v/>
      </c>
      <c r="K31" s="60">
        <f>K29*K30*K15</f>
        <v/>
      </c>
      <c r="L31" s="60">
        <f>L29*L30*L15</f>
        <v/>
      </c>
      <c r="M31" s="60">
        <f>M29*M30*M15</f>
        <v/>
      </c>
      <c r="N31" s="60">
        <f>N29*N30*N15</f>
        <v/>
      </c>
      <c r="O31" s="60">
        <f>O29*O30*O15</f>
        <v/>
      </c>
      <c r="P31" s="60">
        <f>P29*P30*P15</f>
        <v/>
      </c>
      <c r="Q31" s="60">
        <f>Q29*Q30*Q15</f>
        <v/>
      </c>
      <c r="R31" s="60">
        <f>R29*R30*R15</f>
        <v/>
      </c>
      <c r="S31" s="60">
        <f>S29*S30*S15</f>
        <v/>
      </c>
      <c r="T31" s="60">
        <f>T29*T30*T15</f>
        <v/>
      </c>
      <c r="U31" s="60">
        <f>U29*U30*U15</f>
        <v/>
      </c>
      <c r="V31" s="60">
        <f>V29*V30*V15</f>
        <v/>
      </c>
      <c r="W31" s="60">
        <f>W29*W30*W15</f>
        <v/>
      </c>
      <c r="X31" s="60">
        <f>X29*X30*X15</f>
        <v/>
      </c>
      <c r="Y31" s="60">
        <f>Y29*Y30*Y15</f>
        <v/>
      </c>
      <c r="Z31" s="60">
        <f>Z29*Z30*Z15</f>
        <v/>
      </c>
      <c r="AA31" s="60">
        <f>AA29*AA30*AA15</f>
        <v/>
      </c>
      <c r="AB31" s="60">
        <f>AB29*AB30*AB15</f>
        <v/>
      </c>
      <c r="AC31" s="60">
        <f>AC29*AC30*AC15</f>
        <v/>
      </c>
      <c r="AD31" s="60">
        <f>AD29*AD30*AD15</f>
        <v/>
      </c>
      <c r="AE31" s="60">
        <f>AE29*AE30*AE15</f>
        <v/>
      </c>
    </row>
    <row r="32">
      <c r="A32" s="6" t="inlineStr">
        <is>
          <t xml:space="preserve">  Paying customers</t>
        </is>
      </c>
      <c r="B32" s="23" t="inlineStr">
        <is>
          <t>accounts</t>
        </is>
      </c>
      <c r="C32" s="28">
        <f>C31*(1-Assumptions!$B$134)^(C7/2)</f>
        <v/>
      </c>
      <c r="D32" s="28">
        <f>C32*(1-Assumptions!$B$134)^D7+D31*(1-Assumptions!$B$134)^(D7/2)</f>
        <v/>
      </c>
      <c r="E32" s="28">
        <f>D32*(1-Assumptions!$B$134)^E7+E31*(1-Assumptions!$B$134)^(E7/2)</f>
        <v/>
      </c>
      <c r="F32" s="28">
        <f>E32*(1-Assumptions!$B$134)^F7+F31*(1-Assumptions!$B$134)^(F7/2)</f>
        <v/>
      </c>
      <c r="G32" s="28">
        <f>F32*(1-Assumptions!$B$134)^G7+G31*(1-Assumptions!$B$134)^(G7/2)</f>
        <v/>
      </c>
      <c r="H32" s="28">
        <f>G32*(1-Assumptions!$B$134)^H7+H31*(1-Assumptions!$B$134)^(H7/2)</f>
        <v/>
      </c>
      <c r="I32" s="28">
        <f>H32*(1-Assumptions!$B$134)^I7+I31*(1-Assumptions!$B$134)^(I7/2)</f>
        <v/>
      </c>
      <c r="J32" s="28">
        <f>I32*(1-Assumptions!$B$134)^J7+J31*(1-Assumptions!$B$134)^(J7/2)</f>
        <v/>
      </c>
      <c r="K32" s="28">
        <f>J32*(1-Assumptions!$B$134)^K7+K31*(1-Assumptions!$B$134)^(K7/2)</f>
        <v/>
      </c>
      <c r="L32" s="28">
        <f>K32*(1-Assumptions!$B$134)^L7+L31*(1-Assumptions!$B$134)^(L7/2)</f>
        <v/>
      </c>
      <c r="M32" s="28">
        <f>L32*(1-Assumptions!$B$134)^M7+M31*(1-Assumptions!$B$134)^(M7/2)</f>
        <v/>
      </c>
      <c r="N32" s="28">
        <f>M32*(1-Assumptions!$B$134)^N7+N31*(1-Assumptions!$B$134)^(N7/2)</f>
        <v/>
      </c>
      <c r="O32" s="28">
        <f>N32*(1-Assumptions!$B$134)^O7+O31*(1-Assumptions!$B$134)^(O7/2)</f>
        <v/>
      </c>
      <c r="P32" s="28">
        <f>O32*(1-Assumptions!$B$134)^P7+P31*(1-Assumptions!$B$134)^(P7/2)</f>
        <v/>
      </c>
      <c r="Q32" s="28">
        <f>P32*(1-Assumptions!$B$134)^Q7+Q31*(1-Assumptions!$B$134)^(Q7/2)</f>
        <v/>
      </c>
      <c r="R32" s="28">
        <f>Q32*(1-Assumptions!$B$134)^R7+R31*(1-Assumptions!$B$134)^(R7/2)</f>
        <v/>
      </c>
      <c r="S32" s="28">
        <f>R32*(1-Assumptions!$B$134)^S7+S31*(1-Assumptions!$B$134)^(S7/2)</f>
        <v/>
      </c>
      <c r="T32" s="28">
        <f>S32*(1-Assumptions!$B$134)^T7+T31*(1-Assumptions!$B$134)^(T7/2)</f>
        <v/>
      </c>
      <c r="U32" s="28">
        <f>T32*(1-Assumptions!$B$134)^U7+U31*(1-Assumptions!$B$134)^(U7/2)</f>
        <v/>
      </c>
      <c r="V32" s="28">
        <f>U32*(1-Assumptions!$B$134)^V7+V31*(1-Assumptions!$B$134)^(V7/2)</f>
        <v/>
      </c>
      <c r="W32" s="28">
        <f>V32*(1-Assumptions!$B$134)^W7+W31*(1-Assumptions!$B$134)^(W7/2)</f>
        <v/>
      </c>
      <c r="X32" s="28">
        <f>W32*(1-Assumptions!$B$134)^X7+X31*(1-Assumptions!$B$134)^(X7/2)</f>
        <v/>
      </c>
      <c r="Y32" s="28">
        <f>X32*(1-Assumptions!$B$134)^Y7+Y31*(1-Assumptions!$B$134)^(Y7/2)</f>
        <v/>
      </c>
      <c r="Z32" s="28">
        <f>Y32*(1-Assumptions!$B$134)^Z7+Z31*(1-Assumptions!$B$134)^(Z7/2)</f>
        <v/>
      </c>
      <c r="AA32" s="28">
        <f>Z32*(1-Assumptions!$B$134)^AA7+AA31*(1-Assumptions!$B$134)^(AA7/2)</f>
        <v/>
      </c>
      <c r="AB32" s="28">
        <f>AA32*(1-Assumptions!$B$134)^AB7+AB31*(1-Assumptions!$B$134)^(AB7/2)</f>
        <v/>
      </c>
      <c r="AC32" s="28">
        <f>AB32*(1-Assumptions!$B$134)^AC7+AC31*(1-Assumptions!$B$134)^(AC7/2)</f>
        <v/>
      </c>
      <c r="AD32" s="28">
        <f>AC32*(1-Assumptions!$B$134)^AD7+AD31*(1-Assumptions!$B$134)^(AD7/2)</f>
        <v/>
      </c>
      <c r="AE32" s="28">
        <f>AD32*(1-Assumptions!$B$134)^AE7+AE31*(1-Assumptions!$B$134)^(AE7/2)</f>
        <v/>
      </c>
    </row>
    <row r="33">
      <c r="A33" s="6" t="inlineStr">
        <is>
          <t xml:space="preserve">  Churned this period</t>
        </is>
      </c>
      <c r="B33" s="23" t="inlineStr">
        <is>
          <t>accounts</t>
        </is>
      </c>
      <c r="C33" s="60">
        <f>C31-C32</f>
        <v/>
      </c>
      <c r="D33" s="60">
        <f>C32+D31-D32</f>
        <v/>
      </c>
      <c r="E33" s="60">
        <f>D32+E31-E32</f>
        <v/>
      </c>
      <c r="F33" s="60">
        <f>E32+F31-F32</f>
        <v/>
      </c>
      <c r="G33" s="60">
        <f>F32+G31-G32</f>
        <v/>
      </c>
      <c r="H33" s="60">
        <f>G32+H31-H32</f>
        <v/>
      </c>
      <c r="I33" s="60">
        <f>H32+I31-I32</f>
        <v/>
      </c>
      <c r="J33" s="60">
        <f>I32+J31-J32</f>
        <v/>
      </c>
      <c r="K33" s="60">
        <f>J32+K31-K32</f>
        <v/>
      </c>
      <c r="L33" s="60">
        <f>K32+L31-L32</f>
        <v/>
      </c>
      <c r="M33" s="60">
        <f>L32+M31-M32</f>
        <v/>
      </c>
      <c r="N33" s="60">
        <f>M32+N31-N32</f>
        <v/>
      </c>
      <c r="O33" s="60">
        <f>N32+O31-O32</f>
        <v/>
      </c>
      <c r="P33" s="60">
        <f>O32+P31-P32</f>
        <v/>
      </c>
      <c r="Q33" s="60">
        <f>P32+Q31-Q32</f>
        <v/>
      </c>
      <c r="R33" s="60">
        <f>Q32+R31-R32</f>
        <v/>
      </c>
      <c r="S33" s="60">
        <f>R32+S31-S32</f>
        <v/>
      </c>
      <c r="T33" s="60">
        <f>S32+T31-T32</f>
        <v/>
      </c>
      <c r="U33" s="60">
        <f>T32+U31-U32</f>
        <v/>
      </c>
      <c r="V33" s="60">
        <f>U32+V31-V32</f>
        <v/>
      </c>
      <c r="W33" s="60">
        <f>V32+W31-W32</f>
        <v/>
      </c>
      <c r="X33" s="60">
        <f>W32+X31-X32</f>
        <v/>
      </c>
      <c r="Y33" s="60">
        <f>X32+Y31-Y32</f>
        <v/>
      </c>
      <c r="Z33" s="60">
        <f>Y32+Z31-Z32</f>
        <v/>
      </c>
      <c r="AA33" s="60">
        <f>Z32+AA31-AA32</f>
        <v/>
      </c>
      <c r="AB33" s="60">
        <f>AA32+AB31-AB32</f>
        <v/>
      </c>
      <c r="AC33" s="60">
        <f>AB32+AC31-AC32</f>
        <v/>
      </c>
      <c r="AD33" s="60">
        <f>AC32+AD31-AD32</f>
        <v/>
      </c>
      <c r="AE33" s="60">
        <f>AD32+AE31-AE32</f>
        <v/>
      </c>
    </row>
    <row r="34">
      <c r="A34" s="6" t="inlineStr">
        <is>
          <t xml:space="preserve">  Holders (stopped paying, still hold gold)</t>
        </is>
      </c>
      <c r="B34" s="23" t="inlineStr">
        <is>
          <t>accounts</t>
        </is>
      </c>
      <c r="C34" s="50">
        <f>C33</f>
        <v/>
      </c>
      <c r="D34" s="50">
        <f>C34+D33</f>
        <v/>
      </c>
      <c r="E34" s="50">
        <f>D34+E33</f>
        <v/>
      </c>
      <c r="F34" s="50">
        <f>E34+F33</f>
        <v/>
      </c>
      <c r="G34" s="50">
        <f>F34+G33</f>
        <v/>
      </c>
      <c r="H34" s="50">
        <f>G34+H33</f>
        <v/>
      </c>
      <c r="I34" s="50">
        <f>H34+I33</f>
        <v/>
      </c>
      <c r="J34" s="50">
        <f>I34+J33</f>
        <v/>
      </c>
      <c r="K34" s="50">
        <f>J34+K33</f>
        <v/>
      </c>
      <c r="L34" s="50">
        <f>K34+L33</f>
        <v/>
      </c>
      <c r="M34" s="50">
        <f>L34+M33</f>
        <v/>
      </c>
      <c r="N34" s="50">
        <f>M34+N33</f>
        <v/>
      </c>
      <c r="O34" s="50">
        <f>N34+O33</f>
        <v/>
      </c>
      <c r="P34" s="50">
        <f>O34+P33</f>
        <v/>
      </c>
      <c r="Q34" s="50">
        <f>P34+Q33</f>
        <v/>
      </c>
      <c r="R34" s="50">
        <f>Q34+R33</f>
        <v/>
      </c>
      <c r="S34" s="50">
        <f>R34+S33</f>
        <v/>
      </c>
      <c r="T34" s="50">
        <f>S34+T33</f>
        <v/>
      </c>
      <c r="U34" s="50">
        <f>T34+U33</f>
        <v/>
      </c>
      <c r="V34" s="50">
        <f>U34+V33</f>
        <v/>
      </c>
      <c r="W34" s="50">
        <f>V34+W33</f>
        <v/>
      </c>
      <c r="X34" s="50">
        <f>W34+X33</f>
        <v/>
      </c>
      <c r="Y34" s="50">
        <f>X34+Y33</f>
        <v/>
      </c>
      <c r="Z34" s="50">
        <f>Y34+Z33</f>
        <v/>
      </c>
      <c r="AA34" s="50">
        <f>Z34+AA33</f>
        <v/>
      </c>
      <c r="AB34" s="50">
        <f>AA34+AB33</f>
        <v/>
      </c>
      <c r="AC34" s="50">
        <f>AB34+AC33</f>
        <v/>
      </c>
      <c r="AD34" s="50">
        <f>AC34+AD33</f>
        <v/>
      </c>
      <c r="AE34" s="50">
        <f>AD34+AE33</f>
        <v/>
      </c>
    </row>
    <row r="35">
      <c r="A35" s="6" t="inlineStr">
        <is>
          <t xml:space="preserve">  Cumulative ever acquired</t>
        </is>
      </c>
      <c r="B35" s="23" t="inlineStr">
        <is>
          <t>accounts</t>
        </is>
      </c>
      <c r="C35" s="50">
        <f>C31</f>
        <v/>
      </c>
      <c r="D35" s="50">
        <f>C35+D31</f>
        <v/>
      </c>
      <c r="E35" s="50">
        <f>D35+E31</f>
        <v/>
      </c>
      <c r="F35" s="50">
        <f>E35+F31</f>
        <v/>
      </c>
      <c r="G35" s="50">
        <f>F35+G31</f>
        <v/>
      </c>
      <c r="H35" s="50">
        <f>G35+H31</f>
        <v/>
      </c>
      <c r="I35" s="50">
        <f>H35+I31</f>
        <v/>
      </c>
      <c r="J35" s="50">
        <f>I35+J31</f>
        <v/>
      </c>
      <c r="K35" s="50">
        <f>J35+K31</f>
        <v/>
      </c>
      <c r="L35" s="50">
        <f>K35+L31</f>
        <v/>
      </c>
      <c r="M35" s="50">
        <f>L35+M31</f>
        <v/>
      </c>
      <c r="N35" s="50">
        <f>M35+N31</f>
        <v/>
      </c>
      <c r="O35" s="50">
        <f>N35+O31</f>
        <v/>
      </c>
      <c r="P35" s="50">
        <f>O35+P31</f>
        <v/>
      </c>
      <c r="Q35" s="50">
        <f>P35+Q31</f>
        <v/>
      </c>
      <c r="R35" s="50">
        <f>Q35+R31</f>
        <v/>
      </c>
      <c r="S35" s="50">
        <f>R35+S31</f>
        <v/>
      </c>
      <c r="T35" s="50">
        <f>S35+T31</f>
        <v/>
      </c>
      <c r="U35" s="50">
        <f>T35+U31</f>
        <v/>
      </c>
      <c r="V35" s="50">
        <f>U35+V31</f>
        <v/>
      </c>
      <c r="W35" s="50">
        <f>V35+W31</f>
        <v/>
      </c>
      <c r="X35" s="50">
        <f>W35+X31</f>
        <v/>
      </c>
      <c r="Y35" s="50">
        <f>X35+Y31</f>
        <v/>
      </c>
      <c r="Z35" s="50">
        <f>Y35+Z31</f>
        <v/>
      </c>
      <c r="AA35" s="50">
        <f>Z35+AA31</f>
        <v/>
      </c>
      <c r="AB35" s="50">
        <f>AA35+AB31</f>
        <v/>
      </c>
      <c r="AC35" s="50">
        <f>AB35+AC31</f>
        <v/>
      </c>
      <c r="AD35" s="50">
        <f>AC35+AD31</f>
        <v/>
      </c>
      <c r="AE35" s="50">
        <f>AD35+AE31</f>
        <v/>
      </c>
    </row>
    <row r="36">
      <c r="A36" s="6" t="inlineStr">
        <is>
          <t xml:space="preserve">  SIP contributions</t>
        </is>
      </c>
      <c r="B36" s="23" t="inlineStr">
        <is>
          <t>USD</t>
        </is>
      </c>
      <c r="C36" s="61">
        <f>IF(C2&gt;=Assumptions!$B$47,C32*Assumptions!$B$190*C7,0)</f>
        <v/>
      </c>
      <c r="D36" s="61">
        <f>IF(D2&gt;=Assumptions!$B$47,D32*Assumptions!$B$190*D7,0)</f>
        <v/>
      </c>
      <c r="E36" s="61">
        <f>IF(E2&gt;=Assumptions!$B$47,E32*Assumptions!$B$190*E7,0)</f>
        <v/>
      </c>
      <c r="F36" s="61">
        <f>IF(F2&gt;=Assumptions!$B$47,F32*Assumptions!$B$190*F7,0)</f>
        <v/>
      </c>
      <c r="G36" s="61">
        <f>IF(G2&gt;=Assumptions!$B$47,G32*Assumptions!$B$190*G7,0)</f>
        <v/>
      </c>
      <c r="H36" s="61">
        <f>IF(H2&gt;=Assumptions!$B$47,H32*Assumptions!$B$190*H7,0)</f>
        <v/>
      </c>
      <c r="I36" s="61">
        <f>IF(I2&gt;=Assumptions!$B$47,I32*Assumptions!$B$190*I7,0)</f>
        <v/>
      </c>
      <c r="J36" s="61">
        <f>IF(J2&gt;=Assumptions!$B$47,J32*Assumptions!$B$190*J7,0)</f>
        <v/>
      </c>
      <c r="K36" s="61">
        <f>IF(K2&gt;=Assumptions!$B$47,K32*Assumptions!$B$190*K7,0)</f>
        <v/>
      </c>
      <c r="L36" s="61">
        <f>IF(L2&gt;=Assumptions!$B$47,L32*Assumptions!$B$190*L7,0)</f>
        <v/>
      </c>
      <c r="M36" s="61">
        <f>IF(M2&gt;=Assumptions!$B$47,M32*Assumptions!$B$190*M7,0)</f>
        <v/>
      </c>
      <c r="N36" s="61">
        <f>IF(N2&gt;=Assumptions!$B$47,N32*Assumptions!$B$190*N7,0)</f>
        <v/>
      </c>
      <c r="O36" s="61">
        <f>IF(O2&gt;=Assumptions!$B$47,O32*Assumptions!$B$190*O7,0)</f>
        <v/>
      </c>
      <c r="P36" s="61">
        <f>IF(P2&gt;=Assumptions!$B$47,P32*Assumptions!$B$190*P7,0)</f>
        <v/>
      </c>
      <c r="Q36" s="61">
        <f>IF(Q2&gt;=Assumptions!$B$47,Q32*Assumptions!$B$190*Q7,0)</f>
        <v/>
      </c>
      <c r="R36" s="61">
        <f>IF(R2&gt;=Assumptions!$B$47,R32*Assumptions!$B$190*R7,0)</f>
        <v/>
      </c>
      <c r="S36" s="61">
        <f>IF(S2&gt;=Assumptions!$B$47,S32*Assumptions!$B$190*S7,0)</f>
        <v/>
      </c>
      <c r="T36" s="61">
        <f>IF(T2&gt;=Assumptions!$B$47,T32*Assumptions!$B$190*T7,0)</f>
        <v/>
      </c>
      <c r="U36" s="61">
        <f>IF(U2&gt;=Assumptions!$B$47,U32*Assumptions!$B$190*U7,0)</f>
        <v/>
      </c>
      <c r="V36" s="61">
        <f>IF(V2&gt;=Assumptions!$B$47,V32*Assumptions!$B$190*V7,0)</f>
        <v/>
      </c>
      <c r="W36" s="61">
        <f>IF(W2&gt;=Assumptions!$B$47,W32*Assumptions!$B$190*W7,0)</f>
        <v/>
      </c>
      <c r="X36" s="61">
        <f>IF(X2&gt;=Assumptions!$B$47,X32*Assumptions!$B$190*X7,0)</f>
        <v/>
      </c>
      <c r="Y36" s="61">
        <f>IF(Y2&gt;=Assumptions!$B$47,Y32*Assumptions!$B$190*Y7,0)</f>
        <v/>
      </c>
      <c r="Z36" s="61">
        <f>IF(Z2&gt;=Assumptions!$B$47,Z32*Assumptions!$B$190*Z7,0)</f>
        <v/>
      </c>
      <c r="AA36" s="61">
        <f>IF(AA2&gt;=Assumptions!$B$47,AA32*Assumptions!$B$190*AA7,0)</f>
        <v/>
      </c>
      <c r="AB36" s="61">
        <f>IF(AB2&gt;=Assumptions!$B$47,AB32*Assumptions!$B$190*AB7,0)</f>
        <v/>
      </c>
      <c r="AC36" s="61">
        <f>IF(AC2&gt;=Assumptions!$B$47,AC32*Assumptions!$B$190*AC7,0)</f>
        <v/>
      </c>
      <c r="AD36" s="61">
        <f>IF(AD2&gt;=Assumptions!$B$47,AD32*Assumptions!$B$190*AD7,0)</f>
        <v/>
      </c>
      <c r="AE36" s="61">
        <f>IF(AE2&gt;=Assumptions!$B$47,AE32*Assumptions!$B$190*AE7,0)</f>
        <v/>
      </c>
    </row>
    <row r="37">
      <c r="A37" s="6" t="inlineStr">
        <is>
          <t xml:space="preserve">  Spot purchase volume</t>
        </is>
      </c>
      <c r="B37" s="23" t="inlineStr">
        <is>
          <t>USD</t>
        </is>
      </c>
      <c r="C37" s="61">
        <f>IF(C2&gt;=Assumptions!$B$48,C32*Assumptions!$B$35*Assumptions!$B$154*Assumptions!$B$156*Assumptions!$B$32*Assumptions!$B$155/12*C7,0)</f>
        <v/>
      </c>
      <c r="D37" s="61">
        <f>IF(D2&gt;=Assumptions!$B$48,D32*Assumptions!$B$35*Assumptions!$B$154*Assumptions!$B$156*Assumptions!$B$32*Assumptions!$B$155/12*D7,0)</f>
        <v/>
      </c>
      <c r="E37" s="61">
        <f>IF(E2&gt;=Assumptions!$B$48,E32*Assumptions!$B$35*Assumptions!$B$154*Assumptions!$B$156*Assumptions!$B$32*Assumptions!$B$155/12*E7,0)</f>
        <v/>
      </c>
      <c r="F37" s="61">
        <f>IF(F2&gt;=Assumptions!$B$48,F32*Assumptions!$B$35*Assumptions!$B$154*Assumptions!$B$156*Assumptions!$B$32*Assumptions!$B$155/12*F7,0)</f>
        <v/>
      </c>
      <c r="G37" s="61">
        <f>IF(G2&gt;=Assumptions!$B$48,G32*Assumptions!$B$35*Assumptions!$B$154*Assumptions!$B$156*Assumptions!$B$32*Assumptions!$B$155/12*G7,0)</f>
        <v/>
      </c>
      <c r="H37" s="61">
        <f>IF(H2&gt;=Assumptions!$B$48,H32*Assumptions!$B$35*Assumptions!$B$154*Assumptions!$B$156*Assumptions!$B$32*Assumptions!$B$155/12*H7,0)</f>
        <v/>
      </c>
      <c r="I37" s="61">
        <f>IF(I2&gt;=Assumptions!$B$48,I32*Assumptions!$B$35*Assumptions!$B$154*Assumptions!$B$156*Assumptions!$B$32*Assumptions!$B$155/12*I7,0)</f>
        <v/>
      </c>
      <c r="J37" s="61">
        <f>IF(J2&gt;=Assumptions!$B$48,J32*Assumptions!$B$35*Assumptions!$B$154*Assumptions!$B$156*Assumptions!$B$32*Assumptions!$B$155/12*J7,0)</f>
        <v/>
      </c>
      <c r="K37" s="61">
        <f>IF(K2&gt;=Assumptions!$B$48,K32*Assumptions!$B$35*Assumptions!$B$154*Assumptions!$B$156*Assumptions!$B$32*Assumptions!$B$155/12*K7,0)</f>
        <v/>
      </c>
      <c r="L37" s="61">
        <f>IF(L2&gt;=Assumptions!$B$48,L32*Assumptions!$B$35*Assumptions!$B$154*Assumptions!$B$156*Assumptions!$B$32*Assumptions!$B$155/12*L7,0)</f>
        <v/>
      </c>
      <c r="M37" s="61">
        <f>IF(M2&gt;=Assumptions!$B$48,M32*Assumptions!$B$35*Assumptions!$B$154*Assumptions!$B$156*Assumptions!$B$32*Assumptions!$B$155/12*M7,0)</f>
        <v/>
      </c>
      <c r="N37" s="61">
        <f>IF(N2&gt;=Assumptions!$B$48,N32*Assumptions!$B$35*Assumptions!$B$154*Assumptions!$B$156*Assumptions!$B$32*Assumptions!$B$155/12*N7,0)</f>
        <v/>
      </c>
      <c r="O37" s="61">
        <f>IF(O2&gt;=Assumptions!$B$48,O32*Assumptions!$B$35*Assumptions!$B$154*Assumptions!$B$156*Assumptions!$B$32*Assumptions!$B$155/12*O7,0)</f>
        <v/>
      </c>
      <c r="P37" s="61">
        <f>IF(P2&gt;=Assumptions!$B$48,P32*Assumptions!$B$35*Assumptions!$B$154*Assumptions!$B$156*Assumptions!$B$32*Assumptions!$B$155/12*P7,0)</f>
        <v/>
      </c>
      <c r="Q37" s="61">
        <f>IF(Q2&gt;=Assumptions!$B$48,Q32*Assumptions!$B$35*Assumptions!$B$154*Assumptions!$B$156*Assumptions!$B$32*Assumptions!$B$155/12*Q7,0)</f>
        <v/>
      </c>
      <c r="R37" s="61">
        <f>IF(R2&gt;=Assumptions!$B$48,R32*Assumptions!$B$35*Assumptions!$B$154*Assumptions!$B$156*Assumptions!$B$32*Assumptions!$B$155/12*R7,0)</f>
        <v/>
      </c>
      <c r="S37" s="61">
        <f>IF(S2&gt;=Assumptions!$B$48,S32*Assumptions!$B$35*Assumptions!$B$154*Assumptions!$B$156*Assumptions!$B$32*Assumptions!$B$155/12*S7,0)</f>
        <v/>
      </c>
      <c r="T37" s="61">
        <f>IF(T2&gt;=Assumptions!$B$48,T32*Assumptions!$B$35*Assumptions!$B$154*Assumptions!$B$156*Assumptions!$B$32*Assumptions!$B$155/12*T7,0)</f>
        <v/>
      </c>
      <c r="U37" s="61">
        <f>IF(U2&gt;=Assumptions!$B$48,U32*Assumptions!$B$35*Assumptions!$B$154*Assumptions!$B$156*Assumptions!$B$32*Assumptions!$B$155/12*U7,0)</f>
        <v/>
      </c>
      <c r="V37" s="61">
        <f>IF(V2&gt;=Assumptions!$B$48,V32*Assumptions!$B$35*Assumptions!$B$154*Assumptions!$B$156*Assumptions!$B$32*Assumptions!$B$155/12*V7,0)</f>
        <v/>
      </c>
      <c r="W37" s="61">
        <f>IF(W2&gt;=Assumptions!$B$48,W32*Assumptions!$B$35*Assumptions!$B$154*Assumptions!$B$156*Assumptions!$B$32*Assumptions!$B$155/12*W7,0)</f>
        <v/>
      </c>
      <c r="X37" s="61">
        <f>IF(X2&gt;=Assumptions!$B$48,X32*Assumptions!$B$35*Assumptions!$B$154*Assumptions!$B$156*Assumptions!$B$32*Assumptions!$B$155/12*X7,0)</f>
        <v/>
      </c>
      <c r="Y37" s="61">
        <f>IF(Y2&gt;=Assumptions!$B$48,Y32*Assumptions!$B$35*Assumptions!$B$154*Assumptions!$B$156*Assumptions!$B$32*Assumptions!$B$155/12*Y7,0)</f>
        <v/>
      </c>
      <c r="Z37" s="61">
        <f>IF(Z2&gt;=Assumptions!$B$48,Z32*Assumptions!$B$35*Assumptions!$B$154*Assumptions!$B$156*Assumptions!$B$32*Assumptions!$B$155/12*Z7,0)</f>
        <v/>
      </c>
      <c r="AA37" s="61">
        <f>IF(AA2&gt;=Assumptions!$B$48,AA32*Assumptions!$B$35*Assumptions!$B$154*Assumptions!$B$156*Assumptions!$B$32*Assumptions!$B$155/12*AA7,0)</f>
        <v/>
      </c>
      <c r="AB37" s="61">
        <f>IF(AB2&gt;=Assumptions!$B$48,AB32*Assumptions!$B$35*Assumptions!$B$154*Assumptions!$B$156*Assumptions!$B$32*Assumptions!$B$155/12*AB7,0)</f>
        <v/>
      </c>
      <c r="AC37" s="61">
        <f>IF(AC2&gt;=Assumptions!$B$48,AC32*Assumptions!$B$35*Assumptions!$B$154*Assumptions!$B$156*Assumptions!$B$32*Assumptions!$B$155/12*AC7,0)</f>
        <v/>
      </c>
      <c r="AD37" s="61">
        <f>IF(AD2&gt;=Assumptions!$B$48,AD32*Assumptions!$B$35*Assumptions!$B$154*Assumptions!$B$156*Assumptions!$B$32*Assumptions!$B$155/12*AD7,0)</f>
        <v/>
      </c>
      <c r="AE37" s="61">
        <f>IF(AE2&gt;=Assumptions!$B$48,AE32*Assumptions!$B$35*Assumptions!$B$154*Assumptions!$B$156*Assumptions!$B$32*Assumptions!$B$155/12*AE7,0)</f>
        <v/>
      </c>
    </row>
    <row r="38">
      <c r="A38" s="6" t="inlineStr">
        <is>
          <t xml:space="preserve">  Grams purchased</t>
        </is>
      </c>
      <c r="B38" s="23" t="inlineStr">
        <is>
          <t>grams</t>
        </is>
      </c>
      <c r="C38" s="60">
        <f>(C36+C37)*(1-Assumptions!$B$8)/C20/(1+Assumptions!$B$9*(1-Assumptions!$B$229))</f>
        <v/>
      </c>
      <c r="D38" s="60">
        <f>(D36+D37)*(1-Assumptions!$B$8)/D20/(1+Assumptions!$B$9*(1-Assumptions!$B$229))</f>
        <v/>
      </c>
      <c r="E38" s="60">
        <f>(E36+E37)*(1-Assumptions!$B$8)/E20/(1+Assumptions!$B$9*(1-Assumptions!$B$229))</f>
        <v/>
      </c>
      <c r="F38" s="60">
        <f>(F36+F37)*(1-Assumptions!$B$8)/F20/(1+Assumptions!$B$9*(1-Assumptions!$B$229))</f>
        <v/>
      </c>
      <c r="G38" s="60">
        <f>(G36+G37)*(1-Assumptions!$B$8)/G20/(1+Assumptions!$B$9*(1-Assumptions!$B$229))</f>
        <v/>
      </c>
      <c r="H38" s="60">
        <f>(H36+H37)*(1-Assumptions!$B$8)/H20/(1+Assumptions!$B$9*(1-Assumptions!$B$229))</f>
        <v/>
      </c>
      <c r="I38" s="60">
        <f>(I36+I37)*(1-Assumptions!$B$8)/I20/(1+Assumptions!$B$9*(1-Assumptions!$B$229))</f>
        <v/>
      </c>
      <c r="J38" s="60">
        <f>(J36+J37)*(1-Assumptions!$B$8)/J20/(1+Assumptions!$B$9*(1-Assumptions!$B$229))</f>
        <v/>
      </c>
      <c r="K38" s="60">
        <f>(K36+K37)*(1-Assumptions!$B$8)/K20/(1+Assumptions!$B$9*(1-Assumptions!$B$229))</f>
        <v/>
      </c>
      <c r="L38" s="60">
        <f>(L36+L37)*(1-Assumptions!$B$8)/L20/(1+Assumptions!$B$9*(1-Assumptions!$B$229))</f>
        <v/>
      </c>
      <c r="M38" s="60">
        <f>(M36+M37)*(1-Assumptions!$B$8)/M20/(1+Assumptions!$B$9*(1-Assumptions!$B$229))</f>
        <v/>
      </c>
      <c r="N38" s="60">
        <f>(N36+N37)*(1-Assumptions!$B$8)/N20/(1+Assumptions!$B$9*(1-Assumptions!$B$229))</f>
        <v/>
      </c>
      <c r="O38" s="60">
        <f>(O36+O37)*(1-Assumptions!$B$8)/O20/(1+Assumptions!$B$9*(1-Assumptions!$B$229))</f>
        <v/>
      </c>
      <c r="P38" s="60">
        <f>(P36+P37)*(1-Assumptions!$B$8)/P20/(1+Assumptions!$B$9*(1-Assumptions!$B$229))</f>
        <v/>
      </c>
      <c r="Q38" s="60">
        <f>(Q36+Q37)*(1-Assumptions!$B$8)/Q20/(1+Assumptions!$B$9*(1-Assumptions!$B$229))</f>
        <v/>
      </c>
      <c r="R38" s="60">
        <f>(R36+R37)*(1-Assumptions!$B$8)/R20/(1+Assumptions!$B$9*(1-Assumptions!$B$229))</f>
        <v/>
      </c>
      <c r="S38" s="60">
        <f>(S36+S37)*(1-Assumptions!$B$8)/S20/(1+Assumptions!$B$9*(1-Assumptions!$B$229))</f>
        <v/>
      </c>
      <c r="T38" s="60">
        <f>(T36+T37)*(1-Assumptions!$B$8)/T20/(1+Assumptions!$B$9*(1-Assumptions!$B$229))</f>
        <v/>
      </c>
      <c r="U38" s="60">
        <f>(U36+U37)*(1-Assumptions!$B$8)/U20/(1+Assumptions!$B$9*(1-Assumptions!$B$229))</f>
        <v/>
      </c>
      <c r="V38" s="60">
        <f>(V36+V37)*(1-Assumptions!$B$8)/V20/(1+Assumptions!$B$9*(1-Assumptions!$B$229))</f>
        <v/>
      </c>
      <c r="W38" s="60">
        <f>(W36+W37)*(1-Assumptions!$B$8)/W20/(1+Assumptions!$B$9*(1-Assumptions!$B$229))</f>
        <v/>
      </c>
      <c r="X38" s="60">
        <f>(X36+X37)*(1-Assumptions!$B$8)/X20/(1+Assumptions!$B$9*(1-Assumptions!$B$229))</f>
        <v/>
      </c>
      <c r="Y38" s="60">
        <f>(Y36+Y37)*(1-Assumptions!$B$8)/Y20/(1+Assumptions!$B$9*(1-Assumptions!$B$229))</f>
        <v/>
      </c>
      <c r="Z38" s="60">
        <f>(Z36+Z37)*(1-Assumptions!$B$8)/Z20/(1+Assumptions!$B$9*(1-Assumptions!$B$229))</f>
        <v/>
      </c>
      <c r="AA38" s="60">
        <f>(AA36+AA37)*(1-Assumptions!$B$8)/AA20/(1+Assumptions!$B$9*(1-Assumptions!$B$229))</f>
        <v/>
      </c>
      <c r="AB38" s="60">
        <f>(AB36+AB37)*(1-Assumptions!$B$8)/AB20/(1+Assumptions!$B$9*(1-Assumptions!$B$229))</f>
        <v/>
      </c>
      <c r="AC38" s="60">
        <f>(AC36+AC37)*(1-Assumptions!$B$8)/AC20/(1+Assumptions!$B$9*(1-Assumptions!$B$229))</f>
        <v/>
      </c>
      <c r="AD38" s="60">
        <f>(AD36+AD37)*(1-Assumptions!$B$8)/AD20/(1+Assumptions!$B$9*(1-Assumptions!$B$229))</f>
        <v/>
      </c>
      <c r="AE38" s="60">
        <f>(AE36+AE37)*(1-Assumptions!$B$8)/AE20/(1+Assumptions!$B$9*(1-Assumptions!$B$229))</f>
        <v/>
      </c>
    </row>
    <row r="39">
      <c r="A39" s="6" t="inlineStr">
        <is>
          <t xml:space="preserve">  Collateral-eligible AUM decay rate (holder-weighted)</t>
        </is>
      </c>
      <c r="B39" s="23" t="inlineStr">
        <is>
          <t>%/period</t>
        </is>
      </c>
      <c r="C39" s="62">
        <f>(Assumptions!$B$151+Assumptions!$B$152*IF(C32+C34=0,1,(C32+C34*Assumptions!$B$153)/(C32+C34)))*C7/12</f>
        <v/>
      </c>
      <c r="D39" s="62">
        <f>(Assumptions!$B$151+Assumptions!$B$152*IF(D32+D34=0,1,(D32+D34*Assumptions!$B$153)/(D32+D34)))*D7/12</f>
        <v/>
      </c>
      <c r="E39" s="62">
        <f>(Assumptions!$B$151+Assumptions!$B$152*IF(E32+E34=0,1,(E32+E34*Assumptions!$B$153)/(E32+E34)))*E7/12</f>
        <v/>
      </c>
      <c r="F39" s="62">
        <f>(Assumptions!$B$151+Assumptions!$B$152*IF(F32+F34=0,1,(F32+F34*Assumptions!$B$153)/(F32+F34)))*F7/12</f>
        <v/>
      </c>
      <c r="G39" s="62">
        <f>(Assumptions!$B$151+Assumptions!$B$152*IF(G32+G34=0,1,(G32+G34*Assumptions!$B$153)/(G32+G34)))*G7/12</f>
        <v/>
      </c>
      <c r="H39" s="62">
        <f>(Assumptions!$B$151+Assumptions!$B$152*IF(H32+H34=0,1,(H32+H34*Assumptions!$B$153)/(H32+H34)))*H7/12</f>
        <v/>
      </c>
      <c r="I39" s="62">
        <f>(Assumptions!$B$151+Assumptions!$B$152*IF(I32+I34=0,1,(I32+I34*Assumptions!$B$153)/(I32+I34)))*I7/12</f>
        <v/>
      </c>
      <c r="J39" s="62">
        <f>(Assumptions!$B$151+Assumptions!$B$152*IF(J32+J34=0,1,(J32+J34*Assumptions!$B$153)/(J32+J34)))*J7/12</f>
        <v/>
      </c>
      <c r="K39" s="62">
        <f>(Assumptions!$B$151+Assumptions!$B$152*IF(K32+K34=0,1,(K32+K34*Assumptions!$B$153)/(K32+K34)))*K7/12</f>
        <v/>
      </c>
      <c r="L39" s="62">
        <f>(Assumptions!$B$151+Assumptions!$B$152*IF(L32+L34=0,1,(L32+L34*Assumptions!$B$153)/(L32+L34)))*L7/12</f>
        <v/>
      </c>
      <c r="M39" s="62">
        <f>(Assumptions!$B$151+Assumptions!$B$152*IF(M32+M34=0,1,(M32+M34*Assumptions!$B$153)/(M32+M34)))*M7/12</f>
        <v/>
      </c>
      <c r="N39" s="62">
        <f>(Assumptions!$B$151+Assumptions!$B$152*IF(N32+N34=0,1,(N32+N34*Assumptions!$B$153)/(N32+N34)))*N7/12</f>
        <v/>
      </c>
      <c r="O39" s="62">
        <f>(Assumptions!$B$151+Assumptions!$B$152*IF(O32+O34=0,1,(O32+O34*Assumptions!$B$153)/(O32+O34)))*O7/12</f>
        <v/>
      </c>
      <c r="P39" s="62">
        <f>(Assumptions!$B$151+Assumptions!$B$152*IF(P32+P34=0,1,(P32+P34*Assumptions!$B$153)/(P32+P34)))*P7/12</f>
        <v/>
      </c>
      <c r="Q39" s="62">
        <f>(Assumptions!$B$151+Assumptions!$B$152*IF(Q32+Q34=0,1,(Q32+Q34*Assumptions!$B$153)/(Q32+Q34)))*Q7/12</f>
        <v/>
      </c>
      <c r="R39" s="62">
        <f>(Assumptions!$B$151+Assumptions!$B$152*IF(R32+R34=0,1,(R32+R34*Assumptions!$B$153)/(R32+R34)))*R7/12</f>
        <v/>
      </c>
      <c r="S39" s="62">
        <f>(Assumptions!$B$151+Assumptions!$B$152*IF(S32+S34=0,1,(S32+S34*Assumptions!$B$153)/(S32+S34)))*S7/12</f>
        <v/>
      </c>
      <c r="T39" s="62">
        <f>(Assumptions!$B$151+Assumptions!$B$152*IF(T32+T34=0,1,(T32+T34*Assumptions!$B$153)/(T32+T34)))*T7/12</f>
        <v/>
      </c>
      <c r="U39" s="62">
        <f>(Assumptions!$B$151+Assumptions!$B$152*IF(U32+U34=0,1,(U32+U34*Assumptions!$B$153)/(U32+U34)))*U7/12</f>
        <v/>
      </c>
      <c r="V39" s="62">
        <f>(Assumptions!$B$151+Assumptions!$B$152*IF(V32+V34=0,1,(V32+V34*Assumptions!$B$153)/(V32+V34)))*V7/12</f>
        <v/>
      </c>
      <c r="W39" s="62">
        <f>(Assumptions!$B$151+Assumptions!$B$152*IF(W32+W34=0,1,(W32+W34*Assumptions!$B$153)/(W32+W34)))*W7/12</f>
        <v/>
      </c>
      <c r="X39" s="62">
        <f>(Assumptions!$B$151+Assumptions!$B$152*IF(X32+X34=0,1,(X32+X34*Assumptions!$B$153)/(X32+X34)))*X7/12</f>
        <v/>
      </c>
      <c r="Y39" s="62">
        <f>(Assumptions!$B$151+Assumptions!$B$152*IF(Y32+Y34=0,1,(Y32+Y34*Assumptions!$B$153)/(Y32+Y34)))*Y7/12</f>
        <v/>
      </c>
      <c r="Z39" s="62">
        <f>(Assumptions!$B$151+Assumptions!$B$152*IF(Z32+Z34=0,1,(Z32+Z34*Assumptions!$B$153)/(Z32+Z34)))*Z7/12</f>
        <v/>
      </c>
      <c r="AA39" s="62">
        <f>(Assumptions!$B$151+Assumptions!$B$152*IF(AA32+AA34=0,1,(AA32+AA34*Assumptions!$B$153)/(AA32+AA34)))*AA7/12</f>
        <v/>
      </c>
      <c r="AB39" s="62">
        <f>(Assumptions!$B$151+Assumptions!$B$152*IF(AB32+AB34=0,1,(AB32+AB34*Assumptions!$B$153)/(AB32+AB34)))*AB7/12</f>
        <v/>
      </c>
      <c r="AC39" s="62">
        <f>(Assumptions!$B$151+Assumptions!$B$152*IF(AC32+AC34=0,1,(AC32+AC34*Assumptions!$B$153)/(AC32+AC34)))*AC7/12</f>
        <v/>
      </c>
      <c r="AD39" s="62">
        <f>(Assumptions!$B$151+Assumptions!$B$152*IF(AD32+AD34=0,1,(AD32+AD34*Assumptions!$B$153)/(AD32+AD34)))*AD7/12</f>
        <v/>
      </c>
      <c r="AE39" s="62">
        <f>(Assumptions!$B$151+Assumptions!$B$152*IF(AE32+AE34=0,1,(AE32+AE34*Assumptions!$B$153)/(AE32+AE34)))*AE7/12</f>
        <v/>
      </c>
    </row>
    <row r="40">
      <c r="A40" s="6" t="inlineStr">
        <is>
          <t xml:space="preserve">  Redemption-only decay rate (metal actually leaving)</t>
        </is>
      </c>
      <c r="B40" s="23" t="inlineStr">
        <is>
          <t>%/period</t>
        </is>
      </c>
      <c r="C40" s="62">
        <f>Assumptions!$B$152*IF(C32+C34=0,1,(C32+C34*Assumptions!$B$153)/(C32+C34))*C7/12</f>
        <v/>
      </c>
      <c r="D40" s="62">
        <f>Assumptions!$B$152*IF(D32+D34=0,1,(D32+D34*Assumptions!$B$153)/(D32+D34))*D7/12</f>
        <v/>
      </c>
      <c r="E40" s="62">
        <f>Assumptions!$B$152*IF(E32+E34=0,1,(E32+E34*Assumptions!$B$153)/(E32+E34))*E7/12</f>
        <v/>
      </c>
      <c r="F40" s="62">
        <f>Assumptions!$B$152*IF(F32+F34=0,1,(F32+F34*Assumptions!$B$153)/(F32+F34))*F7/12</f>
        <v/>
      </c>
      <c r="G40" s="62">
        <f>Assumptions!$B$152*IF(G32+G34=0,1,(G32+G34*Assumptions!$B$153)/(G32+G34))*G7/12</f>
        <v/>
      </c>
      <c r="H40" s="62">
        <f>Assumptions!$B$152*IF(H32+H34=0,1,(H32+H34*Assumptions!$B$153)/(H32+H34))*H7/12</f>
        <v/>
      </c>
      <c r="I40" s="62">
        <f>Assumptions!$B$152*IF(I32+I34=0,1,(I32+I34*Assumptions!$B$153)/(I32+I34))*I7/12</f>
        <v/>
      </c>
      <c r="J40" s="62">
        <f>Assumptions!$B$152*IF(J32+J34=0,1,(J32+J34*Assumptions!$B$153)/(J32+J34))*J7/12</f>
        <v/>
      </c>
      <c r="K40" s="62">
        <f>Assumptions!$B$152*IF(K32+K34=0,1,(K32+K34*Assumptions!$B$153)/(K32+K34))*K7/12</f>
        <v/>
      </c>
      <c r="L40" s="62">
        <f>Assumptions!$B$152*IF(L32+L34=0,1,(L32+L34*Assumptions!$B$153)/(L32+L34))*L7/12</f>
        <v/>
      </c>
      <c r="M40" s="62">
        <f>Assumptions!$B$152*IF(M32+M34=0,1,(M32+M34*Assumptions!$B$153)/(M32+M34))*M7/12</f>
        <v/>
      </c>
      <c r="N40" s="62">
        <f>Assumptions!$B$152*IF(N32+N34=0,1,(N32+N34*Assumptions!$B$153)/(N32+N34))*N7/12</f>
        <v/>
      </c>
      <c r="O40" s="62">
        <f>Assumptions!$B$152*IF(O32+O34=0,1,(O32+O34*Assumptions!$B$153)/(O32+O34))*O7/12</f>
        <v/>
      </c>
      <c r="P40" s="62">
        <f>Assumptions!$B$152*IF(P32+P34=0,1,(P32+P34*Assumptions!$B$153)/(P32+P34))*P7/12</f>
        <v/>
      </c>
      <c r="Q40" s="62">
        <f>Assumptions!$B$152*IF(Q32+Q34=0,1,(Q32+Q34*Assumptions!$B$153)/(Q32+Q34))*Q7/12</f>
        <v/>
      </c>
      <c r="R40" s="62">
        <f>Assumptions!$B$152*IF(R32+R34=0,1,(R32+R34*Assumptions!$B$153)/(R32+R34))*R7/12</f>
        <v/>
      </c>
      <c r="S40" s="62">
        <f>Assumptions!$B$152*IF(S32+S34=0,1,(S32+S34*Assumptions!$B$153)/(S32+S34))*S7/12</f>
        <v/>
      </c>
      <c r="T40" s="62">
        <f>Assumptions!$B$152*IF(T32+T34=0,1,(T32+T34*Assumptions!$B$153)/(T32+T34))*T7/12</f>
        <v/>
      </c>
      <c r="U40" s="62">
        <f>Assumptions!$B$152*IF(U32+U34=0,1,(U32+U34*Assumptions!$B$153)/(U32+U34))*U7/12</f>
        <v/>
      </c>
      <c r="V40" s="62">
        <f>Assumptions!$B$152*IF(V32+V34=0,1,(V32+V34*Assumptions!$B$153)/(V32+V34))*V7/12</f>
        <v/>
      </c>
      <c r="W40" s="62">
        <f>Assumptions!$B$152*IF(W32+W34=0,1,(W32+W34*Assumptions!$B$153)/(W32+W34))*W7/12</f>
        <v/>
      </c>
      <c r="X40" s="62">
        <f>Assumptions!$B$152*IF(X32+X34=0,1,(X32+X34*Assumptions!$B$153)/(X32+X34))*X7/12</f>
        <v/>
      </c>
      <c r="Y40" s="62">
        <f>Assumptions!$B$152*IF(Y32+Y34=0,1,(Y32+Y34*Assumptions!$B$153)/(Y32+Y34))*Y7/12</f>
        <v/>
      </c>
      <c r="Z40" s="62">
        <f>Assumptions!$B$152*IF(Z32+Z34=0,1,(Z32+Z34*Assumptions!$B$153)/(Z32+Z34))*Z7/12</f>
        <v/>
      </c>
      <c r="AA40" s="62">
        <f>Assumptions!$B$152*IF(AA32+AA34=0,1,(AA32+AA34*Assumptions!$B$153)/(AA32+AA34))*AA7/12</f>
        <v/>
      </c>
      <c r="AB40" s="62">
        <f>Assumptions!$B$152*IF(AB32+AB34=0,1,(AB32+AB34*Assumptions!$B$153)/(AB32+AB34))*AB7/12</f>
        <v/>
      </c>
      <c r="AC40" s="62">
        <f>Assumptions!$B$152*IF(AC32+AC34=0,1,(AC32+AC34*Assumptions!$B$153)/(AC32+AC34))*AC7/12</f>
        <v/>
      </c>
      <c r="AD40" s="62">
        <f>Assumptions!$B$152*IF(AD32+AD34=0,1,(AD32+AD34*Assumptions!$B$153)/(AD32+AD34))*AD7/12</f>
        <v/>
      </c>
      <c r="AE40" s="62">
        <f>Assumptions!$B$152*IF(AE32+AE34=0,1,(AE32+AE34*Assumptions!$B$153)/(AE32+AE34))*AE7/12</f>
        <v/>
      </c>
    </row>
    <row r="41">
      <c r="A41" s="6" t="inlineStr">
        <is>
          <t xml:space="preserve">  Grams held (collateral-eligible)</t>
        </is>
      </c>
      <c r="B41" s="23" t="inlineStr">
        <is>
          <t>grams</t>
        </is>
      </c>
      <c r="C41" s="50">
        <f>C38</f>
        <v/>
      </c>
      <c r="D41" s="50">
        <f>C41*(1-D39)+D38</f>
        <v/>
      </c>
      <c r="E41" s="50">
        <f>D41*(1-E39)+E38</f>
        <v/>
      </c>
      <c r="F41" s="50">
        <f>E41*(1-F39)+F38</f>
        <v/>
      </c>
      <c r="G41" s="50">
        <f>F41*(1-G39)+G38</f>
        <v/>
      </c>
      <c r="H41" s="50">
        <f>G41*(1-H39)+H38</f>
        <v/>
      </c>
      <c r="I41" s="50">
        <f>H41*(1-I39)+I38</f>
        <v/>
      </c>
      <c r="J41" s="50">
        <f>I41*(1-J39)+J38</f>
        <v/>
      </c>
      <c r="K41" s="50">
        <f>J41*(1-K39)+K38</f>
        <v/>
      </c>
      <c r="L41" s="50">
        <f>K41*(1-L39)+L38</f>
        <v/>
      </c>
      <c r="M41" s="50">
        <f>L41*(1-M39)+M38</f>
        <v/>
      </c>
      <c r="N41" s="50">
        <f>M41*(1-N39)+N38</f>
        <v/>
      </c>
      <c r="O41" s="50">
        <f>N41*(1-O39)+O38</f>
        <v/>
      </c>
      <c r="P41" s="50">
        <f>O41*(1-P39)+P38</f>
        <v/>
      </c>
      <c r="Q41" s="50">
        <f>P41*(1-Q39)+Q38</f>
        <v/>
      </c>
      <c r="R41" s="50">
        <f>Q41*(1-R39)+R38</f>
        <v/>
      </c>
      <c r="S41" s="50">
        <f>R41*(1-S39)+S38</f>
        <v/>
      </c>
      <c r="T41" s="50">
        <f>S41*(1-T39)+T38</f>
        <v/>
      </c>
      <c r="U41" s="50">
        <f>T41*(1-U39)+U38</f>
        <v/>
      </c>
      <c r="V41" s="50">
        <f>U41*(1-V39)+V38</f>
        <v/>
      </c>
      <c r="W41" s="50">
        <f>V41*(1-W39)+W38</f>
        <v/>
      </c>
      <c r="X41" s="50">
        <f>W41*(1-X39)+X38</f>
        <v/>
      </c>
      <c r="Y41" s="50">
        <f>X41*(1-Y39)+Y38</f>
        <v/>
      </c>
      <c r="Z41" s="50">
        <f>Y41*(1-Z39)+Z38</f>
        <v/>
      </c>
      <c r="AA41" s="50">
        <f>Z41*(1-AA39)+AA38</f>
        <v/>
      </c>
      <c r="AB41" s="50">
        <f>AA41*(1-AB39)+AB38</f>
        <v/>
      </c>
      <c r="AC41" s="50">
        <f>AB41*(1-AC39)+AC38</f>
        <v/>
      </c>
      <c r="AD41" s="50">
        <f>AC41*(1-AD39)+AD38</f>
        <v/>
      </c>
      <c r="AE41" s="50">
        <f>AD41*(1-AE39)+AE38</f>
        <v/>
      </c>
    </row>
    <row r="42">
      <c r="A42" s="6" t="inlineStr">
        <is>
          <t xml:space="preserve">  Grams under custody (vaulted, incl. self-custodied)</t>
        </is>
      </c>
      <c r="B42" s="23" t="inlineStr">
        <is>
          <t>grams</t>
        </is>
      </c>
      <c r="C42" s="50">
        <f>C38</f>
        <v/>
      </c>
      <c r="D42" s="50">
        <f>C42*(1-D40)+D38</f>
        <v/>
      </c>
      <c r="E42" s="50">
        <f>D42*(1-E40)+E38</f>
        <v/>
      </c>
      <c r="F42" s="50">
        <f>E42*(1-F40)+F38</f>
        <v/>
      </c>
      <c r="G42" s="50">
        <f>F42*(1-G40)+G38</f>
        <v/>
      </c>
      <c r="H42" s="50">
        <f>G42*(1-H40)+H38</f>
        <v/>
      </c>
      <c r="I42" s="50">
        <f>H42*(1-I40)+I38</f>
        <v/>
      </c>
      <c r="J42" s="50">
        <f>I42*(1-J40)+J38</f>
        <v/>
      </c>
      <c r="K42" s="50">
        <f>J42*(1-K40)+K38</f>
        <v/>
      </c>
      <c r="L42" s="50">
        <f>K42*(1-L40)+L38</f>
        <v/>
      </c>
      <c r="M42" s="50">
        <f>L42*(1-M40)+M38</f>
        <v/>
      </c>
      <c r="N42" s="50">
        <f>M42*(1-N40)+N38</f>
        <v/>
      </c>
      <c r="O42" s="50">
        <f>N42*(1-O40)+O38</f>
        <v/>
      </c>
      <c r="P42" s="50">
        <f>O42*(1-P40)+P38</f>
        <v/>
      </c>
      <c r="Q42" s="50">
        <f>P42*(1-Q40)+Q38</f>
        <v/>
      </c>
      <c r="R42" s="50">
        <f>Q42*(1-R40)+R38</f>
        <v/>
      </c>
      <c r="S42" s="50">
        <f>R42*(1-S40)+S38</f>
        <v/>
      </c>
      <c r="T42" s="50">
        <f>S42*(1-T40)+T38</f>
        <v/>
      </c>
      <c r="U42" s="50">
        <f>T42*(1-U40)+U38</f>
        <v/>
      </c>
      <c r="V42" s="50">
        <f>U42*(1-V40)+V38</f>
        <v/>
      </c>
      <c r="W42" s="50">
        <f>V42*(1-W40)+W38</f>
        <v/>
      </c>
      <c r="X42" s="50">
        <f>W42*(1-X40)+X38</f>
        <v/>
      </c>
      <c r="Y42" s="50">
        <f>X42*(1-Y40)+Y38</f>
        <v/>
      </c>
      <c r="Z42" s="50">
        <f>Y42*(1-Z40)+Z38</f>
        <v/>
      </c>
      <c r="AA42" s="50">
        <f>Z42*(1-AA40)+AA38</f>
        <v/>
      </c>
      <c r="AB42" s="50">
        <f>AA42*(1-AB40)+AB38</f>
        <v/>
      </c>
      <c r="AC42" s="50">
        <f>AB42*(1-AC40)+AC38</f>
        <v/>
      </c>
      <c r="AD42" s="50">
        <f>AC42*(1-AD40)+AD38</f>
        <v/>
      </c>
      <c r="AE42" s="50">
        <f>AD42*(1-AE40)+AE38</f>
        <v/>
      </c>
    </row>
    <row r="43">
      <c r="A43" s="6" t="inlineStr">
        <is>
          <t xml:space="preserve">  AUM</t>
        </is>
      </c>
      <c r="B43" s="23" t="inlineStr">
        <is>
          <t>USD</t>
        </is>
      </c>
      <c r="C43" s="63">
        <f>C41*C20</f>
        <v/>
      </c>
      <c r="D43" s="63">
        <f>D41*D20</f>
        <v/>
      </c>
      <c r="E43" s="63">
        <f>E41*E20</f>
        <v/>
      </c>
      <c r="F43" s="63">
        <f>F41*F20</f>
        <v/>
      </c>
      <c r="G43" s="63">
        <f>G41*G20</f>
        <v/>
      </c>
      <c r="H43" s="63">
        <f>H41*H20</f>
        <v/>
      </c>
      <c r="I43" s="63">
        <f>I41*I20</f>
        <v/>
      </c>
      <c r="J43" s="63">
        <f>J41*J20</f>
        <v/>
      </c>
      <c r="K43" s="63">
        <f>K41*K20</f>
        <v/>
      </c>
      <c r="L43" s="63">
        <f>L41*L20</f>
        <v/>
      </c>
      <c r="M43" s="63">
        <f>M41*M20</f>
        <v/>
      </c>
      <c r="N43" s="63">
        <f>N41*N20</f>
        <v/>
      </c>
      <c r="O43" s="63">
        <f>O41*O20</f>
        <v/>
      </c>
      <c r="P43" s="63">
        <f>P41*P20</f>
        <v/>
      </c>
      <c r="Q43" s="63">
        <f>Q41*Q20</f>
        <v/>
      </c>
      <c r="R43" s="63">
        <f>R41*R20</f>
        <v/>
      </c>
      <c r="S43" s="63">
        <f>S41*S20</f>
        <v/>
      </c>
      <c r="T43" s="63">
        <f>T41*T20</f>
        <v/>
      </c>
      <c r="U43" s="63">
        <f>U41*U20</f>
        <v/>
      </c>
      <c r="V43" s="63">
        <f>V41*V20</f>
        <v/>
      </c>
      <c r="W43" s="63">
        <f>W41*W20</f>
        <v/>
      </c>
      <c r="X43" s="63">
        <f>X41*X20</f>
        <v/>
      </c>
      <c r="Y43" s="63">
        <f>Y41*Y20</f>
        <v/>
      </c>
      <c r="Z43" s="63">
        <f>Z41*Z20</f>
        <v/>
      </c>
      <c r="AA43" s="63">
        <f>AA41*AA20</f>
        <v/>
      </c>
      <c r="AB43" s="63">
        <f>AB41*AB20</f>
        <v/>
      </c>
      <c r="AC43" s="63">
        <f>AC41*AC20</f>
        <v/>
      </c>
      <c r="AD43" s="63">
        <f>AD41*AD20</f>
        <v/>
      </c>
      <c r="AE43" s="63">
        <f>AE41*AE20</f>
        <v/>
      </c>
    </row>
    <row r="44">
      <c r="A44" s="6" t="inlineStr">
        <is>
          <t xml:space="preserve">  Card-eligible base</t>
        </is>
      </c>
      <c r="B44" s="23" t="inlineStr">
        <is>
          <t>accounts</t>
        </is>
      </c>
      <c r="C44" s="60">
        <f>C32+C34*Assumptions!$B$228</f>
        <v/>
      </c>
      <c r="D44" s="60">
        <f>D32+D34*Assumptions!$B$228</f>
        <v/>
      </c>
      <c r="E44" s="60">
        <f>E32+E34*Assumptions!$B$228</f>
        <v/>
      </c>
      <c r="F44" s="60">
        <f>F32+F34*Assumptions!$B$228</f>
        <v/>
      </c>
      <c r="G44" s="60">
        <f>G32+G34*Assumptions!$B$228</f>
        <v/>
      </c>
      <c r="H44" s="60">
        <f>H32+H34*Assumptions!$B$228</f>
        <v/>
      </c>
      <c r="I44" s="60">
        <f>I32+I34*Assumptions!$B$228</f>
        <v/>
      </c>
      <c r="J44" s="60">
        <f>J32+J34*Assumptions!$B$228</f>
        <v/>
      </c>
      <c r="K44" s="60">
        <f>K32+K34*Assumptions!$B$228</f>
        <v/>
      </c>
      <c r="L44" s="60">
        <f>L32+L34*Assumptions!$B$228</f>
        <v/>
      </c>
      <c r="M44" s="60">
        <f>M32+M34*Assumptions!$B$228</f>
        <v/>
      </c>
      <c r="N44" s="60">
        <f>N32+N34*Assumptions!$B$228</f>
        <v/>
      </c>
      <c r="O44" s="60">
        <f>O32+O34*Assumptions!$B$228</f>
        <v/>
      </c>
      <c r="P44" s="60">
        <f>P32+P34*Assumptions!$B$228</f>
        <v/>
      </c>
      <c r="Q44" s="60">
        <f>Q32+Q34*Assumptions!$B$228</f>
        <v/>
      </c>
      <c r="R44" s="60">
        <f>R32+R34*Assumptions!$B$228</f>
        <v/>
      </c>
      <c r="S44" s="60">
        <f>S32+S34*Assumptions!$B$228</f>
        <v/>
      </c>
      <c r="T44" s="60">
        <f>T32+T34*Assumptions!$B$228</f>
        <v/>
      </c>
      <c r="U44" s="60">
        <f>U32+U34*Assumptions!$B$228</f>
        <v/>
      </c>
      <c r="V44" s="60">
        <f>V32+V34*Assumptions!$B$228</f>
        <v/>
      </c>
      <c r="W44" s="60">
        <f>W32+W34*Assumptions!$B$228</f>
        <v/>
      </c>
      <c r="X44" s="60">
        <f>X32+X34*Assumptions!$B$228</f>
        <v/>
      </c>
      <c r="Y44" s="60">
        <f>Y32+Y34*Assumptions!$B$228</f>
        <v/>
      </c>
      <c r="Z44" s="60">
        <f>Z32+Z34*Assumptions!$B$228</f>
        <v/>
      </c>
      <c r="AA44" s="60">
        <f>AA32+AA34*Assumptions!$B$228</f>
        <v/>
      </c>
      <c r="AB44" s="60">
        <f>AB32+AB34*Assumptions!$B$228</f>
        <v/>
      </c>
      <c r="AC44" s="60">
        <f>AC32+AC34*Assumptions!$B$228</f>
        <v/>
      </c>
      <c r="AD44" s="60">
        <f>AD32+AD34*Assumptions!$B$228</f>
        <v/>
      </c>
      <c r="AE44" s="60">
        <f>AE32+AE34*Assumptions!$B$228</f>
        <v/>
      </c>
    </row>
    <row r="45">
      <c r="A45" s="6" t="inlineStr">
        <is>
          <t xml:space="preserve">  Reaches an ICS benefit tier (memo - drives discounts, not access)</t>
        </is>
      </c>
      <c r="B45" s="23" t="inlineStr">
        <is>
          <t>accounts</t>
        </is>
      </c>
      <c r="C45" s="64">
        <f>IF(C7&gt;1,C44*Assumptions!$B$149,IF(C2&gt;Assumptions!$B$150,INDEX($C$44:$AE$44,1,C2-Assumptions!$B$150)*Assumptions!$B$149,0))</f>
        <v/>
      </c>
      <c r="D45" s="64">
        <f>IF(D7&gt;1,D44*Assumptions!$B$149,IF(D2&gt;Assumptions!$B$150,INDEX($C$44:$AE$44,1,D2-Assumptions!$B$150)*Assumptions!$B$149,0))</f>
        <v/>
      </c>
      <c r="E45" s="64">
        <f>IF(E7&gt;1,E44*Assumptions!$B$149,IF(E2&gt;Assumptions!$B$150,INDEX($C$44:$AE$44,1,E2-Assumptions!$B$150)*Assumptions!$B$149,0))</f>
        <v/>
      </c>
      <c r="F45" s="64">
        <f>IF(F7&gt;1,F44*Assumptions!$B$149,IF(F2&gt;Assumptions!$B$150,INDEX($C$44:$AE$44,1,F2-Assumptions!$B$150)*Assumptions!$B$149,0))</f>
        <v/>
      </c>
      <c r="G45" s="64">
        <f>IF(G7&gt;1,G44*Assumptions!$B$149,IF(G2&gt;Assumptions!$B$150,INDEX($C$44:$AE$44,1,G2-Assumptions!$B$150)*Assumptions!$B$149,0))</f>
        <v/>
      </c>
      <c r="H45" s="64">
        <f>IF(H7&gt;1,H44*Assumptions!$B$149,IF(H2&gt;Assumptions!$B$150,INDEX($C$44:$AE$44,1,H2-Assumptions!$B$150)*Assumptions!$B$149,0))</f>
        <v/>
      </c>
      <c r="I45" s="64">
        <f>IF(I7&gt;1,I44*Assumptions!$B$149,IF(I2&gt;Assumptions!$B$150,INDEX($C$44:$AE$44,1,I2-Assumptions!$B$150)*Assumptions!$B$149,0))</f>
        <v/>
      </c>
      <c r="J45" s="64">
        <f>IF(J7&gt;1,J44*Assumptions!$B$149,IF(J2&gt;Assumptions!$B$150,INDEX($C$44:$AE$44,1,J2-Assumptions!$B$150)*Assumptions!$B$149,0))</f>
        <v/>
      </c>
      <c r="K45" s="64">
        <f>IF(K7&gt;1,K44*Assumptions!$B$149,IF(K2&gt;Assumptions!$B$150,INDEX($C$44:$AE$44,1,K2-Assumptions!$B$150)*Assumptions!$B$149,0))</f>
        <v/>
      </c>
      <c r="L45" s="64">
        <f>IF(L7&gt;1,L44*Assumptions!$B$149,IF(L2&gt;Assumptions!$B$150,INDEX($C$44:$AE$44,1,L2-Assumptions!$B$150)*Assumptions!$B$149,0))</f>
        <v/>
      </c>
      <c r="M45" s="64">
        <f>IF(M7&gt;1,M44*Assumptions!$B$149,IF(M2&gt;Assumptions!$B$150,INDEX($C$44:$AE$44,1,M2-Assumptions!$B$150)*Assumptions!$B$149,0))</f>
        <v/>
      </c>
      <c r="N45" s="64">
        <f>IF(N7&gt;1,N44*Assumptions!$B$149,IF(N2&gt;Assumptions!$B$150,INDEX($C$44:$AE$44,1,N2-Assumptions!$B$150)*Assumptions!$B$149,0))</f>
        <v/>
      </c>
      <c r="O45" s="64">
        <f>IF(O7&gt;1,O44*Assumptions!$B$149,IF(O2&gt;Assumptions!$B$150,INDEX($C$44:$AE$44,1,O2-Assumptions!$B$150)*Assumptions!$B$149,0))</f>
        <v/>
      </c>
      <c r="P45" s="64">
        <f>IF(P7&gt;1,P44*Assumptions!$B$149,IF(P2&gt;Assumptions!$B$150,INDEX($C$44:$AE$44,1,P2-Assumptions!$B$150)*Assumptions!$B$149,0))</f>
        <v/>
      </c>
      <c r="Q45" s="64">
        <f>IF(Q7&gt;1,Q44*Assumptions!$B$149,IF(Q2&gt;Assumptions!$B$150,INDEX($C$44:$AE$44,1,Q2-Assumptions!$B$150)*Assumptions!$B$149,0))</f>
        <v/>
      </c>
      <c r="R45" s="64">
        <f>IF(R7&gt;1,R44*Assumptions!$B$149,IF(R2&gt;Assumptions!$B$150,INDEX($C$44:$AE$44,1,R2-Assumptions!$B$150)*Assumptions!$B$149,0))</f>
        <v/>
      </c>
      <c r="S45" s="64">
        <f>IF(S7&gt;1,S44*Assumptions!$B$149,IF(S2&gt;Assumptions!$B$150,INDEX($C$44:$AE$44,1,S2-Assumptions!$B$150)*Assumptions!$B$149,0))</f>
        <v/>
      </c>
      <c r="T45" s="64">
        <f>IF(T7&gt;1,T44*Assumptions!$B$149,IF(T2&gt;Assumptions!$B$150,INDEX($C$44:$AE$44,1,T2-Assumptions!$B$150)*Assumptions!$B$149,0))</f>
        <v/>
      </c>
      <c r="U45" s="64">
        <f>IF(U7&gt;1,U44*Assumptions!$B$149,IF(U2&gt;Assumptions!$B$150,INDEX($C$44:$AE$44,1,U2-Assumptions!$B$150)*Assumptions!$B$149,0))</f>
        <v/>
      </c>
      <c r="V45" s="64">
        <f>IF(V7&gt;1,V44*Assumptions!$B$149,IF(V2&gt;Assumptions!$B$150,INDEX($C$44:$AE$44,1,V2-Assumptions!$B$150)*Assumptions!$B$149,0))</f>
        <v/>
      </c>
      <c r="W45" s="64">
        <f>IF(W7&gt;1,W44*Assumptions!$B$149,IF(W2&gt;Assumptions!$B$150,INDEX($C$44:$AE$44,1,W2-Assumptions!$B$150)*Assumptions!$B$149,0))</f>
        <v/>
      </c>
      <c r="X45" s="64">
        <f>IF(X7&gt;1,X44*Assumptions!$B$149,IF(X2&gt;Assumptions!$B$150,INDEX($C$44:$AE$44,1,X2-Assumptions!$B$150)*Assumptions!$B$149,0))</f>
        <v/>
      </c>
      <c r="Y45" s="64">
        <f>IF(Y7&gt;1,Y44*Assumptions!$B$149,IF(Y2&gt;Assumptions!$B$150,INDEX($C$44:$AE$44,1,Y2-Assumptions!$B$150)*Assumptions!$B$149,0))</f>
        <v/>
      </c>
      <c r="Z45" s="64">
        <f>IF(Z7&gt;1,Z44*Assumptions!$B$149,IF(Z2&gt;Assumptions!$B$150,INDEX($C$44:$AE$44,1,Z2-Assumptions!$B$150)*Assumptions!$B$149,0))</f>
        <v/>
      </c>
      <c r="AA45" s="64">
        <f>IF(AA7&gt;1,AA44*Assumptions!$B$149,IF(AA2&gt;Assumptions!$B$150,INDEX($C$44:$AE$44,1,AA2-Assumptions!$B$150)*Assumptions!$B$149,0))</f>
        <v/>
      </c>
      <c r="AB45" s="64">
        <f>IF(AB7&gt;1,AB44*Assumptions!$B$149,IF(AB2&gt;Assumptions!$B$150,INDEX($C$44:$AE$44,1,AB2-Assumptions!$B$150)*Assumptions!$B$149,0))</f>
        <v/>
      </c>
      <c r="AC45" s="64">
        <f>IF(AC7&gt;1,AC44*Assumptions!$B$149,IF(AC2&gt;Assumptions!$B$150,INDEX($C$44:$AE$44,1,AC2-Assumptions!$B$150)*Assumptions!$B$149,0))</f>
        <v/>
      </c>
      <c r="AD45" s="64">
        <f>IF(AD7&gt;1,AD44*Assumptions!$B$149,IF(AD2&gt;Assumptions!$B$150,INDEX($C$44:$AE$44,1,AD2-Assumptions!$B$150)*Assumptions!$B$149,0))</f>
        <v/>
      </c>
      <c r="AE45" s="64">
        <f>IF(AE7&gt;1,AE44*Assumptions!$B$149,IF(AE2&gt;Assumptions!$B$150,INDEX($C$44:$AE$44,1,AE2-Assumptions!$B$150)*Assumptions!$B$149,0))</f>
        <v/>
      </c>
    </row>
    <row r="46">
      <c r="A46" s="6" t="inlineStr">
        <is>
          <t xml:space="preserve">  Active cards</t>
        </is>
      </c>
      <c r="B46" s="23" t="inlineStr">
        <is>
          <t>cards</t>
        </is>
      </c>
      <c r="C46" s="28">
        <f>IF(C2&gt;=Assumptions!$B$51,C44*Assumptions!$B$158,0)</f>
        <v/>
      </c>
      <c r="D46" s="28">
        <f>IF(D2&gt;=Assumptions!$B$51,D44*Assumptions!$B$158,0)</f>
        <v/>
      </c>
      <c r="E46" s="28">
        <f>IF(E2&gt;=Assumptions!$B$51,E44*Assumptions!$B$158,0)</f>
        <v/>
      </c>
      <c r="F46" s="28">
        <f>IF(F2&gt;=Assumptions!$B$51,F44*Assumptions!$B$158,0)</f>
        <v/>
      </c>
      <c r="G46" s="28">
        <f>IF(G2&gt;=Assumptions!$B$51,G44*Assumptions!$B$158,0)</f>
        <v/>
      </c>
      <c r="H46" s="28">
        <f>IF(H2&gt;=Assumptions!$B$51,H44*Assumptions!$B$158,0)</f>
        <v/>
      </c>
      <c r="I46" s="28">
        <f>IF(I2&gt;=Assumptions!$B$51,I44*Assumptions!$B$158,0)</f>
        <v/>
      </c>
      <c r="J46" s="28">
        <f>IF(J2&gt;=Assumptions!$B$51,J44*Assumptions!$B$158,0)</f>
        <v/>
      </c>
      <c r="K46" s="28">
        <f>IF(K2&gt;=Assumptions!$B$51,K44*Assumptions!$B$158,0)</f>
        <v/>
      </c>
      <c r="L46" s="28">
        <f>IF(L2&gt;=Assumptions!$B$51,L44*Assumptions!$B$158,0)</f>
        <v/>
      </c>
      <c r="M46" s="28">
        <f>IF(M2&gt;=Assumptions!$B$51,M44*Assumptions!$B$158,0)</f>
        <v/>
      </c>
      <c r="N46" s="28">
        <f>IF(N2&gt;=Assumptions!$B$51,N44*Assumptions!$B$158,0)</f>
        <v/>
      </c>
      <c r="O46" s="28">
        <f>IF(O2&gt;=Assumptions!$B$51,O44*Assumptions!$B$158,0)</f>
        <v/>
      </c>
      <c r="P46" s="28">
        <f>IF(P2&gt;=Assumptions!$B$51,P44*Assumptions!$B$158,0)</f>
        <v/>
      </c>
      <c r="Q46" s="28">
        <f>IF(Q2&gt;=Assumptions!$B$51,Q44*Assumptions!$B$158,0)</f>
        <v/>
      </c>
      <c r="R46" s="28">
        <f>IF(R2&gt;=Assumptions!$B$51,R44*Assumptions!$B$158,0)</f>
        <v/>
      </c>
      <c r="S46" s="28">
        <f>IF(S2&gt;=Assumptions!$B$51,S44*Assumptions!$B$158,0)</f>
        <v/>
      </c>
      <c r="T46" s="28">
        <f>IF(T2&gt;=Assumptions!$B$51,T44*Assumptions!$B$158,0)</f>
        <v/>
      </c>
      <c r="U46" s="28">
        <f>IF(U2&gt;=Assumptions!$B$51,U44*Assumptions!$B$158,0)</f>
        <v/>
      </c>
      <c r="V46" s="28">
        <f>IF(V2&gt;=Assumptions!$B$51,V44*Assumptions!$B$158,0)</f>
        <v/>
      </c>
      <c r="W46" s="28">
        <f>IF(W2&gt;=Assumptions!$B$51,W44*Assumptions!$B$158,0)</f>
        <v/>
      </c>
      <c r="X46" s="28">
        <f>IF(X2&gt;=Assumptions!$B$51,X44*Assumptions!$B$158,0)</f>
        <v/>
      </c>
      <c r="Y46" s="28">
        <f>IF(Y2&gt;=Assumptions!$B$51,Y44*Assumptions!$B$158,0)</f>
        <v/>
      </c>
      <c r="Z46" s="28">
        <f>IF(Z2&gt;=Assumptions!$B$51,Z44*Assumptions!$B$158,0)</f>
        <v/>
      </c>
      <c r="AA46" s="28">
        <f>IF(AA2&gt;=Assumptions!$B$51,AA44*Assumptions!$B$158,0)</f>
        <v/>
      </c>
      <c r="AB46" s="28">
        <f>IF(AB2&gt;=Assumptions!$B$51,AB44*Assumptions!$B$158,0)</f>
        <v/>
      </c>
      <c r="AC46" s="28">
        <f>IF(AC2&gt;=Assumptions!$B$51,AC44*Assumptions!$B$158,0)</f>
        <v/>
      </c>
      <c r="AD46" s="28">
        <f>IF(AD2&gt;=Assumptions!$B$51,AD44*Assumptions!$B$158,0)</f>
        <v/>
      </c>
      <c r="AE46" s="28">
        <f>IF(AE2&gt;=Assumptions!$B$51,AE44*Assumptions!$B$158,0)</f>
        <v/>
      </c>
    </row>
    <row r="47">
      <c r="A47" s="6" t="inlineStr">
        <is>
          <t xml:space="preserve">  ...of which have a live credit line (now all of them)</t>
        </is>
      </c>
      <c r="B47" s="23" t="inlineStr">
        <is>
          <t>cards</t>
        </is>
      </c>
      <c r="C47" s="28">
        <f>C46</f>
        <v/>
      </c>
      <c r="D47" s="28">
        <f>D46</f>
        <v/>
      </c>
      <c r="E47" s="28">
        <f>E46</f>
        <v/>
      </c>
      <c r="F47" s="28">
        <f>F46</f>
        <v/>
      </c>
      <c r="G47" s="28">
        <f>G46</f>
        <v/>
      </c>
      <c r="H47" s="28">
        <f>H46</f>
        <v/>
      </c>
      <c r="I47" s="28">
        <f>I46</f>
        <v/>
      </c>
      <c r="J47" s="28">
        <f>J46</f>
        <v/>
      </c>
      <c r="K47" s="28">
        <f>K46</f>
        <v/>
      </c>
      <c r="L47" s="28">
        <f>L46</f>
        <v/>
      </c>
      <c r="M47" s="28">
        <f>M46</f>
        <v/>
      </c>
      <c r="N47" s="28">
        <f>N46</f>
        <v/>
      </c>
      <c r="O47" s="28">
        <f>O46</f>
        <v/>
      </c>
      <c r="P47" s="28">
        <f>P46</f>
        <v/>
      </c>
      <c r="Q47" s="28">
        <f>Q46</f>
        <v/>
      </c>
      <c r="R47" s="28">
        <f>R46</f>
        <v/>
      </c>
      <c r="S47" s="28">
        <f>S46</f>
        <v/>
      </c>
      <c r="T47" s="28">
        <f>T46</f>
        <v/>
      </c>
      <c r="U47" s="28">
        <f>U46</f>
        <v/>
      </c>
      <c r="V47" s="28">
        <f>V46</f>
        <v/>
      </c>
      <c r="W47" s="28">
        <f>W46</f>
        <v/>
      </c>
      <c r="X47" s="28">
        <f>X46</f>
        <v/>
      </c>
      <c r="Y47" s="28">
        <f>Y46</f>
        <v/>
      </c>
      <c r="Z47" s="28">
        <f>Z46</f>
        <v/>
      </c>
      <c r="AA47" s="28">
        <f>AA46</f>
        <v/>
      </c>
      <c r="AB47" s="28">
        <f>AB46</f>
        <v/>
      </c>
      <c r="AC47" s="28">
        <f>AC46</f>
        <v/>
      </c>
      <c r="AD47" s="28">
        <f>AD46</f>
        <v/>
      </c>
      <c r="AE47" s="28">
        <f>AE46</f>
        <v/>
      </c>
    </row>
    <row r="48">
      <c r="A48" s="6" t="inlineStr">
        <is>
          <t xml:space="preserve">  ...newly issued this period (flow, drives the issuance fee)</t>
        </is>
      </c>
      <c r="B48" s="23" t="inlineStr">
        <is>
          <t>cards</t>
        </is>
      </c>
      <c r="C48" s="60">
        <f>C46</f>
        <v/>
      </c>
      <c r="D48" s="60">
        <f>MAX(0,D46-C46)</f>
        <v/>
      </c>
      <c r="E48" s="60">
        <f>MAX(0,E46-D46)</f>
        <v/>
      </c>
      <c r="F48" s="60">
        <f>MAX(0,F46-E46)</f>
        <v/>
      </c>
      <c r="G48" s="60">
        <f>MAX(0,G46-F46)</f>
        <v/>
      </c>
      <c r="H48" s="60">
        <f>MAX(0,H46-G46)</f>
        <v/>
      </c>
      <c r="I48" s="60">
        <f>MAX(0,I46-H46)</f>
        <v/>
      </c>
      <c r="J48" s="60">
        <f>MAX(0,J46-I46)</f>
        <v/>
      </c>
      <c r="K48" s="60">
        <f>MAX(0,K46-J46)</f>
        <v/>
      </c>
      <c r="L48" s="60">
        <f>MAX(0,L46-K46)</f>
        <v/>
      </c>
      <c r="M48" s="60">
        <f>MAX(0,M46-L46)</f>
        <v/>
      </c>
      <c r="N48" s="60">
        <f>MAX(0,N46-M46)</f>
        <v/>
      </c>
      <c r="O48" s="60">
        <f>MAX(0,O46-N46)</f>
        <v/>
      </c>
      <c r="P48" s="60">
        <f>MAX(0,P46-O46)</f>
        <v/>
      </c>
      <c r="Q48" s="60">
        <f>MAX(0,Q46-P46)</f>
        <v/>
      </c>
      <c r="R48" s="60">
        <f>MAX(0,R46-Q46)</f>
        <v/>
      </c>
      <c r="S48" s="60">
        <f>MAX(0,S46-R46)</f>
        <v/>
      </c>
      <c r="T48" s="60">
        <f>MAX(0,T46-S46)</f>
        <v/>
      </c>
      <c r="U48" s="60">
        <f>MAX(0,U46-T46)</f>
        <v/>
      </c>
      <c r="V48" s="60">
        <f>MAX(0,V46-U46)</f>
        <v/>
      </c>
      <c r="W48" s="60">
        <f>MAX(0,W46-V46)</f>
        <v/>
      </c>
      <c r="X48" s="60">
        <f>MAX(0,X46-W46)</f>
        <v/>
      </c>
      <c r="Y48" s="60">
        <f>MAX(0,Y46-X46)</f>
        <v/>
      </c>
      <c r="Z48" s="60">
        <f>MAX(0,Z46-Y46)</f>
        <v/>
      </c>
      <c r="AA48" s="60">
        <f>MAX(0,AA46-Z46)</f>
        <v/>
      </c>
      <c r="AB48" s="60">
        <f>MAX(0,AB46-AA46)</f>
        <v/>
      </c>
      <c r="AC48" s="60">
        <f>MAX(0,AC46-AB46)</f>
        <v/>
      </c>
      <c r="AD48" s="60">
        <f>MAX(0,AD46-AC46)</f>
        <v/>
      </c>
      <c r="AE48" s="60">
        <f>MAX(0,AE46-AD46)</f>
        <v/>
      </c>
    </row>
    <row r="49">
      <c r="A49" s="6" t="inlineStr">
        <is>
          <t xml:space="preserve">  Credit limit per customer (gold x LTV)</t>
        </is>
      </c>
      <c r="B49" s="23" t="inlineStr">
        <is>
          <t>USD</t>
        </is>
      </c>
      <c r="C49" s="61">
        <f>IF(C44=0,0,C43/C44*Assumptions!$B$31)</f>
        <v/>
      </c>
      <c r="D49" s="61">
        <f>IF(D44=0,0,D43/D44*Assumptions!$B$31)</f>
        <v/>
      </c>
      <c r="E49" s="61">
        <f>IF(E44=0,0,E43/E44*Assumptions!$B$31)</f>
        <v/>
      </c>
      <c r="F49" s="61">
        <f>IF(F44=0,0,F43/F44*Assumptions!$B$31)</f>
        <v/>
      </c>
      <c r="G49" s="61">
        <f>IF(G44=0,0,G43/G44*Assumptions!$B$31)</f>
        <v/>
      </c>
      <c r="H49" s="61">
        <f>IF(H44=0,0,H43/H44*Assumptions!$B$31)</f>
        <v/>
      </c>
      <c r="I49" s="61">
        <f>IF(I44=0,0,I43/I44*Assumptions!$B$31)</f>
        <v/>
      </c>
      <c r="J49" s="61">
        <f>IF(J44=0,0,J43/J44*Assumptions!$B$31)</f>
        <v/>
      </c>
      <c r="K49" s="61">
        <f>IF(K44=0,0,K43/K44*Assumptions!$B$31)</f>
        <v/>
      </c>
      <c r="L49" s="61">
        <f>IF(L44=0,0,L43/L44*Assumptions!$B$31)</f>
        <v/>
      </c>
      <c r="M49" s="61">
        <f>IF(M44=0,0,M43/M44*Assumptions!$B$31)</f>
        <v/>
      </c>
      <c r="N49" s="61">
        <f>IF(N44=0,0,N43/N44*Assumptions!$B$31)</f>
        <v/>
      </c>
      <c r="O49" s="61">
        <f>IF(O44=0,0,O43/O44*Assumptions!$B$31)</f>
        <v/>
      </c>
      <c r="P49" s="61">
        <f>IF(P44=0,0,P43/P44*Assumptions!$B$31)</f>
        <v/>
      </c>
      <c r="Q49" s="61">
        <f>IF(Q44=0,0,Q43/Q44*Assumptions!$B$31)</f>
        <v/>
      </c>
      <c r="R49" s="61">
        <f>IF(R44=0,0,R43/R44*Assumptions!$B$31)</f>
        <v/>
      </c>
      <c r="S49" s="61">
        <f>IF(S44=0,0,S43/S44*Assumptions!$B$31)</f>
        <v/>
      </c>
      <c r="T49" s="61">
        <f>IF(T44=0,0,T43/T44*Assumptions!$B$31)</f>
        <v/>
      </c>
      <c r="U49" s="61">
        <f>IF(U44=0,0,U43/U44*Assumptions!$B$31)</f>
        <v/>
      </c>
      <c r="V49" s="61">
        <f>IF(V44=0,0,V43/V44*Assumptions!$B$31)</f>
        <v/>
      </c>
      <c r="W49" s="61">
        <f>IF(W44=0,0,W43/W44*Assumptions!$B$31)</f>
        <v/>
      </c>
      <c r="X49" s="61">
        <f>IF(X44=0,0,X43/X44*Assumptions!$B$31)</f>
        <v/>
      </c>
      <c r="Y49" s="61">
        <f>IF(Y44=0,0,Y43/Y44*Assumptions!$B$31)</f>
        <v/>
      </c>
      <c r="Z49" s="61">
        <f>IF(Z44=0,0,Z43/Z44*Assumptions!$B$31)</f>
        <v/>
      </c>
      <c r="AA49" s="61">
        <f>IF(AA44=0,0,AA43/AA44*Assumptions!$B$31)</f>
        <v/>
      </c>
      <c r="AB49" s="61">
        <f>IF(AB44=0,0,AB43/AB44*Assumptions!$B$31)</f>
        <v/>
      </c>
      <c r="AC49" s="61">
        <f>IF(AC44=0,0,AC43/AC44*Assumptions!$B$31)</f>
        <v/>
      </c>
      <c r="AD49" s="61">
        <f>IF(AD44=0,0,AD43/AD44*Assumptions!$B$31)</f>
        <v/>
      </c>
      <c r="AE49" s="61">
        <f>IF(AE44=0,0,AE43/AE44*Assumptions!$B$31)</f>
        <v/>
      </c>
    </row>
    <row r="50">
      <c r="A50" s="6" t="inlineStr">
        <is>
          <t xml:space="preserve">  Annual drawdown per card (limit x drawn x draws)</t>
        </is>
      </c>
      <c r="B50" s="23" t="inlineStr">
        <is>
          <t>USD/yr</t>
        </is>
      </c>
      <c r="C50" s="61">
        <f>C49*Assumptions!$B$171*Assumptions!$B$173</f>
        <v/>
      </c>
      <c r="D50" s="61">
        <f>D49*Assumptions!$B$171*Assumptions!$B$173</f>
        <v/>
      </c>
      <c r="E50" s="61">
        <f>E49*Assumptions!$B$171*Assumptions!$B$173</f>
        <v/>
      </c>
      <c r="F50" s="61">
        <f>F49*Assumptions!$B$171*Assumptions!$B$173</f>
        <v/>
      </c>
      <c r="G50" s="61">
        <f>G49*Assumptions!$B$171*Assumptions!$B$173</f>
        <v/>
      </c>
      <c r="H50" s="61">
        <f>H49*Assumptions!$B$171*Assumptions!$B$173</f>
        <v/>
      </c>
      <c r="I50" s="61">
        <f>I49*Assumptions!$B$171*Assumptions!$B$173</f>
        <v/>
      </c>
      <c r="J50" s="61">
        <f>J49*Assumptions!$B$171*Assumptions!$B$173</f>
        <v/>
      </c>
      <c r="K50" s="61">
        <f>K49*Assumptions!$B$171*Assumptions!$B$173</f>
        <v/>
      </c>
      <c r="L50" s="61">
        <f>L49*Assumptions!$B$171*Assumptions!$B$173</f>
        <v/>
      </c>
      <c r="M50" s="61">
        <f>M49*Assumptions!$B$171*Assumptions!$B$173</f>
        <v/>
      </c>
      <c r="N50" s="61">
        <f>N49*Assumptions!$B$171*Assumptions!$B$173</f>
        <v/>
      </c>
      <c r="O50" s="61">
        <f>O49*Assumptions!$B$171*Assumptions!$B$173</f>
        <v/>
      </c>
      <c r="P50" s="61">
        <f>P49*Assumptions!$B$171*Assumptions!$B$173</f>
        <v/>
      </c>
      <c r="Q50" s="61">
        <f>Q49*Assumptions!$B$171*Assumptions!$B$173</f>
        <v/>
      </c>
      <c r="R50" s="61">
        <f>R49*Assumptions!$B$171*Assumptions!$B$173</f>
        <v/>
      </c>
      <c r="S50" s="61">
        <f>S49*Assumptions!$B$171*Assumptions!$B$173</f>
        <v/>
      </c>
      <c r="T50" s="61">
        <f>T49*Assumptions!$B$171*Assumptions!$B$173</f>
        <v/>
      </c>
      <c r="U50" s="61">
        <f>U49*Assumptions!$B$171*Assumptions!$B$173</f>
        <v/>
      </c>
      <c r="V50" s="61">
        <f>V49*Assumptions!$B$171*Assumptions!$B$173</f>
        <v/>
      </c>
      <c r="W50" s="61">
        <f>W49*Assumptions!$B$171*Assumptions!$B$173</f>
        <v/>
      </c>
      <c r="X50" s="61">
        <f>X49*Assumptions!$B$171*Assumptions!$B$173</f>
        <v/>
      </c>
      <c r="Y50" s="61">
        <f>Y49*Assumptions!$B$171*Assumptions!$B$173</f>
        <v/>
      </c>
      <c r="Z50" s="61">
        <f>Z49*Assumptions!$B$171*Assumptions!$B$173</f>
        <v/>
      </c>
      <c r="AA50" s="61">
        <f>AA49*Assumptions!$B$171*Assumptions!$B$173</f>
        <v/>
      </c>
      <c r="AB50" s="61">
        <f>AB49*Assumptions!$B$171*Assumptions!$B$173</f>
        <v/>
      </c>
      <c r="AC50" s="61">
        <f>AC49*Assumptions!$B$171*Assumptions!$B$173</f>
        <v/>
      </c>
      <c r="AD50" s="61">
        <f>AD49*Assumptions!$B$171*Assumptions!$B$173</f>
        <v/>
      </c>
      <c r="AE50" s="61">
        <f>AE49*Assumptions!$B$171*Assumptions!$B$173</f>
        <v/>
      </c>
    </row>
    <row r="51">
      <c r="A51" s="6" t="inlineStr">
        <is>
          <t xml:space="preserve">  Card spend per card per month</t>
        </is>
      </c>
      <c r="B51" s="23" t="inlineStr">
        <is>
          <t>USD</t>
        </is>
      </c>
      <c r="C51" s="61">
        <f>C50/12*C16</f>
        <v/>
      </c>
      <c r="D51" s="61">
        <f>D50/12*D16</f>
        <v/>
      </c>
      <c r="E51" s="61">
        <f>E50/12*E16</f>
        <v/>
      </c>
      <c r="F51" s="61">
        <f>F50/12*F16</f>
        <v/>
      </c>
      <c r="G51" s="61">
        <f>G50/12*G16</f>
        <v/>
      </c>
      <c r="H51" s="61">
        <f>H50/12*H16</f>
        <v/>
      </c>
      <c r="I51" s="61">
        <f>I50/12*I16</f>
        <v/>
      </c>
      <c r="J51" s="61">
        <f>J50/12*J16</f>
        <v/>
      </c>
      <c r="K51" s="61">
        <f>K50/12*K16</f>
        <v/>
      </c>
      <c r="L51" s="61">
        <f>L50/12*L16</f>
        <v/>
      </c>
      <c r="M51" s="61">
        <f>M50/12*M16</f>
        <v/>
      </c>
      <c r="N51" s="61">
        <f>N50/12*N16</f>
        <v/>
      </c>
      <c r="O51" s="61">
        <f>O50/12*O16</f>
        <v/>
      </c>
      <c r="P51" s="61">
        <f>P50/12*P16</f>
        <v/>
      </c>
      <c r="Q51" s="61">
        <f>Q50/12*Q16</f>
        <v/>
      </c>
      <c r="R51" s="61">
        <f>R50/12*R16</f>
        <v/>
      </c>
      <c r="S51" s="61">
        <f>S50/12*S16</f>
        <v/>
      </c>
      <c r="T51" s="61">
        <f>T50/12*T16</f>
        <v/>
      </c>
      <c r="U51" s="61">
        <f>U50/12*U16</f>
        <v/>
      </c>
      <c r="V51" s="61">
        <f>V50/12*V16</f>
        <v/>
      </c>
      <c r="W51" s="61">
        <f>W50/12*W16</f>
        <v/>
      </c>
      <c r="X51" s="61">
        <f>X50/12*X16</f>
        <v/>
      </c>
      <c r="Y51" s="61">
        <f>Y50/12*Y16</f>
        <v/>
      </c>
      <c r="Z51" s="61">
        <f>Z50/12*Z16</f>
        <v/>
      </c>
      <c r="AA51" s="61">
        <f>AA50/12*AA16</f>
        <v/>
      </c>
      <c r="AB51" s="61">
        <f>AB50/12*AB16</f>
        <v/>
      </c>
      <c r="AC51" s="61">
        <f>AC50/12*AC16</f>
        <v/>
      </c>
      <c r="AD51" s="61">
        <f>AD50/12*AD16</f>
        <v/>
      </c>
      <c r="AE51" s="61">
        <f>AE50/12*AE16</f>
        <v/>
      </c>
    </row>
    <row r="52">
      <c r="A52" s="6" t="inlineStr">
        <is>
          <t xml:space="preserve">  Card spend</t>
        </is>
      </c>
      <c r="B52" s="23" t="inlineStr">
        <is>
          <t>AED</t>
        </is>
      </c>
      <c r="C52" s="50">
        <f>C47*C51*Assumptions!$B$7*C7</f>
        <v/>
      </c>
      <c r="D52" s="50">
        <f>D47*D51*Assumptions!$B$7*D7</f>
        <v/>
      </c>
      <c r="E52" s="50">
        <f>E47*E51*Assumptions!$B$7*E7</f>
        <v/>
      </c>
      <c r="F52" s="50">
        <f>F47*F51*Assumptions!$B$7*F7</f>
        <v/>
      </c>
      <c r="G52" s="50">
        <f>G47*G51*Assumptions!$B$7*G7</f>
        <v/>
      </c>
      <c r="H52" s="50">
        <f>H47*H51*Assumptions!$B$7*H7</f>
        <v/>
      </c>
      <c r="I52" s="50">
        <f>I47*I51*Assumptions!$B$7*I7</f>
        <v/>
      </c>
      <c r="J52" s="50">
        <f>J47*J51*Assumptions!$B$7*J7</f>
        <v/>
      </c>
      <c r="K52" s="50">
        <f>K47*K51*Assumptions!$B$7*K7</f>
        <v/>
      </c>
      <c r="L52" s="50">
        <f>L47*L51*Assumptions!$B$7*L7</f>
        <v/>
      </c>
      <c r="M52" s="50">
        <f>M47*M51*Assumptions!$B$7*M7</f>
        <v/>
      </c>
      <c r="N52" s="50">
        <f>N47*N51*Assumptions!$B$7*N7</f>
        <v/>
      </c>
      <c r="O52" s="50">
        <f>O47*O51*Assumptions!$B$7*O7</f>
        <v/>
      </c>
      <c r="P52" s="50">
        <f>P47*P51*Assumptions!$B$7*P7</f>
        <v/>
      </c>
      <c r="Q52" s="50">
        <f>Q47*Q51*Assumptions!$B$7*Q7</f>
        <v/>
      </c>
      <c r="R52" s="50">
        <f>R47*R51*Assumptions!$B$7*R7</f>
        <v/>
      </c>
      <c r="S52" s="50">
        <f>S47*S51*Assumptions!$B$7*S7</f>
        <v/>
      </c>
      <c r="T52" s="50">
        <f>T47*T51*Assumptions!$B$7*T7</f>
        <v/>
      </c>
      <c r="U52" s="50">
        <f>U47*U51*Assumptions!$B$7*U7</f>
        <v/>
      </c>
      <c r="V52" s="50">
        <f>V47*V51*Assumptions!$B$7*V7</f>
        <v/>
      </c>
      <c r="W52" s="50">
        <f>W47*W51*Assumptions!$B$7*W7</f>
        <v/>
      </c>
      <c r="X52" s="50">
        <f>X47*X51*Assumptions!$B$7*X7</f>
        <v/>
      </c>
      <c r="Y52" s="50">
        <f>Y47*Y51*Assumptions!$B$7*Y7</f>
        <v/>
      </c>
      <c r="Z52" s="50">
        <f>Z47*Z51*Assumptions!$B$7*Z7</f>
        <v/>
      </c>
      <c r="AA52" s="50">
        <f>AA47*AA51*Assumptions!$B$7*AA7</f>
        <v/>
      </c>
      <c r="AB52" s="50">
        <f>AB47*AB51*Assumptions!$B$7*AB7</f>
        <v/>
      </c>
      <c r="AC52" s="50">
        <f>AC47*AC51*Assumptions!$B$7*AC7</f>
        <v/>
      </c>
      <c r="AD52" s="50">
        <f>AD47*AD51*Assumptions!$B$7*AD7</f>
        <v/>
      </c>
      <c r="AE52" s="50">
        <f>AE47*AE51*Assumptions!$B$7*AE7</f>
        <v/>
      </c>
    </row>
    <row r="53">
      <c r="A53" s="6" t="inlineStr">
        <is>
          <t xml:space="preserve">  Card spend</t>
        </is>
      </c>
      <c r="B53" s="23" t="inlineStr">
        <is>
          <t>USD</t>
        </is>
      </c>
      <c r="C53" s="61">
        <f>C52/Assumptions!$B$7</f>
        <v/>
      </c>
      <c r="D53" s="61">
        <f>D52/Assumptions!$B$7</f>
        <v/>
      </c>
      <c r="E53" s="61">
        <f>E52/Assumptions!$B$7</f>
        <v/>
      </c>
      <c r="F53" s="61">
        <f>F52/Assumptions!$B$7</f>
        <v/>
      </c>
      <c r="G53" s="61">
        <f>G52/Assumptions!$B$7</f>
        <v/>
      </c>
      <c r="H53" s="61">
        <f>H52/Assumptions!$B$7</f>
        <v/>
      </c>
      <c r="I53" s="61">
        <f>I52/Assumptions!$B$7</f>
        <v/>
      </c>
      <c r="J53" s="61">
        <f>J52/Assumptions!$B$7</f>
        <v/>
      </c>
      <c r="K53" s="61">
        <f>K52/Assumptions!$B$7</f>
        <v/>
      </c>
      <c r="L53" s="61">
        <f>L52/Assumptions!$B$7</f>
        <v/>
      </c>
      <c r="M53" s="61">
        <f>M52/Assumptions!$B$7</f>
        <v/>
      </c>
      <c r="N53" s="61">
        <f>N52/Assumptions!$B$7</f>
        <v/>
      </c>
      <c r="O53" s="61">
        <f>O52/Assumptions!$B$7</f>
        <v/>
      </c>
      <c r="P53" s="61">
        <f>P52/Assumptions!$B$7</f>
        <v/>
      </c>
      <c r="Q53" s="61">
        <f>Q52/Assumptions!$B$7</f>
        <v/>
      </c>
      <c r="R53" s="61">
        <f>R52/Assumptions!$B$7</f>
        <v/>
      </c>
      <c r="S53" s="61">
        <f>S52/Assumptions!$B$7</f>
        <v/>
      </c>
      <c r="T53" s="61">
        <f>T52/Assumptions!$B$7</f>
        <v/>
      </c>
      <c r="U53" s="61">
        <f>U52/Assumptions!$B$7</f>
        <v/>
      </c>
      <c r="V53" s="61">
        <f>V52/Assumptions!$B$7</f>
        <v/>
      </c>
      <c r="W53" s="61">
        <f>W52/Assumptions!$B$7</f>
        <v/>
      </c>
      <c r="X53" s="61">
        <f>X52/Assumptions!$B$7</f>
        <v/>
      </c>
      <c r="Y53" s="61">
        <f>Y52/Assumptions!$B$7</f>
        <v/>
      </c>
      <c r="Z53" s="61">
        <f>Z52/Assumptions!$B$7</f>
        <v/>
      </c>
      <c r="AA53" s="61">
        <f>AA52/Assumptions!$B$7</f>
        <v/>
      </c>
      <c r="AB53" s="61">
        <f>AB52/Assumptions!$B$7</f>
        <v/>
      </c>
      <c r="AC53" s="61">
        <f>AC52/Assumptions!$B$7</f>
        <v/>
      </c>
      <c r="AD53" s="61">
        <f>AD52/Assumptions!$B$7</f>
        <v/>
      </c>
      <c r="AE53" s="61">
        <f>AE52/Assumptions!$B$7</f>
        <v/>
      </c>
    </row>
    <row r="54">
      <c r="A54" s="6" t="inlineStr">
        <is>
          <t xml:space="preserve">  Average transaction size (derived)</t>
        </is>
      </c>
      <c r="B54" s="23" t="inlineStr">
        <is>
          <t>AED</t>
        </is>
      </c>
      <c r="C54" s="50">
        <f>IF(Assumptions!$B$159=0,0,C49*Assumptions!$B$171*Assumptions!$B$7/Assumptions!$B$159)</f>
        <v/>
      </c>
      <c r="D54" s="50">
        <f>IF(Assumptions!$B$159=0,0,D49*Assumptions!$B$171*Assumptions!$B$7/Assumptions!$B$159)</f>
        <v/>
      </c>
      <c r="E54" s="50">
        <f>IF(Assumptions!$B$159=0,0,E49*Assumptions!$B$171*Assumptions!$B$7/Assumptions!$B$159)</f>
        <v/>
      </c>
      <c r="F54" s="50">
        <f>IF(Assumptions!$B$159=0,0,F49*Assumptions!$B$171*Assumptions!$B$7/Assumptions!$B$159)</f>
        <v/>
      </c>
      <c r="G54" s="50">
        <f>IF(Assumptions!$B$159=0,0,G49*Assumptions!$B$171*Assumptions!$B$7/Assumptions!$B$159)</f>
        <v/>
      </c>
      <c r="H54" s="50">
        <f>IF(Assumptions!$B$159=0,0,H49*Assumptions!$B$171*Assumptions!$B$7/Assumptions!$B$159)</f>
        <v/>
      </c>
      <c r="I54" s="50">
        <f>IF(Assumptions!$B$159=0,0,I49*Assumptions!$B$171*Assumptions!$B$7/Assumptions!$B$159)</f>
        <v/>
      </c>
      <c r="J54" s="50">
        <f>IF(Assumptions!$B$159=0,0,J49*Assumptions!$B$171*Assumptions!$B$7/Assumptions!$B$159)</f>
        <v/>
      </c>
      <c r="K54" s="50">
        <f>IF(Assumptions!$B$159=0,0,K49*Assumptions!$B$171*Assumptions!$B$7/Assumptions!$B$159)</f>
        <v/>
      </c>
      <c r="L54" s="50">
        <f>IF(Assumptions!$B$159=0,0,L49*Assumptions!$B$171*Assumptions!$B$7/Assumptions!$B$159)</f>
        <v/>
      </c>
      <c r="M54" s="50">
        <f>IF(Assumptions!$B$159=0,0,M49*Assumptions!$B$171*Assumptions!$B$7/Assumptions!$B$159)</f>
        <v/>
      </c>
      <c r="N54" s="50">
        <f>IF(Assumptions!$B$159=0,0,N49*Assumptions!$B$171*Assumptions!$B$7/Assumptions!$B$159)</f>
        <v/>
      </c>
      <c r="O54" s="50">
        <f>IF(Assumptions!$B$159=0,0,O49*Assumptions!$B$171*Assumptions!$B$7/Assumptions!$B$159)</f>
        <v/>
      </c>
      <c r="P54" s="50">
        <f>IF(Assumptions!$B$159=0,0,P49*Assumptions!$B$171*Assumptions!$B$7/Assumptions!$B$159)</f>
        <v/>
      </c>
      <c r="Q54" s="50">
        <f>IF(Assumptions!$B$159=0,0,Q49*Assumptions!$B$171*Assumptions!$B$7/Assumptions!$B$159)</f>
        <v/>
      </c>
      <c r="R54" s="50">
        <f>IF(Assumptions!$B$159=0,0,R49*Assumptions!$B$171*Assumptions!$B$7/Assumptions!$B$159)</f>
        <v/>
      </c>
      <c r="S54" s="50">
        <f>IF(Assumptions!$B$159=0,0,S49*Assumptions!$B$171*Assumptions!$B$7/Assumptions!$B$159)</f>
        <v/>
      </c>
      <c r="T54" s="50">
        <f>IF(Assumptions!$B$159=0,0,T49*Assumptions!$B$171*Assumptions!$B$7/Assumptions!$B$159)</f>
        <v/>
      </c>
      <c r="U54" s="50">
        <f>IF(Assumptions!$B$159=0,0,U49*Assumptions!$B$171*Assumptions!$B$7/Assumptions!$B$159)</f>
        <v/>
      </c>
      <c r="V54" s="50">
        <f>IF(Assumptions!$B$159=0,0,V49*Assumptions!$B$171*Assumptions!$B$7/Assumptions!$B$159)</f>
        <v/>
      </c>
      <c r="W54" s="50">
        <f>IF(Assumptions!$B$159=0,0,W49*Assumptions!$B$171*Assumptions!$B$7/Assumptions!$B$159)</f>
        <v/>
      </c>
      <c r="X54" s="50">
        <f>IF(Assumptions!$B$159=0,0,X49*Assumptions!$B$171*Assumptions!$B$7/Assumptions!$B$159)</f>
        <v/>
      </c>
      <c r="Y54" s="50">
        <f>IF(Assumptions!$B$159=0,0,Y49*Assumptions!$B$171*Assumptions!$B$7/Assumptions!$B$159)</f>
        <v/>
      </c>
      <c r="Z54" s="50">
        <f>IF(Assumptions!$B$159=0,0,Z49*Assumptions!$B$171*Assumptions!$B$7/Assumptions!$B$159)</f>
        <v/>
      </c>
      <c r="AA54" s="50">
        <f>IF(Assumptions!$B$159=0,0,AA49*Assumptions!$B$171*Assumptions!$B$7/Assumptions!$B$159)</f>
        <v/>
      </c>
      <c r="AB54" s="50">
        <f>IF(Assumptions!$B$159=0,0,AB49*Assumptions!$B$171*Assumptions!$B$7/Assumptions!$B$159)</f>
        <v/>
      </c>
      <c r="AC54" s="50">
        <f>IF(Assumptions!$B$159=0,0,AC49*Assumptions!$B$171*Assumptions!$B$7/Assumptions!$B$159)</f>
        <v/>
      </c>
      <c r="AD54" s="50">
        <f>IF(Assumptions!$B$159=0,0,AD49*Assumptions!$B$171*Assumptions!$B$7/Assumptions!$B$159)</f>
        <v/>
      </c>
      <c r="AE54" s="50">
        <f>IF(Assumptions!$B$159=0,0,AE49*Assumptions!$B$171*Assumptions!$B$7/Assumptions!$B$159)</f>
        <v/>
      </c>
    </row>
    <row r="55">
      <c r="A55" s="6" t="inlineStr">
        <is>
          <t xml:space="preserve">  Card authorisations (memo - drives cost, not revenue)</t>
        </is>
      </c>
      <c r="B55" s="23" t="inlineStr">
        <is>
          <t>auths</t>
        </is>
      </c>
      <c r="C55" s="50">
        <f>C47*Assumptions!$B$173*Assumptions!$B$159*C7/12*(1+Assumptions!$B$16)</f>
        <v/>
      </c>
      <c r="D55" s="50">
        <f>D47*Assumptions!$B$173*Assumptions!$B$159*D7/12*(1+Assumptions!$B$16)</f>
        <v/>
      </c>
      <c r="E55" s="50">
        <f>E47*Assumptions!$B$173*Assumptions!$B$159*E7/12*(1+Assumptions!$B$16)</f>
        <v/>
      </c>
      <c r="F55" s="50">
        <f>F47*Assumptions!$B$173*Assumptions!$B$159*F7/12*(1+Assumptions!$B$16)</f>
        <v/>
      </c>
      <c r="G55" s="50">
        <f>G47*Assumptions!$B$173*Assumptions!$B$159*G7/12*(1+Assumptions!$B$16)</f>
        <v/>
      </c>
      <c r="H55" s="50">
        <f>H47*Assumptions!$B$173*Assumptions!$B$159*H7/12*(1+Assumptions!$B$16)</f>
        <v/>
      </c>
      <c r="I55" s="50">
        <f>I47*Assumptions!$B$173*Assumptions!$B$159*I7/12*(1+Assumptions!$B$16)</f>
        <v/>
      </c>
      <c r="J55" s="50">
        <f>J47*Assumptions!$B$173*Assumptions!$B$159*J7/12*(1+Assumptions!$B$16)</f>
        <v/>
      </c>
      <c r="K55" s="50">
        <f>K47*Assumptions!$B$173*Assumptions!$B$159*K7/12*(1+Assumptions!$B$16)</f>
        <v/>
      </c>
      <c r="L55" s="50">
        <f>L47*Assumptions!$B$173*Assumptions!$B$159*L7/12*(1+Assumptions!$B$16)</f>
        <v/>
      </c>
      <c r="M55" s="50">
        <f>M47*Assumptions!$B$173*Assumptions!$B$159*M7/12*(1+Assumptions!$B$16)</f>
        <v/>
      </c>
      <c r="N55" s="50">
        <f>N47*Assumptions!$B$173*Assumptions!$B$159*N7/12*(1+Assumptions!$B$16)</f>
        <v/>
      </c>
      <c r="O55" s="50">
        <f>O47*Assumptions!$B$173*Assumptions!$B$159*O7/12*(1+Assumptions!$B$16)</f>
        <v/>
      </c>
      <c r="P55" s="50">
        <f>P47*Assumptions!$B$173*Assumptions!$B$159*P7/12*(1+Assumptions!$B$16)</f>
        <v/>
      </c>
      <c r="Q55" s="50">
        <f>Q47*Assumptions!$B$173*Assumptions!$B$159*Q7/12*(1+Assumptions!$B$16)</f>
        <v/>
      </c>
      <c r="R55" s="50">
        <f>R47*Assumptions!$B$173*Assumptions!$B$159*R7/12*(1+Assumptions!$B$16)</f>
        <v/>
      </c>
      <c r="S55" s="50">
        <f>S47*Assumptions!$B$173*Assumptions!$B$159*S7/12*(1+Assumptions!$B$16)</f>
        <v/>
      </c>
      <c r="T55" s="50">
        <f>T47*Assumptions!$B$173*Assumptions!$B$159*T7/12*(1+Assumptions!$B$16)</f>
        <v/>
      </c>
      <c r="U55" s="50">
        <f>U47*Assumptions!$B$173*Assumptions!$B$159*U7/12*(1+Assumptions!$B$16)</f>
        <v/>
      </c>
      <c r="V55" s="50">
        <f>V47*Assumptions!$B$173*Assumptions!$B$159*V7/12*(1+Assumptions!$B$16)</f>
        <v/>
      </c>
      <c r="W55" s="50">
        <f>W47*Assumptions!$B$173*Assumptions!$B$159*W7/12*(1+Assumptions!$B$16)</f>
        <v/>
      </c>
      <c r="X55" s="50">
        <f>X47*Assumptions!$B$173*Assumptions!$B$159*X7/12*(1+Assumptions!$B$16)</f>
        <v/>
      </c>
      <c r="Y55" s="50">
        <f>Y47*Assumptions!$B$173*Assumptions!$B$159*Y7/12*(1+Assumptions!$B$16)</f>
        <v/>
      </c>
      <c r="Z55" s="50">
        <f>Z47*Assumptions!$B$173*Assumptions!$B$159*Z7/12*(1+Assumptions!$B$16)</f>
        <v/>
      </c>
      <c r="AA55" s="50">
        <f>AA47*Assumptions!$B$173*Assumptions!$B$159*AA7/12*(1+Assumptions!$B$16)</f>
        <v/>
      </c>
      <c r="AB55" s="50">
        <f>AB47*Assumptions!$B$173*Assumptions!$B$159*AB7/12*(1+Assumptions!$B$16)</f>
        <v/>
      </c>
      <c r="AC55" s="50">
        <f>AC47*Assumptions!$B$173*Assumptions!$B$159*AC7/12*(1+Assumptions!$B$16)</f>
        <v/>
      </c>
      <c r="AD55" s="50">
        <f>AD47*Assumptions!$B$173*Assumptions!$B$159*AD7/12*(1+Assumptions!$B$16)</f>
        <v/>
      </c>
      <c r="AE55" s="50">
        <f>AE47*Assumptions!$B$173*Assumptions!$B$159*AE7/12*(1+Assumptions!$B$16)</f>
        <v/>
      </c>
    </row>
    <row r="56">
      <c r="A56" s="6" t="inlineStr">
        <is>
          <t xml:space="preserve">  Stream 1a - Entry fee, SIP</t>
        </is>
      </c>
      <c r="B56" s="23" t="inlineStr">
        <is>
          <t>USD</t>
        </is>
      </c>
      <c r="C56" s="61">
        <f>C36*Assumptions!$B$8</f>
        <v/>
      </c>
      <c r="D56" s="61">
        <f>D36*Assumptions!$B$8</f>
        <v/>
      </c>
      <c r="E56" s="61">
        <f>E36*Assumptions!$B$8</f>
        <v/>
      </c>
      <c r="F56" s="61">
        <f>F36*Assumptions!$B$8</f>
        <v/>
      </c>
      <c r="G56" s="61">
        <f>G36*Assumptions!$B$8</f>
        <v/>
      </c>
      <c r="H56" s="61">
        <f>H36*Assumptions!$B$8</f>
        <v/>
      </c>
      <c r="I56" s="61">
        <f>I36*Assumptions!$B$8</f>
        <v/>
      </c>
      <c r="J56" s="61">
        <f>J36*Assumptions!$B$8</f>
        <v/>
      </c>
      <c r="K56" s="61">
        <f>K36*Assumptions!$B$8</f>
        <v/>
      </c>
      <c r="L56" s="61">
        <f>L36*Assumptions!$B$8</f>
        <v/>
      </c>
      <c r="M56" s="61">
        <f>M36*Assumptions!$B$8</f>
        <v/>
      </c>
      <c r="N56" s="61">
        <f>N36*Assumptions!$B$8</f>
        <v/>
      </c>
      <c r="O56" s="61">
        <f>O36*Assumptions!$B$8</f>
        <v/>
      </c>
      <c r="P56" s="61">
        <f>P36*Assumptions!$B$8</f>
        <v/>
      </c>
      <c r="Q56" s="61">
        <f>Q36*Assumptions!$B$8</f>
        <v/>
      </c>
      <c r="R56" s="61">
        <f>R36*Assumptions!$B$8</f>
        <v/>
      </c>
      <c r="S56" s="61">
        <f>S36*Assumptions!$B$8</f>
        <v/>
      </c>
      <c r="T56" s="61">
        <f>T36*Assumptions!$B$8</f>
        <v/>
      </c>
      <c r="U56" s="61">
        <f>U36*Assumptions!$B$8</f>
        <v/>
      </c>
      <c r="V56" s="61">
        <f>V36*Assumptions!$B$8</f>
        <v/>
      </c>
      <c r="W56" s="61">
        <f>W36*Assumptions!$B$8</f>
        <v/>
      </c>
      <c r="X56" s="61">
        <f>X36*Assumptions!$B$8</f>
        <v/>
      </c>
      <c r="Y56" s="61">
        <f>Y36*Assumptions!$B$8</f>
        <v/>
      </c>
      <c r="Z56" s="61">
        <f>Z36*Assumptions!$B$8</f>
        <v/>
      </c>
      <c r="AA56" s="61">
        <f>AA36*Assumptions!$B$8</f>
        <v/>
      </c>
      <c r="AB56" s="61">
        <f>AB36*Assumptions!$B$8</f>
        <v/>
      </c>
      <c r="AC56" s="61">
        <f>AC36*Assumptions!$B$8</f>
        <v/>
      </c>
      <c r="AD56" s="61">
        <f>AD36*Assumptions!$B$8</f>
        <v/>
      </c>
      <c r="AE56" s="61">
        <f>AE36*Assumptions!$B$8</f>
        <v/>
      </c>
    </row>
    <row r="57">
      <c r="A57" s="6" t="inlineStr">
        <is>
          <t xml:space="preserve">  Stream 1b - Entry fee, SPOT</t>
        </is>
      </c>
      <c r="B57" s="23" t="inlineStr">
        <is>
          <t>USD</t>
        </is>
      </c>
      <c r="C57" s="61">
        <f>C37*Assumptions!$B$8</f>
        <v/>
      </c>
      <c r="D57" s="61">
        <f>D37*Assumptions!$B$8</f>
        <v/>
      </c>
      <c r="E57" s="61">
        <f>E37*Assumptions!$B$8</f>
        <v/>
      </c>
      <c r="F57" s="61">
        <f>F37*Assumptions!$B$8</f>
        <v/>
      </c>
      <c r="G57" s="61">
        <f>G37*Assumptions!$B$8</f>
        <v/>
      </c>
      <c r="H57" s="61">
        <f>H37*Assumptions!$B$8</f>
        <v/>
      </c>
      <c r="I57" s="61">
        <f>I37*Assumptions!$B$8</f>
        <v/>
      </c>
      <c r="J57" s="61">
        <f>J37*Assumptions!$B$8</f>
        <v/>
      </c>
      <c r="K57" s="61">
        <f>K37*Assumptions!$B$8</f>
        <v/>
      </c>
      <c r="L57" s="61">
        <f>L37*Assumptions!$B$8</f>
        <v/>
      </c>
      <c r="M57" s="61">
        <f>M37*Assumptions!$B$8</f>
        <v/>
      </c>
      <c r="N57" s="61">
        <f>N37*Assumptions!$B$8</f>
        <v/>
      </c>
      <c r="O57" s="61">
        <f>O37*Assumptions!$B$8</f>
        <v/>
      </c>
      <c r="P57" s="61">
        <f>P37*Assumptions!$B$8</f>
        <v/>
      </c>
      <c r="Q57" s="61">
        <f>Q37*Assumptions!$B$8</f>
        <v/>
      </c>
      <c r="R57" s="61">
        <f>R37*Assumptions!$B$8</f>
        <v/>
      </c>
      <c r="S57" s="61">
        <f>S37*Assumptions!$B$8</f>
        <v/>
      </c>
      <c r="T57" s="61">
        <f>T37*Assumptions!$B$8</f>
        <v/>
      </c>
      <c r="U57" s="61">
        <f>U37*Assumptions!$B$8</f>
        <v/>
      </c>
      <c r="V57" s="61">
        <f>V37*Assumptions!$B$8</f>
        <v/>
      </c>
      <c r="W57" s="61">
        <f>W37*Assumptions!$B$8</f>
        <v/>
      </c>
      <c r="X57" s="61">
        <f>X37*Assumptions!$B$8</f>
        <v/>
      </c>
      <c r="Y57" s="61">
        <f>Y37*Assumptions!$B$8</f>
        <v/>
      </c>
      <c r="Z57" s="61">
        <f>Z37*Assumptions!$B$8</f>
        <v/>
      </c>
      <c r="AA57" s="61">
        <f>AA37*Assumptions!$B$8</f>
        <v/>
      </c>
      <c r="AB57" s="61">
        <f>AB37*Assumptions!$B$8</f>
        <v/>
      </c>
      <c r="AC57" s="61">
        <f>AC37*Assumptions!$B$8</f>
        <v/>
      </c>
      <c r="AD57" s="61">
        <f>AD37*Assumptions!$B$8</f>
        <v/>
      </c>
      <c r="AE57" s="61">
        <f>AE37*Assumptions!$B$8</f>
        <v/>
      </c>
    </row>
    <row r="58">
      <c r="A58" s="6" t="inlineStr">
        <is>
          <t xml:space="preserve">  Stream 2 - Card interchange</t>
        </is>
      </c>
      <c r="B58" s="23" t="inlineStr">
        <is>
          <t>USD</t>
        </is>
      </c>
      <c r="C58" s="61">
        <f>C53*IF(Assumptions!$B$227=1,MIN(Assumptions!$B$14,1%),Assumptions!$B$14)*(1-Assumptions!$B$157)</f>
        <v/>
      </c>
      <c r="D58" s="61">
        <f>D53*IF(Assumptions!$B$227=1,MIN(Assumptions!$B$14,1%),Assumptions!$B$14)*(1-Assumptions!$B$157)</f>
        <v/>
      </c>
      <c r="E58" s="61">
        <f>E53*IF(Assumptions!$B$227=1,MIN(Assumptions!$B$14,1%),Assumptions!$B$14)*(1-Assumptions!$B$157)</f>
        <v/>
      </c>
      <c r="F58" s="61">
        <f>F53*IF(Assumptions!$B$227=1,MIN(Assumptions!$B$14,1%),Assumptions!$B$14)*(1-Assumptions!$B$157)</f>
        <v/>
      </c>
      <c r="G58" s="61">
        <f>G53*IF(Assumptions!$B$227=1,MIN(Assumptions!$B$14,1%),Assumptions!$B$14)*(1-Assumptions!$B$157)</f>
        <v/>
      </c>
      <c r="H58" s="61">
        <f>H53*IF(Assumptions!$B$227=1,MIN(Assumptions!$B$14,1%),Assumptions!$B$14)*(1-Assumptions!$B$157)</f>
        <v/>
      </c>
      <c r="I58" s="61">
        <f>I53*IF(Assumptions!$B$227=1,MIN(Assumptions!$B$14,1%),Assumptions!$B$14)*(1-Assumptions!$B$157)</f>
        <v/>
      </c>
      <c r="J58" s="61">
        <f>J53*IF(Assumptions!$B$227=1,MIN(Assumptions!$B$14,1%),Assumptions!$B$14)*(1-Assumptions!$B$157)</f>
        <v/>
      </c>
      <c r="K58" s="61">
        <f>K53*IF(Assumptions!$B$227=1,MIN(Assumptions!$B$14,1%),Assumptions!$B$14)*(1-Assumptions!$B$157)</f>
        <v/>
      </c>
      <c r="L58" s="61">
        <f>L53*IF(Assumptions!$B$227=1,MIN(Assumptions!$B$14,1%),Assumptions!$B$14)*(1-Assumptions!$B$157)</f>
        <v/>
      </c>
      <c r="M58" s="61">
        <f>M53*IF(Assumptions!$B$227=1,MIN(Assumptions!$B$14,1%),Assumptions!$B$14)*(1-Assumptions!$B$157)</f>
        <v/>
      </c>
      <c r="N58" s="61">
        <f>N53*IF(Assumptions!$B$227=1,MIN(Assumptions!$B$14,1%),Assumptions!$B$14)*(1-Assumptions!$B$157)</f>
        <v/>
      </c>
      <c r="O58" s="61">
        <f>O53*IF(Assumptions!$B$227=1,MIN(Assumptions!$B$14,1%),Assumptions!$B$14)*(1-Assumptions!$B$157)</f>
        <v/>
      </c>
      <c r="P58" s="61">
        <f>P53*IF(Assumptions!$B$227=1,MIN(Assumptions!$B$14,1%),Assumptions!$B$14)*(1-Assumptions!$B$157)</f>
        <v/>
      </c>
      <c r="Q58" s="61">
        <f>Q53*IF(Assumptions!$B$227=1,MIN(Assumptions!$B$14,1%),Assumptions!$B$14)*(1-Assumptions!$B$157)</f>
        <v/>
      </c>
      <c r="R58" s="61">
        <f>R53*IF(Assumptions!$B$227=1,MIN(Assumptions!$B$14,1%),Assumptions!$B$14)*(1-Assumptions!$B$157)</f>
        <v/>
      </c>
      <c r="S58" s="61">
        <f>S53*IF(Assumptions!$B$227=1,MIN(Assumptions!$B$14,1%),Assumptions!$B$14)*(1-Assumptions!$B$157)</f>
        <v/>
      </c>
      <c r="T58" s="61">
        <f>T53*IF(Assumptions!$B$227=1,MIN(Assumptions!$B$14,1%),Assumptions!$B$14)*(1-Assumptions!$B$157)</f>
        <v/>
      </c>
      <c r="U58" s="61">
        <f>U53*IF(Assumptions!$B$227=1,MIN(Assumptions!$B$14,1%),Assumptions!$B$14)*(1-Assumptions!$B$157)</f>
        <v/>
      </c>
      <c r="V58" s="61">
        <f>V53*IF(Assumptions!$B$227=1,MIN(Assumptions!$B$14,1%),Assumptions!$B$14)*(1-Assumptions!$B$157)</f>
        <v/>
      </c>
      <c r="W58" s="61">
        <f>W53*IF(Assumptions!$B$227=1,MIN(Assumptions!$B$14,1%),Assumptions!$B$14)*(1-Assumptions!$B$157)</f>
        <v/>
      </c>
      <c r="X58" s="61">
        <f>X53*IF(Assumptions!$B$227=1,MIN(Assumptions!$B$14,1%),Assumptions!$B$14)*(1-Assumptions!$B$157)</f>
        <v/>
      </c>
      <c r="Y58" s="61">
        <f>Y53*IF(Assumptions!$B$227=1,MIN(Assumptions!$B$14,1%),Assumptions!$B$14)*(1-Assumptions!$B$157)</f>
        <v/>
      </c>
      <c r="Z58" s="61">
        <f>Z53*IF(Assumptions!$B$227=1,MIN(Assumptions!$B$14,1%),Assumptions!$B$14)*(1-Assumptions!$B$157)</f>
        <v/>
      </c>
      <c r="AA58" s="61">
        <f>AA53*IF(Assumptions!$B$227=1,MIN(Assumptions!$B$14,1%),Assumptions!$B$14)*(1-Assumptions!$B$157)</f>
        <v/>
      </c>
      <c r="AB58" s="61">
        <f>AB53*IF(Assumptions!$B$227=1,MIN(Assumptions!$B$14,1%),Assumptions!$B$14)*(1-Assumptions!$B$157)</f>
        <v/>
      </c>
      <c r="AC58" s="61">
        <f>AC53*IF(Assumptions!$B$227=1,MIN(Assumptions!$B$14,1%),Assumptions!$B$14)*(1-Assumptions!$B$157)</f>
        <v/>
      </c>
      <c r="AD58" s="61">
        <f>AD53*IF(Assumptions!$B$227=1,MIN(Assumptions!$B$14,1%),Assumptions!$B$14)*(1-Assumptions!$B$157)</f>
        <v/>
      </c>
      <c r="AE58" s="61">
        <f>AE53*IF(Assumptions!$B$227=1,MIN(Assumptions!$B$14,1%),Assumptions!$B$14)*(1-Assumptions!$B$157)</f>
        <v/>
      </c>
    </row>
    <row r="59">
      <c r="A59" s="6" t="inlineStr">
        <is>
          <t xml:space="preserve">  Family plan subscribers</t>
        </is>
      </c>
      <c r="B59" s="23" t="inlineStr">
        <is>
          <t>subscribers</t>
        </is>
      </c>
      <c r="C59" s="60">
        <f>IF(C2&gt;=Assumptions!$B$50,C31*Assumptions!$B$174*(1-Assumptions!$B$177)^(C7/2),0)</f>
        <v/>
      </c>
      <c r="D59" s="60">
        <f>IF(D2&gt;=Assumptions!$B$50,C59*(1-Assumptions!$B$177)^D7+D31*Assumptions!$B$174*(1-Assumptions!$B$177)^(D7/2),0)</f>
        <v/>
      </c>
      <c r="E59" s="60">
        <f>IF(E2&gt;=Assumptions!$B$50,D59*(1-Assumptions!$B$177)^E7+E31*Assumptions!$B$174*(1-Assumptions!$B$177)^(E7/2),0)</f>
        <v/>
      </c>
      <c r="F59" s="60">
        <f>IF(F2&gt;=Assumptions!$B$50,E59*(1-Assumptions!$B$177)^F7+F31*Assumptions!$B$174*(1-Assumptions!$B$177)^(F7/2),0)</f>
        <v/>
      </c>
      <c r="G59" s="60">
        <f>IF(G2&gt;=Assumptions!$B$50,F59*(1-Assumptions!$B$177)^G7+G31*Assumptions!$B$174*(1-Assumptions!$B$177)^(G7/2),0)</f>
        <v/>
      </c>
      <c r="H59" s="60">
        <f>IF(H2&gt;=Assumptions!$B$50,G59*(1-Assumptions!$B$177)^H7+H31*Assumptions!$B$174*(1-Assumptions!$B$177)^(H7/2),0)</f>
        <v/>
      </c>
      <c r="I59" s="60">
        <f>IF(I2&gt;=Assumptions!$B$50,H59*(1-Assumptions!$B$177)^I7+I31*Assumptions!$B$174*(1-Assumptions!$B$177)^(I7/2),0)</f>
        <v/>
      </c>
      <c r="J59" s="60">
        <f>IF(J2&gt;=Assumptions!$B$50,I59*(1-Assumptions!$B$177)^J7+J31*Assumptions!$B$174*(1-Assumptions!$B$177)^(J7/2),0)</f>
        <v/>
      </c>
      <c r="K59" s="60">
        <f>IF(K2&gt;=Assumptions!$B$50,J59*(1-Assumptions!$B$177)^K7+K31*Assumptions!$B$174*(1-Assumptions!$B$177)^(K7/2),0)</f>
        <v/>
      </c>
      <c r="L59" s="60">
        <f>IF(L2&gt;=Assumptions!$B$50,K59*(1-Assumptions!$B$177)^L7+L31*Assumptions!$B$174*(1-Assumptions!$B$177)^(L7/2),0)</f>
        <v/>
      </c>
      <c r="M59" s="60">
        <f>IF(M2&gt;=Assumptions!$B$50,L59*(1-Assumptions!$B$177)^M7+M31*Assumptions!$B$174*(1-Assumptions!$B$177)^(M7/2),0)</f>
        <v/>
      </c>
      <c r="N59" s="60">
        <f>IF(N2&gt;=Assumptions!$B$50,M59*(1-Assumptions!$B$177)^N7+N31*Assumptions!$B$174*(1-Assumptions!$B$177)^(N7/2),0)</f>
        <v/>
      </c>
      <c r="O59" s="60">
        <f>IF(O2&gt;=Assumptions!$B$50,N59*(1-Assumptions!$B$177)^O7+O31*Assumptions!$B$174*(1-Assumptions!$B$177)^(O7/2),0)</f>
        <v/>
      </c>
      <c r="P59" s="60">
        <f>IF(P2&gt;=Assumptions!$B$50,O59*(1-Assumptions!$B$177)^P7+P31*Assumptions!$B$174*(1-Assumptions!$B$177)^(P7/2),0)</f>
        <v/>
      </c>
      <c r="Q59" s="60">
        <f>IF(Q2&gt;=Assumptions!$B$50,P59*(1-Assumptions!$B$177)^Q7+Q31*Assumptions!$B$174*(1-Assumptions!$B$177)^(Q7/2),0)</f>
        <v/>
      </c>
      <c r="R59" s="60">
        <f>IF(R2&gt;=Assumptions!$B$50,Q59*(1-Assumptions!$B$177)^R7+R31*Assumptions!$B$174*(1-Assumptions!$B$177)^(R7/2),0)</f>
        <v/>
      </c>
      <c r="S59" s="60">
        <f>IF(S2&gt;=Assumptions!$B$50,R59*(1-Assumptions!$B$177)^S7+S31*Assumptions!$B$174*(1-Assumptions!$B$177)^(S7/2),0)</f>
        <v/>
      </c>
      <c r="T59" s="60">
        <f>IF(T2&gt;=Assumptions!$B$50,S59*(1-Assumptions!$B$177)^T7+T31*Assumptions!$B$174*(1-Assumptions!$B$177)^(T7/2),0)</f>
        <v/>
      </c>
      <c r="U59" s="60">
        <f>IF(U2&gt;=Assumptions!$B$50,T59*(1-Assumptions!$B$177)^U7+U31*Assumptions!$B$174*(1-Assumptions!$B$177)^(U7/2),0)</f>
        <v/>
      </c>
      <c r="V59" s="60">
        <f>IF(V2&gt;=Assumptions!$B$50,U59*(1-Assumptions!$B$177)^V7+V31*Assumptions!$B$174*(1-Assumptions!$B$177)^(V7/2),0)</f>
        <v/>
      </c>
      <c r="W59" s="60">
        <f>IF(W2&gt;=Assumptions!$B$50,V59*(1-Assumptions!$B$177)^W7+W31*Assumptions!$B$174*(1-Assumptions!$B$177)^(W7/2),0)</f>
        <v/>
      </c>
      <c r="X59" s="60">
        <f>IF(X2&gt;=Assumptions!$B$50,W59*(1-Assumptions!$B$177)^X7+X31*Assumptions!$B$174*(1-Assumptions!$B$177)^(X7/2),0)</f>
        <v/>
      </c>
      <c r="Y59" s="60">
        <f>IF(Y2&gt;=Assumptions!$B$50,X59*(1-Assumptions!$B$177)^Y7+Y31*Assumptions!$B$174*(1-Assumptions!$B$177)^(Y7/2),0)</f>
        <v/>
      </c>
      <c r="Z59" s="60">
        <f>IF(Z2&gt;=Assumptions!$B$50,Y59*(1-Assumptions!$B$177)^Z7+Z31*Assumptions!$B$174*(1-Assumptions!$B$177)^(Z7/2),0)</f>
        <v/>
      </c>
      <c r="AA59" s="60">
        <f>IF(AA2&gt;=Assumptions!$B$50,Z59*(1-Assumptions!$B$177)^AA7+AA31*Assumptions!$B$174*(1-Assumptions!$B$177)^(AA7/2),0)</f>
        <v/>
      </c>
      <c r="AB59" s="60">
        <f>IF(AB2&gt;=Assumptions!$B$50,AA59*(1-Assumptions!$B$177)^AB7+AB31*Assumptions!$B$174*(1-Assumptions!$B$177)^(AB7/2),0)</f>
        <v/>
      </c>
      <c r="AC59" s="60">
        <f>IF(AC2&gt;=Assumptions!$B$50,AB59*(1-Assumptions!$B$177)^AC7+AC31*Assumptions!$B$174*(1-Assumptions!$B$177)^(AC7/2),0)</f>
        <v/>
      </c>
      <c r="AD59" s="60">
        <f>IF(AD2&gt;=Assumptions!$B$50,AC59*(1-Assumptions!$B$177)^AD7+AD31*Assumptions!$B$174*(1-Assumptions!$B$177)^(AD7/2),0)</f>
        <v/>
      </c>
      <c r="AE59" s="60">
        <f>IF(AE2&gt;=Assumptions!$B$50,AD59*(1-Assumptions!$B$177)^AE7+AE31*Assumptions!$B$174*(1-Assumptions!$B$177)^(AE7/2),0)</f>
        <v/>
      </c>
    </row>
    <row r="60">
      <c r="A60" s="6" t="inlineStr">
        <is>
          <t xml:space="preserve">  Stream 3 - Family plan and Digital Will</t>
        </is>
      </c>
      <c r="B60" s="23" t="inlineStr">
        <is>
          <t>USD</t>
        </is>
      </c>
      <c r="C60" s="61">
        <f>C59*(Assumptions!$B$25+MAX(0,Assumptions!$B$176-1)*Assumptions!$B$26)/12*C7</f>
        <v/>
      </c>
      <c r="D60" s="61">
        <f>D59*(Assumptions!$B$25+MAX(0,Assumptions!$B$176-1)*Assumptions!$B$26)/12*D7</f>
        <v/>
      </c>
      <c r="E60" s="61">
        <f>E59*(Assumptions!$B$25+MAX(0,Assumptions!$B$176-1)*Assumptions!$B$26)/12*E7</f>
        <v/>
      </c>
      <c r="F60" s="61">
        <f>F59*(Assumptions!$B$25+MAX(0,Assumptions!$B$176-1)*Assumptions!$B$26)/12*F7</f>
        <v/>
      </c>
      <c r="G60" s="61">
        <f>G59*(Assumptions!$B$25+MAX(0,Assumptions!$B$176-1)*Assumptions!$B$26)/12*G7</f>
        <v/>
      </c>
      <c r="H60" s="61">
        <f>H59*(Assumptions!$B$25+MAX(0,Assumptions!$B$176-1)*Assumptions!$B$26)/12*H7</f>
        <v/>
      </c>
      <c r="I60" s="61">
        <f>I59*(Assumptions!$B$25+MAX(0,Assumptions!$B$176-1)*Assumptions!$B$26)/12*I7</f>
        <v/>
      </c>
      <c r="J60" s="61">
        <f>J59*(Assumptions!$B$25+MAX(0,Assumptions!$B$176-1)*Assumptions!$B$26)/12*J7</f>
        <v/>
      </c>
      <c r="K60" s="61">
        <f>K59*(Assumptions!$B$25+MAX(0,Assumptions!$B$176-1)*Assumptions!$B$26)/12*K7</f>
        <v/>
      </c>
      <c r="L60" s="61">
        <f>L59*(Assumptions!$B$25+MAX(0,Assumptions!$B$176-1)*Assumptions!$B$26)/12*L7</f>
        <v/>
      </c>
      <c r="M60" s="61">
        <f>M59*(Assumptions!$B$25+MAX(0,Assumptions!$B$176-1)*Assumptions!$B$26)/12*M7</f>
        <v/>
      </c>
      <c r="N60" s="61">
        <f>N59*(Assumptions!$B$25+MAX(0,Assumptions!$B$176-1)*Assumptions!$B$26)/12*N7</f>
        <v/>
      </c>
      <c r="O60" s="61">
        <f>O59*(Assumptions!$B$25+MAX(0,Assumptions!$B$176-1)*Assumptions!$B$26)/12*O7</f>
        <v/>
      </c>
      <c r="P60" s="61">
        <f>P59*(Assumptions!$B$25+MAX(0,Assumptions!$B$176-1)*Assumptions!$B$26)/12*P7</f>
        <v/>
      </c>
      <c r="Q60" s="61">
        <f>Q59*(Assumptions!$B$25+MAX(0,Assumptions!$B$176-1)*Assumptions!$B$26)/12*Q7</f>
        <v/>
      </c>
      <c r="R60" s="61">
        <f>R59*(Assumptions!$B$25+MAX(0,Assumptions!$B$176-1)*Assumptions!$B$26)/12*R7</f>
        <v/>
      </c>
      <c r="S60" s="61">
        <f>S59*(Assumptions!$B$25+MAX(0,Assumptions!$B$176-1)*Assumptions!$B$26)/12*S7</f>
        <v/>
      </c>
      <c r="T60" s="61">
        <f>T59*(Assumptions!$B$25+MAX(0,Assumptions!$B$176-1)*Assumptions!$B$26)/12*T7</f>
        <v/>
      </c>
      <c r="U60" s="61">
        <f>U59*(Assumptions!$B$25+MAX(0,Assumptions!$B$176-1)*Assumptions!$B$26)/12*U7</f>
        <v/>
      </c>
      <c r="V60" s="61">
        <f>V59*(Assumptions!$B$25+MAX(0,Assumptions!$B$176-1)*Assumptions!$B$26)/12*V7</f>
        <v/>
      </c>
      <c r="W60" s="61">
        <f>W59*(Assumptions!$B$25+MAX(0,Assumptions!$B$176-1)*Assumptions!$B$26)/12*W7</f>
        <v/>
      </c>
      <c r="X60" s="61">
        <f>X59*(Assumptions!$B$25+MAX(0,Assumptions!$B$176-1)*Assumptions!$B$26)/12*X7</f>
        <v/>
      </c>
      <c r="Y60" s="61">
        <f>Y59*(Assumptions!$B$25+MAX(0,Assumptions!$B$176-1)*Assumptions!$B$26)/12*Y7</f>
        <v/>
      </c>
      <c r="Z60" s="61">
        <f>Z59*(Assumptions!$B$25+MAX(0,Assumptions!$B$176-1)*Assumptions!$B$26)/12*Z7</f>
        <v/>
      </c>
      <c r="AA60" s="61">
        <f>AA59*(Assumptions!$B$25+MAX(0,Assumptions!$B$176-1)*Assumptions!$B$26)/12*AA7</f>
        <v/>
      </c>
      <c r="AB60" s="61">
        <f>AB59*(Assumptions!$B$25+MAX(0,Assumptions!$B$176-1)*Assumptions!$B$26)/12*AB7</f>
        <v/>
      </c>
      <c r="AC60" s="61">
        <f>AC59*(Assumptions!$B$25+MAX(0,Assumptions!$B$176-1)*Assumptions!$B$26)/12*AC7</f>
        <v/>
      </c>
      <c r="AD60" s="61">
        <f>AD59*(Assumptions!$B$25+MAX(0,Assumptions!$B$176-1)*Assumptions!$B$26)/12*AD7</f>
        <v/>
      </c>
      <c r="AE60" s="61">
        <f>AE59*(Assumptions!$B$25+MAX(0,Assumptions!$B$176-1)*Assumptions!$B$26)/12*AE7</f>
        <v/>
      </c>
    </row>
    <row r="61">
      <c r="A61" s="6" t="inlineStr">
        <is>
          <t xml:space="preserve">  Stream 4 - Cardholder fees (FX, ATM, events)</t>
        </is>
      </c>
      <c r="B61" s="23" t="inlineStr">
        <is>
          <t>USD</t>
        </is>
      </c>
      <c r="C61" s="61">
        <f>IF(C2&gt;=Assumptions!$B$52,C53*C17*Assumptions!$B$17+C47*(Assumptions!$B$163*MAX(0,Assumptions!$B$167-Assumptions!$B$18)+Assumptions!$B$164*MAX(0,Assumptions!$B$168-Assumptions!$B$18)+Assumptions!$B$165*MAX(0,Assumptions!$B$169-Assumptions!$B$18)+Assumptions!$B$166*MAX(0,Assumptions!$B$170-Assumptions!$B$18))*Assumptions!$B$19/Assumptions!$B$7*C7+C48*Assumptions!$B$20/Assumptions!$B$7+C46*(Assumptions!$B$161*Assumptions!$B$20+Assumptions!$B$162*Assumptions!$B$21)/12/Assumptions!$B$7*C7,0)</f>
        <v/>
      </c>
      <c r="D61" s="61">
        <f>IF(D2&gt;=Assumptions!$B$52,D53*D17*Assumptions!$B$17+D47*(Assumptions!$B$163*MAX(0,Assumptions!$B$167-Assumptions!$B$18)+Assumptions!$B$164*MAX(0,Assumptions!$B$168-Assumptions!$B$18)+Assumptions!$B$165*MAX(0,Assumptions!$B$169-Assumptions!$B$18)+Assumptions!$B$166*MAX(0,Assumptions!$B$170-Assumptions!$B$18))*Assumptions!$B$19/Assumptions!$B$7*D7+D48*Assumptions!$B$20/Assumptions!$B$7+D46*(Assumptions!$B$161*Assumptions!$B$20+Assumptions!$B$162*Assumptions!$B$21)/12/Assumptions!$B$7*D7,0)</f>
        <v/>
      </c>
      <c r="E61" s="61">
        <f>IF(E2&gt;=Assumptions!$B$52,E53*E17*Assumptions!$B$17+E47*(Assumptions!$B$163*MAX(0,Assumptions!$B$167-Assumptions!$B$18)+Assumptions!$B$164*MAX(0,Assumptions!$B$168-Assumptions!$B$18)+Assumptions!$B$165*MAX(0,Assumptions!$B$169-Assumptions!$B$18)+Assumptions!$B$166*MAX(0,Assumptions!$B$170-Assumptions!$B$18))*Assumptions!$B$19/Assumptions!$B$7*E7+E48*Assumptions!$B$20/Assumptions!$B$7+E46*(Assumptions!$B$161*Assumptions!$B$20+Assumptions!$B$162*Assumptions!$B$21)/12/Assumptions!$B$7*E7,0)</f>
        <v/>
      </c>
      <c r="F61" s="61">
        <f>IF(F2&gt;=Assumptions!$B$52,F53*F17*Assumptions!$B$17+F47*(Assumptions!$B$163*MAX(0,Assumptions!$B$167-Assumptions!$B$18)+Assumptions!$B$164*MAX(0,Assumptions!$B$168-Assumptions!$B$18)+Assumptions!$B$165*MAX(0,Assumptions!$B$169-Assumptions!$B$18)+Assumptions!$B$166*MAX(0,Assumptions!$B$170-Assumptions!$B$18))*Assumptions!$B$19/Assumptions!$B$7*F7+F48*Assumptions!$B$20/Assumptions!$B$7+F46*(Assumptions!$B$161*Assumptions!$B$20+Assumptions!$B$162*Assumptions!$B$21)/12/Assumptions!$B$7*F7,0)</f>
        <v/>
      </c>
      <c r="G61" s="61">
        <f>IF(G2&gt;=Assumptions!$B$52,G53*G17*Assumptions!$B$17+G47*(Assumptions!$B$163*MAX(0,Assumptions!$B$167-Assumptions!$B$18)+Assumptions!$B$164*MAX(0,Assumptions!$B$168-Assumptions!$B$18)+Assumptions!$B$165*MAX(0,Assumptions!$B$169-Assumptions!$B$18)+Assumptions!$B$166*MAX(0,Assumptions!$B$170-Assumptions!$B$18))*Assumptions!$B$19/Assumptions!$B$7*G7+G48*Assumptions!$B$20/Assumptions!$B$7+G46*(Assumptions!$B$161*Assumptions!$B$20+Assumptions!$B$162*Assumptions!$B$21)/12/Assumptions!$B$7*G7,0)</f>
        <v/>
      </c>
      <c r="H61" s="61">
        <f>IF(H2&gt;=Assumptions!$B$52,H53*H17*Assumptions!$B$17+H47*(Assumptions!$B$163*MAX(0,Assumptions!$B$167-Assumptions!$B$18)+Assumptions!$B$164*MAX(0,Assumptions!$B$168-Assumptions!$B$18)+Assumptions!$B$165*MAX(0,Assumptions!$B$169-Assumptions!$B$18)+Assumptions!$B$166*MAX(0,Assumptions!$B$170-Assumptions!$B$18))*Assumptions!$B$19/Assumptions!$B$7*H7+H48*Assumptions!$B$20/Assumptions!$B$7+H46*(Assumptions!$B$161*Assumptions!$B$20+Assumptions!$B$162*Assumptions!$B$21)/12/Assumptions!$B$7*H7,0)</f>
        <v/>
      </c>
      <c r="I61" s="61">
        <f>IF(I2&gt;=Assumptions!$B$52,I53*I17*Assumptions!$B$17+I47*(Assumptions!$B$163*MAX(0,Assumptions!$B$167-Assumptions!$B$18)+Assumptions!$B$164*MAX(0,Assumptions!$B$168-Assumptions!$B$18)+Assumptions!$B$165*MAX(0,Assumptions!$B$169-Assumptions!$B$18)+Assumptions!$B$166*MAX(0,Assumptions!$B$170-Assumptions!$B$18))*Assumptions!$B$19/Assumptions!$B$7*I7+I48*Assumptions!$B$20/Assumptions!$B$7+I46*(Assumptions!$B$161*Assumptions!$B$20+Assumptions!$B$162*Assumptions!$B$21)/12/Assumptions!$B$7*I7,0)</f>
        <v/>
      </c>
      <c r="J61" s="61">
        <f>IF(J2&gt;=Assumptions!$B$52,J53*J17*Assumptions!$B$17+J47*(Assumptions!$B$163*MAX(0,Assumptions!$B$167-Assumptions!$B$18)+Assumptions!$B$164*MAX(0,Assumptions!$B$168-Assumptions!$B$18)+Assumptions!$B$165*MAX(0,Assumptions!$B$169-Assumptions!$B$18)+Assumptions!$B$166*MAX(0,Assumptions!$B$170-Assumptions!$B$18))*Assumptions!$B$19/Assumptions!$B$7*J7+J48*Assumptions!$B$20/Assumptions!$B$7+J46*(Assumptions!$B$161*Assumptions!$B$20+Assumptions!$B$162*Assumptions!$B$21)/12/Assumptions!$B$7*J7,0)</f>
        <v/>
      </c>
      <c r="K61" s="61">
        <f>IF(K2&gt;=Assumptions!$B$52,K53*K17*Assumptions!$B$17+K47*(Assumptions!$B$163*MAX(0,Assumptions!$B$167-Assumptions!$B$18)+Assumptions!$B$164*MAX(0,Assumptions!$B$168-Assumptions!$B$18)+Assumptions!$B$165*MAX(0,Assumptions!$B$169-Assumptions!$B$18)+Assumptions!$B$166*MAX(0,Assumptions!$B$170-Assumptions!$B$18))*Assumptions!$B$19/Assumptions!$B$7*K7+K48*Assumptions!$B$20/Assumptions!$B$7+K46*(Assumptions!$B$161*Assumptions!$B$20+Assumptions!$B$162*Assumptions!$B$21)/12/Assumptions!$B$7*K7,0)</f>
        <v/>
      </c>
      <c r="L61" s="61">
        <f>IF(L2&gt;=Assumptions!$B$52,L53*L17*Assumptions!$B$17+L47*(Assumptions!$B$163*MAX(0,Assumptions!$B$167-Assumptions!$B$18)+Assumptions!$B$164*MAX(0,Assumptions!$B$168-Assumptions!$B$18)+Assumptions!$B$165*MAX(0,Assumptions!$B$169-Assumptions!$B$18)+Assumptions!$B$166*MAX(0,Assumptions!$B$170-Assumptions!$B$18))*Assumptions!$B$19/Assumptions!$B$7*L7+L48*Assumptions!$B$20/Assumptions!$B$7+L46*(Assumptions!$B$161*Assumptions!$B$20+Assumptions!$B$162*Assumptions!$B$21)/12/Assumptions!$B$7*L7,0)</f>
        <v/>
      </c>
      <c r="M61" s="61">
        <f>IF(M2&gt;=Assumptions!$B$52,M53*M17*Assumptions!$B$17+M47*(Assumptions!$B$163*MAX(0,Assumptions!$B$167-Assumptions!$B$18)+Assumptions!$B$164*MAX(0,Assumptions!$B$168-Assumptions!$B$18)+Assumptions!$B$165*MAX(0,Assumptions!$B$169-Assumptions!$B$18)+Assumptions!$B$166*MAX(0,Assumptions!$B$170-Assumptions!$B$18))*Assumptions!$B$19/Assumptions!$B$7*M7+M48*Assumptions!$B$20/Assumptions!$B$7+M46*(Assumptions!$B$161*Assumptions!$B$20+Assumptions!$B$162*Assumptions!$B$21)/12/Assumptions!$B$7*M7,0)</f>
        <v/>
      </c>
      <c r="N61" s="61">
        <f>IF(N2&gt;=Assumptions!$B$52,N53*N17*Assumptions!$B$17+N47*(Assumptions!$B$163*MAX(0,Assumptions!$B$167-Assumptions!$B$18)+Assumptions!$B$164*MAX(0,Assumptions!$B$168-Assumptions!$B$18)+Assumptions!$B$165*MAX(0,Assumptions!$B$169-Assumptions!$B$18)+Assumptions!$B$166*MAX(0,Assumptions!$B$170-Assumptions!$B$18))*Assumptions!$B$19/Assumptions!$B$7*N7+N48*Assumptions!$B$20/Assumptions!$B$7+N46*(Assumptions!$B$161*Assumptions!$B$20+Assumptions!$B$162*Assumptions!$B$21)/12/Assumptions!$B$7*N7,0)</f>
        <v/>
      </c>
      <c r="O61" s="61">
        <f>IF(O2&gt;=Assumptions!$B$52,O53*O17*Assumptions!$B$17+O47*(Assumptions!$B$163*MAX(0,Assumptions!$B$167-Assumptions!$B$18)+Assumptions!$B$164*MAX(0,Assumptions!$B$168-Assumptions!$B$18)+Assumptions!$B$165*MAX(0,Assumptions!$B$169-Assumptions!$B$18)+Assumptions!$B$166*MAX(0,Assumptions!$B$170-Assumptions!$B$18))*Assumptions!$B$19/Assumptions!$B$7*O7+O48*Assumptions!$B$20/Assumptions!$B$7+O46*(Assumptions!$B$161*Assumptions!$B$20+Assumptions!$B$162*Assumptions!$B$21)/12/Assumptions!$B$7*O7,0)</f>
        <v/>
      </c>
      <c r="P61" s="61">
        <f>IF(P2&gt;=Assumptions!$B$52,P53*P17*Assumptions!$B$17+P47*(Assumptions!$B$163*MAX(0,Assumptions!$B$167-Assumptions!$B$18)+Assumptions!$B$164*MAX(0,Assumptions!$B$168-Assumptions!$B$18)+Assumptions!$B$165*MAX(0,Assumptions!$B$169-Assumptions!$B$18)+Assumptions!$B$166*MAX(0,Assumptions!$B$170-Assumptions!$B$18))*Assumptions!$B$19/Assumptions!$B$7*P7+P48*Assumptions!$B$20/Assumptions!$B$7+P46*(Assumptions!$B$161*Assumptions!$B$20+Assumptions!$B$162*Assumptions!$B$21)/12/Assumptions!$B$7*P7,0)</f>
        <v/>
      </c>
      <c r="Q61" s="61">
        <f>IF(Q2&gt;=Assumptions!$B$52,Q53*Q17*Assumptions!$B$17+Q47*(Assumptions!$B$163*MAX(0,Assumptions!$B$167-Assumptions!$B$18)+Assumptions!$B$164*MAX(0,Assumptions!$B$168-Assumptions!$B$18)+Assumptions!$B$165*MAX(0,Assumptions!$B$169-Assumptions!$B$18)+Assumptions!$B$166*MAX(0,Assumptions!$B$170-Assumptions!$B$18))*Assumptions!$B$19/Assumptions!$B$7*Q7+Q48*Assumptions!$B$20/Assumptions!$B$7+Q46*(Assumptions!$B$161*Assumptions!$B$20+Assumptions!$B$162*Assumptions!$B$21)/12/Assumptions!$B$7*Q7,0)</f>
        <v/>
      </c>
      <c r="R61" s="61">
        <f>IF(R2&gt;=Assumptions!$B$52,R53*R17*Assumptions!$B$17+R47*(Assumptions!$B$163*MAX(0,Assumptions!$B$167-Assumptions!$B$18)+Assumptions!$B$164*MAX(0,Assumptions!$B$168-Assumptions!$B$18)+Assumptions!$B$165*MAX(0,Assumptions!$B$169-Assumptions!$B$18)+Assumptions!$B$166*MAX(0,Assumptions!$B$170-Assumptions!$B$18))*Assumptions!$B$19/Assumptions!$B$7*R7+R48*Assumptions!$B$20/Assumptions!$B$7+R46*(Assumptions!$B$161*Assumptions!$B$20+Assumptions!$B$162*Assumptions!$B$21)/12/Assumptions!$B$7*R7,0)</f>
        <v/>
      </c>
      <c r="S61" s="61">
        <f>IF(S2&gt;=Assumptions!$B$52,S53*S17*Assumptions!$B$17+S47*(Assumptions!$B$163*MAX(0,Assumptions!$B$167-Assumptions!$B$18)+Assumptions!$B$164*MAX(0,Assumptions!$B$168-Assumptions!$B$18)+Assumptions!$B$165*MAX(0,Assumptions!$B$169-Assumptions!$B$18)+Assumptions!$B$166*MAX(0,Assumptions!$B$170-Assumptions!$B$18))*Assumptions!$B$19/Assumptions!$B$7*S7+S48*Assumptions!$B$20/Assumptions!$B$7+S46*(Assumptions!$B$161*Assumptions!$B$20+Assumptions!$B$162*Assumptions!$B$21)/12/Assumptions!$B$7*S7,0)</f>
        <v/>
      </c>
      <c r="T61" s="61">
        <f>IF(T2&gt;=Assumptions!$B$52,T53*T17*Assumptions!$B$17+T47*(Assumptions!$B$163*MAX(0,Assumptions!$B$167-Assumptions!$B$18)+Assumptions!$B$164*MAX(0,Assumptions!$B$168-Assumptions!$B$18)+Assumptions!$B$165*MAX(0,Assumptions!$B$169-Assumptions!$B$18)+Assumptions!$B$166*MAX(0,Assumptions!$B$170-Assumptions!$B$18))*Assumptions!$B$19/Assumptions!$B$7*T7+T48*Assumptions!$B$20/Assumptions!$B$7+T46*(Assumptions!$B$161*Assumptions!$B$20+Assumptions!$B$162*Assumptions!$B$21)/12/Assumptions!$B$7*T7,0)</f>
        <v/>
      </c>
      <c r="U61" s="61">
        <f>IF(U2&gt;=Assumptions!$B$52,U53*U17*Assumptions!$B$17+U47*(Assumptions!$B$163*MAX(0,Assumptions!$B$167-Assumptions!$B$18)+Assumptions!$B$164*MAX(0,Assumptions!$B$168-Assumptions!$B$18)+Assumptions!$B$165*MAX(0,Assumptions!$B$169-Assumptions!$B$18)+Assumptions!$B$166*MAX(0,Assumptions!$B$170-Assumptions!$B$18))*Assumptions!$B$19/Assumptions!$B$7*U7+U48*Assumptions!$B$20/Assumptions!$B$7+U46*(Assumptions!$B$161*Assumptions!$B$20+Assumptions!$B$162*Assumptions!$B$21)/12/Assumptions!$B$7*U7,0)</f>
        <v/>
      </c>
      <c r="V61" s="61">
        <f>IF(V2&gt;=Assumptions!$B$52,V53*V17*Assumptions!$B$17+V47*(Assumptions!$B$163*MAX(0,Assumptions!$B$167-Assumptions!$B$18)+Assumptions!$B$164*MAX(0,Assumptions!$B$168-Assumptions!$B$18)+Assumptions!$B$165*MAX(0,Assumptions!$B$169-Assumptions!$B$18)+Assumptions!$B$166*MAX(0,Assumptions!$B$170-Assumptions!$B$18))*Assumptions!$B$19/Assumptions!$B$7*V7+V48*Assumptions!$B$20/Assumptions!$B$7+V46*(Assumptions!$B$161*Assumptions!$B$20+Assumptions!$B$162*Assumptions!$B$21)/12/Assumptions!$B$7*V7,0)</f>
        <v/>
      </c>
      <c r="W61" s="61">
        <f>IF(W2&gt;=Assumptions!$B$52,W53*W17*Assumptions!$B$17+W47*(Assumptions!$B$163*MAX(0,Assumptions!$B$167-Assumptions!$B$18)+Assumptions!$B$164*MAX(0,Assumptions!$B$168-Assumptions!$B$18)+Assumptions!$B$165*MAX(0,Assumptions!$B$169-Assumptions!$B$18)+Assumptions!$B$166*MAX(0,Assumptions!$B$170-Assumptions!$B$18))*Assumptions!$B$19/Assumptions!$B$7*W7+W48*Assumptions!$B$20/Assumptions!$B$7+W46*(Assumptions!$B$161*Assumptions!$B$20+Assumptions!$B$162*Assumptions!$B$21)/12/Assumptions!$B$7*W7,0)</f>
        <v/>
      </c>
      <c r="X61" s="61">
        <f>IF(X2&gt;=Assumptions!$B$52,X53*X17*Assumptions!$B$17+X47*(Assumptions!$B$163*MAX(0,Assumptions!$B$167-Assumptions!$B$18)+Assumptions!$B$164*MAX(0,Assumptions!$B$168-Assumptions!$B$18)+Assumptions!$B$165*MAX(0,Assumptions!$B$169-Assumptions!$B$18)+Assumptions!$B$166*MAX(0,Assumptions!$B$170-Assumptions!$B$18))*Assumptions!$B$19/Assumptions!$B$7*X7+X48*Assumptions!$B$20/Assumptions!$B$7+X46*(Assumptions!$B$161*Assumptions!$B$20+Assumptions!$B$162*Assumptions!$B$21)/12/Assumptions!$B$7*X7,0)</f>
        <v/>
      </c>
      <c r="Y61" s="61">
        <f>IF(Y2&gt;=Assumptions!$B$52,Y53*Y17*Assumptions!$B$17+Y47*(Assumptions!$B$163*MAX(0,Assumptions!$B$167-Assumptions!$B$18)+Assumptions!$B$164*MAX(0,Assumptions!$B$168-Assumptions!$B$18)+Assumptions!$B$165*MAX(0,Assumptions!$B$169-Assumptions!$B$18)+Assumptions!$B$166*MAX(0,Assumptions!$B$170-Assumptions!$B$18))*Assumptions!$B$19/Assumptions!$B$7*Y7+Y48*Assumptions!$B$20/Assumptions!$B$7+Y46*(Assumptions!$B$161*Assumptions!$B$20+Assumptions!$B$162*Assumptions!$B$21)/12/Assumptions!$B$7*Y7,0)</f>
        <v/>
      </c>
      <c r="Z61" s="61">
        <f>IF(Z2&gt;=Assumptions!$B$52,Z53*Z17*Assumptions!$B$17+Z47*(Assumptions!$B$163*MAX(0,Assumptions!$B$167-Assumptions!$B$18)+Assumptions!$B$164*MAX(0,Assumptions!$B$168-Assumptions!$B$18)+Assumptions!$B$165*MAX(0,Assumptions!$B$169-Assumptions!$B$18)+Assumptions!$B$166*MAX(0,Assumptions!$B$170-Assumptions!$B$18))*Assumptions!$B$19/Assumptions!$B$7*Z7+Z48*Assumptions!$B$20/Assumptions!$B$7+Z46*(Assumptions!$B$161*Assumptions!$B$20+Assumptions!$B$162*Assumptions!$B$21)/12/Assumptions!$B$7*Z7,0)</f>
        <v/>
      </c>
      <c r="AA61" s="61">
        <f>IF(AA2&gt;=Assumptions!$B$52,AA53*AA17*Assumptions!$B$17+AA47*(Assumptions!$B$163*MAX(0,Assumptions!$B$167-Assumptions!$B$18)+Assumptions!$B$164*MAX(0,Assumptions!$B$168-Assumptions!$B$18)+Assumptions!$B$165*MAX(0,Assumptions!$B$169-Assumptions!$B$18)+Assumptions!$B$166*MAX(0,Assumptions!$B$170-Assumptions!$B$18))*Assumptions!$B$19/Assumptions!$B$7*AA7+AA48*Assumptions!$B$20/Assumptions!$B$7+AA46*(Assumptions!$B$161*Assumptions!$B$20+Assumptions!$B$162*Assumptions!$B$21)/12/Assumptions!$B$7*AA7,0)</f>
        <v/>
      </c>
      <c r="AB61" s="61">
        <f>IF(AB2&gt;=Assumptions!$B$52,AB53*AB17*Assumptions!$B$17+AB47*(Assumptions!$B$163*MAX(0,Assumptions!$B$167-Assumptions!$B$18)+Assumptions!$B$164*MAX(0,Assumptions!$B$168-Assumptions!$B$18)+Assumptions!$B$165*MAX(0,Assumptions!$B$169-Assumptions!$B$18)+Assumptions!$B$166*MAX(0,Assumptions!$B$170-Assumptions!$B$18))*Assumptions!$B$19/Assumptions!$B$7*AB7+AB48*Assumptions!$B$20/Assumptions!$B$7+AB46*(Assumptions!$B$161*Assumptions!$B$20+Assumptions!$B$162*Assumptions!$B$21)/12/Assumptions!$B$7*AB7,0)</f>
        <v/>
      </c>
      <c r="AC61" s="61">
        <f>IF(AC2&gt;=Assumptions!$B$52,AC53*AC17*Assumptions!$B$17+AC47*(Assumptions!$B$163*MAX(0,Assumptions!$B$167-Assumptions!$B$18)+Assumptions!$B$164*MAX(0,Assumptions!$B$168-Assumptions!$B$18)+Assumptions!$B$165*MAX(0,Assumptions!$B$169-Assumptions!$B$18)+Assumptions!$B$166*MAX(0,Assumptions!$B$170-Assumptions!$B$18))*Assumptions!$B$19/Assumptions!$B$7*AC7+AC48*Assumptions!$B$20/Assumptions!$B$7+AC46*(Assumptions!$B$161*Assumptions!$B$20+Assumptions!$B$162*Assumptions!$B$21)/12/Assumptions!$B$7*AC7,0)</f>
        <v/>
      </c>
      <c r="AD61" s="61">
        <f>IF(AD2&gt;=Assumptions!$B$52,AD53*AD17*Assumptions!$B$17+AD47*(Assumptions!$B$163*MAX(0,Assumptions!$B$167-Assumptions!$B$18)+Assumptions!$B$164*MAX(0,Assumptions!$B$168-Assumptions!$B$18)+Assumptions!$B$165*MAX(0,Assumptions!$B$169-Assumptions!$B$18)+Assumptions!$B$166*MAX(0,Assumptions!$B$170-Assumptions!$B$18))*Assumptions!$B$19/Assumptions!$B$7*AD7+AD48*Assumptions!$B$20/Assumptions!$B$7+AD46*(Assumptions!$B$161*Assumptions!$B$20+Assumptions!$B$162*Assumptions!$B$21)/12/Assumptions!$B$7*AD7,0)</f>
        <v/>
      </c>
      <c r="AE61" s="61">
        <f>IF(AE2&gt;=Assumptions!$B$52,AE53*AE17*Assumptions!$B$17+AE47*(Assumptions!$B$163*MAX(0,Assumptions!$B$167-Assumptions!$B$18)+Assumptions!$B$164*MAX(0,Assumptions!$B$168-Assumptions!$B$18)+Assumptions!$B$165*MAX(0,Assumptions!$B$169-Assumptions!$B$18)+Assumptions!$B$166*MAX(0,Assumptions!$B$170-Assumptions!$B$18))*Assumptions!$B$19/Assumptions!$B$7*AE7+AE48*Assumptions!$B$20/Assumptions!$B$7+AE46*(Assumptions!$B$161*Assumptions!$B$20+Assumptions!$B$162*Assumptions!$B$21)/12/Assumptions!$B$7*AE7,0)</f>
        <v/>
      </c>
    </row>
    <row r="62">
      <c r="A62" s="6" t="inlineStr">
        <is>
          <t xml:space="preserve">  Average drawn balance outstanding</t>
        </is>
      </c>
      <c r="B62" s="23" t="inlineStr">
        <is>
          <t>USD</t>
        </is>
      </c>
      <c r="C62" s="61">
        <f>IF(C2&gt;=Assumptions!$B$53,C46*C49*(1-Assumptions!$B$227)*Assumptions!$B$171*Assumptions!$B$172,0)</f>
        <v/>
      </c>
      <c r="D62" s="61">
        <f>IF(D2&gt;=Assumptions!$B$53,D46*D49*(1-Assumptions!$B$227)*Assumptions!$B$171*Assumptions!$B$172,0)</f>
        <v/>
      </c>
      <c r="E62" s="61">
        <f>IF(E2&gt;=Assumptions!$B$53,E46*E49*(1-Assumptions!$B$227)*Assumptions!$B$171*Assumptions!$B$172,0)</f>
        <v/>
      </c>
      <c r="F62" s="61">
        <f>IF(F2&gt;=Assumptions!$B$53,F46*F49*(1-Assumptions!$B$227)*Assumptions!$B$171*Assumptions!$B$172,0)</f>
        <v/>
      </c>
      <c r="G62" s="61">
        <f>IF(G2&gt;=Assumptions!$B$53,G46*G49*(1-Assumptions!$B$227)*Assumptions!$B$171*Assumptions!$B$172,0)</f>
        <v/>
      </c>
      <c r="H62" s="61">
        <f>IF(H2&gt;=Assumptions!$B$53,H46*H49*(1-Assumptions!$B$227)*Assumptions!$B$171*Assumptions!$B$172,0)</f>
        <v/>
      </c>
      <c r="I62" s="61">
        <f>IF(I2&gt;=Assumptions!$B$53,I46*I49*(1-Assumptions!$B$227)*Assumptions!$B$171*Assumptions!$B$172,0)</f>
        <v/>
      </c>
      <c r="J62" s="61">
        <f>IF(J2&gt;=Assumptions!$B$53,J46*J49*(1-Assumptions!$B$227)*Assumptions!$B$171*Assumptions!$B$172,0)</f>
        <v/>
      </c>
      <c r="K62" s="61">
        <f>IF(K2&gt;=Assumptions!$B$53,K46*K49*(1-Assumptions!$B$227)*Assumptions!$B$171*Assumptions!$B$172,0)</f>
        <v/>
      </c>
      <c r="L62" s="61">
        <f>IF(L2&gt;=Assumptions!$B$53,L46*L49*(1-Assumptions!$B$227)*Assumptions!$B$171*Assumptions!$B$172,0)</f>
        <v/>
      </c>
      <c r="M62" s="61">
        <f>IF(M2&gt;=Assumptions!$B$53,M46*M49*(1-Assumptions!$B$227)*Assumptions!$B$171*Assumptions!$B$172,0)</f>
        <v/>
      </c>
      <c r="N62" s="61">
        <f>IF(N2&gt;=Assumptions!$B$53,N46*N49*(1-Assumptions!$B$227)*Assumptions!$B$171*Assumptions!$B$172,0)</f>
        <v/>
      </c>
      <c r="O62" s="61">
        <f>IF(O2&gt;=Assumptions!$B$53,O46*O49*(1-Assumptions!$B$227)*Assumptions!$B$171*Assumptions!$B$172,0)</f>
        <v/>
      </c>
      <c r="P62" s="61">
        <f>IF(P2&gt;=Assumptions!$B$53,P46*P49*(1-Assumptions!$B$227)*Assumptions!$B$171*Assumptions!$B$172,0)</f>
        <v/>
      </c>
      <c r="Q62" s="61">
        <f>IF(Q2&gt;=Assumptions!$B$53,Q46*Q49*(1-Assumptions!$B$227)*Assumptions!$B$171*Assumptions!$B$172,0)</f>
        <v/>
      </c>
      <c r="R62" s="61">
        <f>IF(R2&gt;=Assumptions!$B$53,R46*R49*(1-Assumptions!$B$227)*Assumptions!$B$171*Assumptions!$B$172,0)</f>
        <v/>
      </c>
      <c r="S62" s="61">
        <f>IF(S2&gt;=Assumptions!$B$53,S46*S49*(1-Assumptions!$B$227)*Assumptions!$B$171*Assumptions!$B$172,0)</f>
        <v/>
      </c>
      <c r="T62" s="61">
        <f>IF(T2&gt;=Assumptions!$B$53,T46*T49*(1-Assumptions!$B$227)*Assumptions!$B$171*Assumptions!$B$172,0)</f>
        <v/>
      </c>
      <c r="U62" s="61">
        <f>IF(U2&gt;=Assumptions!$B$53,U46*U49*(1-Assumptions!$B$227)*Assumptions!$B$171*Assumptions!$B$172,0)</f>
        <v/>
      </c>
      <c r="V62" s="61">
        <f>IF(V2&gt;=Assumptions!$B$53,V46*V49*(1-Assumptions!$B$227)*Assumptions!$B$171*Assumptions!$B$172,0)</f>
        <v/>
      </c>
      <c r="W62" s="61">
        <f>IF(W2&gt;=Assumptions!$B$53,W46*W49*(1-Assumptions!$B$227)*Assumptions!$B$171*Assumptions!$B$172,0)</f>
        <v/>
      </c>
      <c r="X62" s="61">
        <f>IF(X2&gt;=Assumptions!$B$53,X46*X49*(1-Assumptions!$B$227)*Assumptions!$B$171*Assumptions!$B$172,0)</f>
        <v/>
      </c>
      <c r="Y62" s="61">
        <f>IF(Y2&gt;=Assumptions!$B$53,Y46*Y49*(1-Assumptions!$B$227)*Assumptions!$B$171*Assumptions!$B$172,0)</f>
        <v/>
      </c>
      <c r="Z62" s="61">
        <f>IF(Z2&gt;=Assumptions!$B$53,Z46*Z49*(1-Assumptions!$B$227)*Assumptions!$B$171*Assumptions!$B$172,0)</f>
        <v/>
      </c>
      <c r="AA62" s="61">
        <f>IF(AA2&gt;=Assumptions!$B$53,AA46*AA49*(1-Assumptions!$B$227)*Assumptions!$B$171*Assumptions!$B$172,0)</f>
        <v/>
      </c>
      <c r="AB62" s="61">
        <f>IF(AB2&gt;=Assumptions!$B$53,AB46*AB49*(1-Assumptions!$B$227)*Assumptions!$B$171*Assumptions!$B$172,0)</f>
        <v/>
      </c>
      <c r="AC62" s="61">
        <f>IF(AC2&gt;=Assumptions!$B$53,AC46*AC49*(1-Assumptions!$B$227)*Assumptions!$B$171*Assumptions!$B$172,0)</f>
        <v/>
      </c>
      <c r="AD62" s="61">
        <f>IF(AD2&gt;=Assumptions!$B$53,AD46*AD49*(1-Assumptions!$B$227)*Assumptions!$B$171*Assumptions!$B$172,0)</f>
        <v/>
      </c>
      <c r="AE62" s="61">
        <f>IF(AE2&gt;=Assumptions!$B$53,AE46*AE49*(1-Assumptions!$B$227)*Assumptions!$B$171*Assumptions!$B$172,0)</f>
        <v/>
      </c>
    </row>
    <row r="63">
      <c r="A63" s="6" t="inlineStr">
        <is>
          <t xml:space="preserve">  Stream 5 - Lending revenue share</t>
        </is>
      </c>
      <c r="B63" s="23" t="inlineStr">
        <is>
          <t>USD</t>
        </is>
      </c>
      <c r="C63" s="61">
        <f>IF(C2&gt;=Assumptions!$B$53,(C62*Assumptions!$B$29*Assumptions!$B$30+C47*C50*(1-Assumptions!$B$227)*Assumptions!$B$27*Assumptions!$B$28)*C7/12,0)</f>
        <v/>
      </c>
      <c r="D63" s="61">
        <f>IF(D2&gt;=Assumptions!$B$53,(D62*Assumptions!$B$29*Assumptions!$B$30+D47*D50*(1-Assumptions!$B$227)*Assumptions!$B$27*Assumptions!$B$28)*D7/12,0)</f>
        <v/>
      </c>
      <c r="E63" s="61">
        <f>IF(E2&gt;=Assumptions!$B$53,(E62*Assumptions!$B$29*Assumptions!$B$30+E47*E50*(1-Assumptions!$B$227)*Assumptions!$B$27*Assumptions!$B$28)*E7/12,0)</f>
        <v/>
      </c>
      <c r="F63" s="61">
        <f>IF(F2&gt;=Assumptions!$B$53,(F62*Assumptions!$B$29*Assumptions!$B$30+F47*F50*(1-Assumptions!$B$227)*Assumptions!$B$27*Assumptions!$B$28)*F7/12,0)</f>
        <v/>
      </c>
      <c r="G63" s="61">
        <f>IF(G2&gt;=Assumptions!$B$53,(G62*Assumptions!$B$29*Assumptions!$B$30+G47*G50*(1-Assumptions!$B$227)*Assumptions!$B$27*Assumptions!$B$28)*G7/12,0)</f>
        <v/>
      </c>
      <c r="H63" s="61">
        <f>IF(H2&gt;=Assumptions!$B$53,(H62*Assumptions!$B$29*Assumptions!$B$30+H47*H50*(1-Assumptions!$B$227)*Assumptions!$B$27*Assumptions!$B$28)*H7/12,0)</f>
        <v/>
      </c>
      <c r="I63" s="61">
        <f>IF(I2&gt;=Assumptions!$B$53,(I62*Assumptions!$B$29*Assumptions!$B$30+I47*I50*(1-Assumptions!$B$227)*Assumptions!$B$27*Assumptions!$B$28)*I7/12,0)</f>
        <v/>
      </c>
      <c r="J63" s="61">
        <f>IF(J2&gt;=Assumptions!$B$53,(J62*Assumptions!$B$29*Assumptions!$B$30+J47*J50*(1-Assumptions!$B$227)*Assumptions!$B$27*Assumptions!$B$28)*J7/12,0)</f>
        <v/>
      </c>
      <c r="K63" s="61">
        <f>IF(K2&gt;=Assumptions!$B$53,(K62*Assumptions!$B$29*Assumptions!$B$30+K47*K50*(1-Assumptions!$B$227)*Assumptions!$B$27*Assumptions!$B$28)*K7/12,0)</f>
        <v/>
      </c>
      <c r="L63" s="61">
        <f>IF(L2&gt;=Assumptions!$B$53,(L62*Assumptions!$B$29*Assumptions!$B$30+L47*L50*(1-Assumptions!$B$227)*Assumptions!$B$27*Assumptions!$B$28)*L7/12,0)</f>
        <v/>
      </c>
      <c r="M63" s="61">
        <f>IF(M2&gt;=Assumptions!$B$53,(M62*Assumptions!$B$29*Assumptions!$B$30+M47*M50*(1-Assumptions!$B$227)*Assumptions!$B$27*Assumptions!$B$28)*M7/12,0)</f>
        <v/>
      </c>
      <c r="N63" s="61">
        <f>IF(N2&gt;=Assumptions!$B$53,(N62*Assumptions!$B$29*Assumptions!$B$30+N47*N50*(1-Assumptions!$B$227)*Assumptions!$B$27*Assumptions!$B$28)*N7/12,0)</f>
        <v/>
      </c>
      <c r="O63" s="61">
        <f>IF(O2&gt;=Assumptions!$B$53,(O62*Assumptions!$B$29*Assumptions!$B$30+O47*O50*(1-Assumptions!$B$227)*Assumptions!$B$27*Assumptions!$B$28)*O7/12,0)</f>
        <v/>
      </c>
      <c r="P63" s="61">
        <f>IF(P2&gt;=Assumptions!$B$53,(P62*Assumptions!$B$29*Assumptions!$B$30+P47*P50*(1-Assumptions!$B$227)*Assumptions!$B$27*Assumptions!$B$28)*P7/12,0)</f>
        <v/>
      </c>
      <c r="Q63" s="61">
        <f>IF(Q2&gt;=Assumptions!$B$53,(Q62*Assumptions!$B$29*Assumptions!$B$30+Q47*Q50*(1-Assumptions!$B$227)*Assumptions!$B$27*Assumptions!$B$28)*Q7/12,0)</f>
        <v/>
      </c>
      <c r="R63" s="61">
        <f>IF(R2&gt;=Assumptions!$B$53,(R62*Assumptions!$B$29*Assumptions!$B$30+R47*R50*(1-Assumptions!$B$227)*Assumptions!$B$27*Assumptions!$B$28)*R7/12,0)</f>
        <v/>
      </c>
      <c r="S63" s="61">
        <f>IF(S2&gt;=Assumptions!$B$53,(S62*Assumptions!$B$29*Assumptions!$B$30+S47*S50*(1-Assumptions!$B$227)*Assumptions!$B$27*Assumptions!$B$28)*S7/12,0)</f>
        <v/>
      </c>
      <c r="T63" s="61">
        <f>IF(T2&gt;=Assumptions!$B$53,(T62*Assumptions!$B$29*Assumptions!$B$30+T47*T50*(1-Assumptions!$B$227)*Assumptions!$B$27*Assumptions!$B$28)*T7/12,0)</f>
        <v/>
      </c>
      <c r="U63" s="61">
        <f>IF(U2&gt;=Assumptions!$B$53,(U62*Assumptions!$B$29*Assumptions!$B$30+U47*U50*(1-Assumptions!$B$227)*Assumptions!$B$27*Assumptions!$B$28)*U7/12,0)</f>
        <v/>
      </c>
      <c r="V63" s="61">
        <f>IF(V2&gt;=Assumptions!$B$53,(V62*Assumptions!$B$29*Assumptions!$B$30+V47*V50*(1-Assumptions!$B$227)*Assumptions!$B$27*Assumptions!$B$28)*V7/12,0)</f>
        <v/>
      </c>
      <c r="W63" s="61">
        <f>IF(W2&gt;=Assumptions!$B$53,(W62*Assumptions!$B$29*Assumptions!$B$30+W47*W50*(1-Assumptions!$B$227)*Assumptions!$B$27*Assumptions!$B$28)*W7/12,0)</f>
        <v/>
      </c>
      <c r="X63" s="61">
        <f>IF(X2&gt;=Assumptions!$B$53,(X62*Assumptions!$B$29*Assumptions!$B$30+X47*X50*(1-Assumptions!$B$227)*Assumptions!$B$27*Assumptions!$B$28)*X7/12,0)</f>
        <v/>
      </c>
      <c r="Y63" s="61">
        <f>IF(Y2&gt;=Assumptions!$B$53,(Y62*Assumptions!$B$29*Assumptions!$B$30+Y47*Y50*(1-Assumptions!$B$227)*Assumptions!$B$27*Assumptions!$B$28)*Y7/12,0)</f>
        <v/>
      </c>
      <c r="Z63" s="61">
        <f>IF(Z2&gt;=Assumptions!$B$53,(Z62*Assumptions!$B$29*Assumptions!$B$30+Z47*Z50*(1-Assumptions!$B$227)*Assumptions!$B$27*Assumptions!$B$28)*Z7/12,0)</f>
        <v/>
      </c>
      <c r="AA63" s="61">
        <f>IF(AA2&gt;=Assumptions!$B$53,(AA62*Assumptions!$B$29*Assumptions!$B$30+AA47*AA50*(1-Assumptions!$B$227)*Assumptions!$B$27*Assumptions!$B$28)*AA7/12,0)</f>
        <v/>
      </c>
      <c r="AB63" s="61">
        <f>IF(AB2&gt;=Assumptions!$B$53,(AB62*Assumptions!$B$29*Assumptions!$B$30+AB47*AB50*(1-Assumptions!$B$227)*Assumptions!$B$27*Assumptions!$B$28)*AB7/12,0)</f>
        <v/>
      </c>
      <c r="AC63" s="61">
        <f>IF(AC2&gt;=Assumptions!$B$53,(AC62*Assumptions!$B$29*Assumptions!$B$30+AC47*AC50*(1-Assumptions!$B$227)*Assumptions!$B$27*Assumptions!$B$28)*AC7/12,0)</f>
        <v/>
      </c>
      <c r="AD63" s="61">
        <f>IF(AD2&gt;=Assumptions!$B$53,(AD62*Assumptions!$B$29*Assumptions!$B$30+AD47*AD50*(1-Assumptions!$B$227)*Assumptions!$B$27*Assumptions!$B$28)*AD7/12,0)</f>
        <v/>
      </c>
      <c r="AE63" s="61">
        <f>IF(AE2&gt;=Assumptions!$B$53,(AE62*Assumptions!$B$29*Assumptions!$B$30+AE47*AE50*(1-Assumptions!$B$227)*Assumptions!$B$27*Assumptions!$B$28)*AE7/12,0)</f>
        <v/>
      </c>
    </row>
    <row r="64">
      <c r="A64" s="6" t="inlineStr">
        <is>
          <t xml:space="preserve">  Redemption events (memo - drives cost, not revenue)</t>
        </is>
      </c>
      <c r="B64" s="23" t="inlineStr">
        <is>
          <t>events</t>
        </is>
      </c>
      <c r="C64" s="50">
        <f>IF(C2&gt;=Assumptions!$B$49,(C32+C34*Assumptions!$B$153)*Assumptions!$B$152*C7/12,0)</f>
        <v/>
      </c>
      <c r="D64" s="50">
        <f>IF(D2&gt;=Assumptions!$B$49,(D32+D34*Assumptions!$B$153)*Assumptions!$B$152*D7/12,0)</f>
        <v/>
      </c>
      <c r="E64" s="50">
        <f>IF(E2&gt;=Assumptions!$B$49,(E32+E34*Assumptions!$B$153)*Assumptions!$B$152*E7/12,0)</f>
        <v/>
      </c>
      <c r="F64" s="50">
        <f>IF(F2&gt;=Assumptions!$B$49,(F32+F34*Assumptions!$B$153)*Assumptions!$B$152*F7/12,0)</f>
        <v/>
      </c>
      <c r="G64" s="50">
        <f>IF(G2&gt;=Assumptions!$B$49,(G32+G34*Assumptions!$B$153)*Assumptions!$B$152*G7/12,0)</f>
        <v/>
      </c>
      <c r="H64" s="50">
        <f>IF(H2&gt;=Assumptions!$B$49,(H32+H34*Assumptions!$B$153)*Assumptions!$B$152*H7/12,0)</f>
        <v/>
      </c>
      <c r="I64" s="50">
        <f>IF(I2&gt;=Assumptions!$B$49,(I32+I34*Assumptions!$B$153)*Assumptions!$B$152*I7/12,0)</f>
        <v/>
      </c>
      <c r="J64" s="50">
        <f>IF(J2&gt;=Assumptions!$B$49,(J32+J34*Assumptions!$B$153)*Assumptions!$B$152*J7/12,0)</f>
        <v/>
      </c>
      <c r="K64" s="50">
        <f>IF(K2&gt;=Assumptions!$B$49,(K32+K34*Assumptions!$B$153)*Assumptions!$B$152*K7/12,0)</f>
        <v/>
      </c>
      <c r="L64" s="50">
        <f>IF(L2&gt;=Assumptions!$B$49,(L32+L34*Assumptions!$B$153)*Assumptions!$B$152*L7/12,0)</f>
        <v/>
      </c>
      <c r="M64" s="50">
        <f>IF(M2&gt;=Assumptions!$B$49,(M32+M34*Assumptions!$B$153)*Assumptions!$B$152*M7/12,0)</f>
        <v/>
      </c>
      <c r="N64" s="50">
        <f>IF(N2&gt;=Assumptions!$B$49,(N32+N34*Assumptions!$B$153)*Assumptions!$B$152*N7/12,0)</f>
        <v/>
      </c>
      <c r="O64" s="50">
        <f>IF(O2&gt;=Assumptions!$B$49,(O32+O34*Assumptions!$B$153)*Assumptions!$B$152*O7/12,0)</f>
        <v/>
      </c>
      <c r="P64" s="50">
        <f>IF(P2&gt;=Assumptions!$B$49,(P32+P34*Assumptions!$B$153)*Assumptions!$B$152*P7/12,0)</f>
        <v/>
      </c>
      <c r="Q64" s="50">
        <f>IF(Q2&gt;=Assumptions!$B$49,(Q32+Q34*Assumptions!$B$153)*Assumptions!$B$152*Q7/12,0)</f>
        <v/>
      </c>
      <c r="R64" s="50">
        <f>IF(R2&gt;=Assumptions!$B$49,(R32+R34*Assumptions!$B$153)*Assumptions!$B$152*R7/12,0)</f>
        <v/>
      </c>
      <c r="S64" s="50">
        <f>IF(S2&gt;=Assumptions!$B$49,(S32+S34*Assumptions!$B$153)*Assumptions!$B$152*S7/12,0)</f>
        <v/>
      </c>
      <c r="T64" s="50">
        <f>IF(T2&gt;=Assumptions!$B$49,(T32+T34*Assumptions!$B$153)*Assumptions!$B$152*T7/12,0)</f>
        <v/>
      </c>
      <c r="U64" s="50">
        <f>IF(U2&gt;=Assumptions!$B$49,(U32+U34*Assumptions!$B$153)*Assumptions!$B$152*U7/12,0)</f>
        <v/>
      </c>
      <c r="V64" s="50">
        <f>IF(V2&gt;=Assumptions!$B$49,(V32+V34*Assumptions!$B$153)*Assumptions!$B$152*V7/12,0)</f>
        <v/>
      </c>
      <c r="W64" s="50">
        <f>IF(W2&gt;=Assumptions!$B$49,(W32+W34*Assumptions!$B$153)*Assumptions!$B$152*W7/12,0)</f>
        <v/>
      </c>
      <c r="X64" s="50">
        <f>IF(X2&gt;=Assumptions!$B$49,(X32+X34*Assumptions!$B$153)*Assumptions!$B$152*X7/12,0)</f>
        <v/>
      </c>
      <c r="Y64" s="50">
        <f>IF(Y2&gt;=Assumptions!$B$49,(Y32+Y34*Assumptions!$B$153)*Assumptions!$B$152*Y7/12,0)</f>
        <v/>
      </c>
      <c r="Z64" s="50">
        <f>IF(Z2&gt;=Assumptions!$B$49,(Z32+Z34*Assumptions!$B$153)*Assumptions!$B$152*Z7/12,0)</f>
        <v/>
      </c>
      <c r="AA64" s="50">
        <f>IF(AA2&gt;=Assumptions!$B$49,(AA32+AA34*Assumptions!$B$153)*Assumptions!$B$152*AA7/12,0)</f>
        <v/>
      </c>
      <c r="AB64" s="50">
        <f>IF(AB2&gt;=Assumptions!$B$49,(AB32+AB34*Assumptions!$B$153)*Assumptions!$B$152*AB7/12,0)</f>
        <v/>
      </c>
      <c r="AC64" s="50">
        <f>IF(AC2&gt;=Assumptions!$B$49,(AC32+AC34*Assumptions!$B$153)*Assumptions!$B$152*AC7/12,0)</f>
        <v/>
      </c>
      <c r="AD64" s="50">
        <f>IF(AD2&gt;=Assumptions!$B$49,(AD32+AD34*Assumptions!$B$153)*Assumptions!$B$152*AD7/12,0)</f>
        <v/>
      </c>
      <c r="AE64" s="50">
        <f>IF(AE2&gt;=Assumptions!$B$49,(AE32+AE34*Assumptions!$B$153)*Assumptions!$B$152*AE7/12,0)</f>
        <v/>
      </c>
    </row>
    <row r="65">
      <c r="A65" s="3" t="inlineStr">
        <is>
          <t xml:space="preserve">  SUBTOTAL - UAE</t>
        </is>
      </c>
      <c r="B65" s="23" t="inlineStr">
        <is>
          <t>USD</t>
        </is>
      </c>
      <c r="C65" s="63">
        <f>C56+C57+C58+C60+C61+C63</f>
        <v/>
      </c>
      <c r="D65" s="63">
        <f>D56+D57+D58+D60+D61+D63</f>
        <v/>
      </c>
      <c r="E65" s="63">
        <f>E56+E57+E58+E60+E61+E63</f>
        <v/>
      </c>
      <c r="F65" s="63">
        <f>F56+F57+F58+F60+F61+F63</f>
        <v/>
      </c>
      <c r="G65" s="63">
        <f>G56+G57+G58+G60+G61+G63</f>
        <v/>
      </c>
      <c r="H65" s="63">
        <f>H56+H57+H58+H60+H61+H63</f>
        <v/>
      </c>
      <c r="I65" s="63">
        <f>I56+I57+I58+I60+I61+I63</f>
        <v/>
      </c>
      <c r="J65" s="63">
        <f>J56+J57+J58+J60+J61+J63</f>
        <v/>
      </c>
      <c r="K65" s="63">
        <f>K56+K57+K58+K60+K61+K63</f>
        <v/>
      </c>
      <c r="L65" s="63">
        <f>L56+L57+L58+L60+L61+L63</f>
        <v/>
      </c>
      <c r="M65" s="63">
        <f>M56+M57+M58+M60+M61+M63</f>
        <v/>
      </c>
      <c r="N65" s="63">
        <f>N56+N57+N58+N60+N61+N63</f>
        <v/>
      </c>
      <c r="O65" s="63">
        <f>O56+O57+O58+O60+O61+O63</f>
        <v/>
      </c>
      <c r="P65" s="63">
        <f>P56+P57+P58+P60+P61+P63</f>
        <v/>
      </c>
      <c r="Q65" s="63">
        <f>Q56+Q57+Q58+Q60+Q61+Q63</f>
        <v/>
      </c>
      <c r="R65" s="63">
        <f>R56+R57+R58+R60+R61+R63</f>
        <v/>
      </c>
      <c r="S65" s="63">
        <f>S56+S57+S58+S60+S61+S63</f>
        <v/>
      </c>
      <c r="T65" s="63">
        <f>T56+T57+T58+T60+T61+T63</f>
        <v/>
      </c>
      <c r="U65" s="63">
        <f>U56+U57+U58+U60+U61+U63</f>
        <v/>
      </c>
      <c r="V65" s="63">
        <f>V56+V57+V58+V60+V61+V63</f>
        <v/>
      </c>
      <c r="W65" s="63">
        <f>W56+W57+W58+W60+W61+W63</f>
        <v/>
      </c>
      <c r="X65" s="63">
        <f>X56+X57+X58+X60+X61+X63</f>
        <v/>
      </c>
      <c r="Y65" s="63">
        <f>Y56+Y57+Y58+Y60+Y61+Y63</f>
        <v/>
      </c>
      <c r="Z65" s="63">
        <f>Z56+Z57+Z58+Z60+Z61+Z63</f>
        <v/>
      </c>
      <c r="AA65" s="63">
        <f>AA56+AA57+AA58+AA60+AA61+AA63</f>
        <v/>
      </c>
      <c r="AB65" s="63">
        <f>AB56+AB57+AB58+AB60+AB61+AB63</f>
        <v/>
      </c>
      <c r="AC65" s="63">
        <f>AC56+AC57+AC58+AC60+AC61+AC63</f>
        <v/>
      </c>
      <c r="AD65" s="63">
        <f>AD56+AD57+AD58+AD60+AD61+AD63</f>
        <v/>
      </c>
      <c r="AE65" s="63">
        <f>AE56+AE57+AE58+AE60+AE61+AE63</f>
        <v/>
      </c>
    </row>
    <row r="67">
      <c r="A67" s="51" t="inlineStr">
        <is>
          <t>REGION: OMAN AND BAHRAIN</t>
        </is>
      </c>
      <c r="B67" s="52" t="n"/>
      <c r="C67" s="52" t="n"/>
      <c r="D67" s="52" t="n"/>
      <c r="E67" s="52" t="n"/>
      <c r="F67" s="52" t="n"/>
      <c r="G67" s="52" t="n"/>
      <c r="H67" s="52" t="n"/>
      <c r="I67" s="52" t="n"/>
      <c r="J67" s="52" t="n"/>
      <c r="K67" s="52" t="n"/>
      <c r="L67" s="52" t="n"/>
      <c r="M67" s="52" t="n"/>
      <c r="N67" s="52" t="n"/>
      <c r="O67" s="52" t="n"/>
      <c r="P67" s="52" t="n"/>
      <c r="Q67" s="52" t="n"/>
      <c r="R67" s="52" t="n"/>
      <c r="S67" s="52" t="n"/>
      <c r="T67" s="52" t="n"/>
      <c r="U67" s="52" t="n"/>
      <c r="V67" s="52" t="n"/>
      <c r="W67" s="52" t="n"/>
      <c r="X67" s="52" t="n"/>
      <c r="Y67" s="52" t="n"/>
      <c r="Z67" s="52" t="n"/>
      <c r="AA67" s="52" t="n"/>
      <c r="AB67" s="52" t="n"/>
      <c r="AC67" s="52" t="n"/>
      <c r="AD67" s="52" t="n"/>
      <c r="AE67" s="52" t="n"/>
    </row>
    <row r="68">
      <c r="A68" s="6" t="inlineStr">
        <is>
          <t xml:space="preserve">  Marketing CAC this period (ramping Y1 to Y7)</t>
        </is>
      </c>
      <c r="B68" s="23" t="inlineStr">
        <is>
          <t>USD/customer</t>
        </is>
      </c>
      <c r="C68" s="59">
        <f>Assumptions!$B$137+(Assumptions!$B$140-Assumptions!$B$137)*(C5-1)/6</f>
        <v/>
      </c>
      <c r="D68" s="59">
        <f>Assumptions!$B$137+(Assumptions!$B$140-Assumptions!$B$137)*(D5-1)/6</f>
        <v/>
      </c>
      <c r="E68" s="59">
        <f>Assumptions!$B$137+(Assumptions!$B$140-Assumptions!$B$137)*(E5-1)/6</f>
        <v/>
      </c>
      <c r="F68" s="59">
        <f>Assumptions!$B$137+(Assumptions!$B$140-Assumptions!$B$137)*(F5-1)/6</f>
        <v/>
      </c>
      <c r="G68" s="59">
        <f>Assumptions!$B$137+(Assumptions!$B$140-Assumptions!$B$137)*(G5-1)/6</f>
        <v/>
      </c>
      <c r="H68" s="59">
        <f>Assumptions!$B$137+(Assumptions!$B$140-Assumptions!$B$137)*(H5-1)/6</f>
        <v/>
      </c>
      <c r="I68" s="59">
        <f>Assumptions!$B$137+(Assumptions!$B$140-Assumptions!$B$137)*(I5-1)/6</f>
        <v/>
      </c>
      <c r="J68" s="59">
        <f>Assumptions!$B$137+(Assumptions!$B$140-Assumptions!$B$137)*(J5-1)/6</f>
        <v/>
      </c>
      <c r="K68" s="59">
        <f>Assumptions!$B$137+(Assumptions!$B$140-Assumptions!$B$137)*(K5-1)/6</f>
        <v/>
      </c>
      <c r="L68" s="59">
        <f>Assumptions!$B$137+(Assumptions!$B$140-Assumptions!$B$137)*(L5-1)/6</f>
        <v/>
      </c>
      <c r="M68" s="59">
        <f>Assumptions!$B$137+(Assumptions!$B$140-Assumptions!$B$137)*(M5-1)/6</f>
        <v/>
      </c>
      <c r="N68" s="59">
        <f>Assumptions!$B$137+(Assumptions!$B$140-Assumptions!$B$137)*(N5-1)/6</f>
        <v/>
      </c>
      <c r="O68" s="59">
        <f>Assumptions!$B$137+(Assumptions!$B$140-Assumptions!$B$137)*(O5-1)/6</f>
        <v/>
      </c>
      <c r="P68" s="59">
        <f>Assumptions!$B$137+(Assumptions!$B$140-Assumptions!$B$137)*(P5-1)/6</f>
        <v/>
      </c>
      <c r="Q68" s="59">
        <f>Assumptions!$B$137+(Assumptions!$B$140-Assumptions!$B$137)*(Q5-1)/6</f>
        <v/>
      </c>
      <c r="R68" s="59">
        <f>Assumptions!$B$137+(Assumptions!$B$140-Assumptions!$B$137)*(R5-1)/6</f>
        <v/>
      </c>
      <c r="S68" s="59">
        <f>Assumptions!$B$137+(Assumptions!$B$140-Assumptions!$B$137)*(S5-1)/6</f>
        <v/>
      </c>
      <c r="T68" s="59">
        <f>Assumptions!$B$137+(Assumptions!$B$140-Assumptions!$B$137)*(T5-1)/6</f>
        <v/>
      </c>
      <c r="U68" s="59">
        <f>Assumptions!$B$137+(Assumptions!$B$140-Assumptions!$B$137)*(U5-1)/6</f>
        <v/>
      </c>
      <c r="V68" s="59">
        <f>Assumptions!$B$137+(Assumptions!$B$140-Assumptions!$B$137)*(V5-1)/6</f>
        <v/>
      </c>
      <c r="W68" s="59">
        <f>Assumptions!$B$137+(Assumptions!$B$140-Assumptions!$B$137)*(W5-1)/6</f>
        <v/>
      </c>
      <c r="X68" s="59">
        <f>Assumptions!$B$137+(Assumptions!$B$140-Assumptions!$B$137)*(X5-1)/6</f>
        <v/>
      </c>
      <c r="Y68" s="59">
        <f>Assumptions!$B$137+(Assumptions!$B$140-Assumptions!$B$137)*(Y5-1)/6</f>
        <v/>
      </c>
      <c r="Z68" s="59">
        <f>Assumptions!$B$137+(Assumptions!$B$140-Assumptions!$B$137)*(Z5-1)/6</f>
        <v/>
      </c>
      <c r="AA68" s="59">
        <f>Assumptions!$B$137+(Assumptions!$B$140-Assumptions!$B$137)*(AA5-1)/6</f>
        <v/>
      </c>
      <c r="AB68" s="59">
        <f>Assumptions!$B$137+(Assumptions!$B$140-Assumptions!$B$137)*(AB5-1)/6</f>
        <v/>
      </c>
      <c r="AC68" s="59">
        <f>Assumptions!$B$137+(Assumptions!$B$140-Assumptions!$B$137)*(AC5-1)/6</f>
        <v/>
      </c>
      <c r="AD68" s="59">
        <f>Assumptions!$B$137+(Assumptions!$B$140-Assumptions!$B$137)*(AD5-1)/6</f>
        <v/>
      </c>
      <c r="AE68" s="59">
        <f>Assumptions!$B$137+(Assumptions!$B$140-Assumptions!$B$137)*(AE5-1)/6</f>
        <v/>
      </c>
    </row>
    <row r="69">
      <c r="A69" s="6" t="inlineStr">
        <is>
          <t xml:space="preserve">  Direct-driven (this market's budget at its own CAC)</t>
        </is>
      </c>
      <c r="B69" s="23" t="inlineStr">
        <is>
          <t>accounts</t>
        </is>
      </c>
      <c r="C69" s="58">
        <f>INDEX(Assumptions!$B$114:$B$120,C5)*Assumptions!$B$143/12*C7/C68*(1+Assumptions!$B$147)*IF(C2&gt;=Assumptions!$B$56,1,0)</f>
        <v/>
      </c>
      <c r="D69" s="58">
        <f>INDEX(Assumptions!$B$114:$B$120,D5)*Assumptions!$B$143/12*D7/D68*(1+Assumptions!$B$147)*IF(D2&gt;=Assumptions!$B$56,1,0)</f>
        <v/>
      </c>
      <c r="E69" s="58">
        <f>INDEX(Assumptions!$B$114:$B$120,E5)*Assumptions!$B$143/12*E7/E68*(1+Assumptions!$B$147)*IF(E2&gt;=Assumptions!$B$56,1,0)</f>
        <v/>
      </c>
      <c r="F69" s="58">
        <f>INDEX(Assumptions!$B$114:$B$120,F5)*Assumptions!$B$143/12*F7/F68*(1+Assumptions!$B$147)*IF(F2&gt;=Assumptions!$B$56,1,0)</f>
        <v/>
      </c>
      <c r="G69" s="58">
        <f>INDEX(Assumptions!$B$114:$B$120,G5)*Assumptions!$B$143/12*G7/G68*(1+Assumptions!$B$147)*IF(G2&gt;=Assumptions!$B$56,1,0)</f>
        <v/>
      </c>
      <c r="H69" s="58">
        <f>INDEX(Assumptions!$B$114:$B$120,H5)*Assumptions!$B$143/12*H7/H68*(1+Assumptions!$B$147)*IF(H2&gt;=Assumptions!$B$56,1,0)</f>
        <v/>
      </c>
      <c r="I69" s="58">
        <f>INDEX(Assumptions!$B$114:$B$120,I5)*Assumptions!$B$143/12*I7/I68*(1+Assumptions!$B$147)*IF(I2&gt;=Assumptions!$B$56,1,0)</f>
        <v/>
      </c>
      <c r="J69" s="58">
        <f>INDEX(Assumptions!$B$114:$B$120,J5)*Assumptions!$B$143/12*J7/J68*(1+Assumptions!$B$147)*IF(J2&gt;=Assumptions!$B$56,1,0)</f>
        <v/>
      </c>
      <c r="K69" s="58">
        <f>INDEX(Assumptions!$B$114:$B$120,K5)*Assumptions!$B$143/12*K7/K68*(1+Assumptions!$B$147)*IF(K2&gt;=Assumptions!$B$56,1,0)</f>
        <v/>
      </c>
      <c r="L69" s="58">
        <f>INDEX(Assumptions!$B$114:$B$120,L5)*Assumptions!$B$143/12*L7/L68*(1+Assumptions!$B$147)*IF(L2&gt;=Assumptions!$B$56,1,0)</f>
        <v/>
      </c>
      <c r="M69" s="58">
        <f>INDEX(Assumptions!$B$114:$B$120,M5)*Assumptions!$B$143/12*M7/M68*(1+Assumptions!$B$147)*IF(M2&gt;=Assumptions!$B$56,1,0)</f>
        <v/>
      </c>
      <c r="N69" s="58">
        <f>INDEX(Assumptions!$B$114:$B$120,N5)*Assumptions!$B$143/12*N7/N68*(1+Assumptions!$B$147)*IF(N2&gt;=Assumptions!$B$56,1,0)</f>
        <v/>
      </c>
      <c r="O69" s="58">
        <f>INDEX(Assumptions!$B$114:$B$120,O5)*Assumptions!$B$143/12*O7/O68*(1+Assumptions!$B$147)*IF(O2&gt;=Assumptions!$B$56,1,0)</f>
        <v/>
      </c>
      <c r="P69" s="58">
        <f>INDEX(Assumptions!$B$114:$B$120,P5)*Assumptions!$B$143/12*P7/P68*(1+Assumptions!$B$147)*IF(P2&gt;=Assumptions!$B$56,1,0)</f>
        <v/>
      </c>
      <c r="Q69" s="58">
        <f>INDEX(Assumptions!$B$114:$B$120,Q5)*Assumptions!$B$143/12*Q7/Q68*(1+Assumptions!$B$147)*IF(Q2&gt;=Assumptions!$B$56,1,0)</f>
        <v/>
      </c>
      <c r="R69" s="58">
        <f>INDEX(Assumptions!$B$114:$B$120,R5)*Assumptions!$B$143/12*R7/R68*(1+Assumptions!$B$147)*IF(R2&gt;=Assumptions!$B$56,1,0)</f>
        <v/>
      </c>
      <c r="S69" s="58">
        <f>INDEX(Assumptions!$B$114:$B$120,S5)*Assumptions!$B$143/12*S7/S68*(1+Assumptions!$B$147)*IF(S2&gt;=Assumptions!$B$56,1,0)</f>
        <v/>
      </c>
      <c r="T69" s="58">
        <f>INDEX(Assumptions!$B$114:$B$120,T5)*Assumptions!$B$143/12*T7/T68*(1+Assumptions!$B$147)*IF(T2&gt;=Assumptions!$B$56,1,0)</f>
        <v/>
      </c>
      <c r="U69" s="58">
        <f>INDEX(Assumptions!$B$114:$B$120,U5)*Assumptions!$B$143/12*U7/U68*(1+Assumptions!$B$147)*IF(U2&gt;=Assumptions!$B$56,1,0)</f>
        <v/>
      </c>
      <c r="V69" s="58">
        <f>INDEX(Assumptions!$B$114:$B$120,V5)*Assumptions!$B$143/12*V7/V68*(1+Assumptions!$B$147)*IF(V2&gt;=Assumptions!$B$56,1,0)</f>
        <v/>
      </c>
      <c r="W69" s="58">
        <f>INDEX(Assumptions!$B$114:$B$120,W5)*Assumptions!$B$143/12*W7/W68*(1+Assumptions!$B$147)*IF(W2&gt;=Assumptions!$B$56,1,0)</f>
        <v/>
      </c>
      <c r="X69" s="58">
        <f>INDEX(Assumptions!$B$114:$B$120,X5)*Assumptions!$B$143/12*X7/X68*(1+Assumptions!$B$147)*IF(X2&gt;=Assumptions!$B$56,1,0)</f>
        <v/>
      </c>
      <c r="Y69" s="58">
        <f>INDEX(Assumptions!$B$114:$B$120,Y5)*Assumptions!$B$143/12*Y7/Y68*(1+Assumptions!$B$147)*IF(Y2&gt;=Assumptions!$B$56,1,0)</f>
        <v/>
      </c>
      <c r="Z69" s="58">
        <f>INDEX(Assumptions!$B$114:$B$120,Z5)*Assumptions!$B$143/12*Z7/Z68*(1+Assumptions!$B$147)*IF(Z2&gt;=Assumptions!$B$56,1,0)</f>
        <v/>
      </c>
      <c r="AA69" s="58">
        <f>INDEX(Assumptions!$B$114:$B$120,AA5)*Assumptions!$B$143/12*AA7/AA68*(1+Assumptions!$B$147)*IF(AA2&gt;=Assumptions!$B$56,1,0)</f>
        <v/>
      </c>
      <c r="AB69" s="58">
        <f>INDEX(Assumptions!$B$114:$B$120,AB5)*Assumptions!$B$143/12*AB7/AB68*(1+Assumptions!$B$147)*IF(AB2&gt;=Assumptions!$B$56,1,0)</f>
        <v/>
      </c>
      <c r="AC69" s="58">
        <f>INDEX(Assumptions!$B$114:$B$120,AC5)*Assumptions!$B$143/12*AC7/AC68*(1+Assumptions!$B$147)*IF(AC2&gt;=Assumptions!$B$56,1,0)</f>
        <v/>
      </c>
      <c r="AD69" s="58">
        <f>INDEX(Assumptions!$B$114:$B$120,AD5)*Assumptions!$B$143/12*AD7/AD68*(1+Assumptions!$B$147)*IF(AD2&gt;=Assumptions!$B$56,1,0)</f>
        <v/>
      </c>
      <c r="AE69" s="58">
        <f>INDEX(Assumptions!$B$114:$B$120,AE5)*Assumptions!$B$143/12*AE7/AE68*(1+Assumptions!$B$147)*IF(AE2&gt;=Assumptions!$B$56,1,0)</f>
        <v/>
      </c>
    </row>
    <row r="70">
      <c r="A70" s="6" t="inlineStr">
        <is>
          <t xml:space="preserve">  Referral-driven (from this market's own base)</t>
        </is>
      </c>
      <c r="B70" s="23" t="inlineStr">
        <is>
          <t>accounts</t>
        </is>
      </c>
      <c r="C70" s="60" t="n">
        <v>0</v>
      </c>
      <c r="D70" s="60">
        <f>IF(D2&gt;=Assumptions!$B$55,C75*Assumptions!$B$145/12*Assumptions!$B$146*D7,0)</f>
        <v/>
      </c>
      <c r="E70" s="60">
        <f>IF(E2&gt;=Assumptions!$B$55,D75*Assumptions!$B$145/12*Assumptions!$B$146*E7,0)</f>
        <v/>
      </c>
      <c r="F70" s="60">
        <f>IF(F2&gt;=Assumptions!$B$55,E75*Assumptions!$B$145/12*Assumptions!$B$146*F7,0)</f>
        <v/>
      </c>
      <c r="G70" s="60">
        <f>IF(G2&gt;=Assumptions!$B$55,F75*Assumptions!$B$145/12*Assumptions!$B$146*G7,0)</f>
        <v/>
      </c>
      <c r="H70" s="60">
        <f>IF(H2&gt;=Assumptions!$B$55,G75*Assumptions!$B$145/12*Assumptions!$B$146*H7,0)</f>
        <v/>
      </c>
      <c r="I70" s="60">
        <f>IF(I2&gt;=Assumptions!$B$55,H75*Assumptions!$B$145/12*Assumptions!$B$146*I7,0)</f>
        <v/>
      </c>
      <c r="J70" s="60">
        <f>IF(J2&gt;=Assumptions!$B$55,I75*Assumptions!$B$145/12*Assumptions!$B$146*J7,0)</f>
        <v/>
      </c>
      <c r="K70" s="60">
        <f>IF(K2&gt;=Assumptions!$B$55,J75*Assumptions!$B$145/12*Assumptions!$B$146*K7,0)</f>
        <v/>
      </c>
      <c r="L70" s="60">
        <f>IF(L2&gt;=Assumptions!$B$55,K75*Assumptions!$B$145/12*Assumptions!$B$146*L7,0)</f>
        <v/>
      </c>
      <c r="M70" s="60">
        <f>IF(M2&gt;=Assumptions!$B$55,L75*Assumptions!$B$145/12*Assumptions!$B$146*M7,0)</f>
        <v/>
      </c>
      <c r="N70" s="60">
        <f>IF(N2&gt;=Assumptions!$B$55,M75*Assumptions!$B$145/12*Assumptions!$B$146*N7,0)</f>
        <v/>
      </c>
      <c r="O70" s="60">
        <f>IF(O2&gt;=Assumptions!$B$55,N75*Assumptions!$B$145/12*Assumptions!$B$146*O7,0)</f>
        <v/>
      </c>
      <c r="P70" s="60">
        <f>IF(P2&gt;=Assumptions!$B$55,O75*Assumptions!$B$145/12*Assumptions!$B$146*P7,0)</f>
        <v/>
      </c>
      <c r="Q70" s="60">
        <f>IF(Q2&gt;=Assumptions!$B$55,P75*Assumptions!$B$145/12*Assumptions!$B$146*Q7,0)</f>
        <v/>
      </c>
      <c r="R70" s="60">
        <f>IF(R2&gt;=Assumptions!$B$55,Q75*Assumptions!$B$145/12*Assumptions!$B$146*R7,0)</f>
        <v/>
      </c>
      <c r="S70" s="60">
        <f>IF(S2&gt;=Assumptions!$B$55,R75*Assumptions!$B$145/12*Assumptions!$B$146*S7,0)</f>
        <v/>
      </c>
      <c r="T70" s="60">
        <f>IF(T2&gt;=Assumptions!$B$55,S75*Assumptions!$B$145/12*Assumptions!$B$146*T7,0)</f>
        <v/>
      </c>
      <c r="U70" s="60">
        <f>IF(U2&gt;=Assumptions!$B$55,T75*Assumptions!$B$145/12*Assumptions!$B$146*U7,0)</f>
        <v/>
      </c>
      <c r="V70" s="60">
        <f>IF(V2&gt;=Assumptions!$B$55,U75*Assumptions!$B$145/12*Assumptions!$B$146*V7,0)</f>
        <v/>
      </c>
      <c r="W70" s="60">
        <f>IF(W2&gt;=Assumptions!$B$55,V75*Assumptions!$B$145/12*Assumptions!$B$146*W7,0)</f>
        <v/>
      </c>
      <c r="X70" s="60">
        <f>IF(X2&gt;=Assumptions!$B$55,W75*Assumptions!$B$145/12*Assumptions!$B$146*X7,0)</f>
        <v/>
      </c>
      <c r="Y70" s="60">
        <f>IF(Y2&gt;=Assumptions!$B$55,X75*Assumptions!$B$145/12*Assumptions!$B$146*Y7,0)</f>
        <v/>
      </c>
      <c r="Z70" s="60">
        <f>IF(Z2&gt;=Assumptions!$B$55,Y75*Assumptions!$B$145/12*Assumptions!$B$146*Z7,0)</f>
        <v/>
      </c>
      <c r="AA70" s="60">
        <f>IF(AA2&gt;=Assumptions!$B$55,Z75*Assumptions!$B$145/12*Assumptions!$B$146*AA7,0)</f>
        <v/>
      </c>
      <c r="AB70" s="60">
        <f>IF(AB2&gt;=Assumptions!$B$55,AA75*Assumptions!$B$145/12*Assumptions!$B$146*AB7,0)</f>
        <v/>
      </c>
      <c r="AC70" s="60">
        <f>IF(AC2&gt;=Assumptions!$B$55,AB75*Assumptions!$B$145/12*Assumptions!$B$146*AC7,0)</f>
        <v/>
      </c>
      <c r="AD70" s="60">
        <f>IF(AD2&gt;=Assumptions!$B$55,AC75*Assumptions!$B$145/12*Assumptions!$B$146*AD7,0)</f>
        <v/>
      </c>
      <c r="AE70" s="60">
        <f>IF(AE2&gt;=Assumptions!$B$55,AD75*Assumptions!$B$145/12*Assumptions!$B$146*AE7,0)</f>
        <v/>
      </c>
    </row>
    <row r="71">
      <c r="A71" s="6" t="inlineStr">
        <is>
          <t xml:space="preserve">  Agent-driven (this market's own agents)</t>
        </is>
      </c>
      <c r="B71" s="23" t="inlineStr">
        <is>
          <t>accounts</t>
        </is>
      </c>
      <c r="C71" s="58">
        <f>INDEX(Assumptions!$B$100:$B$106,C5)*Assumptions!$B$135*INDEX(Assumptions!$B$121:$B$127,C5)*C7*IF(C2&gt;=Assumptions!$B$56,1,0)</f>
        <v/>
      </c>
      <c r="D71" s="58">
        <f>INDEX(Assumptions!$B$100:$B$106,D5)*Assumptions!$B$135*INDEX(Assumptions!$B$121:$B$127,D5)*D7*IF(D2&gt;=Assumptions!$B$56,1,0)</f>
        <v/>
      </c>
      <c r="E71" s="58">
        <f>INDEX(Assumptions!$B$100:$B$106,E5)*Assumptions!$B$135*INDEX(Assumptions!$B$121:$B$127,E5)*E7*IF(E2&gt;=Assumptions!$B$56,1,0)</f>
        <v/>
      </c>
      <c r="F71" s="58">
        <f>INDEX(Assumptions!$B$100:$B$106,F5)*Assumptions!$B$135*INDEX(Assumptions!$B$121:$B$127,F5)*F7*IF(F2&gt;=Assumptions!$B$56,1,0)</f>
        <v/>
      </c>
      <c r="G71" s="58">
        <f>INDEX(Assumptions!$B$100:$B$106,G5)*Assumptions!$B$135*INDEX(Assumptions!$B$121:$B$127,G5)*G7*IF(G2&gt;=Assumptions!$B$56,1,0)</f>
        <v/>
      </c>
      <c r="H71" s="58">
        <f>INDEX(Assumptions!$B$100:$B$106,H5)*Assumptions!$B$135*INDEX(Assumptions!$B$121:$B$127,H5)*H7*IF(H2&gt;=Assumptions!$B$56,1,0)</f>
        <v/>
      </c>
      <c r="I71" s="58">
        <f>INDEX(Assumptions!$B$100:$B$106,I5)*Assumptions!$B$135*INDEX(Assumptions!$B$121:$B$127,I5)*I7*IF(I2&gt;=Assumptions!$B$56,1,0)</f>
        <v/>
      </c>
      <c r="J71" s="58">
        <f>INDEX(Assumptions!$B$100:$B$106,J5)*Assumptions!$B$135*INDEX(Assumptions!$B$121:$B$127,J5)*J7*IF(J2&gt;=Assumptions!$B$56,1,0)</f>
        <v/>
      </c>
      <c r="K71" s="58">
        <f>INDEX(Assumptions!$B$100:$B$106,K5)*Assumptions!$B$135*INDEX(Assumptions!$B$121:$B$127,K5)*K7*IF(K2&gt;=Assumptions!$B$56,1,0)</f>
        <v/>
      </c>
      <c r="L71" s="58">
        <f>INDEX(Assumptions!$B$100:$B$106,L5)*Assumptions!$B$135*INDEX(Assumptions!$B$121:$B$127,L5)*L7*IF(L2&gt;=Assumptions!$B$56,1,0)</f>
        <v/>
      </c>
      <c r="M71" s="58">
        <f>INDEX(Assumptions!$B$100:$B$106,M5)*Assumptions!$B$135*INDEX(Assumptions!$B$121:$B$127,M5)*M7*IF(M2&gt;=Assumptions!$B$56,1,0)</f>
        <v/>
      </c>
      <c r="N71" s="58">
        <f>INDEX(Assumptions!$B$100:$B$106,N5)*Assumptions!$B$135*INDEX(Assumptions!$B$121:$B$127,N5)*N7*IF(N2&gt;=Assumptions!$B$56,1,0)</f>
        <v/>
      </c>
      <c r="O71" s="58">
        <f>INDEX(Assumptions!$B$100:$B$106,O5)*Assumptions!$B$135*INDEX(Assumptions!$B$121:$B$127,O5)*O7*IF(O2&gt;=Assumptions!$B$56,1,0)</f>
        <v/>
      </c>
      <c r="P71" s="58">
        <f>INDEX(Assumptions!$B$100:$B$106,P5)*Assumptions!$B$135*INDEX(Assumptions!$B$121:$B$127,P5)*P7*IF(P2&gt;=Assumptions!$B$56,1,0)</f>
        <v/>
      </c>
      <c r="Q71" s="58">
        <f>INDEX(Assumptions!$B$100:$B$106,Q5)*Assumptions!$B$135*INDEX(Assumptions!$B$121:$B$127,Q5)*Q7*IF(Q2&gt;=Assumptions!$B$56,1,0)</f>
        <v/>
      </c>
      <c r="R71" s="58">
        <f>INDEX(Assumptions!$B$100:$B$106,R5)*Assumptions!$B$135*INDEX(Assumptions!$B$121:$B$127,R5)*R7*IF(R2&gt;=Assumptions!$B$56,1,0)</f>
        <v/>
      </c>
      <c r="S71" s="58">
        <f>INDEX(Assumptions!$B$100:$B$106,S5)*Assumptions!$B$135*INDEX(Assumptions!$B$121:$B$127,S5)*S7*IF(S2&gt;=Assumptions!$B$56,1,0)</f>
        <v/>
      </c>
      <c r="T71" s="58">
        <f>INDEX(Assumptions!$B$100:$B$106,T5)*Assumptions!$B$135*INDEX(Assumptions!$B$121:$B$127,T5)*T7*IF(T2&gt;=Assumptions!$B$56,1,0)</f>
        <v/>
      </c>
      <c r="U71" s="58">
        <f>INDEX(Assumptions!$B$100:$B$106,U5)*Assumptions!$B$135*INDEX(Assumptions!$B$121:$B$127,U5)*U7*IF(U2&gt;=Assumptions!$B$56,1,0)</f>
        <v/>
      </c>
      <c r="V71" s="58">
        <f>INDEX(Assumptions!$B$100:$B$106,V5)*Assumptions!$B$135*INDEX(Assumptions!$B$121:$B$127,V5)*V7*IF(V2&gt;=Assumptions!$B$56,1,0)</f>
        <v/>
      </c>
      <c r="W71" s="58">
        <f>INDEX(Assumptions!$B$100:$B$106,W5)*Assumptions!$B$135*INDEX(Assumptions!$B$121:$B$127,W5)*W7*IF(W2&gt;=Assumptions!$B$56,1,0)</f>
        <v/>
      </c>
      <c r="X71" s="58">
        <f>INDEX(Assumptions!$B$100:$B$106,X5)*Assumptions!$B$135*INDEX(Assumptions!$B$121:$B$127,X5)*X7*IF(X2&gt;=Assumptions!$B$56,1,0)</f>
        <v/>
      </c>
      <c r="Y71" s="58">
        <f>INDEX(Assumptions!$B$100:$B$106,Y5)*Assumptions!$B$135*INDEX(Assumptions!$B$121:$B$127,Y5)*Y7*IF(Y2&gt;=Assumptions!$B$56,1,0)</f>
        <v/>
      </c>
      <c r="Z71" s="58">
        <f>INDEX(Assumptions!$B$100:$B$106,Z5)*Assumptions!$B$135*INDEX(Assumptions!$B$121:$B$127,Z5)*Z7*IF(Z2&gt;=Assumptions!$B$56,1,0)</f>
        <v/>
      </c>
      <c r="AA71" s="58">
        <f>INDEX(Assumptions!$B$100:$B$106,AA5)*Assumptions!$B$135*INDEX(Assumptions!$B$121:$B$127,AA5)*AA7*IF(AA2&gt;=Assumptions!$B$56,1,0)</f>
        <v/>
      </c>
      <c r="AB71" s="58">
        <f>INDEX(Assumptions!$B$100:$B$106,AB5)*Assumptions!$B$135*INDEX(Assumptions!$B$121:$B$127,AB5)*AB7*IF(AB2&gt;=Assumptions!$B$56,1,0)</f>
        <v/>
      </c>
      <c r="AC71" s="58">
        <f>INDEX(Assumptions!$B$100:$B$106,AC5)*Assumptions!$B$135*INDEX(Assumptions!$B$121:$B$127,AC5)*AC7*IF(AC2&gt;=Assumptions!$B$56,1,0)</f>
        <v/>
      </c>
      <c r="AD71" s="58">
        <f>INDEX(Assumptions!$B$100:$B$106,AD5)*Assumptions!$B$135*INDEX(Assumptions!$B$121:$B$127,AD5)*AD7*IF(AD2&gt;=Assumptions!$B$56,1,0)</f>
        <v/>
      </c>
      <c r="AE71" s="58">
        <f>INDEX(Assumptions!$B$100:$B$106,AE5)*Assumptions!$B$135*INDEX(Assumptions!$B$121:$B$127,AE5)*AE7*IF(AE2&gt;=Assumptions!$B$56,1,0)</f>
        <v/>
      </c>
    </row>
    <row r="72">
      <c r="A72" s="6" t="inlineStr">
        <is>
          <t xml:space="preserve">  Raw demand</t>
        </is>
      </c>
      <c r="B72" s="23" t="inlineStr">
        <is>
          <t>accounts</t>
        </is>
      </c>
      <c r="C72" s="60">
        <f>C69+C70+C71</f>
        <v/>
      </c>
      <c r="D72" s="60">
        <f>D69+D70+D71</f>
        <v/>
      </c>
      <c r="E72" s="60">
        <f>E69+E70+E71</f>
        <v/>
      </c>
      <c r="F72" s="60">
        <f>F69+F70+F71</f>
        <v/>
      </c>
      <c r="G72" s="60">
        <f>G69+G70+G71</f>
        <v/>
      </c>
      <c r="H72" s="60">
        <f>H69+H70+H71</f>
        <v/>
      </c>
      <c r="I72" s="60">
        <f>I69+I70+I71</f>
        <v/>
      </c>
      <c r="J72" s="60">
        <f>J69+J70+J71</f>
        <v/>
      </c>
      <c r="K72" s="60">
        <f>K69+K70+K71</f>
        <v/>
      </c>
      <c r="L72" s="60">
        <f>L69+L70+L71</f>
        <v/>
      </c>
      <c r="M72" s="60">
        <f>M69+M70+M71</f>
        <v/>
      </c>
      <c r="N72" s="60">
        <f>N69+N70+N71</f>
        <v/>
      </c>
      <c r="O72" s="60">
        <f>O69+O70+O71</f>
        <v/>
      </c>
      <c r="P72" s="60">
        <f>P69+P70+P71</f>
        <v/>
      </c>
      <c r="Q72" s="60">
        <f>Q69+Q70+Q71</f>
        <v/>
      </c>
      <c r="R72" s="60">
        <f>R69+R70+R71</f>
        <v/>
      </c>
      <c r="S72" s="60">
        <f>S69+S70+S71</f>
        <v/>
      </c>
      <c r="T72" s="60">
        <f>T69+T70+T71</f>
        <v/>
      </c>
      <c r="U72" s="60">
        <f>U69+U70+U71</f>
        <v/>
      </c>
      <c r="V72" s="60">
        <f>V69+V70+V71</f>
        <v/>
      </c>
      <c r="W72" s="60">
        <f>W69+W70+W71</f>
        <v/>
      </c>
      <c r="X72" s="60">
        <f>X69+X70+X71</f>
        <v/>
      </c>
      <c r="Y72" s="60">
        <f>Y69+Y70+Y71</f>
        <v/>
      </c>
      <c r="Z72" s="60">
        <f>Z69+Z70+Z71</f>
        <v/>
      </c>
      <c r="AA72" s="60">
        <f>AA69+AA70+AA71</f>
        <v/>
      </c>
      <c r="AB72" s="60">
        <f>AB69+AB70+AB71</f>
        <v/>
      </c>
      <c r="AC72" s="60">
        <f>AC69+AC70+AC71</f>
        <v/>
      </c>
      <c r="AD72" s="60">
        <f>AD69+AD70+AD71</f>
        <v/>
      </c>
      <c r="AE72" s="60">
        <f>AE69+AE70+AE71</f>
        <v/>
      </c>
    </row>
    <row r="73">
      <c r="A73" s="6" t="inlineStr">
        <is>
          <t xml:space="preserve">  Saturation (this region's own headroom)</t>
        </is>
      </c>
      <c r="B73" s="23" t="inlineStr">
        <is>
          <t>x</t>
        </is>
      </c>
      <c r="C73" s="56" t="n">
        <v>1</v>
      </c>
      <c r="D73" s="56">
        <f>MAX(0,1-C78/Assumptions!$B$85)</f>
        <v/>
      </c>
      <c r="E73" s="56">
        <f>MAX(0,1-D78/Assumptions!$B$85)</f>
        <v/>
      </c>
      <c r="F73" s="56">
        <f>MAX(0,1-E78/Assumptions!$B$85)</f>
        <v/>
      </c>
      <c r="G73" s="56">
        <f>MAX(0,1-F78/Assumptions!$B$85)</f>
        <v/>
      </c>
      <c r="H73" s="56">
        <f>MAX(0,1-G78/Assumptions!$B$85)</f>
        <v/>
      </c>
      <c r="I73" s="56">
        <f>MAX(0,1-H78/Assumptions!$B$85)</f>
        <v/>
      </c>
      <c r="J73" s="56">
        <f>MAX(0,1-I78/Assumptions!$B$85)</f>
        <v/>
      </c>
      <c r="K73" s="56">
        <f>MAX(0,1-J78/Assumptions!$B$85)</f>
        <v/>
      </c>
      <c r="L73" s="56">
        <f>MAX(0,1-K78/Assumptions!$B$85)</f>
        <v/>
      </c>
      <c r="M73" s="56">
        <f>MAX(0,1-L78/Assumptions!$B$85)</f>
        <v/>
      </c>
      <c r="N73" s="56">
        <f>MAX(0,1-M78/Assumptions!$B$85)</f>
        <v/>
      </c>
      <c r="O73" s="56">
        <f>MAX(0,1-N78/Assumptions!$B$85)</f>
        <v/>
      </c>
      <c r="P73" s="56">
        <f>MAX(0,1-O78/Assumptions!$B$85)</f>
        <v/>
      </c>
      <c r="Q73" s="56">
        <f>MAX(0,1-P78/Assumptions!$B$85)</f>
        <v/>
      </c>
      <c r="R73" s="56">
        <f>MAX(0,1-Q78/Assumptions!$B$85)</f>
        <v/>
      </c>
      <c r="S73" s="56">
        <f>MAX(0,1-R78/Assumptions!$B$85)</f>
        <v/>
      </c>
      <c r="T73" s="56">
        <f>MAX(0,1-S78/Assumptions!$B$85)</f>
        <v/>
      </c>
      <c r="U73" s="56">
        <f>MAX(0,1-T78/Assumptions!$B$85)</f>
        <v/>
      </c>
      <c r="V73" s="56">
        <f>MAX(0,1-U78/Assumptions!$B$85)</f>
        <v/>
      </c>
      <c r="W73" s="56">
        <f>MAX(0,1-V78/Assumptions!$B$85)</f>
        <v/>
      </c>
      <c r="X73" s="56">
        <f>MAX(0,1-W78/Assumptions!$B$85)</f>
        <v/>
      </c>
      <c r="Y73" s="56">
        <f>MAX(0,1-X78/Assumptions!$B$85)</f>
        <v/>
      </c>
      <c r="Z73" s="56">
        <f>MAX(0,1-Y78/Assumptions!$B$85)</f>
        <v/>
      </c>
      <c r="AA73" s="56">
        <f>MAX(0,1-Z78/Assumptions!$B$85)</f>
        <v/>
      </c>
      <c r="AB73" s="56">
        <f>MAX(0,1-AA78/Assumptions!$B$85)</f>
        <v/>
      </c>
      <c r="AC73" s="56">
        <f>MAX(0,1-AB78/Assumptions!$B$85)</f>
        <v/>
      </c>
      <c r="AD73" s="56">
        <f>MAX(0,1-AC78/Assumptions!$B$85)</f>
        <v/>
      </c>
      <c r="AE73" s="56">
        <f>MAX(0,1-AD78/Assumptions!$B$85)</f>
        <v/>
      </c>
    </row>
    <row r="74">
      <c r="A74" s="6" t="inlineStr">
        <is>
          <t xml:space="preserve">  New customers</t>
        </is>
      </c>
      <c r="B74" s="23" t="inlineStr">
        <is>
          <t>accounts</t>
        </is>
      </c>
      <c r="C74" s="60">
        <f>C72*C73*C15</f>
        <v/>
      </c>
      <c r="D74" s="60">
        <f>D72*D73*D15</f>
        <v/>
      </c>
      <c r="E74" s="60">
        <f>E72*E73*E15</f>
        <v/>
      </c>
      <c r="F74" s="60">
        <f>F72*F73*F15</f>
        <v/>
      </c>
      <c r="G74" s="60">
        <f>G72*G73*G15</f>
        <v/>
      </c>
      <c r="H74" s="60">
        <f>H72*H73*H15</f>
        <v/>
      </c>
      <c r="I74" s="60">
        <f>I72*I73*I15</f>
        <v/>
      </c>
      <c r="J74" s="60">
        <f>J72*J73*J15</f>
        <v/>
      </c>
      <c r="K74" s="60">
        <f>K72*K73*K15</f>
        <v/>
      </c>
      <c r="L74" s="60">
        <f>L72*L73*L15</f>
        <v/>
      </c>
      <c r="M74" s="60">
        <f>M72*M73*M15</f>
        <v/>
      </c>
      <c r="N74" s="60">
        <f>N72*N73*N15</f>
        <v/>
      </c>
      <c r="O74" s="60">
        <f>O72*O73*O15</f>
        <v/>
      </c>
      <c r="P74" s="60">
        <f>P72*P73*P15</f>
        <v/>
      </c>
      <c r="Q74" s="60">
        <f>Q72*Q73*Q15</f>
        <v/>
      </c>
      <c r="R74" s="60">
        <f>R72*R73*R15</f>
        <v/>
      </c>
      <c r="S74" s="60">
        <f>S72*S73*S15</f>
        <v/>
      </c>
      <c r="T74" s="60">
        <f>T72*T73*T15</f>
        <v/>
      </c>
      <c r="U74" s="60">
        <f>U72*U73*U15</f>
        <v/>
      </c>
      <c r="V74" s="60">
        <f>V72*V73*V15</f>
        <v/>
      </c>
      <c r="W74" s="60">
        <f>W72*W73*W15</f>
        <v/>
      </c>
      <c r="X74" s="60">
        <f>X72*X73*X15</f>
        <v/>
      </c>
      <c r="Y74" s="60">
        <f>Y72*Y73*Y15</f>
        <v/>
      </c>
      <c r="Z74" s="60">
        <f>Z72*Z73*Z15</f>
        <v/>
      </c>
      <c r="AA74" s="60">
        <f>AA72*AA73*AA15</f>
        <v/>
      </c>
      <c r="AB74" s="60">
        <f>AB72*AB73*AB15</f>
        <v/>
      </c>
      <c r="AC74" s="60">
        <f>AC72*AC73*AC15</f>
        <v/>
      </c>
      <c r="AD74" s="60">
        <f>AD72*AD73*AD15</f>
        <v/>
      </c>
      <c r="AE74" s="60">
        <f>AE72*AE73*AE15</f>
        <v/>
      </c>
    </row>
    <row r="75">
      <c r="A75" s="6" t="inlineStr">
        <is>
          <t xml:space="preserve">  Paying customers</t>
        </is>
      </c>
      <c r="B75" s="23" t="inlineStr">
        <is>
          <t>accounts</t>
        </is>
      </c>
      <c r="C75" s="28">
        <f>C74*(1-Assumptions!$B$134)^(C7/2)</f>
        <v/>
      </c>
      <c r="D75" s="28">
        <f>C75*(1-Assumptions!$B$134)^D7+D74*(1-Assumptions!$B$134)^(D7/2)</f>
        <v/>
      </c>
      <c r="E75" s="28">
        <f>D75*(1-Assumptions!$B$134)^E7+E74*(1-Assumptions!$B$134)^(E7/2)</f>
        <v/>
      </c>
      <c r="F75" s="28">
        <f>E75*(1-Assumptions!$B$134)^F7+F74*(1-Assumptions!$B$134)^(F7/2)</f>
        <v/>
      </c>
      <c r="G75" s="28">
        <f>F75*(1-Assumptions!$B$134)^G7+G74*(1-Assumptions!$B$134)^(G7/2)</f>
        <v/>
      </c>
      <c r="H75" s="28">
        <f>G75*(1-Assumptions!$B$134)^H7+H74*(1-Assumptions!$B$134)^(H7/2)</f>
        <v/>
      </c>
      <c r="I75" s="28">
        <f>H75*(1-Assumptions!$B$134)^I7+I74*(1-Assumptions!$B$134)^(I7/2)</f>
        <v/>
      </c>
      <c r="J75" s="28">
        <f>I75*(1-Assumptions!$B$134)^J7+J74*(1-Assumptions!$B$134)^(J7/2)</f>
        <v/>
      </c>
      <c r="K75" s="28">
        <f>J75*(1-Assumptions!$B$134)^K7+K74*(1-Assumptions!$B$134)^(K7/2)</f>
        <v/>
      </c>
      <c r="L75" s="28">
        <f>K75*(1-Assumptions!$B$134)^L7+L74*(1-Assumptions!$B$134)^(L7/2)</f>
        <v/>
      </c>
      <c r="M75" s="28">
        <f>L75*(1-Assumptions!$B$134)^M7+M74*(1-Assumptions!$B$134)^(M7/2)</f>
        <v/>
      </c>
      <c r="N75" s="28">
        <f>M75*(1-Assumptions!$B$134)^N7+N74*(1-Assumptions!$B$134)^(N7/2)</f>
        <v/>
      </c>
      <c r="O75" s="28">
        <f>N75*(1-Assumptions!$B$134)^O7+O74*(1-Assumptions!$B$134)^(O7/2)</f>
        <v/>
      </c>
      <c r="P75" s="28">
        <f>O75*(1-Assumptions!$B$134)^P7+P74*(1-Assumptions!$B$134)^(P7/2)</f>
        <v/>
      </c>
      <c r="Q75" s="28">
        <f>P75*(1-Assumptions!$B$134)^Q7+Q74*(1-Assumptions!$B$134)^(Q7/2)</f>
        <v/>
      </c>
      <c r="R75" s="28">
        <f>Q75*(1-Assumptions!$B$134)^R7+R74*(1-Assumptions!$B$134)^(R7/2)</f>
        <v/>
      </c>
      <c r="S75" s="28">
        <f>R75*(1-Assumptions!$B$134)^S7+S74*(1-Assumptions!$B$134)^(S7/2)</f>
        <v/>
      </c>
      <c r="T75" s="28">
        <f>S75*(1-Assumptions!$B$134)^T7+T74*(1-Assumptions!$B$134)^(T7/2)</f>
        <v/>
      </c>
      <c r="U75" s="28">
        <f>T75*(1-Assumptions!$B$134)^U7+U74*(1-Assumptions!$B$134)^(U7/2)</f>
        <v/>
      </c>
      <c r="V75" s="28">
        <f>U75*(1-Assumptions!$B$134)^V7+V74*(1-Assumptions!$B$134)^(V7/2)</f>
        <v/>
      </c>
      <c r="W75" s="28">
        <f>V75*(1-Assumptions!$B$134)^W7+W74*(1-Assumptions!$B$134)^(W7/2)</f>
        <v/>
      </c>
      <c r="X75" s="28">
        <f>W75*(1-Assumptions!$B$134)^X7+X74*(1-Assumptions!$B$134)^(X7/2)</f>
        <v/>
      </c>
      <c r="Y75" s="28">
        <f>X75*(1-Assumptions!$B$134)^Y7+Y74*(1-Assumptions!$B$134)^(Y7/2)</f>
        <v/>
      </c>
      <c r="Z75" s="28">
        <f>Y75*(1-Assumptions!$B$134)^Z7+Z74*(1-Assumptions!$B$134)^(Z7/2)</f>
        <v/>
      </c>
      <c r="AA75" s="28">
        <f>Z75*(1-Assumptions!$B$134)^AA7+AA74*(1-Assumptions!$B$134)^(AA7/2)</f>
        <v/>
      </c>
      <c r="AB75" s="28">
        <f>AA75*(1-Assumptions!$B$134)^AB7+AB74*(1-Assumptions!$B$134)^(AB7/2)</f>
        <v/>
      </c>
      <c r="AC75" s="28">
        <f>AB75*(1-Assumptions!$B$134)^AC7+AC74*(1-Assumptions!$B$134)^(AC7/2)</f>
        <v/>
      </c>
      <c r="AD75" s="28">
        <f>AC75*(1-Assumptions!$B$134)^AD7+AD74*(1-Assumptions!$B$134)^(AD7/2)</f>
        <v/>
      </c>
      <c r="AE75" s="28">
        <f>AD75*(1-Assumptions!$B$134)^AE7+AE74*(1-Assumptions!$B$134)^(AE7/2)</f>
        <v/>
      </c>
    </row>
    <row r="76">
      <c r="A76" s="6" t="inlineStr">
        <is>
          <t xml:space="preserve">  Churned this period</t>
        </is>
      </c>
      <c r="B76" s="23" t="inlineStr">
        <is>
          <t>accounts</t>
        </is>
      </c>
      <c r="C76" s="60">
        <f>C74-C75</f>
        <v/>
      </c>
      <c r="D76" s="60">
        <f>C75+D74-D75</f>
        <v/>
      </c>
      <c r="E76" s="60">
        <f>D75+E74-E75</f>
        <v/>
      </c>
      <c r="F76" s="60">
        <f>E75+F74-F75</f>
        <v/>
      </c>
      <c r="G76" s="60">
        <f>F75+G74-G75</f>
        <v/>
      </c>
      <c r="H76" s="60">
        <f>G75+H74-H75</f>
        <v/>
      </c>
      <c r="I76" s="60">
        <f>H75+I74-I75</f>
        <v/>
      </c>
      <c r="J76" s="60">
        <f>I75+J74-J75</f>
        <v/>
      </c>
      <c r="K76" s="60">
        <f>J75+K74-K75</f>
        <v/>
      </c>
      <c r="L76" s="60">
        <f>K75+L74-L75</f>
        <v/>
      </c>
      <c r="M76" s="60">
        <f>L75+M74-M75</f>
        <v/>
      </c>
      <c r="N76" s="60">
        <f>M75+N74-N75</f>
        <v/>
      </c>
      <c r="O76" s="60">
        <f>N75+O74-O75</f>
        <v/>
      </c>
      <c r="P76" s="60">
        <f>O75+P74-P75</f>
        <v/>
      </c>
      <c r="Q76" s="60">
        <f>P75+Q74-Q75</f>
        <v/>
      </c>
      <c r="R76" s="60">
        <f>Q75+R74-R75</f>
        <v/>
      </c>
      <c r="S76" s="60">
        <f>R75+S74-S75</f>
        <v/>
      </c>
      <c r="T76" s="60">
        <f>S75+T74-T75</f>
        <v/>
      </c>
      <c r="U76" s="60">
        <f>T75+U74-U75</f>
        <v/>
      </c>
      <c r="V76" s="60">
        <f>U75+V74-V75</f>
        <v/>
      </c>
      <c r="W76" s="60">
        <f>V75+W74-W75</f>
        <v/>
      </c>
      <c r="X76" s="60">
        <f>W75+X74-X75</f>
        <v/>
      </c>
      <c r="Y76" s="60">
        <f>X75+Y74-Y75</f>
        <v/>
      </c>
      <c r="Z76" s="60">
        <f>Y75+Z74-Z75</f>
        <v/>
      </c>
      <c r="AA76" s="60">
        <f>Z75+AA74-AA75</f>
        <v/>
      </c>
      <c r="AB76" s="60">
        <f>AA75+AB74-AB75</f>
        <v/>
      </c>
      <c r="AC76" s="60">
        <f>AB75+AC74-AC75</f>
        <v/>
      </c>
      <c r="AD76" s="60">
        <f>AC75+AD74-AD75</f>
        <v/>
      </c>
      <c r="AE76" s="60">
        <f>AD75+AE74-AE75</f>
        <v/>
      </c>
    </row>
    <row r="77">
      <c r="A77" s="6" t="inlineStr">
        <is>
          <t xml:space="preserve">  Holders (stopped paying, still hold gold)</t>
        </is>
      </c>
      <c r="B77" s="23" t="inlineStr">
        <is>
          <t>accounts</t>
        </is>
      </c>
      <c r="C77" s="50">
        <f>C76</f>
        <v/>
      </c>
      <c r="D77" s="50">
        <f>C77+D76</f>
        <v/>
      </c>
      <c r="E77" s="50">
        <f>D77+E76</f>
        <v/>
      </c>
      <c r="F77" s="50">
        <f>E77+F76</f>
        <v/>
      </c>
      <c r="G77" s="50">
        <f>F77+G76</f>
        <v/>
      </c>
      <c r="H77" s="50">
        <f>G77+H76</f>
        <v/>
      </c>
      <c r="I77" s="50">
        <f>H77+I76</f>
        <v/>
      </c>
      <c r="J77" s="50">
        <f>I77+J76</f>
        <v/>
      </c>
      <c r="K77" s="50">
        <f>J77+K76</f>
        <v/>
      </c>
      <c r="L77" s="50">
        <f>K77+L76</f>
        <v/>
      </c>
      <c r="M77" s="50">
        <f>L77+M76</f>
        <v/>
      </c>
      <c r="N77" s="50">
        <f>M77+N76</f>
        <v/>
      </c>
      <c r="O77" s="50">
        <f>N77+O76</f>
        <v/>
      </c>
      <c r="P77" s="50">
        <f>O77+P76</f>
        <v/>
      </c>
      <c r="Q77" s="50">
        <f>P77+Q76</f>
        <v/>
      </c>
      <c r="R77" s="50">
        <f>Q77+R76</f>
        <v/>
      </c>
      <c r="S77" s="50">
        <f>R77+S76</f>
        <v/>
      </c>
      <c r="T77" s="50">
        <f>S77+T76</f>
        <v/>
      </c>
      <c r="U77" s="50">
        <f>T77+U76</f>
        <v/>
      </c>
      <c r="V77" s="50">
        <f>U77+V76</f>
        <v/>
      </c>
      <c r="W77" s="50">
        <f>V77+W76</f>
        <v/>
      </c>
      <c r="X77" s="50">
        <f>W77+X76</f>
        <v/>
      </c>
      <c r="Y77" s="50">
        <f>X77+Y76</f>
        <v/>
      </c>
      <c r="Z77" s="50">
        <f>Y77+Z76</f>
        <v/>
      </c>
      <c r="AA77" s="50">
        <f>Z77+AA76</f>
        <v/>
      </c>
      <c r="AB77" s="50">
        <f>AA77+AB76</f>
        <v/>
      </c>
      <c r="AC77" s="50">
        <f>AB77+AC76</f>
        <v/>
      </c>
      <c r="AD77" s="50">
        <f>AC77+AD76</f>
        <v/>
      </c>
      <c r="AE77" s="50">
        <f>AD77+AE76</f>
        <v/>
      </c>
    </row>
    <row r="78">
      <c r="A78" s="6" t="inlineStr">
        <is>
          <t xml:space="preserve">  Cumulative ever acquired</t>
        </is>
      </c>
      <c r="B78" s="23" t="inlineStr">
        <is>
          <t>accounts</t>
        </is>
      </c>
      <c r="C78" s="50">
        <f>C74</f>
        <v/>
      </c>
      <c r="D78" s="50">
        <f>C78+D74</f>
        <v/>
      </c>
      <c r="E78" s="50">
        <f>D78+E74</f>
        <v/>
      </c>
      <c r="F78" s="50">
        <f>E78+F74</f>
        <v/>
      </c>
      <c r="G78" s="50">
        <f>F78+G74</f>
        <v/>
      </c>
      <c r="H78" s="50">
        <f>G78+H74</f>
        <v/>
      </c>
      <c r="I78" s="50">
        <f>H78+I74</f>
        <v/>
      </c>
      <c r="J78" s="50">
        <f>I78+J74</f>
        <v/>
      </c>
      <c r="K78" s="50">
        <f>J78+K74</f>
        <v/>
      </c>
      <c r="L78" s="50">
        <f>K78+L74</f>
        <v/>
      </c>
      <c r="M78" s="50">
        <f>L78+M74</f>
        <v/>
      </c>
      <c r="N78" s="50">
        <f>M78+N74</f>
        <v/>
      </c>
      <c r="O78" s="50">
        <f>N78+O74</f>
        <v/>
      </c>
      <c r="P78" s="50">
        <f>O78+P74</f>
        <v/>
      </c>
      <c r="Q78" s="50">
        <f>P78+Q74</f>
        <v/>
      </c>
      <c r="R78" s="50">
        <f>Q78+R74</f>
        <v/>
      </c>
      <c r="S78" s="50">
        <f>R78+S74</f>
        <v/>
      </c>
      <c r="T78" s="50">
        <f>S78+T74</f>
        <v/>
      </c>
      <c r="U78" s="50">
        <f>T78+U74</f>
        <v/>
      </c>
      <c r="V78" s="50">
        <f>U78+V74</f>
        <v/>
      </c>
      <c r="W78" s="50">
        <f>V78+W74</f>
        <v/>
      </c>
      <c r="X78" s="50">
        <f>W78+X74</f>
        <v/>
      </c>
      <c r="Y78" s="50">
        <f>X78+Y74</f>
        <v/>
      </c>
      <c r="Z78" s="50">
        <f>Y78+Z74</f>
        <v/>
      </c>
      <c r="AA78" s="50">
        <f>Z78+AA74</f>
        <v/>
      </c>
      <c r="AB78" s="50">
        <f>AA78+AB74</f>
        <v/>
      </c>
      <c r="AC78" s="50">
        <f>AB78+AC74</f>
        <v/>
      </c>
      <c r="AD78" s="50">
        <f>AC78+AD74</f>
        <v/>
      </c>
      <c r="AE78" s="50">
        <f>AD78+AE74</f>
        <v/>
      </c>
    </row>
    <row r="79">
      <c r="A79" s="6" t="inlineStr">
        <is>
          <t xml:space="preserve">  SIP contributions</t>
        </is>
      </c>
      <c r="B79" s="23" t="inlineStr">
        <is>
          <t>USD</t>
        </is>
      </c>
      <c r="C79" s="61">
        <f>IF(C2&gt;=Assumptions!$B$47,C75*Assumptions!$B$191*C7,0)</f>
        <v/>
      </c>
      <c r="D79" s="61">
        <f>IF(D2&gt;=Assumptions!$B$47,D75*Assumptions!$B$191*D7,0)</f>
        <v/>
      </c>
      <c r="E79" s="61">
        <f>IF(E2&gt;=Assumptions!$B$47,E75*Assumptions!$B$191*E7,0)</f>
        <v/>
      </c>
      <c r="F79" s="61">
        <f>IF(F2&gt;=Assumptions!$B$47,F75*Assumptions!$B$191*F7,0)</f>
        <v/>
      </c>
      <c r="G79" s="61">
        <f>IF(G2&gt;=Assumptions!$B$47,G75*Assumptions!$B$191*G7,0)</f>
        <v/>
      </c>
      <c r="H79" s="61">
        <f>IF(H2&gt;=Assumptions!$B$47,H75*Assumptions!$B$191*H7,0)</f>
        <v/>
      </c>
      <c r="I79" s="61">
        <f>IF(I2&gt;=Assumptions!$B$47,I75*Assumptions!$B$191*I7,0)</f>
        <v/>
      </c>
      <c r="J79" s="61">
        <f>IF(J2&gt;=Assumptions!$B$47,J75*Assumptions!$B$191*J7,0)</f>
        <v/>
      </c>
      <c r="K79" s="61">
        <f>IF(K2&gt;=Assumptions!$B$47,K75*Assumptions!$B$191*K7,0)</f>
        <v/>
      </c>
      <c r="L79" s="61">
        <f>IF(L2&gt;=Assumptions!$B$47,L75*Assumptions!$B$191*L7,0)</f>
        <v/>
      </c>
      <c r="M79" s="61">
        <f>IF(M2&gt;=Assumptions!$B$47,M75*Assumptions!$B$191*M7,0)</f>
        <v/>
      </c>
      <c r="N79" s="61">
        <f>IF(N2&gt;=Assumptions!$B$47,N75*Assumptions!$B$191*N7,0)</f>
        <v/>
      </c>
      <c r="O79" s="61">
        <f>IF(O2&gt;=Assumptions!$B$47,O75*Assumptions!$B$191*O7,0)</f>
        <v/>
      </c>
      <c r="P79" s="61">
        <f>IF(P2&gt;=Assumptions!$B$47,P75*Assumptions!$B$191*P7,0)</f>
        <v/>
      </c>
      <c r="Q79" s="61">
        <f>IF(Q2&gt;=Assumptions!$B$47,Q75*Assumptions!$B$191*Q7,0)</f>
        <v/>
      </c>
      <c r="R79" s="61">
        <f>IF(R2&gt;=Assumptions!$B$47,R75*Assumptions!$B$191*R7,0)</f>
        <v/>
      </c>
      <c r="S79" s="61">
        <f>IF(S2&gt;=Assumptions!$B$47,S75*Assumptions!$B$191*S7,0)</f>
        <v/>
      </c>
      <c r="T79" s="61">
        <f>IF(T2&gt;=Assumptions!$B$47,T75*Assumptions!$B$191*T7,0)</f>
        <v/>
      </c>
      <c r="U79" s="61">
        <f>IF(U2&gt;=Assumptions!$B$47,U75*Assumptions!$B$191*U7,0)</f>
        <v/>
      </c>
      <c r="V79" s="61">
        <f>IF(V2&gt;=Assumptions!$B$47,V75*Assumptions!$B$191*V7,0)</f>
        <v/>
      </c>
      <c r="W79" s="61">
        <f>IF(W2&gt;=Assumptions!$B$47,W75*Assumptions!$B$191*W7,0)</f>
        <v/>
      </c>
      <c r="X79" s="61">
        <f>IF(X2&gt;=Assumptions!$B$47,X75*Assumptions!$B$191*X7,0)</f>
        <v/>
      </c>
      <c r="Y79" s="61">
        <f>IF(Y2&gt;=Assumptions!$B$47,Y75*Assumptions!$B$191*Y7,0)</f>
        <v/>
      </c>
      <c r="Z79" s="61">
        <f>IF(Z2&gt;=Assumptions!$B$47,Z75*Assumptions!$B$191*Z7,0)</f>
        <v/>
      </c>
      <c r="AA79" s="61">
        <f>IF(AA2&gt;=Assumptions!$B$47,AA75*Assumptions!$B$191*AA7,0)</f>
        <v/>
      </c>
      <c r="AB79" s="61">
        <f>IF(AB2&gt;=Assumptions!$B$47,AB75*Assumptions!$B$191*AB7,0)</f>
        <v/>
      </c>
      <c r="AC79" s="61">
        <f>IF(AC2&gt;=Assumptions!$B$47,AC75*Assumptions!$B$191*AC7,0)</f>
        <v/>
      </c>
      <c r="AD79" s="61">
        <f>IF(AD2&gt;=Assumptions!$B$47,AD75*Assumptions!$B$191*AD7,0)</f>
        <v/>
      </c>
      <c r="AE79" s="61">
        <f>IF(AE2&gt;=Assumptions!$B$47,AE75*Assumptions!$B$191*AE7,0)</f>
        <v/>
      </c>
    </row>
    <row r="80">
      <c r="A80" s="6" t="inlineStr">
        <is>
          <t xml:space="preserve">  Spot purchase volume</t>
        </is>
      </c>
      <c r="B80" s="23" t="inlineStr">
        <is>
          <t>USD</t>
        </is>
      </c>
      <c r="C80" s="61">
        <f>IF(C2&gt;=Assumptions!$B$48,C75*Assumptions!$B$36*Assumptions!$B$154*Assumptions!$B$156*Assumptions!$B$33*Assumptions!$B$155/12*C7,0)</f>
        <v/>
      </c>
      <c r="D80" s="61">
        <f>IF(D2&gt;=Assumptions!$B$48,D75*Assumptions!$B$36*Assumptions!$B$154*Assumptions!$B$156*Assumptions!$B$33*Assumptions!$B$155/12*D7,0)</f>
        <v/>
      </c>
      <c r="E80" s="61">
        <f>IF(E2&gt;=Assumptions!$B$48,E75*Assumptions!$B$36*Assumptions!$B$154*Assumptions!$B$156*Assumptions!$B$33*Assumptions!$B$155/12*E7,0)</f>
        <v/>
      </c>
      <c r="F80" s="61">
        <f>IF(F2&gt;=Assumptions!$B$48,F75*Assumptions!$B$36*Assumptions!$B$154*Assumptions!$B$156*Assumptions!$B$33*Assumptions!$B$155/12*F7,0)</f>
        <v/>
      </c>
      <c r="G80" s="61">
        <f>IF(G2&gt;=Assumptions!$B$48,G75*Assumptions!$B$36*Assumptions!$B$154*Assumptions!$B$156*Assumptions!$B$33*Assumptions!$B$155/12*G7,0)</f>
        <v/>
      </c>
      <c r="H80" s="61">
        <f>IF(H2&gt;=Assumptions!$B$48,H75*Assumptions!$B$36*Assumptions!$B$154*Assumptions!$B$156*Assumptions!$B$33*Assumptions!$B$155/12*H7,0)</f>
        <v/>
      </c>
      <c r="I80" s="61">
        <f>IF(I2&gt;=Assumptions!$B$48,I75*Assumptions!$B$36*Assumptions!$B$154*Assumptions!$B$156*Assumptions!$B$33*Assumptions!$B$155/12*I7,0)</f>
        <v/>
      </c>
      <c r="J80" s="61">
        <f>IF(J2&gt;=Assumptions!$B$48,J75*Assumptions!$B$36*Assumptions!$B$154*Assumptions!$B$156*Assumptions!$B$33*Assumptions!$B$155/12*J7,0)</f>
        <v/>
      </c>
      <c r="K80" s="61">
        <f>IF(K2&gt;=Assumptions!$B$48,K75*Assumptions!$B$36*Assumptions!$B$154*Assumptions!$B$156*Assumptions!$B$33*Assumptions!$B$155/12*K7,0)</f>
        <v/>
      </c>
      <c r="L80" s="61">
        <f>IF(L2&gt;=Assumptions!$B$48,L75*Assumptions!$B$36*Assumptions!$B$154*Assumptions!$B$156*Assumptions!$B$33*Assumptions!$B$155/12*L7,0)</f>
        <v/>
      </c>
      <c r="M80" s="61">
        <f>IF(M2&gt;=Assumptions!$B$48,M75*Assumptions!$B$36*Assumptions!$B$154*Assumptions!$B$156*Assumptions!$B$33*Assumptions!$B$155/12*M7,0)</f>
        <v/>
      </c>
      <c r="N80" s="61">
        <f>IF(N2&gt;=Assumptions!$B$48,N75*Assumptions!$B$36*Assumptions!$B$154*Assumptions!$B$156*Assumptions!$B$33*Assumptions!$B$155/12*N7,0)</f>
        <v/>
      </c>
      <c r="O80" s="61">
        <f>IF(O2&gt;=Assumptions!$B$48,O75*Assumptions!$B$36*Assumptions!$B$154*Assumptions!$B$156*Assumptions!$B$33*Assumptions!$B$155/12*O7,0)</f>
        <v/>
      </c>
      <c r="P80" s="61">
        <f>IF(P2&gt;=Assumptions!$B$48,P75*Assumptions!$B$36*Assumptions!$B$154*Assumptions!$B$156*Assumptions!$B$33*Assumptions!$B$155/12*P7,0)</f>
        <v/>
      </c>
      <c r="Q80" s="61">
        <f>IF(Q2&gt;=Assumptions!$B$48,Q75*Assumptions!$B$36*Assumptions!$B$154*Assumptions!$B$156*Assumptions!$B$33*Assumptions!$B$155/12*Q7,0)</f>
        <v/>
      </c>
      <c r="R80" s="61">
        <f>IF(R2&gt;=Assumptions!$B$48,R75*Assumptions!$B$36*Assumptions!$B$154*Assumptions!$B$156*Assumptions!$B$33*Assumptions!$B$155/12*R7,0)</f>
        <v/>
      </c>
      <c r="S80" s="61">
        <f>IF(S2&gt;=Assumptions!$B$48,S75*Assumptions!$B$36*Assumptions!$B$154*Assumptions!$B$156*Assumptions!$B$33*Assumptions!$B$155/12*S7,0)</f>
        <v/>
      </c>
      <c r="T80" s="61">
        <f>IF(T2&gt;=Assumptions!$B$48,T75*Assumptions!$B$36*Assumptions!$B$154*Assumptions!$B$156*Assumptions!$B$33*Assumptions!$B$155/12*T7,0)</f>
        <v/>
      </c>
      <c r="U80" s="61">
        <f>IF(U2&gt;=Assumptions!$B$48,U75*Assumptions!$B$36*Assumptions!$B$154*Assumptions!$B$156*Assumptions!$B$33*Assumptions!$B$155/12*U7,0)</f>
        <v/>
      </c>
      <c r="V80" s="61">
        <f>IF(V2&gt;=Assumptions!$B$48,V75*Assumptions!$B$36*Assumptions!$B$154*Assumptions!$B$156*Assumptions!$B$33*Assumptions!$B$155/12*V7,0)</f>
        <v/>
      </c>
      <c r="W80" s="61">
        <f>IF(W2&gt;=Assumptions!$B$48,W75*Assumptions!$B$36*Assumptions!$B$154*Assumptions!$B$156*Assumptions!$B$33*Assumptions!$B$155/12*W7,0)</f>
        <v/>
      </c>
      <c r="X80" s="61">
        <f>IF(X2&gt;=Assumptions!$B$48,X75*Assumptions!$B$36*Assumptions!$B$154*Assumptions!$B$156*Assumptions!$B$33*Assumptions!$B$155/12*X7,0)</f>
        <v/>
      </c>
      <c r="Y80" s="61">
        <f>IF(Y2&gt;=Assumptions!$B$48,Y75*Assumptions!$B$36*Assumptions!$B$154*Assumptions!$B$156*Assumptions!$B$33*Assumptions!$B$155/12*Y7,0)</f>
        <v/>
      </c>
      <c r="Z80" s="61">
        <f>IF(Z2&gt;=Assumptions!$B$48,Z75*Assumptions!$B$36*Assumptions!$B$154*Assumptions!$B$156*Assumptions!$B$33*Assumptions!$B$155/12*Z7,0)</f>
        <v/>
      </c>
      <c r="AA80" s="61">
        <f>IF(AA2&gt;=Assumptions!$B$48,AA75*Assumptions!$B$36*Assumptions!$B$154*Assumptions!$B$156*Assumptions!$B$33*Assumptions!$B$155/12*AA7,0)</f>
        <v/>
      </c>
      <c r="AB80" s="61">
        <f>IF(AB2&gt;=Assumptions!$B$48,AB75*Assumptions!$B$36*Assumptions!$B$154*Assumptions!$B$156*Assumptions!$B$33*Assumptions!$B$155/12*AB7,0)</f>
        <v/>
      </c>
      <c r="AC80" s="61">
        <f>IF(AC2&gt;=Assumptions!$B$48,AC75*Assumptions!$B$36*Assumptions!$B$154*Assumptions!$B$156*Assumptions!$B$33*Assumptions!$B$155/12*AC7,0)</f>
        <v/>
      </c>
      <c r="AD80" s="61">
        <f>IF(AD2&gt;=Assumptions!$B$48,AD75*Assumptions!$B$36*Assumptions!$B$154*Assumptions!$B$156*Assumptions!$B$33*Assumptions!$B$155/12*AD7,0)</f>
        <v/>
      </c>
      <c r="AE80" s="61">
        <f>IF(AE2&gt;=Assumptions!$B$48,AE75*Assumptions!$B$36*Assumptions!$B$154*Assumptions!$B$156*Assumptions!$B$33*Assumptions!$B$155/12*AE7,0)</f>
        <v/>
      </c>
    </row>
    <row r="81">
      <c r="A81" s="6" t="inlineStr">
        <is>
          <t xml:space="preserve">  Grams purchased</t>
        </is>
      </c>
      <c r="B81" s="23" t="inlineStr">
        <is>
          <t>grams</t>
        </is>
      </c>
      <c r="C81" s="60">
        <f>(C79+C80)*(1-Assumptions!$B$8)/C20/(1+Assumptions!$B$9*(1-Assumptions!$B$229))</f>
        <v/>
      </c>
      <c r="D81" s="60">
        <f>(D79+D80)*(1-Assumptions!$B$8)/D20/(1+Assumptions!$B$9*(1-Assumptions!$B$229))</f>
        <v/>
      </c>
      <c r="E81" s="60">
        <f>(E79+E80)*(1-Assumptions!$B$8)/E20/(1+Assumptions!$B$9*(1-Assumptions!$B$229))</f>
        <v/>
      </c>
      <c r="F81" s="60">
        <f>(F79+F80)*(1-Assumptions!$B$8)/F20/(1+Assumptions!$B$9*(1-Assumptions!$B$229))</f>
        <v/>
      </c>
      <c r="G81" s="60">
        <f>(G79+G80)*(1-Assumptions!$B$8)/G20/(1+Assumptions!$B$9*(1-Assumptions!$B$229))</f>
        <v/>
      </c>
      <c r="H81" s="60">
        <f>(H79+H80)*(1-Assumptions!$B$8)/H20/(1+Assumptions!$B$9*(1-Assumptions!$B$229))</f>
        <v/>
      </c>
      <c r="I81" s="60">
        <f>(I79+I80)*(1-Assumptions!$B$8)/I20/(1+Assumptions!$B$9*(1-Assumptions!$B$229))</f>
        <v/>
      </c>
      <c r="J81" s="60">
        <f>(J79+J80)*(1-Assumptions!$B$8)/J20/(1+Assumptions!$B$9*(1-Assumptions!$B$229))</f>
        <v/>
      </c>
      <c r="K81" s="60">
        <f>(K79+K80)*(1-Assumptions!$B$8)/K20/(1+Assumptions!$B$9*(1-Assumptions!$B$229))</f>
        <v/>
      </c>
      <c r="L81" s="60">
        <f>(L79+L80)*(1-Assumptions!$B$8)/L20/(1+Assumptions!$B$9*(1-Assumptions!$B$229))</f>
        <v/>
      </c>
      <c r="M81" s="60">
        <f>(M79+M80)*(1-Assumptions!$B$8)/M20/(1+Assumptions!$B$9*(1-Assumptions!$B$229))</f>
        <v/>
      </c>
      <c r="N81" s="60">
        <f>(N79+N80)*(1-Assumptions!$B$8)/N20/(1+Assumptions!$B$9*(1-Assumptions!$B$229))</f>
        <v/>
      </c>
      <c r="O81" s="60">
        <f>(O79+O80)*(1-Assumptions!$B$8)/O20/(1+Assumptions!$B$9*(1-Assumptions!$B$229))</f>
        <v/>
      </c>
      <c r="P81" s="60">
        <f>(P79+P80)*(1-Assumptions!$B$8)/P20/(1+Assumptions!$B$9*(1-Assumptions!$B$229))</f>
        <v/>
      </c>
      <c r="Q81" s="60">
        <f>(Q79+Q80)*(1-Assumptions!$B$8)/Q20/(1+Assumptions!$B$9*(1-Assumptions!$B$229))</f>
        <v/>
      </c>
      <c r="R81" s="60">
        <f>(R79+R80)*(1-Assumptions!$B$8)/R20/(1+Assumptions!$B$9*(1-Assumptions!$B$229))</f>
        <v/>
      </c>
      <c r="S81" s="60">
        <f>(S79+S80)*(1-Assumptions!$B$8)/S20/(1+Assumptions!$B$9*(1-Assumptions!$B$229))</f>
        <v/>
      </c>
      <c r="T81" s="60">
        <f>(T79+T80)*(1-Assumptions!$B$8)/T20/(1+Assumptions!$B$9*(1-Assumptions!$B$229))</f>
        <v/>
      </c>
      <c r="U81" s="60">
        <f>(U79+U80)*(1-Assumptions!$B$8)/U20/(1+Assumptions!$B$9*(1-Assumptions!$B$229))</f>
        <v/>
      </c>
      <c r="V81" s="60">
        <f>(V79+V80)*(1-Assumptions!$B$8)/V20/(1+Assumptions!$B$9*(1-Assumptions!$B$229))</f>
        <v/>
      </c>
      <c r="W81" s="60">
        <f>(W79+W80)*(1-Assumptions!$B$8)/W20/(1+Assumptions!$B$9*(1-Assumptions!$B$229))</f>
        <v/>
      </c>
      <c r="X81" s="60">
        <f>(X79+X80)*(1-Assumptions!$B$8)/X20/(1+Assumptions!$B$9*(1-Assumptions!$B$229))</f>
        <v/>
      </c>
      <c r="Y81" s="60">
        <f>(Y79+Y80)*(1-Assumptions!$B$8)/Y20/(1+Assumptions!$B$9*(1-Assumptions!$B$229))</f>
        <v/>
      </c>
      <c r="Z81" s="60">
        <f>(Z79+Z80)*(1-Assumptions!$B$8)/Z20/(1+Assumptions!$B$9*(1-Assumptions!$B$229))</f>
        <v/>
      </c>
      <c r="AA81" s="60">
        <f>(AA79+AA80)*(1-Assumptions!$B$8)/AA20/(1+Assumptions!$B$9*(1-Assumptions!$B$229))</f>
        <v/>
      </c>
      <c r="AB81" s="60">
        <f>(AB79+AB80)*(1-Assumptions!$B$8)/AB20/(1+Assumptions!$B$9*(1-Assumptions!$B$229))</f>
        <v/>
      </c>
      <c r="AC81" s="60">
        <f>(AC79+AC80)*(1-Assumptions!$B$8)/AC20/(1+Assumptions!$B$9*(1-Assumptions!$B$229))</f>
        <v/>
      </c>
      <c r="AD81" s="60">
        <f>(AD79+AD80)*(1-Assumptions!$B$8)/AD20/(1+Assumptions!$B$9*(1-Assumptions!$B$229))</f>
        <v/>
      </c>
      <c r="AE81" s="60">
        <f>(AE79+AE80)*(1-Assumptions!$B$8)/AE20/(1+Assumptions!$B$9*(1-Assumptions!$B$229))</f>
        <v/>
      </c>
    </row>
    <row r="82">
      <c r="A82" s="6" t="inlineStr">
        <is>
          <t xml:space="preserve">  Collateral-eligible AUM decay rate (holder-weighted)</t>
        </is>
      </c>
      <c r="B82" s="23" t="inlineStr">
        <is>
          <t>%/period</t>
        </is>
      </c>
      <c r="C82" s="62">
        <f>(Assumptions!$B$151+Assumptions!$B$152*IF(C75+C77=0,1,(C75+C77*Assumptions!$B$153)/(C75+C77)))*C7/12</f>
        <v/>
      </c>
      <c r="D82" s="62">
        <f>(Assumptions!$B$151+Assumptions!$B$152*IF(D75+D77=0,1,(D75+D77*Assumptions!$B$153)/(D75+D77)))*D7/12</f>
        <v/>
      </c>
      <c r="E82" s="62">
        <f>(Assumptions!$B$151+Assumptions!$B$152*IF(E75+E77=0,1,(E75+E77*Assumptions!$B$153)/(E75+E77)))*E7/12</f>
        <v/>
      </c>
      <c r="F82" s="62">
        <f>(Assumptions!$B$151+Assumptions!$B$152*IF(F75+F77=0,1,(F75+F77*Assumptions!$B$153)/(F75+F77)))*F7/12</f>
        <v/>
      </c>
      <c r="G82" s="62">
        <f>(Assumptions!$B$151+Assumptions!$B$152*IF(G75+G77=0,1,(G75+G77*Assumptions!$B$153)/(G75+G77)))*G7/12</f>
        <v/>
      </c>
      <c r="H82" s="62">
        <f>(Assumptions!$B$151+Assumptions!$B$152*IF(H75+H77=0,1,(H75+H77*Assumptions!$B$153)/(H75+H77)))*H7/12</f>
        <v/>
      </c>
      <c r="I82" s="62">
        <f>(Assumptions!$B$151+Assumptions!$B$152*IF(I75+I77=0,1,(I75+I77*Assumptions!$B$153)/(I75+I77)))*I7/12</f>
        <v/>
      </c>
      <c r="J82" s="62">
        <f>(Assumptions!$B$151+Assumptions!$B$152*IF(J75+J77=0,1,(J75+J77*Assumptions!$B$153)/(J75+J77)))*J7/12</f>
        <v/>
      </c>
      <c r="K82" s="62">
        <f>(Assumptions!$B$151+Assumptions!$B$152*IF(K75+K77=0,1,(K75+K77*Assumptions!$B$153)/(K75+K77)))*K7/12</f>
        <v/>
      </c>
      <c r="L82" s="62">
        <f>(Assumptions!$B$151+Assumptions!$B$152*IF(L75+L77=0,1,(L75+L77*Assumptions!$B$153)/(L75+L77)))*L7/12</f>
        <v/>
      </c>
      <c r="M82" s="62">
        <f>(Assumptions!$B$151+Assumptions!$B$152*IF(M75+M77=0,1,(M75+M77*Assumptions!$B$153)/(M75+M77)))*M7/12</f>
        <v/>
      </c>
      <c r="N82" s="62">
        <f>(Assumptions!$B$151+Assumptions!$B$152*IF(N75+N77=0,1,(N75+N77*Assumptions!$B$153)/(N75+N77)))*N7/12</f>
        <v/>
      </c>
      <c r="O82" s="62">
        <f>(Assumptions!$B$151+Assumptions!$B$152*IF(O75+O77=0,1,(O75+O77*Assumptions!$B$153)/(O75+O77)))*O7/12</f>
        <v/>
      </c>
      <c r="P82" s="62">
        <f>(Assumptions!$B$151+Assumptions!$B$152*IF(P75+P77=0,1,(P75+P77*Assumptions!$B$153)/(P75+P77)))*P7/12</f>
        <v/>
      </c>
      <c r="Q82" s="62">
        <f>(Assumptions!$B$151+Assumptions!$B$152*IF(Q75+Q77=0,1,(Q75+Q77*Assumptions!$B$153)/(Q75+Q77)))*Q7/12</f>
        <v/>
      </c>
      <c r="R82" s="62">
        <f>(Assumptions!$B$151+Assumptions!$B$152*IF(R75+R77=0,1,(R75+R77*Assumptions!$B$153)/(R75+R77)))*R7/12</f>
        <v/>
      </c>
      <c r="S82" s="62">
        <f>(Assumptions!$B$151+Assumptions!$B$152*IF(S75+S77=0,1,(S75+S77*Assumptions!$B$153)/(S75+S77)))*S7/12</f>
        <v/>
      </c>
      <c r="T82" s="62">
        <f>(Assumptions!$B$151+Assumptions!$B$152*IF(T75+T77=0,1,(T75+T77*Assumptions!$B$153)/(T75+T77)))*T7/12</f>
        <v/>
      </c>
      <c r="U82" s="62">
        <f>(Assumptions!$B$151+Assumptions!$B$152*IF(U75+U77=0,1,(U75+U77*Assumptions!$B$153)/(U75+U77)))*U7/12</f>
        <v/>
      </c>
      <c r="V82" s="62">
        <f>(Assumptions!$B$151+Assumptions!$B$152*IF(V75+V77=0,1,(V75+V77*Assumptions!$B$153)/(V75+V77)))*V7/12</f>
        <v/>
      </c>
      <c r="W82" s="62">
        <f>(Assumptions!$B$151+Assumptions!$B$152*IF(W75+W77=0,1,(W75+W77*Assumptions!$B$153)/(W75+W77)))*W7/12</f>
        <v/>
      </c>
      <c r="X82" s="62">
        <f>(Assumptions!$B$151+Assumptions!$B$152*IF(X75+X77=0,1,(X75+X77*Assumptions!$B$153)/(X75+X77)))*X7/12</f>
        <v/>
      </c>
      <c r="Y82" s="62">
        <f>(Assumptions!$B$151+Assumptions!$B$152*IF(Y75+Y77=0,1,(Y75+Y77*Assumptions!$B$153)/(Y75+Y77)))*Y7/12</f>
        <v/>
      </c>
      <c r="Z82" s="62">
        <f>(Assumptions!$B$151+Assumptions!$B$152*IF(Z75+Z77=0,1,(Z75+Z77*Assumptions!$B$153)/(Z75+Z77)))*Z7/12</f>
        <v/>
      </c>
      <c r="AA82" s="62">
        <f>(Assumptions!$B$151+Assumptions!$B$152*IF(AA75+AA77=0,1,(AA75+AA77*Assumptions!$B$153)/(AA75+AA77)))*AA7/12</f>
        <v/>
      </c>
      <c r="AB82" s="62">
        <f>(Assumptions!$B$151+Assumptions!$B$152*IF(AB75+AB77=0,1,(AB75+AB77*Assumptions!$B$153)/(AB75+AB77)))*AB7/12</f>
        <v/>
      </c>
      <c r="AC82" s="62">
        <f>(Assumptions!$B$151+Assumptions!$B$152*IF(AC75+AC77=0,1,(AC75+AC77*Assumptions!$B$153)/(AC75+AC77)))*AC7/12</f>
        <v/>
      </c>
      <c r="AD82" s="62">
        <f>(Assumptions!$B$151+Assumptions!$B$152*IF(AD75+AD77=0,1,(AD75+AD77*Assumptions!$B$153)/(AD75+AD77)))*AD7/12</f>
        <v/>
      </c>
      <c r="AE82" s="62">
        <f>(Assumptions!$B$151+Assumptions!$B$152*IF(AE75+AE77=0,1,(AE75+AE77*Assumptions!$B$153)/(AE75+AE77)))*AE7/12</f>
        <v/>
      </c>
    </row>
    <row r="83">
      <c r="A83" s="6" t="inlineStr">
        <is>
          <t xml:space="preserve">  Redemption-only decay rate (metal actually leaving)</t>
        </is>
      </c>
      <c r="B83" s="23" t="inlineStr">
        <is>
          <t>%/period</t>
        </is>
      </c>
      <c r="C83" s="62">
        <f>Assumptions!$B$152*IF(C75+C77=0,1,(C75+C77*Assumptions!$B$153)/(C75+C77))*C7/12</f>
        <v/>
      </c>
      <c r="D83" s="62">
        <f>Assumptions!$B$152*IF(D75+D77=0,1,(D75+D77*Assumptions!$B$153)/(D75+D77))*D7/12</f>
        <v/>
      </c>
      <c r="E83" s="62">
        <f>Assumptions!$B$152*IF(E75+E77=0,1,(E75+E77*Assumptions!$B$153)/(E75+E77))*E7/12</f>
        <v/>
      </c>
      <c r="F83" s="62">
        <f>Assumptions!$B$152*IF(F75+F77=0,1,(F75+F77*Assumptions!$B$153)/(F75+F77))*F7/12</f>
        <v/>
      </c>
      <c r="G83" s="62">
        <f>Assumptions!$B$152*IF(G75+G77=0,1,(G75+G77*Assumptions!$B$153)/(G75+G77))*G7/12</f>
        <v/>
      </c>
      <c r="H83" s="62">
        <f>Assumptions!$B$152*IF(H75+H77=0,1,(H75+H77*Assumptions!$B$153)/(H75+H77))*H7/12</f>
        <v/>
      </c>
      <c r="I83" s="62">
        <f>Assumptions!$B$152*IF(I75+I77=0,1,(I75+I77*Assumptions!$B$153)/(I75+I77))*I7/12</f>
        <v/>
      </c>
      <c r="J83" s="62">
        <f>Assumptions!$B$152*IF(J75+J77=0,1,(J75+J77*Assumptions!$B$153)/(J75+J77))*J7/12</f>
        <v/>
      </c>
      <c r="K83" s="62">
        <f>Assumptions!$B$152*IF(K75+K77=0,1,(K75+K77*Assumptions!$B$153)/(K75+K77))*K7/12</f>
        <v/>
      </c>
      <c r="L83" s="62">
        <f>Assumptions!$B$152*IF(L75+L77=0,1,(L75+L77*Assumptions!$B$153)/(L75+L77))*L7/12</f>
        <v/>
      </c>
      <c r="M83" s="62">
        <f>Assumptions!$B$152*IF(M75+M77=0,1,(M75+M77*Assumptions!$B$153)/(M75+M77))*M7/12</f>
        <v/>
      </c>
      <c r="N83" s="62">
        <f>Assumptions!$B$152*IF(N75+N77=0,1,(N75+N77*Assumptions!$B$153)/(N75+N77))*N7/12</f>
        <v/>
      </c>
      <c r="O83" s="62">
        <f>Assumptions!$B$152*IF(O75+O77=0,1,(O75+O77*Assumptions!$B$153)/(O75+O77))*O7/12</f>
        <v/>
      </c>
      <c r="P83" s="62">
        <f>Assumptions!$B$152*IF(P75+P77=0,1,(P75+P77*Assumptions!$B$153)/(P75+P77))*P7/12</f>
        <v/>
      </c>
      <c r="Q83" s="62">
        <f>Assumptions!$B$152*IF(Q75+Q77=0,1,(Q75+Q77*Assumptions!$B$153)/(Q75+Q77))*Q7/12</f>
        <v/>
      </c>
      <c r="R83" s="62">
        <f>Assumptions!$B$152*IF(R75+R77=0,1,(R75+R77*Assumptions!$B$153)/(R75+R77))*R7/12</f>
        <v/>
      </c>
      <c r="S83" s="62">
        <f>Assumptions!$B$152*IF(S75+S77=0,1,(S75+S77*Assumptions!$B$153)/(S75+S77))*S7/12</f>
        <v/>
      </c>
      <c r="T83" s="62">
        <f>Assumptions!$B$152*IF(T75+T77=0,1,(T75+T77*Assumptions!$B$153)/(T75+T77))*T7/12</f>
        <v/>
      </c>
      <c r="U83" s="62">
        <f>Assumptions!$B$152*IF(U75+U77=0,1,(U75+U77*Assumptions!$B$153)/(U75+U77))*U7/12</f>
        <v/>
      </c>
      <c r="V83" s="62">
        <f>Assumptions!$B$152*IF(V75+V77=0,1,(V75+V77*Assumptions!$B$153)/(V75+V77))*V7/12</f>
        <v/>
      </c>
      <c r="W83" s="62">
        <f>Assumptions!$B$152*IF(W75+W77=0,1,(W75+W77*Assumptions!$B$153)/(W75+W77))*W7/12</f>
        <v/>
      </c>
      <c r="X83" s="62">
        <f>Assumptions!$B$152*IF(X75+X77=0,1,(X75+X77*Assumptions!$B$153)/(X75+X77))*X7/12</f>
        <v/>
      </c>
      <c r="Y83" s="62">
        <f>Assumptions!$B$152*IF(Y75+Y77=0,1,(Y75+Y77*Assumptions!$B$153)/(Y75+Y77))*Y7/12</f>
        <v/>
      </c>
      <c r="Z83" s="62">
        <f>Assumptions!$B$152*IF(Z75+Z77=0,1,(Z75+Z77*Assumptions!$B$153)/(Z75+Z77))*Z7/12</f>
        <v/>
      </c>
      <c r="AA83" s="62">
        <f>Assumptions!$B$152*IF(AA75+AA77=0,1,(AA75+AA77*Assumptions!$B$153)/(AA75+AA77))*AA7/12</f>
        <v/>
      </c>
      <c r="AB83" s="62">
        <f>Assumptions!$B$152*IF(AB75+AB77=0,1,(AB75+AB77*Assumptions!$B$153)/(AB75+AB77))*AB7/12</f>
        <v/>
      </c>
      <c r="AC83" s="62">
        <f>Assumptions!$B$152*IF(AC75+AC77=0,1,(AC75+AC77*Assumptions!$B$153)/(AC75+AC77))*AC7/12</f>
        <v/>
      </c>
      <c r="AD83" s="62">
        <f>Assumptions!$B$152*IF(AD75+AD77=0,1,(AD75+AD77*Assumptions!$B$153)/(AD75+AD77))*AD7/12</f>
        <v/>
      </c>
      <c r="AE83" s="62">
        <f>Assumptions!$B$152*IF(AE75+AE77=0,1,(AE75+AE77*Assumptions!$B$153)/(AE75+AE77))*AE7/12</f>
        <v/>
      </c>
    </row>
    <row r="84">
      <c r="A84" s="6" t="inlineStr">
        <is>
          <t xml:space="preserve">  Grams held (collateral-eligible)</t>
        </is>
      </c>
      <c r="B84" s="23" t="inlineStr">
        <is>
          <t>grams</t>
        </is>
      </c>
      <c r="C84" s="50">
        <f>C81</f>
        <v/>
      </c>
      <c r="D84" s="50">
        <f>C84*(1-D82)+D81</f>
        <v/>
      </c>
      <c r="E84" s="50">
        <f>D84*(1-E82)+E81</f>
        <v/>
      </c>
      <c r="F84" s="50">
        <f>E84*(1-F82)+F81</f>
        <v/>
      </c>
      <c r="G84" s="50">
        <f>F84*(1-G82)+G81</f>
        <v/>
      </c>
      <c r="H84" s="50">
        <f>G84*(1-H82)+H81</f>
        <v/>
      </c>
      <c r="I84" s="50">
        <f>H84*(1-I82)+I81</f>
        <v/>
      </c>
      <c r="J84" s="50">
        <f>I84*(1-J82)+J81</f>
        <v/>
      </c>
      <c r="K84" s="50">
        <f>J84*(1-K82)+K81</f>
        <v/>
      </c>
      <c r="L84" s="50">
        <f>K84*(1-L82)+L81</f>
        <v/>
      </c>
      <c r="M84" s="50">
        <f>L84*(1-M82)+M81</f>
        <v/>
      </c>
      <c r="N84" s="50">
        <f>M84*(1-N82)+N81</f>
        <v/>
      </c>
      <c r="O84" s="50">
        <f>N84*(1-O82)+O81</f>
        <v/>
      </c>
      <c r="P84" s="50">
        <f>O84*(1-P82)+P81</f>
        <v/>
      </c>
      <c r="Q84" s="50">
        <f>P84*(1-Q82)+Q81</f>
        <v/>
      </c>
      <c r="R84" s="50">
        <f>Q84*(1-R82)+R81</f>
        <v/>
      </c>
      <c r="S84" s="50">
        <f>R84*(1-S82)+S81</f>
        <v/>
      </c>
      <c r="T84" s="50">
        <f>S84*(1-T82)+T81</f>
        <v/>
      </c>
      <c r="U84" s="50">
        <f>T84*(1-U82)+U81</f>
        <v/>
      </c>
      <c r="V84" s="50">
        <f>U84*(1-V82)+V81</f>
        <v/>
      </c>
      <c r="W84" s="50">
        <f>V84*(1-W82)+W81</f>
        <v/>
      </c>
      <c r="X84" s="50">
        <f>W84*(1-X82)+X81</f>
        <v/>
      </c>
      <c r="Y84" s="50">
        <f>X84*(1-Y82)+Y81</f>
        <v/>
      </c>
      <c r="Z84" s="50">
        <f>Y84*(1-Z82)+Z81</f>
        <v/>
      </c>
      <c r="AA84" s="50">
        <f>Z84*(1-AA82)+AA81</f>
        <v/>
      </c>
      <c r="AB84" s="50">
        <f>AA84*(1-AB82)+AB81</f>
        <v/>
      </c>
      <c r="AC84" s="50">
        <f>AB84*(1-AC82)+AC81</f>
        <v/>
      </c>
      <c r="AD84" s="50">
        <f>AC84*(1-AD82)+AD81</f>
        <v/>
      </c>
      <c r="AE84" s="50">
        <f>AD84*(1-AE82)+AE81</f>
        <v/>
      </c>
    </row>
    <row r="85">
      <c r="A85" s="6" t="inlineStr">
        <is>
          <t xml:space="preserve">  Grams under custody (vaulted, incl. self-custodied)</t>
        </is>
      </c>
      <c r="B85" s="23" t="inlineStr">
        <is>
          <t>grams</t>
        </is>
      </c>
      <c r="C85" s="50">
        <f>C81</f>
        <v/>
      </c>
      <c r="D85" s="50">
        <f>C85*(1-D83)+D81</f>
        <v/>
      </c>
      <c r="E85" s="50">
        <f>D85*(1-E83)+E81</f>
        <v/>
      </c>
      <c r="F85" s="50">
        <f>E85*(1-F83)+F81</f>
        <v/>
      </c>
      <c r="G85" s="50">
        <f>F85*(1-G83)+G81</f>
        <v/>
      </c>
      <c r="H85" s="50">
        <f>G85*(1-H83)+H81</f>
        <v/>
      </c>
      <c r="I85" s="50">
        <f>H85*(1-I83)+I81</f>
        <v/>
      </c>
      <c r="J85" s="50">
        <f>I85*(1-J83)+J81</f>
        <v/>
      </c>
      <c r="K85" s="50">
        <f>J85*(1-K83)+K81</f>
        <v/>
      </c>
      <c r="L85" s="50">
        <f>K85*(1-L83)+L81</f>
        <v/>
      </c>
      <c r="M85" s="50">
        <f>L85*(1-M83)+M81</f>
        <v/>
      </c>
      <c r="N85" s="50">
        <f>M85*(1-N83)+N81</f>
        <v/>
      </c>
      <c r="O85" s="50">
        <f>N85*(1-O83)+O81</f>
        <v/>
      </c>
      <c r="P85" s="50">
        <f>O85*(1-P83)+P81</f>
        <v/>
      </c>
      <c r="Q85" s="50">
        <f>P85*(1-Q83)+Q81</f>
        <v/>
      </c>
      <c r="R85" s="50">
        <f>Q85*(1-R83)+R81</f>
        <v/>
      </c>
      <c r="S85" s="50">
        <f>R85*(1-S83)+S81</f>
        <v/>
      </c>
      <c r="T85" s="50">
        <f>S85*(1-T83)+T81</f>
        <v/>
      </c>
      <c r="U85" s="50">
        <f>T85*(1-U83)+U81</f>
        <v/>
      </c>
      <c r="V85" s="50">
        <f>U85*(1-V83)+V81</f>
        <v/>
      </c>
      <c r="W85" s="50">
        <f>V85*(1-W83)+W81</f>
        <v/>
      </c>
      <c r="X85" s="50">
        <f>W85*(1-X83)+X81</f>
        <v/>
      </c>
      <c r="Y85" s="50">
        <f>X85*(1-Y83)+Y81</f>
        <v/>
      </c>
      <c r="Z85" s="50">
        <f>Y85*(1-Z83)+Z81</f>
        <v/>
      </c>
      <c r="AA85" s="50">
        <f>Z85*(1-AA83)+AA81</f>
        <v/>
      </c>
      <c r="AB85" s="50">
        <f>AA85*(1-AB83)+AB81</f>
        <v/>
      </c>
      <c r="AC85" s="50">
        <f>AB85*(1-AC83)+AC81</f>
        <v/>
      </c>
      <c r="AD85" s="50">
        <f>AC85*(1-AD83)+AD81</f>
        <v/>
      </c>
      <c r="AE85" s="50">
        <f>AD85*(1-AE83)+AE81</f>
        <v/>
      </c>
    </row>
    <row r="86">
      <c r="A86" s="6" t="inlineStr">
        <is>
          <t xml:space="preserve">  AUM</t>
        </is>
      </c>
      <c r="B86" s="23" t="inlineStr">
        <is>
          <t>USD</t>
        </is>
      </c>
      <c r="C86" s="63">
        <f>C84*C20</f>
        <v/>
      </c>
      <c r="D86" s="63">
        <f>D84*D20</f>
        <v/>
      </c>
      <c r="E86" s="63">
        <f>E84*E20</f>
        <v/>
      </c>
      <c r="F86" s="63">
        <f>F84*F20</f>
        <v/>
      </c>
      <c r="G86" s="63">
        <f>G84*G20</f>
        <v/>
      </c>
      <c r="H86" s="63">
        <f>H84*H20</f>
        <v/>
      </c>
      <c r="I86" s="63">
        <f>I84*I20</f>
        <v/>
      </c>
      <c r="J86" s="63">
        <f>J84*J20</f>
        <v/>
      </c>
      <c r="K86" s="63">
        <f>K84*K20</f>
        <v/>
      </c>
      <c r="L86" s="63">
        <f>L84*L20</f>
        <v/>
      </c>
      <c r="M86" s="63">
        <f>M84*M20</f>
        <v/>
      </c>
      <c r="N86" s="63">
        <f>N84*N20</f>
        <v/>
      </c>
      <c r="O86" s="63">
        <f>O84*O20</f>
        <v/>
      </c>
      <c r="P86" s="63">
        <f>P84*P20</f>
        <v/>
      </c>
      <c r="Q86" s="63">
        <f>Q84*Q20</f>
        <v/>
      </c>
      <c r="R86" s="63">
        <f>R84*R20</f>
        <v/>
      </c>
      <c r="S86" s="63">
        <f>S84*S20</f>
        <v/>
      </c>
      <c r="T86" s="63">
        <f>T84*T20</f>
        <v/>
      </c>
      <c r="U86" s="63">
        <f>U84*U20</f>
        <v/>
      </c>
      <c r="V86" s="63">
        <f>V84*V20</f>
        <v/>
      </c>
      <c r="W86" s="63">
        <f>W84*W20</f>
        <v/>
      </c>
      <c r="X86" s="63">
        <f>X84*X20</f>
        <v/>
      </c>
      <c r="Y86" s="63">
        <f>Y84*Y20</f>
        <v/>
      </c>
      <c r="Z86" s="63">
        <f>Z84*Z20</f>
        <v/>
      </c>
      <c r="AA86" s="63">
        <f>AA84*AA20</f>
        <v/>
      </c>
      <c r="AB86" s="63">
        <f>AB84*AB20</f>
        <v/>
      </c>
      <c r="AC86" s="63">
        <f>AC84*AC20</f>
        <v/>
      </c>
      <c r="AD86" s="63">
        <f>AD84*AD20</f>
        <v/>
      </c>
      <c r="AE86" s="63">
        <f>AE84*AE20</f>
        <v/>
      </c>
    </row>
    <row r="87">
      <c r="A87" s="6" t="inlineStr">
        <is>
          <t xml:space="preserve">  Card-eligible base</t>
        </is>
      </c>
      <c r="B87" s="23" t="inlineStr">
        <is>
          <t>accounts</t>
        </is>
      </c>
      <c r="C87" s="60">
        <f>C75+C77*Assumptions!$B$228</f>
        <v/>
      </c>
      <c r="D87" s="60">
        <f>D75+D77*Assumptions!$B$228</f>
        <v/>
      </c>
      <c r="E87" s="60">
        <f>E75+E77*Assumptions!$B$228</f>
        <v/>
      </c>
      <c r="F87" s="60">
        <f>F75+F77*Assumptions!$B$228</f>
        <v/>
      </c>
      <c r="G87" s="60">
        <f>G75+G77*Assumptions!$B$228</f>
        <v/>
      </c>
      <c r="H87" s="60">
        <f>H75+H77*Assumptions!$B$228</f>
        <v/>
      </c>
      <c r="I87" s="60">
        <f>I75+I77*Assumptions!$B$228</f>
        <v/>
      </c>
      <c r="J87" s="60">
        <f>J75+J77*Assumptions!$B$228</f>
        <v/>
      </c>
      <c r="K87" s="60">
        <f>K75+K77*Assumptions!$B$228</f>
        <v/>
      </c>
      <c r="L87" s="60">
        <f>L75+L77*Assumptions!$B$228</f>
        <v/>
      </c>
      <c r="M87" s="60">
        <f>M75+M77*Assumptions!$B$228</f>
        <v/>
      </c>
      <c r="N87" s="60">
        <f>N75+N77*Assumptions!$B$228</f>
        <v/>
      </c>
      <c r="O87" s="60">
        <f>O75+O77*Assumptions!$B$228</f>
        <v/>
      </c>
      <c r="P87" s="60">
        <f>P75+P77*Assumptions!$B$228</f>
        <v/>
      </c>
      <c r="Q87" s="60">
        <f>Q75+Q77*Assumptions!$B$228</f>
        <v/>
      </c>
      <c r="R87" s="60">
        <f>R75+R77*Assumptions!$B$228</f>
        <v/>
      </c>
      <c r="S87" s="60">
        <f>S75+S77*Assumptions!$B$228</f>
        <v/>
      </c>
      <c r="T87" s="60">
        <f>T75+T77*Assumptions!$B$228</f>
        <v/>
      </c>
      <c r="U87" s="60">
        <f>U75+U77*Assumptions!$B$228</f>
        <v/>
      </c>
      <c r="V87" s="60">
        <f>V75+V77*Assumptions!$B$228</f>
        <v/>
      </c>
      <c r="W87" s="60">
        <f>W75+W77*Assumptions!$B$228</f>
        <v/>
      </c>
      <c r="X87" s="60">
        <f>X75+X77*Assumptions!$B$228</f>
        <v/>
      </c>
      <c r="Y87" s="60">
        <f>Y75+Y77*Assumptions!$B$228</f>
        <v/>
      </c>
      <c r="Z87" s="60">
        <f>Z75+Z77*Assumptions!$B$228</f>
        <v/>
      </c>
      <c r="AA87" s="60">
        <f>AA75+AA77*Assumptions!$B$228</f>
        <v/>
      </c>
      <c r="AB87" s="60">
        <f>AB75+AB77*Assumptions!$B$228</f>
        <v/>
      </c>
      <c r="AC87" s="60">
        <f>AC75+AC77*Assumptions!$B$228</f>
        <v/>
      </c>
      <c r="AD87" s="60">
        <f>AD75+AD77*Assumptions!$B$228</f>
        <v/>
      </c>
      <c r="AE87" s="60">
        <f>AE75+AE77*Assumptions!$B$228</f>
        <v/>
      </c>
    </row>
    <row r="88">
      <c r="A88" s="6" t="inlineStr">
        <is>
          <t xml:space="preserve">  Reaches an ICS benefit tier (memo - drives discounts, not access)</t>
        </is>
      </c>
      <c r="B88" s="23" t="inlineStr">
        <is>
          <t>accounts</t>
        </is>
      </c>
      <c r="C88" s="64">
        <f>IF(C7&gt;1,C87*Assumptions!$B$149,IF(C2&gt;Assumptions!$B$150,INDEX($C$87:$AE$87,1,C2-Assumptions!$B$150)*Assumptions!$B$149,0))</f>
        <v/>
      </c>
      <c r="D88" s="64">
        <f>IF(D7&gt;1,D87*Assumptions!$B$149,IF(D2&gt;Assumptions!$B$150,INDEX($C$87:$AE$87,1,D2-Assumptions!$B$150)*Assumptions!$B$149,0))</f>
        <v/>
      </c>
      <c r="E88" s="64">
        <f>IF(E7&gt;1,E87*Assumptions!$B$149,IF(E2&gt;Assumptions!$B$150,INDEX($C$87:$AE$87,1,E2-Assumptions!$B$150)*Assumptions!$B$149,0))</f>
        <v/>
      </c>
      <c r="F88" s="64">
        <f>IF(F7&gt;1,F87*Assumptions!$B$149,IF(F2&gt;Assumptions!$B$150,INDEX($C$87:$AE$87,1,F2-Assumptions!$B$150)*Assumptions!$B$149,0))</f>
        <v/>
      </c>
      <c r="G88" s="64">
        <f>IF(G7&gt;1,G87*Assumptions!$B$149,IF(G2&gt;Assumptions!$B$150,INDEX($C$87:$AE$87,1,G2-Assumptions!$B$150)*Assumptions!$B$149,0))</f>
        <v/>
      </c>
      <c r="H88" s="64">
        <f>IF(H7&gt;1,H87*Assumptions!$B$149,IF(H2&gt;Assumptions!$B$150,INDEX($C$87:$AE$87,1,H2-Assumptions!$B$150)*Assumptions!$B$149,0))</f>
        <v/>
      </c>
      <c r="I88" s="64">
        <f>IF(I7&gt;1,I87*Assumptions!$B$149,IF(I2&gt;Assumptions!$B$150,INDEX($C$87:$AE$87,1,I2-Assumptions!$B$150)*Assumptions!$B$149,0))</f>
        <v/>
      </c>
      <c r="J88" s="64">
        <f>IF(J7&gt;1,J87*Assumptions!$B$149,IF(J2&gt;Assumptions!$B$150,INDEX($C$87:$AE$87,1,J2-Assumptions!$B$150)*Assumptions!$B$149,0))</f>
        <v/>
      </c>
      <c r="K88" s="64">
        <f>IF(K7&gt;1,K87*Assumptions!$B$149,IF(K2&gt;Assumptions!$B$150,INDEX($C$87:$AE$87,1,K2-Assumptions!$B$150)*Assumptions!$B$149,0))</f>
        <v/>
      </c>
      <c r="L88" s="64">
        <f>IF(L7&gt;1,L87*Assumptions!$B$149,IF(L2&gt;Assumptions!$B$150,INDEX($C$87:$AE$87,1,L2-Assumptions!$B$150)*Assumptions!$B$149,0))</f>
        <v/>
      </c>
      <c r="M88" s="64">
        <f>IF(M7&gt;1,M87*Assumptions!$B$149,IF(M2&gt;Assumptions!$B$150,INDEX($C$87:$AE$87,1,M2-Assumptions!$B$150)*Assumptions!$B$149,0))</f>
        <v/>
      </c>
      <c r="N88" s="64">
        <f>IF(N7&gt;1,N87*Assumptions!$B$149,IF(N2&gt;Assumptions!$B$150,INDEX($C$87:$AE$87,1,N2-Assumptions!$B$150)*Assumptions!$B$149,0))</f>
        <v/>
      </c>
      <c r="O88" s="64">
        <f>IF(O7&gt;1,O87*Assumptions!$B$149,IF(O2&gt;Assumptions!$B$150,INDEX($C$87:$AE$87,1,O2-Assumptions!$B$150)*Assumptions!$B$149,0))</f>
        <v/>
      </c>
      <c r="P88" s="64">
        <f>IF(P7&gt;1,P87*Assumptions!$B$149,IF(P2&gt;Assumptions!$B$150,INDEX($C$87:$AE$87,1,P2-Assumptions!$B$150)*Assumptions!$B$149,0))</f>
        <v/>
      </c>
      <c r="Q88" s="64">
        <f>IF(Q7&gt;1,Q87*Assumptions!$B$149,IF(Q2&gt;Assumptions!$B$150,INDEX($C$87:$AE$87,1,Q2-Assumptions!$B$150)*Assumptions!$B$149,0))</f>
        <v/>
      </c>
      <c r="R88" s="64">
        <f>IF(R7&gt;1,R87*Assumptions!$B$149,IF(R2&gt;Assumptions!$B$150,INDEX($C$87:$AE$87,1,R2-Assumptions!$B$150)*Assumptions!$B$149,0))</f>
        <v/>
      </c>
      <c r="S88" s="64">
        <f>IF(S7&gt;1,S87*Assumptions!$B$149,IF(S2&gt;Assumptions!$B$150,INDEX($C$87:$AE$87,1,S2-Assumptions!$B$150)*Assumptions!$B$149,0))</f>
        <v/>
      </c>
      <c r="T88" s="64">
        <f>IF(T7&gt;1,T87*Assumptions!$B$149,IF(T2&gt;Assumptions!$B$150,INDEX($C$87:$AE$87,1,T2-Assumptions!$B$150)*Assumptions!$B$149,0))</f>
        <v/>
      </c>
      <c r="U88" s="64">
        <f>IF(U7&gt;1,U87*Assumptions!$B$149,IF(U2&gt;Assumptions!$B$150,INDEX($C$87:$AE$87,1,U2-Assumptions!$B$150)*Assumptions!$B$149,0))</f>
        <v/>
      </c>
      <c r="V88" s="64">
        <f>IF(V7&gt;1,V87*Assumptions!$B$149,IF(V2&gt;Assumptions!$B$150,INDEX($C$87:$AE$87,1,V2-Assumptions!$B$150)*Assumptions!$B$149,0))</f>
        <v/>
      </c>
      <c r="W88" s="64">
        <f>IF(W7&gt;1,W87*Assumptions!$B$149,IF(W2&gt;Assumptions!$B$150,INDEX($C$87:$AE$87,1,W2-Assumptions!$B$150)*Assumptions!$B$149,0))</f>
        <v/>
      </c>
      <c r="X88" s="64">
        <f>IF(X7&gt;1,X87*Assumptions!$B$149,IF(X2&gt;Assumptions!$B$150,INDEX($C$87:$AE$87,1,X2-Assumptions!$B$150)*Assumptions!$B$149,0))</f>
        <v/>
      </c>
      <c r="Y88" s="64">
        <f>IF(Y7&gt;1,Y87*Assumptions!$B$149,IF(Y2&gt;Assumptions!$B$150,INDEX($C$87:$AE$87,1,Y2-Assumptions!$B$150)*Assumptions!$B$149,0))</f>
        <v/>
      </c>
      <c r="Z88" s="64">
        <f>IF(Z7&gt;1,Z87*Assumptions!$B$149,IF(Z2&gt;Assumptions!$B$150,INDEX($C$87:$AE$87,1,Z2-Assumptions!$B$150)*Assumptions!$B$149,0))</f>
        <v/>
      </c>
      <c r="AA88" s="64">
        <f>IF(AA7&gt;1,AA87*Assumptions!$B$149,IF(AA2&gt;Assumptions!$B$150,INDEX($C$87:$AE$87,1,AA2-Assumptions!$B$150)*Assumptions!$B$149,0))</f>
        <v/>
      </c>
      <c r="AB88" s="64">
        <f>IF(AB7&gt;1,AB87*Assumptions!$B$149,IF(AB2&gt;Assumptions!$B$150,INDEX($C$87:$AE$87,1,AB2-Assumptions!$B$150)*Assumptions!$B$149,0))</f>
        <v/>
      </c>
      <c r="AC88" s="64">
        <f>IF(AC7&gt;1,AC87*Assumptions!$B$149,IF(AC2&gt;Assumptions!$B$150,INDEX($C$87:$AE$87,1,AC2-Assumptions!$B$150)*Assumptions!$B$149,0))</f>
        <v/>
      </c>
      <c r="AD88" s="64">
        <f>IF(AD7&gt;1,AD87*Assumptions!$B$149,IF(AD2&gt;Assumptions!$B$150,INDEX($C$87:$AE$87,1,AD2-Assumptions!$B$150)*Assumptions!$B$149,0))</f>
        <v/>
      </c>
      <c r="AE88" s="64">
        <f>IF(AE7&gt;1,AE87*Assumptions!$B$149,IF(AE2&gt;Assumptions!$B$150,INDEX($C$87:$AE$87,1,AE2-Assumptions!$B$150)*Assumptions!$B$149,0))</f>
        <v/>
      </c>
    </row>
    <row r="89">
      <c r="A89" s="6" t="inlineStr">
        <is>
          <t xml:space="preserve">  Active cards</t>
        </is>
      </c>
      <c r="B89" s="23" t="inlineStr">
        <is>
          <t>cards</t>
        </is>
      </c>
      <c r="C89" s="28">
        <f>IF(C2&gt;=Assumptions!$B$51,C87*Assumptions!$B$158,0)</f>
        <v/>
      </c>
      <c r="D89" s="28">
        <f>IF(D2&gt;=Assumptions!$B$51,D87*Assumptions!$B$158,0)</f>
        <v/>
      </c>
      <c r="E89" s="28">
        <f>IF(E2&gt;=Assumptions!$B$51,E87*Assumptions!$B$158,0)</f>
        <v/>
      </c>
      <c r="F89" s="28">
        <f>IF(F2&gt;=Assumptions!$B$51,F87*Assumptions!$B$158,0)</f>
        <v/>
      </c>
      <c r="G89" s="28">
        <f>IF(G2&gt;=Assumptions!$B$51,G87*Assumptions!$B$158,0)</f>
        <v/>
      </c>
      <c r="H89" s="28">
        <f>IF(H2&gt;=Assumptions!$B$51,H87*Assumptions!$B$158,0)</f>
        <v/>
      </c>
      <c r="I89" s="28">
        <f>IF(I2&gt;=Assumptions!$B$51,I87*Assumptions!$B$158,0)</f>
        <v/>
      </c>
      <c r="J89" s="28">
        <f>IF(J2&gt;=Assumptions!$B$51,J87*Assumptions!$B$158,0)</f>
        <v/>
      </c>
      <c r="K89" s="28">
        <f>IF(K2&gt;=Assumptions!$B$51,K87*Assumptions!$B$158,0)</f>
        <v/>
      </c>
      <c r="L89" s="28">
        <f>IF(L2&gt;=Assumptions!$B$51,L87*Assumptions!$B$158,0)</f>
        <v/>
      </c>
      <c r="M89" s="28">
        <f>IF(M2&gt;=Assumptions!$B$51,M87*Assumptions!$B$158,0)</f>
        <v/>
      </c>
      <c r="N89" s="28">
        <f>IF(N2&gt;=Assumptions!$B$51,N87*Assumptions!$B$158,0)</f>
        <v/>
      </c>
      <c r="O89" s="28">
        <f>IF(O2&gt;=Assumptions!$B$51,O87*Assumptions!$B$158,0)</f>
        <v/>
      </c>
      <c r="P89" s="28">
        <f>IF(P2&gt;=Assumptions!$B$51,P87*Assumptions!$B$158,0)</f>
        <v/>
      </c>
      <c r="Q89" s="28">
        <f>IF(Q2&gt;=Assumptions!$B$51,Q87*Assumptions!$B$158,0)</f>
        <v/>
      </c>
      <c r="R89" s="28">
        <f>IF(R2&gt;=Assumptions!$B$51,R87*Assumptions!$B$158,0)</f>
        <v/>
      </c>
      <c r="S89" s="28">
        <f>IF(S2&gt;=Assumptions!$B$51,S87*Assumptions!$B$158,0)</f>
        <v/>
      </c>
      <c r="T89" s="28">
        <f>IF(T2&gt;=Assumptions!$B$51,T87*Assumptions!$B$158,0)</f>
        <v/>
      </c>
      <c r="U89" s="28">
        <f>IF(U2&gt;=Assumptions!$B$51,U87*Assumptions!$B$158,0)</f>
        <v/>
      </c>
      <c r="V89" s="28">
        <f>IF(V2&gt;=Assumptions!$B$51,V87*Assumptions!$B$158,0)</f>
        <v/>
      </c>
      <c r="W89" s="28">
        <f>IF(W2&gt;=Assumptions!$B$51,W87*Assumptions!$B$158,0)</f>
        <v/>
      </c>
      <c r="X89" s="28">
        <f>IF(X2&gt;=Assumptions!$B$51,X87*Assumptions!$B$158,0)</f>
        <v/>
      </c>
      <c r="Y89" s="28">
        <f>IF(Y2&gt;=Assumptions!$B$51,Y87*Assumptions!$B$158,0)</f>
        <v/>
      </c>
      <c r="Z89" s="28">
        <f>IF(Z2&gt;=Assumptions!$B$51,Z87*Assumptions!$B$158,0)</f>
        <v/>
      </c>
      <c r="AA89" s="28">
        <f>IF(AA2&gt;=Assumptions!$B$51,AA87*Assumptions!$B$158,0)</f>
        <v/>
      </c>
      <c r="AB89" s="28">
        <f>IF(AB2&gt;=Assumptions!$B$51,AB87*Assumptions!$B$158,0)</f>
        <v/>
      </c>
      <c r="AC89" s="28">
        <f>IF(AC2&gt;=Assumptions!$B$51,AC87*Assumptions!$B$158,0)</f>
        <v/>
      </c>
      <c r="AD89" s="28">
        <f>IF(AD2&gt;=Assumptions!$B$51,AD87*Assumptions!$B$158,0)</f>
        <v/>
      </c>
      <c r="AE89" s="28">
        <f>IF(AE2&gt;=Assumptions!$B$51,AE87*Assumptions!$B$158,0)</f>
        <v/>
      </c>
    </row>
    <row r="90">
      <c r="A90" s="6" t="inlineStr">
        <is>
          <t xml:space="preserve">  ...of which have a live credit line (now all of them)</t>
        </is>
      </c>
      <c r="B90" s="23" t="inlineStr">
        <is>
          <t>cards</t>
        </is>
      </c>
      <c r="C90" s="28">
        <f>C89</f>
        <v/>
      </c>
      <c r="D90" s="28">
        <f>D89</f>
        <v/>
      </c>
      <c r="E90" s="28">
        <f>E89</f>
        <v/>
      </c>
      <c r="F90" s="28">
        <f>F89</f>
        <v/>
      </c>
      <c r="G90" s="28">
        <f>G89</f>
        <v/>
      </c>
      <c r="H90" s="28">
        <f>H89</f>
        <v/>
      </c>
      <c r="I90" s="28">
        <f>I89</f>
        <v/>
      </c>
      <c r="J90" s="28">
        <f>J89</f>
        <v/>
      </c>
      <c r="K90" s="28">
        <f>K89</f>
        <v/>
      </c>
      <c r="L90" s="28">
        <f>L89</f>
        <v/>
      </c>
      <c r="M90" s="28">
        <f>M89</f>
        <v/>
      </c>
      <c r="N90" s="28">
        <f>N89</f>
        <v/>
      </c>
      <c r="O90" s="28">
        <f>O89</f>
        <v/>
      </c>
      <c r="P90" s="28">
        <f>P89</f>
        <v/>
      </c>
      <c r="Q90" s="28">
        <f>Q89</f>
        <v/>
      </c>
      <c r="R90" s="28">
        <f>R89</f>
        <v/>
      </c>
      <c r="S90" s="28">
        <f>S89</f>
        <v/>
      </c>
      <c r="T90" s="28">
        <f>T89</f>
        <v/>
      </c>
      <c r="U90" s="28">
        <f>U89</f>
        <v/>
      </c>
      <c r="V90" s="28">
        <f>V89</f>
        <v/>
      </c>
      <c r="W90" s="28">
        <f>W89</f>
        <v/>
      </c>
      <c r="X90" s="28">
        <f>X89</f>
        <v/>
      </c>
      <c r="Y90" s="28">
        <f>Y89</f>
        <v/>
      </c>
      <c r="Z90" s="28">
        <f>Z89</f>
        <v/>
      </c>
      <c r="AA90" s="28">
        <f>AA89</f>
        <v/>
      </c>
      <c r="AB90" s="28">
        <f>AB89</f>
        <v/>
      </c>
      <c r="AC90" s="28">
        <f>AC89</f>
        <v/>
      </c>
      <c r="AD90" s="28">
        <f>AD89</f>
        <v/>
      </c>
      <c r="AE90" s="28">
        <f>AE89</f>
        <v/>
      </c>
    </row>
    <row r="91">
      <c r="A91" s="6" t="inlineStr">
        <is>
          <t xml:space="preserve">  ...newly issued this period (flow, drives the issuance fee)</t>
        </is>
      </c>
      <c r="B91" s="23" t="inlineStr">
        <is>
          <t>cards</t>
        </is>
      </c>
      <c r="C91" s="60">
        <f>C89</f>
        <v/>
      </c>
      <c r="D91" s="60">
        <f>MAX(0,D89-C89)</f>
        <v/>
      </c>
      <c r="E91" s="60">
        <f>MAX(0,E89-D89)</f>
        <v/>
      </c>
      <c r="F91" s="60">
        <f>MAX(0,F89-E89)</f>
        <v/>
      </c>
      <c r="G91" s="60">
        <f>MAX(0,G89-F89)</f>
        <v/>
      </c>
      <c r="H91" s="60">
        <f>MAX(0,H89-G89)</f>
        <v/>
      </c>
      <c r="I91" s="60">
        <f>MAX(0,I89-H89)</f>
        <v/>
      </c>
      <c r="J91" s="60">
        <f>MAX(0,J89-I89)</f>
        <v/>
      </c>
      <c r="K91" s="60">
        <f>MAX(0,K89-J89)</f>
        <v/>
      </c>
      <c r="L91" s="60">
        <f>MAX(0,L89-K89)</f>
        <v/>
      </c>
      <c r="M91" s="60">
        <f>MAX(0,M89-L89)</f>
        <v/>
      </c>
      <c r="N91" s="60">
        <f>MAX(0,N89-M89)</f>
        <v/>
      </c>
      <c r="O91" s="60">
        <f>MAX(0,O89-N89)</f>
        <v/>
      </c>
      <c r="P91" s="60">
        <f>MAX(0,P89-O89)</f>
        <v/>
      </c>
      <c r="Q91" s="60">
        <f>MAX(0,Q89-P89)</f>
        <v/>
      </c>
      <c r="R91" s="60">
        <f>MAX(0,R89-Q89)</f>
        <v/>
      </c>
      <c r="S91" s="60">
        <f>MAX(0,S89-R89)</f>
        <v/>
      </c>
      <c r="T91" s="60">
        <f>MAX(0,T89-S89)</f>
        <v/>
      </c>
      <c r="U91" s="60">
        <f>MAX(0,U89-T89)</f>
        <v/>
      </c>
      <c r="V91" s="60">
        <f>MAX(0,V89-U89)</f>
        <v/>
      </c>
      <c r="W91" s="60">
        <f>MAX(0,W89-V89)</f>
        <v/>
      </c>
      <c r="X91" s="60">
        <f>MAX(0,X89-W89)</f>
        <v/>
      </c>
      <c r="Y91" s="60">
        <f>MAX(0,Y89-X89)</f>
        <v/>
      </c>
      <c r="Z91" s="60">
        <f>MAX(0,Z89-Y89)</f>
        <v/>
      </c>
      <c r="AA91" s="60">
        <f>MAX(0,AA89-Z89)</f>
        <v/>
      </c>
      <c r="AB91" s="60">
        <f>MAX(0,AB89-AA89)</f>
        <v/>
      </c>
      <c r="AC91" s="60">
        <f>MAX(0,AC89-AB89)</f>
        <v/>
      </c>
      <c r="AD91" s="60">
        <f>MAX(0,AD89-AC89)</f>
        <v/>
      </c>
      <c r="AE91" s="60">
        <f>MAX(0,AE89-AD89)</f>
        <v/>
      </c>
    </row>
    <row r="92">
      <c r="A92" s="6" t="inlineStr">
        <is>
          <t xml:space="preserve">  Credit limit per customer (gold x LTV)</t>
        </is>
      </c>
      <c r="B92" s="23" t="inlineStr">
        <is>
          <t>USD</t>
        </is>
      </c>
      <c r="C92" s="61">
        <f>IF(C87=0,0,C86/C87*Assumptions!$B$31)</f>
        <v/>
      </c>
      <c r="D92" s="61">
        <f>IF(D87=0,0,D86/D87*Assumptions!$B$31)</f>
        <v/>
      </c>
      <c r="E92" s="61">
        <f>IF(E87=0,0,E86/E87*Assumptions!$B$31)</f>
        <v/>
      </c>
      <c r="F92" s="61">
        <f>IF(F87=0,0,F86/F87*Assumptions!$B$31)</f>
        <v/>
      </c>
      <c r="G92" s="61">
        <f>IF(G87=0,0,G86/G87*Assumptions!$B$31)</f>
        <v/>
      </c>
      <c r="H92" s="61">
        <f>IF(H87=0,0,H86/H87*Assumptions!$B$31)</f>
        <v/>
      </c>
      <c r="I92" s="61">
        <f>IF(I87=0,0,I86/I87*Assumptions!$B$31)</f>
        <v/>
      </c>
      <c r="J92" s="61">
        <f>IF(J87=0,0,J86/J87*Assumptions!$B$31)</f>
        <v/>
      </c>
      <c r="K92" s="61">
        <f>IF(K87=0,0,K86/K87*Assumptions!$B$31)</f>
        <v/>
      </c>
      <c r="L92" s="61">
        <f>IF(L87=0,0,L86/L87*Assumptions!$B$31)</f>
        <v/>
      </c>
      <c r="M92" s="61">
        <f>IF(M87=0,0,M86/M87*Assumptions!$B$31)</f>
        <v/>
      </c>
      <c r="N92" s="61">
        <f>IF(N87=0,0,N86/N87*Assumptions!$B$31)</f>
        <v/>
      </c>
      <c r="O92" s="61">
        <f>IF(O87=0,0,O86/O87*Assumptions!$B$31)</f>
        <v/>
      </c>
      <c r="P92" s="61">
        <f>IF(P87=0,0,P86/P87*Assumptions!$B$31)</f>
        <v/>
      </c>
      <c r="Q92" s="61">
        <f>IF(Q87=0,0,Q86/Q87*Assumptions!$B$31)</f>
        <v/>
      </c>
      <c r="R92" s="61">
        <f>IF(R87=0,0,R86/R87*Assumptions!$B$31)</f>
        <v/>
      </c>
      <c r="S92" s="61">
        <f>IF(S87=0,0,S86/S87*Assumptions!$B$31)</f>
        <v/>
      </c>
      <c r="T92" s="61">
        <f>IF(T87=0,0,T86/T87*Assumptions!$B$31)</f>
        <v/>
      </c>
      <c r="U92" s="61">
        <f>IF(U87=0,0,U86/U87*Assumptions!$B$31)</f>
        <v/>
      </c>
      <c r="V92" s="61">
        <f>IF(V87=0,0,V86/V87*Assumptions!$B$31)</f>
        <v/>
      </c>
      <c r="W92" s="61">
        <f>IF(W87=0,0,W86/W87*Assumptions!$B$31)</f>
        <v/>
      </c>
      <c r="X92" s="61">
        <f>IF(X87=0,0,X86/X87*Assumptions!$B$31)</f>
        <v/>
      </c>
      <c r="Y92" s="61">
        <f>IF(Y87=0,0,Y86/Y87*Assumptions!$B$31)</f>
        <v/>
      </c>
      <c r="Z92" s="61">
        <f>IF(Z87=0,0,Z86/Z87*Assumptions!$B$31)</f>
        <v/>
      </c>
      <c r="AA92" s="61">
        <f>IF(AA87=0,0,AA86/AA87*Assumptions!$B$31)</f>
        <v/>
      </c>
      <c r="AB92" s="61">
        <f>IF(AB87=0,0,AB86/AB87*Assumptions!$B$31)</f>
        <v/>
      </c>
      <c r="AC92" s="61">
        <f>IF(AC87=0,0,AC86/AC87*Assumptions!$B$31)</f>
        <v/>
      </c>
      <c r="AD92" s="61">
        <f>IF(AD87=0,0,AD86/AD87*Assumptions!$B$31)</f>
        <v/>
      </c>
      <c r="AE92" s="61">
        <f>IF(AE87=0,0,AE86/AE87*Assumptions!$B$31)</f>
        <v/>
      </c>
    </row>
    <row r="93">
      <c r="A93" s="6" t="inlineStr">
        <is>
          <t xml:space="preserve">  Annual drawdown per card (limit x drawn x draws)</t>
        </is>
      </c>
      <c r="B93" s="23" t="inlineStr">
        <is>
          <t>USD/yr</t>
        </is>
      </c>
      <c r="C93" s="61">
        <f>C92*Assumptions!$B$171*Assumptions!$B$173</f>
        <v/>
      </c>
      <c r="D93" s="61">
        <f>D92*Assumptions!$B$171*Assumptions!$B$173</f>
        <v/>
      </c>
      <c r="E93" s="61">
        <f>E92*Assumptions!$B$171*Assumptions!$B$173</f>
        <v/>
      </c>
      <c r="F93" s="61">
        <f>F92*Assumptions!$B$171*Assumptions!$B$173</f>
        <v/>
      </c>
      <c r="G93" s="61">
        <f>G92*Assumptions!$B$171*Assumptions!$B$173</f>
        <v/>
      </c>
      <c r="H93" s="61">
        <f>H92*Assumptions!$B$171*Assumptions!$B$173</f>
        <v/>
      </c>
      <c r="I93" s="61">
        <f>I92*Assumptions!$B$171*Assumptions!$B$173</f>
        <v/>
      </c>
      <c r="J93" s="61">
        <f>J92*Assumptions!$B$171*Assumptions!$B$173</f>
        <v/>
      </c>
      <c r="K93" s="61">
        <f>K92*Assumptions!$B$171*Assumptions!$B$173</f>
        <v/>
      </c>
      <c r="L93" s="61">
        <f>L92*Assumptions!$B$171*Assumptions!$B$173</f>
        <v/>
      </c>
      <c r="M93" s="61">
        <f>M92*Assumptions!$B$171*Assumptions!$B$173</f>
        <v/>
      </c>
      <c r="N93" s="61">
        <f>N92*Assumptions!$B$171*Assumptions!$B$173</f>
        <v/>
      </c>
      <c r="O93" s="61">
        <f>O92*Assumptions!$B$171*Assumptions!$B$173</f>
        <v/>
      </c>
      <c r="P93" s="61">
        <f>P92*Assumptions!$B$171*Assumptions!$B$173</f>
        <v/>
      </c>
      <c r="Q93" s="61">
        <f>Q92*Assumptions!$B$171*Assumptions!$B$173</f>
        <v/>
      </c>
      <c r="R93" s="61">
        <f>R92*Assumptions!$B$171*Assumptions!$B$173</f>
        <v/>
      </c>
      <c r="S93" s="61">
        <f>S92*Assumptions!$B$171*Assumptions!$B$173</f>
        <v/>
      </c>
      <c r="T93" s="61">
        <f>T92*Assumptions!$B$171*Assumptions!$B$173</f>
        <v/>
      </c>
      <c r="U93" s="61">
        <f>U92*Assumptions!$B$171*Assumptions!$B$173</f>
        <v/>
      </c>
      <c r="V93" s="61">
        <f>V92*Assumptions!$B$171*Assumptions!$B$173</f>
        <v/>
      </c>
      <c r="W93" s="61">
        <f>W92*Assumptions!$B$171*Assumptions!$B$173</f>
        <v/>
      </c>
      <c r="X93" s="61">
        <f>X92*Assumptions!$B$171*Assumptions!$B$173</f>
        <v/>
      </c>
      <c r="Y93" s="61">
        <f>Y92*Assumptions!$B$171*Assumptions!$B$173</f>
        <v/>
      </c>
      <c r="Z93" s="61">
        <f>Z92*Assumptions!$B$171*Assumptions!$B$173</f>
        <v/>
      </c>
      <c r="AA93" s="61">
        <f>AA92*Assumptions!$B$171*Assumptions!$B$173</f>
        <v/>
      </c>
      <c r="AB93" s="61">
        <f>AB92*Assumptions!$B$171*Assumptions!$B$173</f>
        <v/>
      </c>
      <c r="AC93" s="61">
        <f>AC92*Assumptions!$B$171*Assumptions!$B$173</f>
        <v/>
      </c>
      <c r="AD93" s="61">
        <f>AD92*Assumptions!$B$171*Assumptions!$B$173</f>
        <v/>
      </c>
      <c r="AE93" s="61">
        <f>AE92*Assumptions!$B$171*Assumptions!$B$173</f>
        <v/>
      </c>
    </row>
    <row r="94">
      <c r="A94" s="6" t="inlineStr">
        <is>
          <t xml:space="preserve">  Card spend per card per month</t>
        </is>
      </c>
      <c r="B94" s="23" t="inlineStr">
        <is>
          <t>USD</t>
        </is>
      </c>
      <c r="C94" s="61">
        <f>C93/12*C16</f>
        <v/>
      </c>
      <c r="D94" s="61">
        <f>D93/12*D16</f>
        <v/>
      </c>
      <c r="E94" s="61">
        <f>E93/12*E16</f>
        <v/>
      </c>
      <c r="F94" s="61">
        <f>F93/12*F16</f>
        <v/>
      </c>
      <c r="G94" s="61">
        <f>G93/12*G16</f>
        <v/>
      </c>
      <c r="H94" s="61">
        <f>H93/12*H16</f>
        <v/>
      </c>
      <c r="I94" s="61">
        <f>I93/12*I16</f>
        <v/>
      </c>
      <c r="J94" s="61">
        <f>J93/12*J16</f>
        <v/>
      </c>
      <c r="K94" s="61">
        <f>K93/12*K16</f>
        <v/>
      </c>
      <c r="L94" s="61">
        <f>L93/12*L16</f>
        <v/>
      </c>
      <c r="M94" s="61">
        <f>M93/12*M16</f>
        <v/>
      </c>
      <c r="N94" s="61">
        <f>N93/12*N16</f>
        <v/>
      </c>
      <c r="O94" s="61">
        <f>O93/12*O16</f>
        <v/>
      </c>
      <c r="P94" s="61">
        <f>P93/12*P16</f>
        <v/>
      </c>
      <c r="Q94" s="61">
        <f>Q93/12*Q16</f>
        <v/>
      </c>
      <c r="R94" s="61">
        <f>R93/12*R16</f>
        <v/>
      </c>
      <c r="S94" s="61">
        <f>S93/12*S16</f>
        <v/>
      </c>
      <c r="T94" s="61">
        <f>T93/12*T16</f>
        <v/>
      </c>
      <c r="U94" s="61">
        <f>U93/12*U16</f>
        <v/>
      </c>
      <c r="V94" s="61">
        <f>V93/12*V16</f>
        <v/>
      </c>
      <c r="W94" s="61">
        <f>W93/12*W16</f>
        <v/>
      </c>
      <c r="X94" s="61">
        <f>X93/12*X16</f>
        <v/>
      </c>
      <c r="Y94" s="61">
        <f>Y93/12*Y16</f>
        <v/>
      </c>
      <c r="Z94" s="61">
        <f>Z93/12*Z16</f>
        <v/>
      </c>
      <c r="AA94" s="61">
        <f>AA93/12*AA16</f>
        <v/>
      </c>
      <c r="AB94" s="61">
        <f>AB93/12*AB16</f>
        <v/>
      </c>
      <c r="AC94" s="61">
        <f>AC93/12*AC16</f>
        <v/>
      </c>
      <c r="AD94" s="61">
        <f>AD93/12*AD16</f>
        <v/>
      </c>
      <c r="AE94" s="61">
        <f>AE93/12*AE16</f>
        <v/>
      </c>
    </row>
    <row r="95">
      <c r="A95" s="6" t="inlineStr">
        <is>
          <t xml:space="preserve">  Card spend</t>
        </is>
      </c>
      <c r="B95" s="23" t="inlineStr">
        <is>
          <t>AED</t>
        </is>
      </c>
      <c r="C95" s="50">
        <f>C90*C94*Assumptions!$B$7*C7</f>
        <v/>
      </c>
      <c r="D95" s="50">
        <f>D90*D94*Assumptions!$B$7*D7</f>
        <v/>
      </c>
      <c r="E95" s="50">
        <f>E90*E94*Assumptions!$B$7*E7</f>
        <v/>
      </c>
      <c r="F95" s="50">
        <f>F90*F94*Assumptions!$B$7*F7</f>
        <v/>
      </c>
      <c r="G95" s="50">
        <f>G90*G94*Assumptions!$B$7*G7</f>
        <v/>
      </c>
      <c r="H95" s="50">
        <f>H90*H94*Assumptions!$B$7*H7</f>
        <v/>
      </c>
      <c r="I95" s="50">
        <f>I90*I94*Assumptions!$B$7*I7</f>
        <v/>
      </c>
      <c r="J95" s="50">
        <f>J90*J94*Assumptions!$B$7*J7</f>
        <v/>
      </c>
      <c r="K95" s="50">
        <f>K90*K94*Assumptions!$B$7*K7</f>
        <v/>
      </c>
      <c r="L95" s="50">
        <f>L90*L94*Assumptions!$B$7*L7</f>
        <v/>
      </c>
      <c r="M95" s="50">
        <f>M90*M94*Assumptions!$B$7*M7</f>
        <v/>
      </c>
      <c r="N95" s="50">
        <f>N90*N94*Assumptions!$B$7*N7</f>
        <v/>
      </c>
      <c r="O95" s="50">
        <f>O90*O94*Assumptions!$B$7*O7</f>
        <v/>
      </c>
      <c r="P95" s="50">
        <f>P90*P94*Assumptions!$B$7*P7</f>
        <v/>
      </c>
      <c r="Q95" s="50">
        <f>Q90*Q94*Assumptions!$B$7*Q7</f>
        <v/>
      </c>
      <c r="R95" s="50">
        <f>R90*R94*Assumptions!$B$7*R7</f>
        <v/>
      </c>
      <c r="S95" s="50">
        <f>S90*S94*Assumptions!$B$7*S7</f>
        <v/>
      </c>
      <c r="T95" s="50">
        <f>T90*T94*Assumptions!$B$7*T7</f>
        <v/>
      </c>
      <c r="U95" s="50">
        <f>U90*U94*Assumptions!$B$7*U7</f>
        <v/>
      </c>
      <c r="V95" s="50">
        <f>V90*V94*Assumptions!$B$7*V7</f>
        <v/>
      </c>
      <c r="W95" s="50">
        <f>W90*W94*Assumptions!$B$7*W7</f>
        <v/>
      </c>
      <c r="X95" s="50">
        <f>X90*X94*Assumptions!$B$7*X7</f>
        <v/>
      </c>
      <c r="Y95" s="50">
        <f>Y90*Y94*Assumptions!$B$7*Y7</f>
        <v/>
      </c>
      <c r="Z95" s="50">
        <f>Z90*Z94*Assumptions!$B$7*Z7</f>
        <v/>
      </c>
      <c r="AA95" s="50">
        <f>AA90*AA94*Assumptions!$B$7*AA7</f>
        <v/>
      </c>
      <c r="AB95" s="50">
        <f>AB90*AB94*Assumptions!$B$7*AB7</f>
        <v/>
      </c>
      <c r="AC95" s="50">
        <f>AC90*AC94*Assumptions!$B$7*AC7</f>
        <v/>
      </c>
      <c r="AD95" s="50">
        <f>AD90*AD94*Assumptions!$B$7*AD7</f>
        <v/>
      </c>
      <c r="AE95" s="50">
        <f>AE90*AE94*Assumptions!$B$7*AE7</f>
        <v/>
      </c>
    </row>
    <row r="96">
      <c r="A96" s="6" t="inlineStr">
        <is>
          <t xml:space="preserve">  Card spend</t>
        </is>
      </c>
      <c r="B96" s="23" t="inlineStr">
        <is>
          <t>USD</t>
        </is>
      </c>
      <c r="C96" s="61">
        <f>C95/Assumptions!$B$7</f>
        <v/>
      </c>
      <c r="D96" s="61">
        <f>D95/Assumptions!$B$7</f>
        <v/>
      </c>
      <c r="E96" s="61">
        <f>E95/Assumptions!$B$7</f>
        <v/>
      </c>
      <c r="F96" s="61">
        <f>F95/Assumptions!$B$7</f>
        <v/>
      </c>
      <c r="G96" s="61">
        <f>G95/Assumptions!$B$7</f>
        <v/>
      </c>
      <c r="H96" s="61">
        <f>H95/Assumptions!$B$7</f>
        <v/>
      </c>
      <c r="I96" s="61">
        <f>I95/Assumptions!$B$7</f>
        <v/>
      </c>
      <c r="J96" s="61">
        <f>J95/Assumptions!$B$7</f>
        <v/>
      </c>
      <c r="K96" s="61">
        <f>K95/Assumptions!$B$7</f>
        <v/>
      </c>
      <c r="L96" s="61">
        <f>L95/Assumptions!$B$7</f>
        <v/>
      </c>
      <c r="M96" s="61">
        <f>M95/Assumptions!$B$7</f>
        <v/>
      </c>
      <c r="N96" s="61">
        <f>N95/Assumptions!$B$7</f>
        <v/>
      </c>
      <c r="O96" s="61">
        <f>O95/Assumptions!$B$7</f>
        <v/>
      </c>
      <c r="P96" s="61">
        <f>P95/Assumptions!$B$7</f>
        <v/>
      </c>
      <c r="Q96" s="61">
        <f>Q95/Assumptions!$B$7</f>
        <v/>
      </c>
      <c r="R96" s="61">
        <f>R95/Assumptions!$B$7</f>
        <v/>
      </c>
      <c r="S96" s="61">
        <f>S95/Assumptions!$B$7</f>
        <v/>
      </c>
      <c r="T96" s="61">
        <f>T95/Assumptions!$B$7</f>
        <v/>
      </c>
      <c r="U96" s="61">
        <f>U95/Assumptions!$B$7</f>
        <v/>
      </c>
      <c r="V96" s="61">
        <f>V95/Assumptions!$B$7</f>
        <v/>
      </c>
      <c r="W96" s="61">
        <f>W95/Assumptions!$B$7</f>
        <v/>
      </c>
      <c r="X96" s="61">
        <f>X95/Assumptions!$B$7</f>
        <v/>
      </c>
      <c r="Y96" s="61">
        <f>Y95/Assumptions!$B$7</f>
        <v/>
      </c>
      <c r="Z96" s="61">
        <f>Z95/Assumptions!$B$7</f>
        <v/>
      </c>
      <c r="AA96" s="61">
        <f>AA95/Assumptions!$B$7</f>
        <v/>
      </c>
      <c r="AB96" s="61">
        <f>AB95/Assumptions!$B$7</f>
        <v/>
      </c>
      <c r="AC96" s="61">
        <f>AC95/Assumptions!$B$7</f>
        <v/>
      </c>
      <c r="AD96" s="61">
        <f>AD95/Assumptions!$B$7</f>
        <v/>
      </c>
      <c r="AE96" s="61">
        <f>AE95/Assumptions!$B$7</f>
        <v/>
      </c>
    </row>
    <row r="97">
      <c r="A97" s="6" t="inlineStr">
        <is>
          <t xml:space="preserve">  Average transaction size (derived)</t>
        </is>
      </c>
      <c r="B97" s="23" t="inlineStr">
        <is>
          <t>AED</t>
        </is>
      </c>
      <c r="C97" s="50">
        <f>IF(Assumptions!$B$159=0,0,C92*Assumptions!$B$171*Assumptions!$B$7/Assumptions!$B$159)</f>
        <v/>
      </c>
      <c r="D97" s="50">
        <f>IF(Assumptions!$B$159=0,0,D92*Assumptions!$B$171*Assumptions!$B$7/Assumptions!$B$159)</f>
        <v/>
      </c>
      <c r="E97" s="50">
        <f>IF(Assumptions!$B$159=0,0,E92*Assumptions!$B$171*Assumptions!$B$7/Assumptions!$B$159)</f>
        <v/>
      </c>
      <c r="F97" s="50">
        <f>IF(Assumptions!$B$159=0,0,F92*Assumptions!$B$171*Assumptions!$B$7/Assumptions!$B$159)</f>
        <v/>
      </c>
      <c r="G97" s="50">
        <f>IF(Assumptions!$B$159=0,0,G92*Assumptions!$B$171*Assumptions!$B$7/Assumptions!$B$159)</f>
        <v/>
      </c>
      <c r="H97" s="50">
        <f>IF(Assumptions!$B$159=0,0,H92*Assumptions!$B$171*Assumptions!$B$7/Assumptions!$B$159)</f>
        <v/>
      </c>
      <c r="I97" s="50">
        <f>IF(Assumptions!$B$159=0,0,I92*Assumptions!$B$171*Assumptions!$B$7/Assumptions!$B$159)</f>
        <v/>
      </c>
      <c r="J97" s="50">
        <f>IF(Assumptions!$B$159=0,0,J92*Assumptions!$B$171*Assumptions!$B$7/Assumptions!$B$159)</f>
        <v/>
      </c>
      <c r="K97" s="50">
        <f>IF(Assumptions!$B$159=0,0,K92*Assumptions!$B$171*Assumptions!$B$7/Assumptions!$B$159)</f>
        <v/>
      </c>
      <c r="L97" s="50">
        <f>IF(Assumptions!$B$159=0,0,L92*Assumptions!$B$171*Assumptions!$B$7/Assumptions!$B$159)</f>
        <v/>
      </c>
      <c r="M97" s="50">
        <f>IF(Assumptions!$B$159=0,0,M92*Assumptions!$B$171*Assumptions!$B$7/Assumptions!$B$159)</f>
        <v/>
      </c>
      <c r="N97" s="50">
        <f>IF(Assumptions!$B$159=0,0,N92*Assumptions!$B$171*Assumptions!$B$7/Assumptions!$B$159)</f>
        <v/>
      </c>
      <c r="O97" s="50">
        <f>IF(Assumptions!$B$159=0,0,O92*Assumptions!$B$171*Assumptions!$B$7/Assumptions!$B$159)</f>
        <v/>
      </c>
      <c r="P97" s="50">
        <f>IF(Assumptions!$B$159=0,0,P92*Assumptions!$B$171*Assumptions!$B$7/Assumptions!$B$159)</f>
        <v/>
      </c>
      <c r="Q97" s="50">
        <f>IF(Assumptions!$B$159=0,0,Q92*Assumptions!$B$171*Assumptions!$B$7/Assumptions!$B$159)</f>
        <v/>
      </c>
      <c r="R97" s="50">
        <f>IF(Assumptions!$B$159=0,0,R92*Assumptions!$B$171*Assumptions!$B$7/Assumptions!$B$159)</f>
        <v/>
      </c>
      <c r="S97" s="50">
        <f>IF(Assumptions!$B$159=0,0,S92*Assumptions!$B$171*Assumptions!$B$7/Assumptions!$B$159)</f>
        <v/>
      </c>
      <c r="T97" s="50">
        <f>IF(Assumptions!$B$159=0,0,T92*Assumptions!$B$171*Assumptions!$B$7/Assumptions!$B$159)</f>
        <v/>
      </c>
      <c r="U97" s="50">
        <f>IF(Assumptions!$B$159=0,0,U92*Assumptions!$B$171*Assumptions!$B$7/Assumptions!$B$159)</f>
        <v/>
      </c>
      <c r="V97" s="50">
        <f>IF(Assumptions!$B$159=0,0,V92*Assumptions!$B$171*Assumptions!$B$7/Assumptions!$B$159)</f>
        <v/>
      </c>
      <c r="W97" s="50">
        <f>IF(Assumptions!$B$159=0,0,W92*Assumptions!$B$171*Assumptions!$B$7/Assumptions!$B$159)</f>
        <v/>
      </c>
      <c r="X97" s="50">
        <f>IF(Assumptions!$B$159=0,0,X92*Assumptions!$B$171*Assumptions!$B$7/Assumptions!$B$159)</f>
        <v/>
      </c>
      <c r="Y97" s="50">
        <f>IF(Assumptions!$B$159=0,0,Y92*Assumptions!$B$171*Assumptions!$B$7/Assumptions!$B$159)</f>
        <v/>
      </c>
      <c r="Z97" s="50">
        <f>IF(Assumptions!$B$159=0,0,Z92*Assumptions!$B$171*Assumptions!$B$7/Assumptions!$B$159)</f>
        <v/>
      </c>
      <c r="AA97" s="50">
        <f>IF(Assumptions!$B$159=0,0,AA92*Assumptions!$B$171*Assumptions!$B$7/Assumptions!$B$159)</f>
        <v/>
      </c>
      <c r="AB97" s="50">
        <f>IF(Assumptions!$B$159=0,0,AB92*Assumptions!$B$171*Assumptions!$B$7/Assumptions!$B$159)</f>
        <v/>
      </c>
      <c r="AC97" s="50">
        <f>IF(Assumptions!$B$159=0,0,AC92*Assumptions!$B$171*Assumptions!$B$7/Assumptions!$B$159)</f>
        <v/>
      </c>
      <c r="AD97" s="50">
        <f>IF(Assumptions!$B$159=0,0,AD92*Assumptions!$B$171*Assumptions!$B$7/Assumptions!$B$159)</f>
        <v/>
      </c>
      <c r="AE97" s="50">
        <f>IF(Assumptions!$B$159=0,0,AE92*Assumptions!$B$171*Assumptions!$B$7/Assumptions!$B$159)</f>
        <v/>
      </c>
    </row>
    <row r="98">
      <c r="A98" s="6" t="inlineStr">
        <is>
          <t xml:space="preserve">  Card authorisations (memo - drives cost, not revenue)</t>
        </is>
      </c>
      <c r="B98" s="23" t="inlineStr">
        <is>
          <t>auths</t>
        </is>
      </c>
      <c r="C98" s="50">
        <f>C90*Assumptions!$B$173*Assumptions!$B$159*C7/12*(1+Assumptions!$B$16)</f>
        <v/>
      </c>
      <c r="D98" s="50">
        <f>D90*Assumptions!$B$173*Assumptions!$B$159*D7/12*(1+Assumptions!$B$16)</f>
        <v/>
      </c>
      <c r="E98" s="50">
        <f>E90*Assumptions!$B$173*Assumptions!$B$159*E7/12*(1+Assumptions!$B$16)</f>
        <v/>
      </c>
      <c r="F98" s="50">
        <f>F90*Assumptions!$B$173*Assumptions!$B$159*F7/12*(1+Assumptions!$B$16)</f>
        <v/>
      </c>
      <c r="G98" s="50">
        <f>G90*Assumptions!$B$173*Assumptions!$B$159*G7/12*(1+Assumptions!$B$16)</f>
        <v/>
      </c>
      <c r="H98" s="50">
        <f>H90*Assumptions!$B$173*Assumptions!$B$159*H7/12*(1+Assumptions!$B$16)</f>
        <v/>
      </c>
      <c r="I98" s="50">
        <f>I90*Assumptions!$B$173*Assumptions!$B$159*I7/12*(1+Assumptions!$B$16)</f>
        <v/>
      </c>
      <c r="J98" s="50">
        <f>J90*Assumptions!$B$173*Assumptions!$B$159*J7/12*(1+Assumptions!$B$16)</f>
        <v/>
      </c>
      <c r="K98" s="50">
        <f>K90*Assumptions!$B$173*Assumptions!$B$159*K7/12*(1+Assumptions!$B$16)</f>
        <v/>
      </c>
      <c r="L98" s="50">
        <f>L90*Assumptions!$B$173*Assumptions!$B$159*L7/12*(1+Assumptions!$B$16)</f>
        <v/>
      </c>
      <c r="M98" s="50">
        <f>M90*Assumptions!$B$173*Assumptions!$B$159*M7/12*(1+Assumptions!$B$16)</f>
        <v/>
      </c>
      <c r="N98" s="50">
        <f>N90*Assumptions!$B$173*Assumptions!$B$159*N7/12*(1+Assumptions!$B$16)</f>
        <v/>
      </c>
      <c r="O98" s="50">
        <f>O90*Assumptions!$B$173*Assumptions!$B$159*O7/12*(1+Assumptions!$B$16)</f>
        <v/>
      </c>
      <c r="P98" s="50">
        <f>P90*Assumptions!$B$173*Assumptions!$B$159*P7/12*(1+Assumptions!$B$16)</f>
        <v/>
      </c>
      <c r="Q98" s="50">
        <f>Q90*Assumptions!$B$173*Assumptions!$B$159*Q7/12*(1+Assumptions!$B$16)</f>
        <v/>
      </c>
      <c r="R98" s="50">
        <f>R90*Assumptions!$B$173*Assumptions!$B$159*R7/12*(1+Assumptions!$B$16)</f>
        <v/>
      </c>
      <c r="S98" s="50">
        <f>S90*Assumptions!$B$173*Assumptions!$B$159*S7/12*(1+Assumptions!$B$16)</f>
        <v/>
      </c>
      <c r="T98" s="50">
        <f>T90*Assumptions!$B$173*Assumptions!$B$159*T7/12*(1+Assumptions!$B$16)</f>
        <v/>
      </c>
      <c r="U98" s="50">
        <f>U90*Assumptions!$B$173*Assumptions!$B$159*U7/12*(1+Assumptions!$B$16)</f>
        <v/>
      </c>
      <c r="V98" s="50">
        <f>V90*Assumptions!$B$173*Assumptions!$B$159*V7/12*(1+Assumptions!$B$16)</f>
        <v/>
      </c>
      <c r="W98" s="50">
        <f>W90*Assumptions!$B$173*Assumptions!$B$159*W7/12*(1+Assumptions!$B$16)</f>
        <v/>
      </c>
      <c r="X98" s="50">
        <f>X90*Assumptions!$B$173*Assumptions!$B$159*X7/12*(1+Assumptions!$B$16)</f>
        <v/>
      </c>
      <c r="Y98" s="50">
        <f>Y90*Assumptions!$B$173*Assumptions!$B$159*Y7/12*(1+Assumptions!$B$16)</f>
        <v/>
      </c>
      <c r="Z98" s="50">
        <f>Z90*Assumptions!$B$173*Assumptions!$B$159*Z7/12*(1+Assumptions!$B$16)</f>
        <v/>
      </c>
      <c r="AA98" s="50">
        <f>AA90*Assumptions!$B$173*Assumptions!$B$159*AA7/12*(1+Assumptions!$B$16)</f>
        <v/>
      </c>
      <c r="AB98" s="50">
        <f>AB90*Assumptions!$B$173*Assumptions!$B$159*AB7/12*(1+Assumptions!$B$16)</f>
        <v/>
      </c>
      <c r="AC98" s="50">
        <f>AC90*Assumptions!$B$173*Assumptions!$B$159*AC7/12*(1+Assumptions!$B$16)</f>
        <v/>
      </c>
      <c r="AD98" s="50">
        <f>AD90*Assumptions!$B$173*Assumptions!$B$159*AD7/12*(1+Assumptions!$B$16)</f>
        <v/>
      </c>
      <c r="AE98" s="50">
        <f>AE90*Assumptions!$B$173*Assumptions!$B$159*AE7/12*(1+Assumptions!$B$16)</f>
        <v/>
      </c>
    </row>
    <row r="99">
      <c r="A99" s="6" t="inlineStr">
        <is>
          <t xml:space="preserve">  Stream 1a - Entry fee, SIP</t>
        </is>
      </c>
      <c r="B99" s="23" t="inlineStr">
        <is>
          <t>USD</t>
        </is>
      </c>
      <c r="C99" s="61">
        <f>C79*Assumptions!$B$8</f>
        <v/>
      </c>
      <c r="D99" s="61">
        <f>D79*Assumptions!$B$8</f>
        <v/>
      </c>
      <c r="E99" s="61">
        <f>E79*Assumptions!$B$8</f>
        <v/>
      </c>
      <c r="F99" s="61">
        <f>F79*Assumptions!$B$8</f>
        <v/>
      </c>
      <c r="G99" s="61">
        <f>G79*Assumptions!$B$8</f>
        <v/>
      </c>
      <c r="H99" s="61">
        <f>H79*Assumptions!$B$8</f>
        <v/>
      </c>
      <c r="I99" s="61">
        <f>I79*Assumptions!$B$8</f>
        <v/>
      </c>
      <c r="J99" s="61">
        <f>J79*Assumptions!$B$8</f>
        <v/>
      </c>
      <c r="K99" s="61">
        <f>K79*Assumptions!$B$8</f>
        <v/>
      </c>
      <c r="L99" s="61">
        <f>L79*Assumptions!$B$8</f>
        <v/>
      </c>
      <c r="M99" s="61">
        <f>M79*Assumptions!$B$8</f>
        <v/>
      </c>
      <c r="N99" s="61">
        <f>N79*Assumptions!$B$8</f>
        <v/>
      </c>
      <c r="O99" s="61">
        <f>O79*Assumptions!$B$8</f>
        <v/>
      </c>
      <c r="P99" s="61">
        <f>P79*Assumptions!$B$8</f>
        <v/>
      </c>
      <c r="Q99" s="61">
        <f>Q79*Assumptions!$B$8</f>
        <v/>
      </c>
      <c r="R99" s="61">
        <f>R79*Assumptions!$B$8</f>
        <v/>
      </c>
      <c r="S99" s="61">
        <f>S79*Assumptions!$B$8</f>
        <v/>
      </c>
      <c r="T99" s="61">
        <f>T79*Assumptions!$B$8</f>
        <v/>
      </c>
      <c r="U99" s="61">
        <f>U79*Assumptions!$B$8</f>
        <v/>
      </c>
      <c r="V99" s="61">
        <f>V79*Assumptions!$B$8</f>
        <v/>
      </c>
      <c r="W99" s="61">
        <f>W79*Assumptions!$B$8</f>
        <v/>
      </c>
      <c r="X99" s="61">
        <f>X79*Assumptions!$B$8</f>
        <v/>
      </c>
      <c r="Y99" s="61">
        <f>Y79*Assumptions!$B$8</f>
        <v/>
      </c>
      <c r="Z99" s="61">
        <f>Z79*Assumptions!$B$8</f>
        <v/>
      </c>
      <c r="AA99" s="61">
        <f>AA79*Assumptions!$B$8</f>
        <v/>
      </c>
      <c r="AB99" s="61">
        <f>AB79*Assumptions!$B$8</f>
        <v/>
      </c>
      <c r="AC99" s="61">
        <f>AC79*Assumptions!$B$8</f>
        <v/>
      </c>
      <c r="AD99" s="61">
        <f>AD79*Assumptions!$B$8</f>
        <v/>
      </c>
      <c r="AE99" s="61">
        <f>AE79*Assumptions!$B$8</f>
        <v/>
      </c>
    </row>
    <row r="100">
      <c r="A100" s="6" t="inlineStr">
        <is>
          <t xml:space="preserve">  Stream 1b - Entry fee, SPOT</t>
        </is>
      </c>
      <c r="B100" s="23" t="inlineStr">
        <is>
          <t>USD</t>
        </is>
      </c>
      <c r="C100" s="61">
        <f>C80*Assumptions!$B$8</f>
        <v/>
      </c>
      <c r="D100" s="61">
        <f>D80*Assumptions!$B$8</f>
        <v/>
      </c>
      <c r="E100" s="61">
        <f>E80*Assumptions!$B$8</f>
        <v/>
      </c>
      <c r="F100" s="61">
        <f>F80*Assumptions!$B$8</f>
        <v/>
      </c>
      <c r="G100" s="61">
        <f>G80*Assumptions!$B$8</f>
        <v/>
      </c>
      <c r="H100" s="61">
        <f>H80*Assumptions!$B$8</f>
        <v/>
      </c>
      <c r="I100" s="61">
        <f>I80*Assumptions!$B$8</f>
        <v/>
      </c>
      <c r="J100" s="61">
        <f>J80*Assumptions!$B$8</f>
        <v/>
      </c>
      <c r="K100" s="61">
        <f>K80*Assumptions!$B$8</f>
        <v/>
      </c>
      <c r="L100" s="61">
        <f>L80*Assumptions!$B$8</f>
        <v/>
      </c>
      <c r="M100" s="61">
        <f>M80*Assumptions!$B$8</f>
        <v/>
      </c>
      <c r="N100" s="61">
        <f>N80*Assumptions!$B$8</f>
        <v/>
      </c>
      <c r="O100" s="61">
        <f>O80*Assumptions!$B$8</f>
        <v/>
      </c>
      <c r="P100" s="61">
        <f>P80*Assumptions!$B$8</f>
        <v/>
      </c>
      <c r="Q100" s="61">
        <f>Q80*Assumptions!$B$8</f>
        <v/>
      </c>
      <c r="R100" s="61">
        <f>R80*Assumptions!$B$8</f>
        <v/>
      </c>
      <c r="S100" s="61">
        <f>S80*Assumptions!$B$8</f>
        <v/>
      </c>
      <c r="T100" s="61">
        <f>T80*Assumptions!$B$8</f>
        <v/>
      </c>
      <c r="U100" s="61">
        <f>U80*Assumptions!$B$8</f>
        <v/>
      </c>
      <c r="V100" s="61">
        <f>V80*Assumptions!$B$8</f>
        <v/>
      </c>
      <c r="W100" s="61">
        <f>W80*Assumptions!$B$8</f>
        <v/>
      </c>
      <c r="X100" s="61">
        <f>X80*Assumptions!$B$8</f>
        <v/>
      </c>
      <c r="Y100" s="61">
        <f>Y80*Assumptions!$B$8</f>
        <v/>
      </c>
      <c r="Z100" s="61">
        <f>Z80*Assumptions!$B$8</f>
        <v/>
      </c>
      <c r="AA100" s="61">
        <f>AA80*Assumptions!$B$8</f>
        <v/>
      </c>
      <c r="AB100" s="61">
        <f>AB80*Assumptions!$B$8</f>
        <v/>
      </c>
      <c r="AC100" s="61">
        <f>AC80*Assumptions!$B$8</f>
        <v/>
      </c>
      <c r="AD100" s="61">
        <f>AD80*Assumptions!$B$8</f>
        <v/>
      </c>
      <c r="AE100" s="61">
        <f>AE80*Assumptions!$B$8</f>
        <v/>
      </c>
    </row>
    <row r="101">
      <c r="A101" s="6" t="inlineStr">
        <is>
          <t xml:space="preserve">  Stream 2 - Card interchange</t>
        </is>
      </c>
      <c r="B101" s="23" t="inlineStr">
        <is>
          <t>USD</t>
        </is>
      </c>
      <c r="C101" s="61">
        <f>C96*IF(Assumptions!$B$227=1,MIN(Assumptions!$B$14,1%),Assumptions!$B$14)*(1-Assumptions!$B$157)</f>
        <v/>
      </c>
      <c r="D101" s="61">
        <f>D96*IF(Assumptions!$B$227=1,MIN(Assumptions!$B$14,1%),Assumptions!$B$14)*(1-Assumptions!$B$157)</f>
        <v/>
      </c>
      <c r="E101" s="61">
        <f>E96*IF(Assumptions!$B$227=1,MIN(Assumptions!$B$14,1%),Assumptions!$B$14)*(1-Assumptions!$B$157)</f>
        <v/>
      </c>
      <c r="F101" s="61">
        <f>F96*IF(Assumptions!$B$227=1,MIN(Assumptions!$B$14,1%),Assumptions!$B$14)*(1-Assumptions!$B$157)</f>
        <v/>
      </c>
      <c r="G101" s="61">
        <f>G96*IF(Assumptions!$B$227=1,MIN(Assumptions!$B$14,1%),Assumptions!$B$14)*(1-Assumptions!$B$157)</f>
        <v/>
      </c>
      <c r="H101" s="61">
        <f>H96*IF(Assumptions!$B$227=1,MIN(Assumptions!$B$14,1%),Assumptions!$B$14)*(1-Assumptions!$B$157)</f>
        <v/>
      </c>
      <c r="I101" s="61">
        <f>I96*IF(Assumptions!$B$227=1,MIN(Assumptions!$B$14,1%),Assumptions!$B$14)*(1-Assumptions!$B$157)</f>
        <v/>
      </c>
      <c r="J101" s="61">
        <f>J96*IF(Assumptions!$B$227=1,MIN(Assumptions!$B$14,1%),Assumptions!$B$14)*(1-Assumptions!$B$157)</f>
        <v/>
      </c>
      <c r="K101" s="61">
        <f>K96*IF(Assumptions!$B$227=1,MIN(Assumptions!$B$14,1%),Assumptions!$B$14)*(1-Assumptions!$B$157)</f>
        <v/>
      </c>
      <c r="L101" s="61">
        <f>L96*IF(Assumptions!$B$227=1,MIN(Assumptions!$B$14,1%),Assumptions!$B$14)*(1-Assumptions!$B$157)</f>
        <v/>
      </c>
      <c r="M101" s="61">
        <f>M96*IF(Assumptions!$B$227=1,MIN(Assumptions!$B$14,1%),Assumptions!$B$14)*(1-Assumptions!$B$157)</f>
        <v/>
      </c>
      <c r="N101" s="61">
        <f>N96*IF(Assumptions!$B$227=1,MIN(Assumptions!$B$14,1%),Assumptions!$B$14)*(1-Assumptions!$B$157)</f>
        <v/>
      </c>
      <c r="O101" s="61">
        <f>O96*IF(Assumptions!$B$227=1,MIN(Assumptions!$B$14,1%),Assumptions!$B$14)*(1-Assumptions!$B$157)</f>
        <v/>
      </c>
      <c r="P101" s="61">
        <f>P96*IF(Assumptions!$B$227=1,MIN(Assumptions!$B$14,1%),Assumptions!$B$14)*(1-Assumptions!$B$157)</f>
        <v/>
      </c>
      <c r="Q101" s="61">
        <f>Q96*IF(Assumptions!$B$227=1,MIN(Assumptions!$B$14,1%),Assumptions!$B$14)*(1-Assumptions!$B$157)</f>
        <v/>
      </c>
      <c r="R101" s="61">
        <f>R96*IF(Assumptions!$B$227=1,MIN(Assumptions!$B$14,1%),Assumptions!$B$14)*(1-Assumptions!$B$157)</f>
        <v/>
      </c>
      <c r="S101" s="61">
        <f>S96*IF(Assumptions!$B$227=1,MIN(Assumptions!$B$14,1%),Assumptions!$B$14)*(1-Assumptions!$B$157)</f>
        <v/>
      </c>
      <c r="T101" s="61">
        <f>T96*IF(Assumptions!$B$227=1,MIN(Assumptions!$B$14,1%),Assumptions!$B$14)*(1-Assumptions!$B$157)</f>
        <v/>
      </c>
      <c r="U101" s="61">
        <f>U96*IF(Assumptions!$B$227=1,MIN(Assumptions!$B$14,1%),Assumptions!$B$14)*(1-Assumptions!$B$157)</f>
        <v/>
      </c>
      <c r="V101" s="61">
        <f>V96*IF(Assumptions!$B$227=1,MIN(Assumptions!$B$14,1%),Assumptions!$B$14)*(1-Assumptions!$B$157)</f>
        <v/>
      </c>
      <c r="W101" s="61">
        <f>W96*IF(Assumptions!$B$227=1,MIN(Assumptions!$B$14,1%),Assumptions!$B$14)*(1-Assumptions!$B$157)</f>
        <v/>
      </c>
      <c r="X101" s="61">
        <f>X96*IF(Assumptions!$B$227=1,MIN(Assumptions!$B$14,1%),Assumptions!$B$14)*(1-Assumptions!$B$157)</f>
        <v/>
      </c>
      <c r="Y101" s="61">
        <f>Y96*IF(Assumptions!$B$227=1,MIN(Assumptions!$B$14,1%),Assumptions!$B$14)*(1-Assumptions!$B$157)</f>
        <v/>
      </c>
      <c r="Z101" s="61">
        <f>Z96*IF(Assumptions!$B$227=1,MIN(Assumptions!$B$14,1%),Assumptions!$B$14)*(1-Assumptions!$B$157)</f>
        <v/>
      </c>
      <c r="AA101" s="61">
        <f>AA96*IF(Assumptions!$B$227=1,MIN(Assumptions!$B$14,1%),Assumptions!$B$14)*(1-Assumptions!$B$157)</f>
        <v/>
      </c>
      <c r="AB101" s="61">
        <f>AB96*IF(Assumptions!$B$227=1,MIN(Assumptions!$B$14,1%),Assumptions!$B$14)*(1-Assumptions!$B$157)</f>
        <v/>
      </c>
      <c r="AC101" s="61">
        <f>AC96*IF(Assumptions!$B$227=1,MIN(Assumptions!$B$14,1%),Assumptions!$B$14)*(1-Assumptions!$B$157)</f>
        <v/>
      </c>
      <c r="AD101" s="61">
        <f>AD96*IF(Assumptions!$B$227=1,MIN(Assumptions!$B$14,1%),Assumptions!$B$14)*(1-Assumptions!$B$157)</f>
        <v/>
      </c>
      <c r="AE101" s="61">
        <f>AE96*IF(Assumptions!$B$227=1,MIN(Assumptions!$B$14,1%),Assumptions!$B$14)*(1-Assumptions!$B$157)</f>
        <v/>
      </c>
    </row>
    <row r="102">
      <c r="A102" s="6" t="inlineStr">
        <is>
          <t xml:space="preserve">  Family plan subscribers</t>
        </is>
      </c>
      <c r="B102" s="23" t="inlineStr">
        <is>
          <t>subscribers</t>
        </is>
      </c>
      <c r="C102" s="60">
        <f>IF(C2&gt;=Assumptions!$B$50,C74*Assumptions!$B$174*(1-Assumptions!$B$177)^(C7/2),0)</f>
        <v/>
      </c>
      <c r="D102" s="60">
        <f>IF(D2&gt;=Assumptions!$B$50,C102*(1-Assumptions!$B$177)^D7+D74*Assumptions!$B$174*(1-Assumptions!$B$177)^(D7/2),0)</f>
        <v/>
      </c>
      <c r="E102" s="60">
        <f>IF(E2&gt;=Assumptions!$B$50,D102*(1-Assumptions!$B$177)^E7+E74*Assumptions!$B$174*(1-Assumptions!$B$177)^(E7/2),0)</f>
        <v/>
      </c>
      <c r="F102" s="60">
        <f>IF(F2&gt;=Assumptions!$B$50,E102*(1-Assumptions!$B$177)^F7+F74*Assumptions!$B$174*(1-Assumptions!$B$177)^(F7/2),0)</f>
        <v/>
      </c>
      <c r="G102" s="60">
        <f>IF(G2&gt;=Assumptions!$B$50,F102*(1-Assumptions!$B$177)^G7+G74*Assumptions!$B$174*(1-Assumptions!$B$177)^(G7/2),0)</f>
        <v/>
      </c>
      <c r="H102" s="60">
        <f>IF(H2&gt;=Assumptions!$B$50,G102*(1-Assumptions!$B$177)^H7+H74*Assumptions!$B$174*(1-Assumptions!$B$177)^(H7/2),0)</f>
        <v/>
      </c>
      <c r="I102" s="60">
        <f>IF(I2&gt;=Assumptions!$B$50,H102*(1-Assumptions!$B$177)^I7+I74*Assumptions!$B$174*(1-Assumptions!$B$177)^(I7/2),0)</f>
        <v/>
      </c>
      <c r="J102" s="60">
        <f>IF(J2&gt;=Assumptions!$B$50,I102*(1-Assumptions!$B$177)^J7+J74*Assumptions!$B$174*(1-Assumptions!$B$177)^(J7/2),0)</f>
        <v/>
      </c>
      <c r="K102" s="60">
        <f>IF(K2&gt;=Assumptions!$B$50,J102*(1-Assumptions!$B$177)^K7+K74*Assumptions!$B$174*(1-Assumptions!$B$177)^(K7/2),0)</f>
        <v/>
      </c>
      <c r="L102" s="60">
        <f>IF(L2&gt;=Assumptions!$B$50,K102*(1-Assumptions!$B$177)^L7+L74*Assumptions!$B$174*(1-Assumptions!$B$177)^(L7/2),0)</f>
        <v/>
      </c>
      <c r="M102" s="60">
        <f>IF(M2&gt;=Assumptions!$B$50,L102*(1-Assumptions!$B$177)^M7+M74*Assumptions!$B$174*(1-Assumptions!$B$177)^(M7/2),0)</f>
        <v/>
      </c>
      <c r="N102" s="60">
        <f>IF(N2&gt;=Assumptions!$B$50,M102*(1-Assumptions!$B$177)^N7+N74*Assumptions!$B$174*(1-Assumptions!$B$177)^(N7/2),0)</f>
        <v/>
      </c>
      <c r="O102" s="60">
        <f>IF(O2&gt;=Assumptions!$B$50,N102*(1-Assumptions!$B$177)^O7+O74*Assumptions!$B$174*(1-Assumptions!$B$177)^(O7/2),0)</f>
        <v/>
      </c>
      <c r="P102" s="60">
        <f>IF(P2&gt;=Assumptions!$B$50,O102*(1-Assumptions!$B$177)^P7+P74*Assumptions!$B$174*(1-Assumptions!$B$177)^(P7/2),0)</f>
        <v/>
      </c>
      <c r="Q102" s="60">
        <f>IF(Q2&gt;=Assumptions!$B$50,P102*(1-Assumptions!$B$177)^Q7+Q74*Assumptions!$B$174*(1-Assumptions!$B$177)^(Q7/2),0)</f>
        <v/>
      </c>
      <c r="R102" s="60">
        <f>IF(R2&gt;=Assumptions!$B$50,Q102*(1-Assumptions!$B$177)^R7+R74*Assumptions!$B$174*(1-Assumptions!$B$177)^(R7/2),0)</f>
        <v/>
      </c>
      <c r="S102" s="60">
        <f>IF(S2&gt;=Assumptions!$B$50,R102*(1-Assumptions!$B$177)^S7+S74*Assumptions!$B$174*(1-Assumptions!$B$177)^(S7/2),0)</f>
        <v/>
      </c>
      <c r="T102" s="60">
        <f>IF(T2&gt;=Assumptions!$B$50,S102*(1-Assumptions!$B$177)^T7+T74*Assumptions!$B$174*(1-Assumptions!$B$177)^(T7/2),0)</f>
        <v/>
      </c>
      <c r="U102" s="60">
        <f>IF(U2&gt;=Assumptions!$B$50,T102*(1-Assumptions!$B$177)^U7+U74*Assumptions!$B$174*(1-Assumptions!$B$177)^(U7/2),0)</f>
        <v/>
      </c>
      <c r="V102" s="60">
        <f>IF(V2&gt;=Assumptions!$B$50,U102*(1-Assumptions!$B$177)^V7+V74*Assumptions!$B$174*(1-Assumptions!$B$177)^(V7/2),0)</f>
        <v/>
      </c>
      <c r="W102" s="60">
        <f>IF(W2&gt;=Assumptions!$B$50,V102*(1-Assumptions!$B$177)^W7+W74*Assumptions!$B$174*(1-Assumptions!$B$177)^(W7/2),0)</f>
        <v/>
      </c>
      <c r="X102" s="60">
        <f>IF(X2&gt;=Assumptions!$B$50,W102*(1-Assumptions!$B$177)^X7+X74*Assumptions!$B$174*(1-Assumptions!$B$177)^(X7/2),0)</f>
        <v/>
      </c>
      <c r="Y102" s="60">
        <f>IF(Y2&gt;=Assumptions!$B$50,X102*(1-Assumptions!$B$177)^Y7+Y74*Assumptions!$B$174*(1-Assumptions!$B$177)^(Y7/2),0)</f>
        <v/>
      </c>
      <c r="Z102" s="60">
        <f>IF(Z2&gt;=Assumptions!$B$50,Y102*(1-Assumptions!$B$177)^Z7+Z74*Assumptions!$B$174*(1-Assumptions!$B$177)^(Z7/2),0)</f>
        <v/>
      </c>
      <c r="AA102" s="60">
        <f>IF(AA2&gt;=Assumptions!$B$50,Z102*(1-Assumptions!$B$177)^AA7+AA74*Assumptions!$B$174*(1-Assumptions!$B$177)^(AA7/2),0)</f>
        <v/>
      </c>
      <c r="AB102" s="60">
        <f>IF(AB2&gt;=Assumptions!$B$50,AA102*(1-Assumptions!$B$177)^AB7+AB74*Assumptions!$B$174*(1-Assumptions!$B$177)^(AB7/2),0)</f>
        <v/>
      </c>
      <c r="AC102" s="60">
        <f>IF(AC2&gt;=Assumptions!$B$50,AB102*(1-Assumptions!$B$177)^AC7+AC74*Assumptions!$B$174*(1-Assumptions!$B$177)^(AC7/2),0)</f>
        <v/>
      </c>
      <c r="AD102" s="60">
        <f>IF(AD2&gt;=Assumptions!$B$50,AC102*(1-Assumptions!$B$177)^AD7+AD74*Assumptions!$B$174*(1-Assumptions!$B$177)^(AD7/2),0)</f>
        <v/>
      </c>
      <c r="AE102" s="60">
        <f>IF(AE2&gt;=Assumptions!$B$50,AD102*(1-Assumptions!$B$177)^AE7+AE74*Assumptions!$B$174*(1-Assumptions!$B$177)^(AE7/2),0)</f>
        <v/>
      </c>
    </row>
    <row r="103">
      <c r="A103" s="6" t="inlineStr">
        <is>
          <t xml:space="preserve">  Stream 3 - Family plan and Digital Will</t>
        </is>
      </c>
      <c r="B103" s="23" t="inlineStr">
        <is>
          <t>USD</t>
        </is>
      </c>
      <c r="C103" s="61">
        <f>C102*(Assumptions!$B$25+MAX(0,Assumptions!$B$176-1)*Assumptions!$B$26)/12*C7</f>
        <v/>
      </c>
      <c r="D103" s="61">
        <f>D102*(Assumptions!$B$25+MAX(0,Assumptions!$B$176-1)*Assumptions!$B$26)/12*D7</f>
        <v/>
      </c>
      <c r="E103" s="61">
        <f>E102*(Assumptions!$B$25+MAX(0,Assumptions!$B$176-1)*Assumptions!$B$26)/12*E7</f>
        <v/>
      </c>
      <c r="F103" s="61">
        <f>F102*(Assumptions!$B$25+MAX(0,Assumptions!$B$176-1)*Assumptions!$B$26)/12*F7</f>
        <v/>
      </c>
      <c r="G103" s="61">
        <f>G102*(Assumptions!$B$25+MAX(0,Assumptions!$B$176-1)*Assumptions!$B$26)/12*G7</f>
        <v/>
      </c>
      <c r="H103" s="61">
        <f>H102*(Assumptions!$B$25+MAX(0,Assumptions!$B$176-1)*Assumptions!$B$26)/12*H7</f>
        <v/>
      </c>
      <c r="I103" s="61">
        <f>I102*(Assumptions!$B$25+MAX(0,Assumptions!$B$176-1)*Assumptions!$B$26)/12*I7</f>
        <v/>
      </c>
      <c r="J103" s="61">
        <f>J102*(Assumptions!$B$25+MAX(0,Assumptions!$B$176-1)*Assumptions!$B$26)/12*J7</f>
        <v/>
      </c>
      <c r="K103" s="61">
        <f>K102*(Assumptions!$B$25+MAX(0,Assumptions!$B$176-1)*Assumptions!$B$26)/12*K7</f>
        <v/>
      </c>
      <c r="L103" s="61">
        <f>L102*(Assumptions!$B$25+MAX(0,Assumptions!$B$176-1)*Assumptions!$B$26)/12*L7</f>
        <v/>
      </c>
      <c r="M103" s="61">
        <f>M102*(Assumptions!$B$25+MAX(0,Assumptions!$B$176-1)*Assumptions!$B$26)/12*M7</f>
        <v/>
      </c>
      <c r="N103" s="61">
        <f>N102*(Assumptions!$B$25+MAX(0,Assumptions!$B$176-1)*Assumptions!$B$26)/12*N7</f>
        <v/>
      </c>
      <c r="O103" s="61">
        <f>O102*(Assumptions!$B$25+MAX(0,Assumptions!$B$176-1)*Assumptions!$B$26)/12*O7</f>
        <v/>
      </c>
      <c r="P103" s="61">
        <f>P102*(Assumptions!$B$25+MAX(0,Assumptions!$B$176-1)*Assumptions!$B$26)/12*P7</f>
        <v/>
      </c>
      <c r="Q103" s="61">
        <f>Q102*(Assumptions!$B$25+MAX(0,Assumptions!$B$176-1)*Assumptions!$B$26)/12*Q7</f>
        <v/>
      </c>
      <c r="R103" s="61">
        <f>R102*(Assumptions!$B$25+MAX(0,Assumptions!$B$176-1)*Assumptions!$B$26)/12*R7</f>
        <v/>
      </c>
      <c r="S103" s="61">
        <f>S102*(Assumptions!$B$25+MAX(0,Assumptions!$B$176-1)*Assumptions!$B$26)/12*S7</f>
        <v/>
      </c>
      <c r="T103" s="61">
        <f>T102*(Assumptions!$B$25+MAX(0,Assumptions!$B$176-1)*Assumptions!$B$26)/12*T7</f>
        <v/>
      </c>
      <c r="U103" s="61">
        <f>U102*(Assumptions!$B$25+MAX(0,Assumptions!$B$176-1)*Assumptions!$B$26)/12*U7</f>
        <v/>
      </c>
      <c r="V103" s="61">
        <f>V102*(Assumptions!$B$25+MAX(0,Assumptions!$B$176-1)*Assumptions!$B$26)/12*V7</f>
        <v/>
      </c>
      <c r="W103" s="61">
        <f>W102*(Assumptions!$B$25+MAX(0,Assumptions!$B$176-1)*Assumptions!$B$26)/12*W7</f>
        <v/>
      </c>
      <c r="X103" s="61">
        <f>X102*(Assumptions!$B$25+MAX(0,Assumptions!$B$176-1)*Assumptions!$B$26)/12*X7</f>
        <v/>
      </c>
      <c r="Y103" s="61">
        <f>Y102*(Assumptions!$B$25+MAX(0,Assumptions!$B$176-1)*Assumptions!$B$26)/12*Y7</f>
        <v/>
      </c>
      <c r="Z103" s="61">
        <f>Z102*(Assumptions!$B$25+MAX(0,Assumptions!$B$176-1)*Assumptions!$B$26)/12*Z7</f>
        <v/>
      </c>
      <c r="AA103" s="61">
        <f>AA102*(Assumptions!$B$25+MAX(0,Assumptions!$B$176-1)*Assumptions!$B$26)/12*AA7</f>
        <v/>
      </c>
      <c r="AB103" s="61">
        <f>AB102*(Assumptions!$B$25+MAX(0,Assumptions!$B$176-1)*Assumptions!$B$26)/12*AB7</f>
        <v/>
      </c>
      <c r="AC103" s="61">
        <f>AC102*(Assumptions!$B$25+MAX(0,Assumptions!$B$176-1)*Assumptions!$B$26)/12*AC7</f>
        <v/>
      </c>
      <c r="AD103" s="61">
        <f>AD102*(Assumptions!$B$25+MAX(0,Assumptions!$B$176-1)*Assumptions!$B$26)/12*AD7</f>
        <v/>
      </c>
      <c r="AE103" s="61">
        <f>AE102*(Assumptions!$B$25+MAX(0,Assumptions!$B$176-1)*Assumptions!$B$26)/12*AE7</f>
        <v/>
      </c>
    </row>
    <row r="104">
      <c r="A104" s="6" t="inlineStr">
        <is>
          <t xml:space="preserve">  Stream 4 - Cardholder fees (FX, ATM, events)</t>
        </is>
      </c>
      <c r="B104" s="23" t="inlineStr">
        <is>
          <t>USD</t>
        </is>
      </c>
      <c r="C104" s="61">
        <f>IF(C2&gt;=Assumptions!$B$52,C96*C17*Assumptions!$B$17+C90*(Assumptions!$B$163*MAX(0,Assumptions!$B$167-Assumptions!$B$18)+Assumptions!$B$164*MAX(0,Assumptions!$B$168-Assumptions!$B$18)+Assumptions!$B$165*MAX(0,Assumptions!$B$169-Assumptions!$B$18)+Assumptions!$B$166*MAX(0,Assumptions!$B$170-Assumptions!$B$18))*Assumptions!$B$19/Assumptions!$B$7*C7+C91*Assumptions!$B$20/Assumptions!$B$7+C89*(Assumptions!$B$161*Assumptions!$B$20+Assumptions!$B$162*Assumptions!$B$21)/12/Assumptions!$B$7*C7,0)</f>
        <v/>
      </c>
      <c r="D104" s="61">
        <f>IF(D2&gt;=Assumptions!$B$52,D96*D17*Assumptions!$B$17+D90*(Assumptions!$B$163*MAX(0,Assumptions!$B$167-Assumptions!$B$18)+Assumptions!$B$164*MAX(0,Assumptions!$B$168-Assumptions!$B$18)+Assumptions!$B$165*MAX(0,Assumptions!$B$169-Assumptions!$B$18)+Assumptions!$B$166*MAX(0,Assumptions!$B$170-Assumptions!$B$18))*Assumptions!$B$19/Assumptions!$B$7*D7+D91*Assumptions!$B$20/Assumptions!$B$7+D89*(Assumptions!$B$161*Assumptions!$B$20+Assumptions!$B$162*Assumptions!$B$21)/12/Assumptions!$B$7*D7,0)</f>
        <v/>
      </c>
      <c r="E104" s="61">
        <f>IF(E2&gt;=Assumptions!$B$52,E96*E17*Assumptions!$B$17+E90*(Assumptions!$B$163*MAX(0,Assumptions!$B$167-Assumptions!$B$18)+Assumptions!$B$164*MAX(0,Assumptions!$B$168-Assumptions!$B$18)+Assumptions!$B$165*MAX(0,Assumptions!$B$169-Assumptions!$B$18)+Assumptions!$B$166*MAX(0,Assumptions!$B$170-Assumptions!$B$18))*Assumptions!$B$19/Assumptions!$B$7*E7+E91*Assumptions!$B$20/Assumptions!$B$7+E89*(Assumptions!$B$161*Assumptions!$B$20+Assumptions!$B$162*Assumptions!$B$21)/12/Assumptions!$B$7*E7,0)</f>
        <v/>
      </c>
      <c r="F104" s="61">
        <f>IF(F2&gt;=Assumptions!$B$52,F96*F17*Assumptions!$B$17+F90*(Assumptions!$B$163*MAX(0,Assumptions!$B$167-Assumptions!$B$18)+Assumptions!$B$164*MAX(0,Assumptions!$B$168-Assumptions!$B$18)+Assumptions!$B$165*MAX(0,Assumptions!$B$169-Assumptions!$B$18)+Assumptions!$B$166*MAX(0,Assumptions!$B$170-Assumptions!$B$18))*Assumptions!$B$19/Assumptions!$B$7*F7+F91*Assumptions!$B$20/Assumptions!$B$7+F89*(Assumptions!$B$161*Assumptions!$B$20+Assumptions!$B$162*Assumptions!$B$21)/12/Assumptions!$B$7*F7,0)</f>
        <v/>
      </c>
      <c r="G104" s="61">
        <f>IF(G2&gt;=Assumptions!$B$52,G96*G17*Assumptions!$B$17+G90*(Assumptions!$B$163*MAX(0,Assumptions!$B$167-Assumptions!$B$18)+Assumptions!$B$164*MAX(0,Assumptions!$B$168-Assumptions!$B$18)+Assumptions!$B$165*MAX(0,Assumptions!$B$169-Assumptions!$B$18)+Assumptions!$B$166*MAX(0,Assumptions!$B$170-Assumptions!$B$18))*Assumptions!$B$19/Assumptions!$B$7*G7+G91*Assumptions!$B$20/Assumptions!$B$7+G89*(Assumptions!$B$161*Assumptions!$B$20+Assumptions!$B$162*Assumptions!$B$21)/12/Assumptions!$B$7*G7,0)</f>
        <v/>
      </c>
      <c r="H104" s="61">
        <f>IF(H2&gt;=Assumptions!$B$52,H96*H17*Assumptions!$B$17+H90*(Assumptions!$B$163*MAX(0,Assumptions!$B$167-Assumptions!$B$18)+Assumptions!$B$164*MAX(0,Assumptions!$B$168-Assumptions!$B$18)+Assumptions!$B$165*MAX(0,Assumptions!$B$169-Assumptions!$B$18)+Assumptions!$B$166*MAX(0,Assumptions!$B$170-Assumptions!$B$18))*Assumptions!$B$19/Assumptions!$B$7*H7+H91*Assumptions!$B$20/Assumptions!$B$7+H89*(Assumptions!$B$161*Assumptions!$B$20+Assumptions!$B$162*Assumptions!$B$21)/12/Assumptions!$B$7*H7,0)</f>
        <v/>
      </c>
      <c r="I104" s="61">
        <f>IF(I2&gt;=Assumptions!$B$52,I96*I17*Assumptions!$B$17+I90*(Assumptions!$B$163*MAX(0,Assumptions!$B$167-Assumptions!$B$18)+Assumptions!$B$164*MAX(0,Assumptions!$B$168-Assumptions!$B$18)+Assumptions!$B$165*MAX(0,Assumptions!$B$169-Assumptions!$B$18)+Assumptions!$B$166*MAX(0,Assumptions!$B$170-Assumptions!$B$18))*Assumptions!$B$19/Assumptions!$B$7*I7+I91*Assumptions!$B$20/Assumptions!$B$7+I89*(Assumptions!$B$161*Assumptions!$B$20+Assumptions!$B$162*Assumptions!$B$21)/12/Assumptions!$B$7*I7,0)</f>
        <v/>
      </c>
      <c r="J104" s="61">
        <f>IF(J2&gt;=Assumptions!$B$52,J96*J17*Assumptions!$B$17+J90*(Assumptions!$B$163*MAX(0,Assumptions!$B$167-Assumptions!$B$18)+Assumptions!$B$164*MAX(0,Assumptions!$B$168-Assumptions!$B$18)+Assumptions!$B$165*MAX(0,Assumptions!$B$169-Assumptions!$B$18)+Assumptions!$B$166*MAX(0,Assumptions!$B$170-Assumptions!$B$18))*Assumptions!$B$19/Assumptions!$B$7*J7+J91*Assumptions!$B$20/Assumptions!$B$7+J89*(Assumptions!$B$161*Assumptions!$B$20+Assumptions!$B$162*Assumptions!$B$21)/12/Assumptions!$B$7*J7,0)</f>
        <v/>
      </c>
      <c r="K104" s="61">
        <f>IF(K2&gt;=Assumptions!$B$52,K96*K17*Assumptions!$B$17+K90*(Assumptions!$B$163*MAX(0,Assumptions!$B$167-Assumptions!$B$18)+Assumptions!$B$164*MAX(0,Assumptions!$B$168-Assumptions!$B$18)+Assumptions!$B$165*MAX(0,Assumptions!$B$169-Assumptions!$B$18)+Assumptions!$B$166*MAX(0,Assumptions!$B$170-Assumptions!$B$18))*Assumptions!$B$19/Assumptions!$B$7*K7+K91*Assumptions!$B$20/Assumptions!$B$7+K89*(Assumptions!$B$161*Assumptions!$B$20+Assumptions!$B$162*Assumptions!$B$21)/12/Assumptions!$B$7*K7,0)</f>
        <v/>
      </c>
      <c r="L104" s="61">
        <f>IF(L2&gt;=Assumptions!$B$52,L96*L17*Assumptions!$B$17+L90*(Assumptions!$B$163*MAX(0,Assumptions!$B$167-Assumptions!$B$18)+Assumptions!$B$164*MAX(0,Assumptions!$B$168-Assumptions!$B$18)+Assumptions!$B$165*MAX(0,Assumptions!$B$169-Assumptions!$B$18)+Assumptions!$B$166*MAX(0,Assumptions!$B$170-Assumptions!$B$18))*Assumptions!$B$19/Assumptions!$B$7*L7+L91*Assumptions!$B$20/Assumptions!$B$7+L89*(Assumptions!$B$161*Assumptions!$B$20+Assumptions!$B$162*Assumptions!$B$21)/12/Assumptions!$B$7*L7,0)</f>
        <v/>
      </c>
      <c r="M104" s="61">
        <f>IF(M2&gt;=Assumptions!$B$52,M96*M17*Assumptions!$B$17+M90*(Assumptions!$B$163*MAX(0,Assumptions!$B$167-Assumptions!$B$18)+Assumptions!$B$164*MAX(0,Assumptions!$B$168-Assumptions!$B$18)+Assumptions!$B$165*MAX(0,Assumptions!$B$169-Assumptions!$B$18)+Assumptions!$B$166*MAX(0,Assumptions!$B$170-Assumptions!$B$18))*Assumptions!$B$19/Assumptions!$B$7*M7+M91*Assumptions!$B$20/Assumptions!$B$7+M89*(Assumptions!$B$161*Assumptions!$B$20+Assumptions!$B$162*Assumptions!$B$21)/12/Assumptions!$B$7*M7,0)</f>
        <v/>
      </c>
      <c r="N104" s="61">
        <f>IF(N2&gt;=Assumptions!$B$52,N96*N17*Assumptions!$B$17+N90*(Assumptions!$B$163*MAX(0,Assumptions!$B$167-Assumptions!$B$18)+Assumptions!$B$164*MAX(0,Assumptions!$B$168-Assumptions!$B$18)+Assumptions!$B$165*MAX(0,Assumptions!$B$169-Assumptions!$B$18)+Assumptions!$B$166*MAX(0,Assumptions!$B$170-Assumptions!$B$18))*Assumptions!$B$19/Assumptions!$B$7*N7+N91*Assumptions!$B$20/Assumptions!$B$7+N89*(Assumptions!$B$161*Assumptions!$B$20+Assumptions!$B$162*Assumptions!$B$21)/12/Assumptions!$B$7*N7,0)</f>
        <v/>
      </c>
      <c r="O104" s="61">
        <f>IF(O2&gt;=Assumptions!$B$52,O96*O17*Assumptions!$B$17+O90*(Assumptions!$B$163*MAX(0,Assumptions!$B$167-Assumptions!$B$18)+Assumptions!$B$164*MAX(0,Assumptions!$B$168-Assumptions!$B$18)+Assumptions!$B$165*MAX(0,Assumptions!$B$169-Assumptions!$B$18)+Assumptions!$B$166*MAX(0,Assumptions!$B$170-Assumptions!$B$18))*Assumptions!$B$19/Assumptions!$B$7*O7+O91*Assumptions!$B$20/Assumptions!$B$7+O89*(Assumptions!$B$161*Assumptions!$B$20+Assumptions!$B$162*Assumptions!$B$21)/12/Assumptions!$B$7*O7,0)</f>
        <v/>
      </c>
      <c r="P104" s="61">
        <f>IF(P2&gt;=Assumptions!$B$52,P96*P17*Assumptions!$B$17+P90*(Assumptions!$B$163*MAX(0,Assumptions!$B$167-Assumptions!$B$18)+Assumptions!$B$164*MAX(0,Assumptions!$B$168-Assumptions!$B$18)+Assumptions!$B$165*MAX(0,Assumptions!$B$169-Assumptions!$B$18)+Assumptions!$B$166*MAX(0,Assumptions!$B$170-Assumptions!$B$18))*Assumptions!$B$19/Assumptions!$B$7*P7+P91*Assumptions!$B$20/Assumptions!$B$7+P89*(Assumptions!$B$161*Assumptions!$B$20+Assumptions!$B$162*Assumptions!$B$21)/12/Assumptions!$B$7*P7,0)</f>
        <v/>
      </c>
      <c r="Q104" s="61">
        <f>IF(Q2&gt;=Assumptions!$B$52,Q96*Q17*Assumptions!$B$17+Q90*(Assumptions!$B$163*MAX(0,Assumptions!$B$167-Assumptions!$B$18)+Assumptions!$B$164*MAX(0,Assumptions!$B$168-Assumptions!$B$18)+Assumptions!$B$165*MAX(0,Assumptions!$B$169-Assumptions!$B$18)+Assumptions!$B$166*MAX(0,Assumptions!$B$170-Assumptions!$B$18))*Assumptions!$B$19/Assumptions!$B$7*Q7+Q91*Assumptions!$B$20/Assumptions!$B$7+Q89*(Assumptions!$B$161*Assumptions!$B$20+Assumptions!$B$162*Assumptions!$B$21)/12/Assumptions!$B$7*Q7,0)</f>
        <v/>
      </c>
      <c r="R104" s="61">
        <f>IF(R2&gt;=Assumptions!$B$52,R96*R17*Assumptions!$B$17+R90*(Assumptions!$B$163*MAX(0,Assumptions!$B$167-Assumptions!$B$18)+Assumptions!$B$164*MAX(0,Assumptions!$B$168-Assumptions!$B$18)+Assumptions!$B$165*MAX(0,Assumptions!$B$169-Assumptions!$B$18)+Assumptions!$B$166*MAX(0,Assumptions!$B$170-Assumptions!$B$18))*Assumptions!$B$19/Assumptions!$B$7*R7+R91*Assumptions!$B$20/Assumptions!$B$7+R89*(Assumptions!$B$161*Assumptions!$B$20+Assumptions!$B$162*Assumptions!$B$21)/12/Assumptions!$B$7*R7,0)</f>
        <v/>
      </c>
      <c r="S104" s="61">
        <f>IF(S2&gt;=Assumptions!$B$52,S96*S17*Assumptions!$B$17+S90*(Assumptions!$B$163*MAX(0,Assumptions!$B$167-Assumptions!$B$18)+Assumptions!$B$164*MAX(0,Assumptions!$B$168-Assumptions!$B$18)+Assumptions!$B$165*MAX(0,Assumptions!$B$169-Assumptions!$B$18)+Assumptions!$B$166*MAX(0,Assumptions!$B$170-Assumptions!$B$18))*Assumptions!$B$19/Assumptions!$B$7*S7+S91*Assumptions!$B$20/Assumptions!$B$7+S89*(Assumptions!$B$161*Assumptions!$B$20+Assumptions!$B$162*Assumptions!$B$21)/12/Assumptions!$B$7*S7,0)</f>
        <v/>
      </c>
      <c r="T104" s="61">
        <f>IF(T2&gt;=Assumptions!$B$52,T96*T17*Assumptions!$B$17+T90*(Assumptions!$B$163*MAX(0,Assumptions!$B$167-Assumptions!$B$18)+Assumptions!$B$164*MAX(0,Assumptions!$B$168-Assumptions!$B$18)+Assumptions!$B$165*MAX(0,Assumptions!$B$169-Assumptions!$B$18)+Assumptions!$B$166*MAX(0,Assumptions!$B$170-Assumptions!$B$18))*Assumptions!$B$19/Assumptions!$B$7*T7+T91*Assumptions!$B$20/Assumptions!$B$7+T89*(Assumptions!$B$161*Assumptions!$B$20+Assumptions!$B$162*Assumptions!$B$21)/12/Assumptions!$B$7*T7,0)</f>
        <v/>
      </c>
      <c r="U104" s="61">
        <f>IF(U2&gt;=Assumptions!$B$52,U96*U17*Assumptions!$B$17+U90*(Assumptions!$B$163*MAX(0,Assumptions!$B$167-Assumptions!$B$18)+Assumptions!$B$164*MAX(0,Assumptions!$B$168-Assumptions!$B$18)+Assumptions!$B$165*MAX(0,Assumptions!$B$169-Assumptions!$B$18)+Assumptions!$B$166*MAX(0,Assumptions!$B$170-Assumptions!$B$18))*Assumptions!$B$19/Assumptions!$B$7*U7+U91*Assumptions!$B$20/Assumptions!$B$7+U89*(Assumptions!$B$161*Assumptions!$B$20+Assumptions!$B$162*Assumptions!$B$21)/12/Assumptions!$B$7*U7,0)</f>
        <v/>
      </c>
      <c r="V104" s="61">
        <f>IF(V2&gt;=Assumptions!$B$52,V96*V17*Assumptions!$B$17+V90*(Assumptions!$B$163*MAX(0,Assumptions!$B$167-Assumptions!$B$18)+Assumptions!$B$164*MAX(0,Assumptions!$B$168-Assumptions!$B$18)+Assumptions!$B$165*MAX(0,Assumptions!$B$169-Assumptions!$B$18)+Assumptions!$B$166*MAX(0,Assumptions!$B$170-Assumptions!$B$18))*Assumptions!$B$19/Assumptions!$B$7*V7+V91*Assumptions!$B$20/Assumptions!$B$7+V89*(Assumptions!$B$161*Assumptions!$B$20+Assumptions!$B$162*Assumptions!$B$21)/12/Assumptions!$B$7*V7,0)</f>
        <v/>
      </c>
      <c r="W104" s="61">
        <f>IF(W2&gt;=Assumptions!$B$52,W96*W17*Assumptions!$B$17+W90*(Assumptions!$B$163*MAX(0,Assumptions!$B$167-Assumptions!$B$18)+Assumptions!$B$164*MAX(0,Assumptions!$B$168-Assumptions!$B$18)+Assumptions!$B$165*MAX(0,Assumptions!$B$169-Assumptions!$B$18)+Assumptions!$B$166*MAX(0,Assumptions!$B$170-Assumptions!$B$18))*Assumptions!$B$19/Assumptions!$B$7*W7+W91*Assumptions!$B$20/Assumptions!$B$7+W89*(Assumptions!$B$161*Assumptions!$B$20+Assumptions!$B$162*Assumptions!$B$21)/12/Assumptions!$B$7*W7,0)</f>
        <v/>
      </c>
      <c r="X104" s="61">
        <f>IF(X2&gt;=Assumptions!$B$52,X96*X17*Assumptions!$B$17+X90*(Assumptions!$B$163*MAX(0,Assumptions!$B$167-Assumptions!$B$18)+Assumptions!$B$164*MAX(0,Assumptions!$B$168-Assumptions!$B$18)+Assumptions!$B$165*MAX(0,Assumptions!$B$169-Assumptions!$B$18)+Assumptions!$B$166*MAX(0,Assumptions!$B$170-Assumptions!$B$18))*Assumptions!$B$19/Assumptions!$B$7*X7+X91*Assumptions!$B$20/Assumptions!$B$7+X89*(Assumptions!$B$161*Assumptions!$B$20+Assumptions!$B$162*Assumptions!$B$21)/12/Assumptions!$B$7*X7,0)</f>
        <v/>
      </c>
      <c r="Y104" s="61">
        <f>IF(Y2&gt;=Assumptions!$B$52,Y96*Y17*Assumptions!$B$17+Y90*(Assumptions!$B$163*MAX(0,Assumptions!$B$167-Assumptions!$B$18)+Assumptions!$B$164*MAX(0,Assumptions!$B$168-Assumptions!$B$18)+Assumptions!$B$165*MAX(0,Assumptions!$B$169-Assumptions!$B$18)+Assumptions!$B$166*MAX(0,Assumptions!$B$170-Assumptions!$B$18))*Assumptions!$B$19/Assumptions!$B$7*Y7+Y91*Assumptions!$B$20/Assumptions!$B$7+Y89*(Assumptions!$B$161*Assumptions!$B$20+Assumptions!$B$162*Assumptions!$B$21)/12/Assumptions!$B$7*Y7,0)</f>
        <v/>
      </c>
      <c r="Z104" s="61">
        <f>IF(Z2&gt;=Assumptions!$B$52,Z96*Z17*Assumptions!$B$17+Z90*(Assumptions!$B$163*MAX(0,Assumptions!$B$167-Assumptions!$B$18)+Assumptions!$B$164*MAX(0,Assumptions!$B$168-Assumptions!$B$18)+Assumptions!$B$165*MAX(0,Assumptions!$B$169-Assumptions!$B$18)+Assumptions!$B$166*MAX(0,Assumptions!$B$170-Assumptions!$B$18))*Assumptions!$B$19/Assumptions!$B$7*Z7+Z91*Assumptions!$B$20/Assumptions!$B$7+Z89*(Assumptions!$B$161*Assumptions!$B$20+Assumptions!$B$162*Assumptions!$B$21)/12/Assumptions!$B$7*Z7,0)</f>
        <v/>
      </c>
      <c r="AA104" s="61">
        <f>IF(AA2&gt;=Assumptions!$B$52,AA96*AA17*Assumptions!$B$17+AA90*(Assumptions!$B$163*MAX(0,Assumptions!$B$167-Assumptions!$B$18)+Assumptions!$B$164*MAX(0,Assumptions!$B$168-Assumptions!$B$18)+Assumptions!$B$165*MAX(0,Assumptions!$B$169-Assumptions!$B$18)+Assumptions!$B$166*MAX(0,Assumptions!$B$170-Assumptions!$B$18))*Assumptions!$B$19/Assumptions!$B$7*AA7+AA91*Assumptions!$B$20/Assumptions!$B$7+AA89*(Assumptions!$B$161*Assumptions!$B$20+Assumptions!$B$162*Assumptions!$B$21)/12/Assumptions!$B$7*AA7,0)</f>
        <v/>
      </c>
      <c r="AB104" s="61">
        <f>IF(AB2&gt;=Assumptions!$B$52,AB96*AB17*Assumptions!$B$17+AB90*(Assumptions!$B$163*MAX(0,Assumptions!$B$167-Assumptions!$B$18)+Assumptions!$B$164*MAX(0,Assumptions!$B$168-Assumptions!$B$18)+Assumptions!$B$165*MAX(0,Assumptions!$B$169-Assumptions!$B$18)+Assumptions!$B$166*MAX(0,Assumptions!$B$170-Assumptions!$B$18))*Assumptions!$B$19/Assumptions!$B$7*AB7+AB91*Assumptions!$B$20/Assumptions!$B$7+AB89*(Assumptions!$B$161*Assumptions!$B$20+Assumptions!$B$162*Assumptions!$B$21)/12/Assumptions!$B$7*AB7,0)</f>
        <v/>
      </c>
      <c r="AC104" s="61">
        <f>IF(AC2&gt;=Assumptions!$B$52,AC96*AC17*Assumptions!$B$17+AC90*(Assumptions!$B$163*MAX(0,Assumptions!$B$167-Assumptions!$B$18)+Assumptions!$B$164*MAX(0,Assumptions!$B$168-Assumptions!$B$18)+Assumptions!$B$165*MAX(0,Assumptions!$B$169-Assumptions!$B$18)+Assumptions!$B$166*MAX(0,Assumptions!$B$170-Assumptions!$B$18))*Assumptions!$B$19/Assumptions!$B$7*AC7+AC91*Assumptions!$B$20/Assumptions!$B$7+AC89*(Assumptions!$B$161*Assumptions!$B$20+Assumptions!$B$162*Assumptions!$B$21)/12/Assumptions!$B$7*AC7,0)</f>
        <v/>
      </c>
      <c r="AD104" s="61">
        <f>IF(AD2&gt;=Assumptions!$B$52,AD96*AD17*Assumptions!$B$17+AD90*(Assumptions!$B$163*MAX(0,Assumptions!$B$167-Assumptions!$B$18)+Assumptions!$B$164*MAX(0,Assumptions!$B$168-Assumptions!$B$18)+Assumptions!$B$165*MAX(0,Assumptions!$B$169-Assumptions!$B$18)+Assumptions!$B$166*MAX(0,Assumptions!$B$170-Assumptions!$B$18))*Assumptions!$B$19/Assumptions!$B$7*AD7+AD91*Assumptions!$B$20/Assumptions!$B$7+AD89*(Assumptions!$B$161*Assumptions!$B$20+Assumptions!$B$162*Assumptions!$B$21)/12/Assumptions!$B$7*AD7,0)</f>
        <v/>
      </c>
      <c r="AE104" s="61">
        <f>IF(AE2&gt;=Assumptions!$B$52,AE96*AE17*Assumptions!$B$17+AE90*(Assumptions!$B$163*MAX(0,Assumptions!$B$167-Assumptions!$B$18)+Assumptions!$B$164*MAX(0,Assumptions!$B$168-Assumptions!$B$18)+Assumptions!$B$165*MAX(0,Assumptions!$B$169-Assumptions!$B$18)+Assumptions!$B$166*MAX(0,Assumptions!$B$170-Assumptions!$B$18))*Assumptions!$B$19/Assumptions!$B$7*AE7+AE91*Assumptions!$B$20/Assumptions!$B$7+AE89*(Assumptions!$B$161*Assumptions!$B$20+Assumptions!$B$162*Assumptions!$B$21)/12/Assumptions!$B$7*AE7,0)</f>
        <v/>
      </c>
    </row>
    <row r="105">
      <c r="A105" s="6" t="inlineStr">
        <is>
          <t xml:space="preserve">  Average drawn balance outstanding</t>
        </is>
      </c>
      <c r="B105" s="23" t="inlineStr">
        <is>
          <t>USD</t>
        </is>
      </c>
      <c r="C105" s="61">
        <f>IF(C2&gt;=Assumptions!$B$53,C89*C92*(1-Assumptions!$B$227)*Assumptions!$B$171*Assumptions!$B$172,0)</f>
        <v/>
      </c>
      <c r="D105" s="61">
        <f>IF(D2&gt;=Assumptions!$B$53,D89*D92*(1-Assumptions!$B$227)*Assumptions!$B$171*Assumptions!$B$172,0)</f>
        <v/>
      </c>
      <c r="E105" s="61">
        <f>IF(E2&gt;=Assumptions!$B$53,E89*E92*(1-Assumptions!$B$227)*Assumptions!$B$171*Assumptions!$B$172,0)</f>
        <v/>
      </c>
      <c r="F105" s="61">
        <f>IF(F2&gt;=Assumptions!$B$53,F89*F92*(1-Assumptions!$B$227)*Assumptions!$B$171*Assumptions!$B$172,0)</f>
        <v/>
      </c>
      <c r="G105" s="61">
        <f>IF(G2&gt;=Assumptions!$B$53,G89*G92*(1-Assumptions!$B$227)*Assumptions!$B$171*Assumptions!$B$172,0)</f>
        <v/>
      </c>
      <c r="H105" s="61">
        <f>IF(H2&gt;=Assumptions!$B$53,H89*H92*(1-Assumptions!$B$227)*Assumptions!$B$171*Assumptions!$B$172,0)</f>
        <v/>
      </c>
      <c r="I105" s="61">
        <f>IF(I2&gt;=Assumptions!$B$53,I89*I92*(1-Assumptions!$B$227)*Assumptions!$B$171*Assumptions!$B$172,0)</f>
        <v/>
      </c>
      <c r="J105" s="61">
        <f>IF(J2&gt;=Assumptions!$B$53,J89*J92*(1-Assumptions!$B$227)*Assumptions!$B$171*Assumptions!$B$172,0)</f>
        <v/>
      </c>
      <c r="K105" s="61">
        <f>IF(K2&gt;=Assumptions!$B$53,K89*K92*(1-Assumptions!$B$227)*Assumptions!$B$171*Assumptions!$B$172,0)</f>
        <v/>
      </c>
      <c r="L105" s="61">
        <f>IF(L2&gt;=Assumptions!$B$53,L89*L92*(1-Assumptions!$B$227)*Assumptions!$B$171*Assumptions!$B$172,0)</f>
        <v/>
      </c>
      <c r="M105" s="61">
        <f>IF(M2&gt;=Assumptions!$B$53,M89*M92*(1-Assumptions!$B$227)*Assumptions!$B$171*Assumptions!$B$172,0)</f>
        <v/>
      </c>
      <c r="N105" s="61">
        <f>IF(N2&gt;=Assumptions!$B$53,N89*N92*(1-Assumptions!$B$227)*Assumptions!$B$171*Assumptions!$B$172,0)</f>
        <v/>
      </c>
      <c r="O105" s="61">
        <f>IF(O2&gt;=Assumptions!$B$53,O89*O92*(1-Assumptions!$B$227)*Assumptions!$B$171*Assumptions!$B$172,0)</f>
        <v/>
      </c>
      <c r="P105" s="61">
        <f>IF(P2&gt;=Assumptions!$B$53,P89*P92*(1-Assumptions!$B$227)*Assumptions!$B$171*Assumptions!$B$172,0)</f>
        <v/>
      </c>
      <c r="Q105" s="61">
        <f>IF(Q2&gt;=Assumptions!$B$53,Q89*Q92*(1-Assumptions!$B$227)*Assumptions!$B$171*Assumptions!$B$172,0)</f>
        <v/>
      </c>
      <c r="R105" s="61">
        <f>IF(R2&gt;=Assumptions!$B$53,R89*R92*(1-Assumptions!$B$227)*Assumptions!$B$171*Assumptions!$B$172,0)</f>
        <v/>
      </c>
      <c r="S105" s="61">
        <f>IF(S2&gt;=Assumptions!$B$53,S89*S92*(1-Assumptions!$B$227)*Assumptions!$B$171*Assumptions!$B$172,0)</f>
        <v/>
      </c>
      <c r="T105" s="61">
        <f>IF(T2&gt;=Assumptions!$B$53,T89*T92*(1-Assumptions!$B$227)*Assumptions!$B$171*Assumptions!$B$172,0)</f>
        <v/>
      </c>
      <c r="U105" s="61">
        <f>IF(U2&gt;=Assumptions!$B$53,U89*U92*(1-Assumptions!$B$227)*Assumptions!$B$171*Assumptions!$B$172,0)</f>
        <v/>
      </c>
      <c r="V105" s="61">
        <f>IF(V2&gt;=Assumptions!$B$53,V89*V92*(1-Assumptions!$B$227)*Assumptions!$B$171*Assumptions!$B$172,0)</f>
        <v/>
      </c>
      <c r="W105" s="61">
        <f>IF(W2&gt;=Assumptions!$B$53,W89*W92*(1-Assumptions!$B$227)*Assumptions!$B$171*Assumptions!$B$172,0)</f>
        <v/>
      </c>
      <c r="X105" s="61">
        <f>IF(X2&gt;=Assumptions!$B$53,X89*X92*(1-Assumptions!$B$227)*Assumptions!$B$171*Assumptions!$B$172,0)</f>
        <v/>
      </c>
      <c r="Y105" s="61">
        <f>IF(Y2&gt;=Assumptions!$B$53,Y89*Y92*(1-Assumptions!$B$227)*Assumptions!$B$171*Assumptions!$B$172,0)</f>
        <v/>
      </c>
      <c r="Z105" s="61">
        <f>IF(Z2&gt;=Assumptions!$B$53,Z89*Z92*(1-Assumptions!$B$227)*Assumptions!$B$171*Assumptions!$B$172,0)</f>
        <v/>
      </c>
      <c r="AA105" s="61">
        <f>IF(AA2&gt;=Assumptions!$B$53,AA89*AA92*(1-Assumptions!$B$227)*Assumptions!$B$171*Assumptions!$B$172,0)</f>
        <v/>
      </c>
      <c r="AB105" s="61">
        <f>IF(AB2&gt;=Assumptions!$B$53,AB89*AB92*(1-Assumptions!$B$227)*Assumptions!$B$171*Assumptions!$B$172,0)</f>
        <v/>
      </c>
      <c r="AC105" s="61">
        <f>IF(AC2&gt;=Assumptions!$B$53,AC89*AC92*(1-Assumptions!$B$227)*Assumptions!$B$171*Assumptions!$B$172,0)</f>
        <v/>
      </c>
      <c r="AD105" s="61">
        <f>IF(AD2&gt;=Assumptions!$B$53,AD89*AD92*(1-Assumptions!$B$227)*Assumptions!$B$171*Assumptions!$B$172,0)</f>
        <v/>
      </c>
      <c r="AE105" s="61">
        <f>IF(AE2&gt;=Assumptions!$B$53,AE89*AE92*(1-Assumptions!$B$227)*Assumptions!$B$171*Assumptions!$B$172,0)</f>
        <v/>
      </c>
    </row>
    <row r="106">
      <c r="A106" s="6" t="inlineStr">
        <is>
          <t xml:space="preserve">  Stream 5 - Lending revenue share</t>
        </is>
      </c>
      <c r="B106" s="23" t="inlineStr">
        <is>
          <t>USD</t>
        </is>
      </c>
      <c r="C106" s="61">
        <f>IF(C2&gt;=Assumptions!$B$53,(C105*Assumptions!$B$29*Assumptions!$B$30+C90*C93*(1-Assumptions!$B$227)*Assumptions!$B$27*Assumptions!$B$28)*C7/12,0)</f>
        <v/>
      </c>
      <c r="D106" s="61">
        <f>IF(D2&gt;=Assumptions!$B$53,(D105*Assumptions!$B$29*Assumptions!$B$30+D90*D93*(1-Assumptions!$B$227)*Assumptions!$B$27*Assumptions!$B$28)*D7/12,0)</f>
        <v/>
      </c>
      <c r="E106" s="61">
        <f>IF(E2&gt;=Assumptions!$B$53,(E105*Assumptions!$B$29*Assumptions!$B$30+E90*E93*(1-Assumptions!$B$227)*Assumptions!$B$27*Assumptions!$B$28)*E7/12,0)</f>
        <v/>
      </c>
      <c r="F106" s="61">
        <f>IF(F2&gt;=Assumptions!$B$53,(F105*Assumptions!$B$29*Assumptions!$B$30+F90*F93*(1-Assumptions!$B$227)*Assumptions!$B$27*Assumptions!$B$28)*F7/12,0)</f>
        <v/>
      </c>
      <c r="G106" s="61">
        <f>IF(G2&gt;=Assumptions!$B$53,(G105*Assumptions!$B$29*Assumptions!$B$30+G90*G93*(1-Assumptions!$B$227)*Assumptions!$B$27*Assumptions!$B$28)*G7/12,0)</f>
        <v/>
      </c>
      <c r="H106" s="61">
        <f>IF(H2&gt;=Assumptions!$B$53,(H105*Assumptions!$B$29*Assumptions!$B$30+H90*H93*(1-Assumptions!$B$227)*Assumptions!$B$27*Assumptions!$B$28)*H7/12,0)</f>
        <v/>
      </c>
      <c r="I106" s="61">
        <f>IF(I2&gt;=Assumptions!$B$53,(I105*Assumptions!$B$29*Assumptions!$B$30+I90*I93*(1-Assumptions!$B$227)*Assumptions!$B$27*Assumptions!$B$28)*I7/12,0)</f>
        <v/>
      </c>
      <c r="J106" s="61">
        <f>IF(J2&gt;=Assumptions!$B$53,(J105*Assumptions!$B$29*Assumptions!$B$30+J90*J93*(1-Assumptions!$B$227)*Assumptions!$B$27*Assumptions!$B$28)*J7/12,0)</f>
        <v/>
      </c>
      <c r="K106" s="61">
        <f>IF(K2&gt;=Assumptions!$B$53,(K105*Assumptions!$B$29*Assumptions!$B$30+K90*K93*(1-Assumptions!$B$227)*Assumptions!$B$27*Assumptions!$B$28)*K7/12,0)</f>
        <v/>
      </c>
      <c r="L106" s="61">
        <f>IF(L2&gt;=Assumptions!$B$53,(L105*Assumptions!$B$29*Assumptions!$B$30+L90*L93*(1-Assumptions!$B$227)*Assumptions!$B$27*Assumptions!$B$28)*L7/12,0)</f>
        <v/>
      </c>
      <c r="M106" s="61">
        <f>IF(M2&gt;=Assumptions!$B$53,(M105*Assumptions!$B$29*Assumptions!$B$30+M90*M93*(1-Assumptions!$B$227)*Assumptions!$B$27*Assumptions!$B$28)*M7/12,0)</f>
        <v/>
      </c>
      <c r="N106" s="61">
        <f>IF(N2&gt;=Assumptions!$B$53,(N105*Assumptions!$B$29*Assumptions!$B$30+N90*N93*(1-Assumptions!$B$227)*Assumptions!$B$27*Assumptions!$B$28)*N7/12,0)</f>
        <v/>
      </c>
      <c r="O106" s="61">
        <f>IF(O2&gt;=Assumptions!$B$53,(O105*Assumptions!$B$29*Assumptions!$B$30+O90*O93*(1-Assumptions!$B$227)*Assumptions!$B$27*Assumptions!$B$28)*O7/12,0)</f>
        <v/>
      </c>
      <c r="P106" s="61">
        <f>IF(P2&gt;=Assumptions!$B$53,(P105*Assumptions!$B$29*Assumptions!$B$30+P90*P93*(1-Assumptions!$B$227)*Assumptions!$B$27*Assumptions!$B$28)*P7/12,0)</f>
        <v/>
      </c>
      <c r="Q106" s="61">
        <f>IF(Q2&gt;=Assumptions!$B$53,(Q105*Assumptions!$B$29*Assumptions!$B$30+Q90*Q93*(1-Assumptions!$B$227)*Assumptions!$B$27*Assumptions!$B$28)*Q7/12,0)</f>
        <v/>
      </c>
      <c r="R106" s="61">
        <f>IF(R2&gt;=Assumptions!$B$53,(R105*Assumptions!$B$29*Assumptions!$B$30+R90*R93*(1-Assumptions!$B$227)*Assumptions!$B$27*Assumptions!$B$28)*R7/12,0)</f>
        <v/>
      </c>
      <c r="S106" s="61">
        <f>IF(S2&gt;=Assumptions!$B$53,(S105*Assumptions!$B$29*Assumptions!$B$30+S90*S93*(1-Assumptions!$B$227)*Assumptions!$B$27*Assumptions!$B$28)*S7/12,0)</f>
        <v/>
      </c>
      <c r="T106" s="61">
        <f>IF(T2&gt;=Assumptions!$B$53,(T105*Assumptions!$B$29*Assumptions!$B$30+T90*T93*(1-Assumptions!$B$227)*Assumptions!$B$27*Assumptions!$B$28)*T7/12,0)</f>
        <v/>
      </c>
      <c r="U106" s="61">
        <f>IF(U2&gt;=Assumptions!$B$53,(U105*Assumptions!$B$29*Assumptions!$B$30+U90*U93*(1-Assumptions!$B$227)*Assumptions!$B$27*Assumptions!$B$28)*U7/12,0)</f>
        <v/>
      </c>
      <c r="V106" s="61">
        <f>IF(V2&gt;=Assumptions!$B$53,(V105*Assumptions!$B$29*Assumptions!$B$30+V90*V93*(1-Assumptions!$B$227)*Assumptions!$B$27*Assumptions!$B$28)*V7/12,0)</f>
        <v/>
      </c>
      <c r="W106" s="61">
        <f>IF(W2&gt;=Assumptions!$B$53,(W105*Assumptions!$B$29*Assumptions!$B$30+W90*W93*(1-Assumptions!$B$227)*Assumptions!$B$27*Assumptions!$B$28)*W7/12,0)</f>
        <v/>
      </c>
      <c r="X106" s="61">
        <f>IF(X2&gt;=Assumptions!$B$53,(X105*Assumptions!$B$29*Assumptions!$B$30+X90*X93*(1-Assumptions!$B$227)*Assumptions!$B$27*Assumptions!$B$28)*X7/12,0)</f>
        <v/>
      </c>
      <c r="Y106" s="61">
        <f>IF(Y2&gt;=Assumptions!$B$53,(Y105*Assumptions!$B$29*Assumptions!$B$30+Y90*Y93*(1-Assumptions!$B$227)*Assumptions!$B$27*Assumptions!$B$28)*Y7/12,0)</f>
        <v/>
      </c>
      <c r="Z106" s="61">
        <f>IF(Z2&gt;=Assumptions!$B$53,(Z105*Assumptions!$B$29*Assumptions!$B$30+Z90*Z93*(1-Assumptions!$B$227)*Assumptions!$B$27*Assumptions!$B$28)*Z7/12,0)</f>
        <v/>
      </c>
      <c r="AA106" s="61">
        <f>IF(AA2&gt;=Assumptions!$B$53,(AA105*Assumptions!$B$29*Assumptions!$B$30+AA90*AA93*(1-Assumptions!$B$227)*Assumptions!$B$27*Assumptions!$B$28)*AA7/12,0)</f>
        <v/>
      </c>
      <c r="AB106" s="61">
        <f>IF(AB2&gt;=Assumptions!$B$53,(AB105*Assumptions!$B$29*Assumptions!$B$30+AB90*AB93*(1-Assumptions!$B$227)*Assumptions!$B$27*Assumptions!$B$28)*AB7/12,0)</f>
        <v/>
      </c>
      <c r="AC106" s="61">
        <f>IF(AC2&gt;=Assumptions!$B$53,(AC105*Assumptions!$B$29*Assumptions!$B$30+AC90*AC93*(1-Assumptions!$B$227)*Assumptions!$B$27*Assumptions!$B$28)*AC7/12,0)</f>
        <v/>
      </c>
      <c r="AD106" s="61">
        <f>IF(AD2&gt;=Assumptions!$B$53,(AD105*Assumptions!$B$29*Assumptions!$B$30+AD90*AD93*(1-Assumptions!$B$227)*Assumptions!$B$27*Assumptions!$B$28)*AD7/12,0)</f>
        <v/>
      </c>
      <c r="AE106" s="61">
        <f>IF(AE2&gt;=Assumptions!$B$53,(AE105*Assumptions!$B$29*Assumptions!$B$30+AE90*AE93*(1-Assumptions!$B$227)*Assumptions!$B$27*Assumptions!$B$28)*AE7/12,0)</f>
        <v/>
      </c>
    </row>
    <row r="107">
      <c r="A107" s="6" t="inlineStr">
        <is>
          <t xml:space="preserve">  Redemption events (memo - drives cost, not revenue)</t>
        </is>
      </c>
      <c r="B107" s="23" t="inlineStr">
        <is>
          <t>events</t>
        </is>
      </c>
      <c r="C107" s="50">
        <f>IF(C2&gt;=Assumptions!$B$49,(C75+C77*Assumptions!$B$153)*Assumptions!$B$152*C7/12,0)</f>
        <v/>
      </c>
      <c r="D107" s="50">
        <f>IF(D2&gt;=Assumptions!$B$49,(D75+D77*Assumptions!$B$153)*Assumptions!$B$152*D7/12,0)</f>
        <v/>
      </c>
      <c r="E107" s="50">
        <f>IF(E2&gt;=Assumptions!$B$49,(E75+E77*Assumptions!$B$153)*Assumptions!$B$152*E7/12,0)</f>
        <v/>
      </c>
      <c r="F107" s="50">
        <f>IF(F2&gt;=Assumptions!$B$49,(F75+F77*Assumptions!$B$153)*Assumptions!$B$152*F7/12,0)</f>
        <v/>
      </c>
      <c r="G107" s="50">
        <f>IF(G2&gt;=Assumptions!$B$49,(G75+G77*Assumptions!$B$153)*Assumptions!$B$152*G7/12,0)</f>
        <v/>
      </c>
      <c r="H107" s="50">
        <f>IF(H2&gt;=Assumptions!$B$49,(H75+H77*Assumptions!$B$153)*Assumptions!$B$152*H7/12,0)</f>
        <v/>
      </c>
      <c r="I107" s="50">
        <f>IF(I2&gt;=Assumptions!$B$49,(I75+I77*Assumptions!$B$153)*Assumptions!$B$152*I7/12,0)</f>
        <v/>
      </c>
      <c r="J107" s="50">
        <f>IF(J2&gt;=Assumptions!$B$49,(J75+J77*Assumptions!$B$153)*Assumptions!$B$152*J7/12,0)</f>
        <v/>
      </c>
      <c r="K107" s="50">
        <f>IF(K2&gt;=Assumptions!$B$49,(K75+K77*Assumptions!$B$153)*Assumptions!$B$152*K7/12,0)</f>
        <v/>
      </c>
      <c r="L107" s="50">
        <f>IF(L2&gt;=Assumptions!$B$49,(L75+L77*Assumptions!$B$153)*Assumptions!$B$152*L7/12,0)</f>
        <v/>
      </c>
      <c r="M107" s="50">
        <f>IF(M2&gt;=Assumptions!$B$49,(M75+M77*Assumptions!$B$153)*Assumptions!$B$152*M7/12,0)</f>
        <v/>
      </c>
      <c r="N107" s="50">
        <f>IF(N2&gt;=Assumptions!$B$49,(N75+N77*Assumptions!$B$153)*Assumptions!$B$152*N7/12,0)</f>
        <v/>
      </c>
      <c r="O107" s="50">
        <f>IF(O2&gt;=Assumptions!$B$49,(O75+O77*Assumptions!$B$153)*Assumptions!$B$152*O7/12,0)</f>
        <v/>
      </c>
      <c r="P107" s="50">
        <f>IF(P2&gt;=Assumptions!$B$49,(P75+P77*Assumptions!$B$153)*Assumptions!$B$152*P7/12,0)</f>
        <v/>
      </c>
      <c r="Q107" s="50">
        <f>IF(Q2&gt;=Assumptions!$B$49,(Q75+Q77*Assumptions!$B$153)*Assumptions!$B$152*Q7/12,0)</f>
        <v/>
      </c>
      <c r="R107" s="50">
        <f>IF(R2&gt;=Assumptions!$B$49,(R75+R77*Assumptions!$B$153)*Assumptions!$B$152*R7/12,0)</f>
        <v/>
      </c>
      <c r="S107" s="50">
        <f>IF(S2&gt;=Assumptions!$B$49,(S75+S77*Assumptions!$B$153)*Assumptions!$B$152*S7/12,0)</f>
        <v/>
      </c>
      <c r="T107" s="50">
        <f>IF(T2&gt;=Assumptions!$B$49,(T75+T77*Assumptions!$B$153)*Assumptions!$B$152*T7/12,0)</f>
        <v/>
      </c>
      <c r="U107" s="50">
        <f>IF(U2&gt;=Assumptions!$B$49,(U75+U77*Assumptions!$B$153)*Assumptions!$B$152*U7/12,0)</f>
        <v/>
      </c>
      <c r="V107" s="50">
        <f>IF(V2&gt;=Assumptions!$B$49,(V75+V77*Assumptions!$B$153)*Assumptions!$B$152*V7/12,0)</f>
        <v/>
      </c>
      <c r="W107" s="50">
        <f>IF(W2&gt;=Assumptions!$B$49,(W75+W77*Assumptions!$B$153)*Assumptions!$B$152*W7/12,0)</f>
        <v/>
      </c>
      <c r="X107" s="50">
        <f>IF(X2&gt;=Assumptions!$B$49,(X75+X77*Assumptions!$B$153)*Assumptions!$B$152*X7/12,0)</f>
        <v/>
      </c>
      <c r="Y107" s="50">
        <f>IF(Y2&gt;=Assumptions!$B$49,(Y75+Y77*Assumptions!$B$153)*Assumptions!$B$152*Y7/12,0)</f>
        <v/>
      </c>
      <c r="Z107" s="50">
        <f>IF(Z2&gt;=Assumptions!$B$49,(Z75+Z77*Assumptions!$B$153)*Assumptions!$B$152*Z7/12,0)</f>
        <v/>
      </c>
      <c r="AA107" s="50">
        <f>IF(AA2&gt;=Assumptions!$B$49,(AA75+AA77*Assumptions!$B$153)*Assumptions!$B$152*AA7/12,0)</f>
        <v/>
      </c>
      <c r="AB107" s="50">
        <f>IF(AB2&gt;=Assumptions!$B$49,(AB75+AB77*Assumptions!$B$153)*Assumptions!$B$152*AB7/12,0)</f>
        <v/>
      </c>
      <c r="AC107" s="50">
        <f>IF(AC2&gt;=Assumptions!$B$49,(AC75+AC77*Assumptions!$B$153)*Assumptions!$B$152*AC7/12,0)</f>
        <v/>
      </c>
      <c r="AD107" s="50">
        <f>IF(AD2&gt;=Assumptions!$B$49,(AD75+AD77*Assumptions!$B$153)*Assumptions!$B$152*AD7/12,0)</f>
        <v/>
      </c>
      <c r="AE107" s="50">
        <f>IF(AE2&gt;=Assumptions!$B$49,(AE75+AE77*Assumptions!$B$153)*Assumptions!$B$152*AE7/12,0)</f>
        <v/>
      </c>
    </row>
    <row r="108">
      <c r="A108" s="3" t="inlineStr">
        <is>
          <t xml:space="preserve">  SUBTOTAL - Oman and Bahrain</t>
        </is>
      </c>
      <c r="B108" s="23" t="inlineStr">
        <is>
          <t>USD</t>
        </is>
      </c>
      <c r="C108" s="63">
        <f>C99+C100+C101+C103+C104+C106</f>
        <v/>
      </c>
      <c r="D108" s="63">
        <f>D99+D100+D101+D103+D104+D106</f>
        <v/>
      </c>
      <c r="E108" s="63">
        <f>E99+E100+E101+E103+E104+E106</f>
        <v/>
      </c>
      <c r="F108" s="63">
        <f>F99+F100+F101+F103+F104+F106</f>
        <v/>
      </c>
      <c r="G108" s="63">
        <f>G99+G100+G101+G103+G104+G106</f>
        <v/>
      </c>
      <c r="H108" s="63">
        <f>H99+H100+H101+H103+H104+H106</f>
        <v/>
      </c>
      <c r="I108" s="63">
        <f>I99+I100+I101+I103+I104+I106</f>
        <v/>
      </c>
      <c r="J108" s="63">
        <f>J99+J100+J101+J103+J104+J106</f>
        <v/>
      </c>
      <c r="K108" s="63">
        <f>K99+K100+K101+K103+K104+K106</f>
        <v/>
      </c>
      <c r="L108" s="63">
        <f>L99+L100+L101+L103+L104+L106</f>
        <v/>
      </c>
      <c r="M108" s="63">
        <f>M99+M100+M101+M103+M104+M106</f>
        <v/>
      </c>
      <c r="N108" s="63">
        <f>N99+N100+N101+N103+N104+N106</f>
        <v/>
      </c>
      <c r="O108" s="63">
        <f>O99+O100+O101+O103+O104+O106</f>
        <v/>
      </c>
      <c r="P108" s="63">
        <f>P99+P100+P101+P103+P104+P106</f>
        <v/>
      </c>
      <c r="Q108" s="63">
        <f>Q99+Q100+Q101+Q103+Q104+Q106</f>
        <v/>
      </c>
      <c r="R108" s="63">
        <f>R99+R100+R101+R103+R104+R106</f>
        <v/>
      </c>
      <c r="S108" s="63">
        <f>S99+S100+S101+S103+S104+S106</f>
        <v/>
      </c>
      <c r="T108" s="63">
        <f>T99+T100+T101+T103+T104+T106</f>
        <v/>
      </c>
      <c r="U108" s="63">
        <f>U99+U100+U101+U103+U104+U106</f>
        <v/>
      </c>
      <c r="V108" s="63">
        <f>V99+V100+V101+V103+V104+V106</f>
        <v/>
      </c>
      <c r="W108" s="63">
        <f>W99+W100+W101+W103+W104+W106</f>
        <v/>
      </c>
      <c r="X108" s="63">
        <f>X99+X100+X101+X103+X104+X106</f>
        <v/>
      </c>
      <c r="Y108" s="63">
        <f>Y99+Y100+Y101+Y103+Y104+Y106</f>
        <v/>
      </c>
      <c r="Z108" s="63">
        <f>Z99+Z100+Z101+Z103+Z104+Z106</f>
        <v/>
      </c>
      <c r="AA108" s="63">
        <f>AA99+AA100+AA101+AA103+AA104+AA106</f>
        <v/>
      </c>
      <c r="AB108" s="63">
        <f>AB99+AB100+AB101+AB103+AB104+AB106</f>
        <v/>
      </c>
      <c r="AC108" s="63">
        <f>AC99+AC100+AC101+AC103+AC104+AC106</f>
        <v/>
      </c>
      <c r="AD108" s="63">
        <f>AD99+AD100+AD101+AD103+AD104+AD106</f>
        <v/>
      </c>
      <c r="AE108" s="63">
        <f>AE99+AE100+AE101+AE103+AE104+AE106</f>
        <v/>
      </c>
    </row>
    <row r="110">
      <c r="A110" s="51" t="inlineStr">
        <is>
          <t>REGION: INDIA</t>
        </is>
      </c>
      <c r="B110" s="52" t="n"/>
      <c r="C110" s="52" t="n"/>
      <c r="D110" s="52" t="n"/>
      <c r="E110" s="52" t="n"/>
      <c r="F110" s="52" t="n"/>
      <c r="G110" s="52" t="n"/>
      <c r="H110" s="52" t="n"/>
      <c r="I110" s="52" t="n"/>
      <c r="J110" s="52" t="n"/>
      <c r="K110" s="52" t="n"/>
      <c r="L110" s="52" t="n"/>
      <c r="M110" s="52" t="n"/>
      <c r="N110" s="52" t="n"/>
      <c r="O110" s="52" t="n"/>
      <c r="P110" s="52" t="n"/>
      <c r="Q110" s="52" t="n"/>
      <c r="R110" s="52" t="n"/>
      <c r="S110" s="52" t="n"/>
      <c r="T110" s="52" t="n"/>
      <c r="U110" s="52" t="n"/>
      <c r="V110" s="52" t="n"/>
      <c r="W110" s="52" t="n"/>
      <c r="X110" s="52" t="n"/>
      <c r="Y110" s="52" t="n"/>
      <c r="Z110" s="52" t="n"/>
      <c r="AA110" s="52" t="n"/>
      <c r="AB110" s="52" t="n"/>
      <c r="AC110" s="52" t="n"/>
      <c r="AD110" s="52" t="n"/>
      <c r="AE110" s="52" t="n"/>
    </row>
    <row r="111">
      <c r="A111" s="6" t="inlineStr">
        <is>
          <t xml:space="preserve">  Marketing CAC this period (ramping Y1 to Y7)</t>
        </is>
      </c>
      <c r="B111" s="23" t="inlineStr">
        <is>
          <t>USD/customer</t>
        </is>
      </c>
      <c r="C111" s="59">
        <f>Assumptions!$B$138+(Assumptions!$B$141-Assumptions!$B$138)*(C5-1)/6</f>
        <v/>
      </c>
      <c r="D111" s="59">
        <f>Assumptions!$B$138+(Assumptions!$B$141-Assumptions!$B$138)*(D5-1)/6</f>
        <v/>
      </c>
      <c r="E111" s="59">
        <f>Assumptions!$B$138+(Assumptions!$B$141-Assumptions!$B$138)*(E5-1)/6</f>
        <v/>
      </c>
      <c r="F111" s="59">
        <f>Assumptions!$B$138+(Assumptions!$B$141-Assumptions!$B$138)*(F5-1)/6</f>
        <v/>
      </c>
      <c r="G111" s="59">
        <f>Assumptions!$B$138+(Assumptions!$B$141-Assumptions!$B$138)*(G5-1)/6</f>
        <v/>
      </c>
      <c r="H111" s="59">
        <f>Assumptions!$B$138+(Assumptions!$B$141-Assumptions!$B$138)*(H5-1)/6</f>
        <v/>
      </c>
      <c r="I111" s="59">
        <f>Assumptions!$B$138+(Assumptions!$B$141-Assumptions!$B$138)*(I5-1)/6</f>
        <v/>
      </c>
      <c r="J111" s="59">
        <f>Assumptions!$B$138+(Assumptions!$B$141-Assumptions!$B$138)*(J5-1)/6</f>
        <v/>
      </c>
      <c r="K111" s="59">
        <f>Assumptions!$B$138+(Assumptions!$B$141-Assumptions!$B$138)*(K5-1)/6</f>
        <v/>
      </c>
      <c r="L111" s="59">
        <f>Assumptions!$B$138+(Assumptions!$B$141-Assumptions!$B$138)*(L5-1)/6</f>
        <v/>
      </c>
      <c r="M111" s="59">
        <f>Assumptions!$B$138+(Assumptions!$B$141-Assumptions!$B$138)*(M5-1)/6</f>
        <v/>
      </c>
      <c r="N111" s="59">
        <f>Assumptions!$B$138+(Assumptions!$B$141-Assumptions!$B$138)*(N5-1)/6</f>
        <v/>
      </c>
      <c r="O111" s="59">
        <f>Assumptions!$B$138+(Assumptions!$B$141-Assumptions!$B$138)*(O5-1)/6</f>
        <v/>
      </c>
      <c r="P111" s="59">
        <f>Assumptions!$B$138+(Assumptions!$B$141-Assumptions!$B$138)*(P5-1)/6</f>
        <v/>
      </c>
      <c r="Q111" s="59">
        <f>Assumptions!$B$138+(Assumptions!$B$141-Assumptions!$B$138)*(Q5-1)/6</f>
        <v/>
      </c>
      <c r="R111" s="59">
        <f>Assumptions!$B$138+(Assumptions!$B$141-Assumptions!$B$138)*(R5-1)/6</f>
        <v/>
      </c>
      <c r="S111" s="59">
        <f>Assumptions!$B$138+(Assumptions!$B$141-Assumptions!$B$138)*(S5-1)/6</f>
        <v/>
      </c>
      <c r="T111" s="59">
        <f>Assumptions!$B$138+(Assumptions!$B$141-Assumptions!$B$138)*(T5-1)/6</f>
        <v/>
      </c>
      <c r="U111" s="59">
        <f>Assumptions!$B$138+(Assumptions!$B$141-Assumptions!$B$138)*(U5-1)/6</f>
        <v/>
      </c>
      <c r="V111" s="59">
        <f>Assumptions!$B$138+(Assumptions!$B$141-Assumptions!$B$138)*(V5-1)/6</f>
        <v/>
      </c>
      <c r="W111" s="59">
        <f>Assumptions!$B$138+(Assumptions!$B$141-Assumptions!$B$138)*(W5-1)/6</f>
        <v/>
      </c>
      <c r="X111" s="59">
        <f>Assumptions!$B$138+(Assumptions!$B$141-Assumptions!$B$138)*(X5-1)/6</f>
        <v/>
      </c>
      <c r="Y111" s="59">
        <f>Assumptions!$B$138+(Assumptions!$B$141-Assumptions!$B$138)*(Y5-1)/6</f>
        <v/>
      </c>
      <c r="Z111" s="59">
        <f>Assumptions!$B$138+(Assumptions!$B$141-Assumptions!$B$138)*(Z5-1)/6</f>
        <v/>
      </c>
      <c r="AA111" s="59">
        <f>Assumptions!$B$138+(Assumptions!$B$141-Assumptions!$B$138)*(AA5-1)/6</f>
        <v/>
      </c>
      <c r="AB111" s="59">
        <f>Assumptions!$B$138+(Assumptions!$B$141-Assumptions!$B$138)*(AB5-1)/6</f>
        <v/>
      </c>
      <c r="AC111" s="59">
        <f>Assumptions!$B$138+(Assumptions!$B$141-Assumptions!$B$138)*(AC5-1)/6</f>
        <v/>
      </c>
      <c r="AD111" s="59">
        <f>Assumptions!$B$138+(Assumptions!$B$141-Assumptions!$B$138)*(AD5-1)/6</f>
        <v/>
      </c>
      <c r="AE111" s="59">
        <f>Assumptions!$B$138+(Assumptions!$B$141-Assumptions!$B$138)*(AE5-1)/6</f>
        <v/>
      </c>
    </row>
    <row r="112">
      <c r="A112" s="6" t="inlineStr">
        <is>
          <t xml:space="preserve">  Direct-driven (this market's budget at its own CAC)</t>
        </is>
      </c>
      <c r="B112" s="23" t="inlineStr">
        <is>
          <t>accounts</t>
        </is>
      </c>
      <c r="C112" s="58">
        <f>INDEX(Assumptions!$B$114:$B$120,C5)*Assumptions!$B$144/12*C7/C111*(1+Assumptions!$B$147)*IF(C2&gt;=Assumptions!$B$57,1,0)</f>
        <v/>
      </c>
      <c r="D112" s="58">
        <f>INDEX(Assumptions!$B$114:$B$120,D5)*Assumptions!$B$144/12*D7/D111*(1+Assumptions!$B$147)*IF(D2&gt;=Assumptions!$B$57,1,0)</f>
        <v/>
      </c>
      <c r="E112" s="58">
        <f>INDEX(Assumptions!$B$114:$B$120,E5)*Assumptions!$B$144/12*E7/E111*(1+Assumptions!$B$147)*IF(E2&gt;=Assumptions!$B$57,1,0)</f>
        <v/>
      </c>
      <c r="F112" s="58">
        <f>INDEX(Assumptions!$B$114:$B$120,F5)*Assumptions!$B$144/12*F7/F111*(1+Assumptions!$B$147)*IF(F2&gt;=Assumptions!$B$57,1,0)</f>
        <v/>
      </c>
      <c r="G112" s="58">
        <f>INDEX(Assumptions!$B$114:$B$120,G5)*Assumptions!$B$144/12*G7/G111*(1+Assumptions!$B$147)*IF(G2&gt;=Assumptions!$B$57,1,0)</f>
        <v/>
      </c>
      <c r="H112" s="58">
        <f>INDEX(Assumptions!$B$114:$B$120,H5)*Assumptions!$B$144/12*H7/H111*(1+Assumptions!$B$147)*IF(H2&gt;=Assumptions!$B$57,1,0)</f>
        <v/>
      </c>
      <c r="I112" s="58">
        <f>INDEX(Assumptions!$B$114:$B$120,I5)*Assumptions!$B$144/12*I7/I111*(1+Assumptions!$B$147)*IF(I2&gt;=Assumptions!$B$57,1,0)</f>
        <v/>
      </c>
      <c r="J112" s="58">
        <f>INDEX(Assumptions!$B$114:$B$120,J5)*Assumptions!$B$144/12*J7/J111*(1+Assumptions!$B$147)*IF(J2&gt;=Assumptions!$B$57,1,0)</f>
        <v/>
      </c>
      <c r="K112" s="58">
        <f>INDEX(Assumptions!$B$114:$B$120,K5)*Assumptions!$B$144/12*K7/K111*(1+Assumptions!$B$147)*IF(K2&gt;=Assumptions!$B$57,1,0)</f>
        <v/>
      </c>
      <c r="L112" s="58">
        <f>INDEX(Assumptions!$B$114:$B$120,L5)*Assumptions!$B$144/12*L7/L111*(1+Assumptions!$B$147)*IF(L2&gt;=Assumptions!$B$57,1,0)</f>
        <v/>
      </c>
      <c r="M112" s="58">
        <f>INDEX(Assumptions!$B$114:$B$120,M5)*Assumptions!$B$144/12*M7/M111*(1+Assumptions!$B$147)*IF(M2&gt;=Assumptions!$B$57,1,0)</f>
        <v/>
      </c>
      <c r="N112" s="58">
        <f>INDEX(Assumptions!$B$114:$B$120,N5)*Assumptions!$B$144/12*N7/N111*(1+Assumptions!$B$147)*IF(N2&gt;=Assumptions!$B$57,1,0)</f>
        <v/>
      </c>
      <c r="O112" s="58">
        <f>INDEX(Assumptions!$B$114:$B$120,O5)*Assumptions!$B$144/12*O7/O111*(1+Assumptions!$B$147)*IF(O2&gt;=Assumptions!$B$57,1,0)</f>
        <v/>
      </c>
      <c r="P112" s="58">
        <f>INDEX(Assumptions!$B$114:$B$120,P5)*Assumptions!$B$144/12*P7/P111*(1+Assumptions!$B$147)*IF(P2&gt;=Assumptions!$B$57,1,0)</f>
        <v/>
      </c>
      <c r="Q112" s="58">
        <f>INDEX(Assumptions!$B$114:$B$120,Q5)*Assumptions!$B$144/12*Q7/Q111*(1+Assumptions!$B$147)*IF(Q2&gt;=Assumptions!$B$57,1,0)</f>
        <v/>
      </c>
      <c r="R112" s="58">
        <f>INDEX(Assumptions!$B$114:$B$120,R5)*Assumptions!$B$144/12*R7/R111*(1+Assumptions!$B$147)*IF(R2&gt;=Assumptions!$B$57,1,0)</f>
        <v/>
      </c>
      <c r="S112" s="58">
        <f>INDEX(Assumptions!$B$114:$B$120,S5)*Assumptions!$B$144/12*S7/S111*(1+Assumptions!$B$147)*IF(S2&gt;=Assumptions!$B$57,1,0)</f>
        <v/>
      </c>
      <c r="T112" s="58">
        <f>INDEX(Assumptions!$B$114:$B$120,T5)*Assumptions!$B$144/12*T7/T111*(1+Assumptions!$B$147)*IF(T2&gt;=Assumptions!$B$57,1,0)</f>
        <v/>
      </c>
      <c r="U112" s="58">
        <f>INDEX(Assumptions!$B$114:$B$120,U5)*Assumptions!$B$144/12*U7/U111*(1+Assumptions!$B$147)*IF(U2&gt;=Assumptions!$B$57,1,0)</f>
        <v/>
      </c>
      <c r="V112" s="58">
        <f>INDEX(Assumptions!$B$114:$B$120,V5)*Assumptions!$B$144/12*V7/V111*(1+Assumptions!$B$147)*IF(V2&gt;=Assumptions!$B$57,1,0)</f>
        <v/>
      </c>
      <c r="W112" s="58">
        <f>INDEX(Assumptions!$B$114:$B$120,W5)*Assumptions!$B$144/12*W7/W111*(1+Assumptions!$B$147)*IF(W2&gt;=Assumptions!$B$57,1,0)</f>
        <v/>
      </c>
      <c r="X112" s="58">
        <f>INDEX(Assumptions!$B$114:$B$120,X5)*Assumptions!$B$144/12*X7/X111*(1+Assumptions!$B$147)*IF(X2&gt;=Assumptions!$B$57,1,0)</f>
        <v/>
      </c>
      <c r="Y112" s="58">
        <f>INDEX(Assumptions!$B$114:$B$120,Y5)*Assumptions!$B$144/12*Y7/Y111*(1+Assumptions!$B$147)*IF(Y2&gt;=Assumptions!$B$57,1,0)</f>
        <v/>
      </c>
      <c r="Z112" s="58">
        <f>INDEX(Assumptions!$B$114:$B$120,Z5)*Assumptions!$B$144/12*Z7/Z111*(1+Assumptions!$B$147)*IF(Z2&gt;=Assumptions!$B$57,1,0)</f>
        <v/>
      </c>
      <c r="AA112" s="58">
        <f>INDEX(Assumptions!$B$114:$B$120,AA5)*Assumptions!$B$144/12*AA7/AA111*(1+Assumptions!$B$147)*IF(AA2&gt;=Assumptions!$B$57,1,0)</f>
        <v/>
      </c>
      <c r="AB112" s="58">
        <f>INDEX(Assumptions!$B$114:$B$120,AB5)*Assumptions!$B$144/12*AB7/AB111*(1+Assumptions!$B$147)*IF(AB2&gt;=Assumptions!$B$57,1,0)</f>
        <v/>
      </c>
      <c r="AC112" s="58">
        <f>INDEX(Assumptions!$B$114:$B$120,AC5)*Assumptions!$B$144/12*AC7/AC111*(1+Assumptions!$B$147)*IF(AC2&gt;=Assumptions!$B$57,1,0)</f>
        <v/>
      </c>
      <c r="AD112" s="58">
        <f>INDEX(Assumptions!$B$114:$B$120,AD5)*Assumptions!$B$144/12*AD7/AD111*(1+Assumptions!$B$147)*IF(AD2&gt;=Assumptions!$B$57,1,0)</f>
        <v/>
      </c>
      <c r="AE112" s="58">
        <f>INDEX(Assumptions!$B$114:$B$120,AE5)*Assumptions!$B$144/12*AE7/AE111*(1+Assumptions!$B$147)*IF(AE2&gt;=Assumptions!$B$57,1,0)</f>
        <v/>
      </c>
    </row>
    <row r="113">
      <c r="A113" s="6" t="inlineStr">
        <is>
          <t xml:space="preserve">  Referral-driven (from this market's own base)</t>
        </is>
      </c>
      <c r="B113" s="23" t="inlineStr">
        <is>
          <t>accounts</t>
        </is>
      </c>
      <c r="C113" s="60" t="n">
        <v>0</v>
      </c>
      <c r="D113" s="60">
        <f>IF(D2&gt;=Assumptions!$B$55,C118*Assumptions!$B$145/12*Assumptions!$B$146*D7,0)</f>
        <v/>
      </c>
      <c r="E113" s="60">
        <f>IF(E2&gt;=Assumptions!$B$55,D118*Assumptions!$B$145/12*Assumptions!$B$146*E7,0)</f>
        <v/>
      </c>
      <c r="F113" s="60">
        <f>IF(F2&gt;=Assumptions!$B$55,E118*Assumptions!$B$145/12*Assumptions!$B$146*F7,0)</f>
        <v/>
      </c>
      <c r="G113" s="60">
        <f>IF(G2&gt;=Assumptions!$B$55,F118*Assumptions!$B$145/12*Assumptions!$B$146*G7,0)</f>
        <v/>
      </c>
      <c r="H113" s="60">
        <f>IF(H2&gt;=Assumptions!$B$55,G118*Assumptions!$B$145/12*Assumptions!$B$146*H7,0)</f>
        <v/>
      </c>
      <c r="I113" s="60">
        <f>IF(I2&gt;=Assumptions!$B$55,H118*Assumptions!$B$145/12*Assumptions!$B$146*I7,0)</f>
        <v/>
      </c>
      <c r="J113" s="60">
        <f>IF(J2&gt;=Assumptions!$B$55,I118*Assumptions!$B$145/12*Assumptions!$B$146*J7,0)</f>
        <v/>
      </c>
      <c r="K113" s="60">
        <f>IF(K2&gt;=Assumptions!$B$55,J118*Assumptions!$B$145/12*Assumptions!$B$146*K7,0)</f>
        <v/>
      </c>
      <c r="L113" s="60">
        <f>IF(L2&gt;=Assumptions!$B$55,K118*Assumptions!$B$145/12*Assumptions!$B$146*L7,0)</f>
        <v/>
      </c>
      <c r="M113" s="60">
        <f>IF(M2&gt;=Assumptions!$B$55,L118*Assumptions!$B$145/12*Assumptions!$B$146*M7,0)</f>
        <v/>
      </c>
      <c r="N113" s="60">
        <f>IF(N2&gt;=Assumptions!$B$55,M118*Assumptions!$B$145/12*Assumptions!$B$146*N7,0)</f>
        <v/>
      </c>
      <c r="O113" s="60">
        <f>IF(O2&gt;=Assumptions!$B$55,N118*Assumptions!$B$145/12*Assumptions!$B$146*O7,0)</f>
        <v/>
      </c>
      <c r="P113" s="60">
        <f>IF(P2&gt;=Assumptions!$B$55,O118*Assumptions!$B$145/12*Assumptions!$B$146*P7,0)</f>
        <v/>
      </c>
      <c r="Q113" s="60">
        <f>IF(Q2&gt;=Assumptions!$B$55,P118*Assumptions!$B$145/12*Assumptions!$B$146*Q7,0)</f>
        <v/>
      </c>
      <c r="R113" s="60">
        <f>IF(R2&gt;=Assumptions!$B$55,Q118*Assumptions!$B$145/12*Assumptions!$B$146*R7,0)</f>
        <v/>
      </c>
      <c r="S113" s="60">
        <f>IF(S2&gt;=Assumptions!$B$55,R118*Assumptions!$B$145/12*Assumptions!$B$146*S7,0)</f>
        <v/>
      </c>
      <c r="T113" s="60">
        <f>IF(T2&gt;=Assumptions!$B$55,S118*Assumptions!$B$145/12*Assumptions!$B$146*T7,0)</f>
        <v/>
      </c>
      <c r="U113" s="60">
        <f>IF(U2&gt;=Assumptions!$B$55,T118*Assumptions!$B$145/12*Assumptions!$B$146*U7,0)</f>
        <v/>
      </c>
      <c r="V113" s="60">
        <f>IF(V2&gt;=Assumptions!$B$55,U118*Assumptions!$B$145/12*Assumptions!$B$146*V7,0)</f>
        <v/>
      </c>
      <c r="W113" s="60">
        <f>IF(W2&gt;=Assumptions!$B$55,V118*Assumptions!$B$145/12*Assumptions!$B$146*W7,0)</f>
        <v/>
      </c>
      <c r="X113" s="60">
        <f>IF(X2&gt;=Assumptions!$B$55,W118*Assumptions!$B$145/12*Assumptions!$B$146*X7,0)</f>
        <v/>
      </c>
      <c r="Y113" s="60">
        <f>IF(Y2&gt;=Assumptions!$B$55,X118*Assumptions!$B$145/12*Assumptions!$B$146*Y7,0)</f>
        <v/>
      </c>
      <c r="Z113" s="60">
        <f>IF(Z2&gt;=Assumptions!$B$55,Y118*Assumptions!$B$145/12*Assumptions!$B$146*Z7,0)</f>
        <v/>
      </c>
      <c r="AA113" s="60">
        <f>IF(AA2&gt;=Assumptions!$B$55,Z118*Assumptions!$B$145/12*Assumptions!$B$146*AA7,0)</f>
        <v/>
      </c>
      <c r="AB113" s="60">
        <f>IF(AB2&gt;=Assumptions!$B$55,AA118*Assumptions!$B$145/12*Assumptions!$B$146*AB7,0)</f>
        <v/>
      </c>
      <c r="AC113" s="60">
        <f>IF(AC2&gt;=Assumptions!$B$55,AB118*Assumptions!$B$145/12*Assumptions!$B$146*AC7,0)</f>
        <v/>
      </c>
      <c r="AD113" s="60">
        <f>IF(AD2&gt;=Assumptions!$B$55,AC118*Assumptions!$B$145/12*Assumptions!$B$146*AD7,0)</f>
        <v/>
      </c>
      <c r="AE113" s="60">
        <f>IF(AE2&gt;=Assumptions!$B$55,AD118*Assumptions!$B$145/12*Assumptions!$B$146*AE7,0)</f>
        <v/>
      </c>
    </row>
    <row r="114">
      <c r="A114" s="6" t="inlineStr">
        <is>
          <t xml:space="preserve">  Agent-driven (this market's own agents)</t>
        </is>
      </c>
      <c r="B114" s="23" t="inlineStr">
        <is>
          <t>accounts</t>
        </is>
      </c>
      <c r="C114" s="58">
        <f>INDEX(Assumptions!$B$107:$B$113,C5)*Assumptions!$B$135*INDEX(Assumptions!$B$121:$B$127,C5)*C7*IF(C2&gt;=Assumptions!$B$57,1,0)</f>
        <v/>
      </c>
      <c r="D114" s="58">
        <f>INDEX(Assumptions!$B$107:$B$113,D5)*Assumptions!$B$135*INDEX(Assumptions!$B$121:$B$127,D5)*D7*IF(D2&gt;=Assumptions!$B$57,1,0)</f>
        <v/>
      </c>
      <c r="E114" s="58">
        <f>INDEX(Assumptions!$B$107:$B$113,E5)*Assumptions!$B$135*INDEX(Assumptions!$B$121:$B$127,E5)*E7*IF(E2&gt;=Assumptions!$B$57,1,0)</f>
        <v/>
      </c>
      <c r="F114" s="58">
        <f>INDEX(Assumptions!$B$107:$B$113,F5)*Assumptions!$B$135*INDEX(Assumptions!$B$121:$B$127,F5)*F7*IF(F2&gt;=Assumptions!$B$57,1,0)</f>
        <v/>
      </c>
      <c r="G114" s="58">
        <f>INDEX(Assumptions!$B$107:$B$113,G5)*Assumptions!$B$135*INDEX(Assumptions!$B$121:$B$127,G5)*G7*IF(G2&gt;=Assumptions!$B$57,1,0)</f>
        <v/>
      </c>
      <c r="H114" s="58">
        <f>INDEX(Assumptions!$B$107:$B$113,H5)*Assumptions!$B$135*INDEX(Assumptions!$B$121:$B$127,H5)*H7*IF(H2&gt;=Assumptions!$B$57,1,0)</f>
        <v/>
      </c>
      <c r="I114" s="58">
        <f>INDEX(Assumptions!$B$107:$B$113,I5)*Assumptions!$B$135*INDEX(Assumptions!$B$121:$B$127,I5)*I7*IF(I2&gt;=Assumptions!$B$57,1,0)</f>
        <v/>
      </c>
      <c r="J114" s="58">
        <f>INDEX(Assumptions!$B$107:$B$113,J5)*Assumptions!$B$135*INDEX(Assumptions!$B$121:$B$127,J5)*J7*IF(J2&gt;=Assumptions!$B$57,1,0)</f>
        <v/>
      </c>
      <c r="K114" s="58">
        <f>INDEX(Assumptions!$B$107:$B$113,K5)*Assumptions!$B$135*INDEX(Assumptions!$B$121:$B$127,K5)*K7*IF(K2&gt;=Assumptions!$B$57,1,0)</f>
        <v/>
      </c>
      <c r="L114" s="58">
        <f>INDEX(Assumptions!$B$107:$B$113,L5)*Assumptions!$B$135*INDEX(Assumptions!$B$121:$B$127,L5)*L7*IF(L2&gt;=Assumptions!$B$57,1,0)</f>
        <v/>
      </c>
      <c r="M114" s="58">
        <f>INDEX(Assumptions!$B$107:$B$113,M5)*Assumptions!$B$135*INDEX(Assumptions!$B$121:$B$127,M5)*M7*IF(M2&gt;=Assumptions!$B$57,1,0)</f>
        <v/>
      </c>
      <c r="N114" s="58">
        <f>INDEX(Assumptions!$B$107:$B$113,N5)*Assumptions!$B$135*INDEX(Assumptions!$B$121:$B$127,N5)*N7*IF(N2&gt;=Assumptions!$B$57,1,0)</f>
        <v/>
      </c>
      <c r="O114" s="58">
        <f>INDEX(Assumptions!$B$107:$B$113,O5)*Assumptions!$B$135*INDEX(Assumptions!$B$121:$B$127,O5)*O7*IF(O2&gt;=Assumptions!$B$57,1,0)</f>
        <v/>
      </c>
      <c r="P114" s="58">
        <f>INDEX(Assumptions!$B$107:$B$113,P5)*Assumptions!$B$135*INDEX(Assumptions!$B$121:$B$127,P5)*P7*IF(P2&gt;=Assumptions!$B$57,1,0)</f>
        <v/>
      </c>
      <c r="Q114" s="58">
        <f>INDEX(Assumptions!$B$107:$B$113,Q5)*Assumptions!$B$135*INDEX(Assumptions!$B$121:$B$127,Q5)*Q7*IF(Q2&gt;=Assumptions!$B$57,1,0)</f>
        <v/>
      </c>
      <c r="R114" s="58">
        <f>INDEX(Assumptions!$B$107:$B$113,R5)*Assumptions!$B$135*INDEX(Assumptions!$B$121:$B$127,R5)*R7*IF(R2&gt;=Assumptions!$B$57,1,0)</f>
        <v/>
      </c>
      <c r="S114" s="58">
        <f>INDEX(Assumptions!$B$107:$B$113,S5)*Assumptions!$B$135*INDEX(Assumptions!$B$121:$B$127,S5)*S7*IF(S2&gt;=Assumptions!$B$57,1,0)</f>
        <v/>
      </c>
      <c r="T114" s="58">
        <f>INDEX(Assumptions!$B$107:$B$113,T5)*Assumptions!$B$135*INDEX(Assumptions!$B$121:$B$127,T5)*T7*IF(T2&gt;=Assumptions!$B$57,1,0)</f>
        <v/>
      </c>
      <c r="U114" s="58">
        <f>INDEX(Assumptions!$B$107:$B$113,U5)*Assumptions!$B$135*INDEX(Assumptions!$B$121:$B$127,U5)*U7*IF(U2&gt;=Assumptions!$B$57,1,0)</f>
        <v/>
      </c>
      <c r="V114" s="58">
        <f>INDEX(Assumptions!$B$107:$B$113,V5)*Assumptions!$B$135*INDEX(Assumptions!$B$121:$B$127,V5)*V7*IF(V2&gt;=Assumptions!$B$57,1,0)</f>
        <v/>
      </c>
      <c r="W114" s="58">
        <f>INDEX(Assumptions!$B$107:$B$113,W5)*Assumptions!$B$135*INDEX(Assumptions!$B$121:$B$127,W5)*W7*IF(W2&gt;=Assumptions!$B$57,1,0)</f>
        <v/>
      </c>
      <c r="X114" s="58">
        <f>INDEX(Assumptions!$B$107:$B$113,X5)*Assumptions!$B$135*INDEX(Assumptions!$B$121:$B$127,X5)*X7*IF(X2&gt;=Assumptions!$B$57,1,0)</f>
        <v/>
      </c>
      <c r="Y114" s="58">
        <f>INDEX(Assumptions!$B$107:$B$113,Y5)*Assumptions!$B$135*INDEX(Assumptions!$B$121:$B$127,Y5)*Y7*IF(Y2&gt;=Assumptions!$B$57,1,0)</f>
        <v/>
      </c>
      <c r="Z114" s="58">
        <f>INDEX(Assumptions!$B$107:$B$113,Z5)*Assumptions!$B$135*INDEX(Assumptions!$B$121:$B$127,Z5)*Z7*IF(Z2&gt;=Assumptions!$B$57,1,0)</f>
        <v/>
      </c>
      <c r="AA114" s="58">
        <f>INDEX(Assumptions!$B$107:$B$113,AA5)*Assumptions!$B$135*INDEX(Assumptions!$B$121:$B$127,AA5)*AA7*IF(AA2&gt;=Assumptions!$B$57,1,0)</f>
        <v/>
      </c>
      <c r="AB114" s="58">
        <f>INDEX(Assumptions!$B$107:$B$113,AB5)*Assumptions!$B$135*INDEX(Assumptions!$B$121:$B$127,AB5)*AB7*IF(AB2&gt;=Assumptions!$B$57,1,0)</f>
        <v/>
      </c>
      <c r="AC114" s="58">
        <f>INDEX(Assumptions!$B$107:$B$113,AC5)*Assumptions!$B$135*INDEX(Assumptions!$B$121:$B$127,AC5)*AC7*IF(AC2&gt;=Assumptions!$B$57,1,0)</f>
        <v/>
      </c>
      <c r="AD114" s="58">
        <f>INDEX(Assumptions!$B$107:$B$113,AD5)*Assumptions!$B$135*INDEX(Assumptions!$B$121:$B$127,AD5)*AD7*IF(AD2&gt;=Assumptions!$B$57,1,0)</f>
        <v/>
      </c>
      <c r="AE114" s="58">
        <f>INDEX(Assumptions!$B$107:$B$113,AE5)*Assumptions!$B$135*INDEX(Assumptions!$B$121:$B$127,AE5)*AE7*IF(AE2&gt;=Assumptions!$B$57,1,0)</f>
        <v/>
      </c>
    </row>
    <row r="115">
      <c r="A115" s="6" t="inlineStr">
        <is>
          <t xml:space="preserve">  Raw demand</t>
        </is>
      </c>
      <c r="B115" s="23" t="inlineStr">
        <is>
          <t>accounts</t>
        </is>
      </c>
      <c r="C115" s="60">
        <f>C112+C113+C114</f>
        <v/>
      </c>
      <c r="D115" s="60">
        <f>D112+D113+D114</f>
        <v/>
      </c>
      <c r="E115" s="60">
        <f>E112+E113+E114</f>
        <v/>
      </c>
      <c r="F115" s="60">
        <f>F112+F113+F114</f>
        <v/>
      </c>
      <c r="G115" s="60">
        <f>G112+G113+G114</f>
        <v/>
      </c>
      <c r="H115" s="60">
        <f>H112+H113+H114</f>
        <v/>
      </c>
      <c r="I115" s="60">
        <f>I112+I113+I114</f>
        <v/>
      </c>
      <c r="J115" s="60">
        <f>J112+J113+J114</f>
        <v/>
      </c>
      <c r="K115" s="60">
        <f>K112+K113+K114</f>
        <v/>
      </c>
      <c r="L115" s="60">
        <f>L112+L113+L114</f>
        <v/>
      </c>
      <c r="M115" s="60">
        <f>M112+M113+M114</f>
        <v/>
      </c>
      <c r="N115" s="60">
        <f>N112+N113+N114</f>
        <v/>
      </c>
      <c r="O115" s="60">
        <f>O112+O113+O114</f>
        <v/>
      </c>
      <c r="P115" s="60">
        <f>P112+P113+P114</f>
        <v/>
      </c>
      <c r="Q115" s="60">
        <f>Q112+Q113+Q114</f>
        <v/>
      </c>
      <c r="R115" s="60">
        <f>R112+R113+R114</f>
        <v/>
      </c>
      <c r="S115" s="60">
        <f>S112+S113+S114</f>
        <v/>
      </c>
      <c r="T115" s="60">
        <f>T112+T113+T114</f>
        <v/>
      </c>
      <c r="U115" s="60">
        <f>U112+U113+U114</f>
        <v/>
      </c>
      <c r="V115" s="60">
        <f>V112+V113+V114</f>
        <v/>
      </c>
      <c r="W115" s="60">
        <f>W112+W113+W114</f>
        <v/>
      </c>
      <c r="X115" s="60">
        <f>X112+X113+X114</f>
        <v/>
      </c>
      <c r="Y115" s="60">
        <f>Y112+Y113+Y114</f>
        <v/>
      </c>
      <c r="Z115" s="60">
        <f>Z112+Z113+Z114</f>
        <v/>
      </c>
      <c r="AA115" s="60">
        <f>AA112+AA113+AA114</f>
        <v/>
      </c>
      <c r="AB115" s="60">
        <f>AB112+AB113+AB114</f>
        <v/>
      </c>
      <c r="AC115" s="60">
        <f>AC112+AC113+AC114</f>
        <v/>
      </c>
      <c r="AD115" s="60">
        <f>AD112+AD113+AD114</f>
        <v/>
      </c>
      <c r="AE115" s="60">
        <f>AE112+AE113+AE114</f>
        <v/>
      </c>
    </row>
    <row r="116">
      <c r="A116" s="6" t="inlineStr">
        <is>
          <t xml:space="preserve">  Saturation (this region's own headroom)</t>
        </is>
      </c>
      <c r="B116" s="23" t="inlineStr">
        <is>
          <t>x</t>
        </is>
      </c>
      <c r="C116" s="56" t="n">
        <v>1</v>
      </c>
      <c r="D116" s="56">
        <f>MAX(0,1-C121/Assumptions!$B$86)</f>
        <v/>
      </c>
      <c r="E116" s="56">
        <f>MAX(0,1-D121/Assumptions!$B$86)</f>
        <v/>
      </c>
      <c r="F116" s="56">
        <f>MAX(0,1-E121/Assumptions!$B$86)</f>
        <v/>
      </c>
      <c r="G116" s="56">
        <f>MAX(0,1-F121/Assumptions!$B$86)</f>
        <v/>
      </c>
      <c r="H116" s="56">
        <f>MAX(0,1-G121/Assumptions!$B$86)</f>
        <v/>
      </c>
      <c r="I116" s="56">
        <f>MAX(0,1-H121/Assumptions!$B$86)</f>
        <v/>
      </c>
      <c r="J116" s="56">
        <f>MAX(0,1-I121/Assumptions!$B$86)</f>
        <v/>
      </c>
      <c r="K116" s="56">
        <f>MAX(0,1-J121/Assumptions!$B$86)</f>
        <v/>
      </c>
      <c r="L116" s="56">
        <f>MAX(0,1-K121/Assumptions!$B$86)</f>
        <v/>
      </c>
      <c r="M116" s="56">
        <f>MAX(0,1-L121/Assumptions!$B$86)</f>
        <v/>
      </c>
      <c r="N116" s="56">
        <f>MAX(0,1-M121/Assumptions!$B$86)</f>
        <v/>
      </c>
      <c r="O116" s="56">
        <f>MAX(0,1-N121/Assumptions!$B$86)</f>
        <v/>
      </c>
      <c r="P116" s="56">
        <f>MAX(0,1-O121/Assumptions!$B$86)</f>
        <v/>
      </c>
      <c r="Q116" s="56">
        <f>MAX(0,1-P121/Assumptions!$B$86)</f>
        <v/>
      </c>
      <c r="R116" s="56">
        <f>MAX(0,1-Q121/Assumptions!$B$86)</f>
        <v/>
      </c>
      <c r="S116" s="56">
        <f>MAX(0,1-R121/Assumptions!$B$86)</f>
        <v/>
      </c>
      <c r="T116" s="56">
        <f>MAX(0,1-S121/Assumptions!$B$86)</f>
        <v/>
      </c>
      <c r="U116" s="56">
        <f>MAX(0,1-T121/Assumptions!$B$86)</f>
        <v/>
      </c>
      <c r="V116" s="56">
        <f>MAX(0,1-U121/Assumptions!$B$86)</f>
        <v/>
      </c>
      <c r="W116" s="56">
        <f>MAX(0,1-V121/Assumptions!$B$86)</f>
        <v/>
      </c>
      <c r="X116" s="56">
        <f>MAX(0,1-W121/Assumptions!$B$86)</f>
        <v/>
      </c>
      <c r="Y116" s="56">
        <f>MAX(0,1-X121/Assumptions!$B$86)</f>
        <v/>
      </c>
      <c r="Z116" s="56">
        <f>MAX(0,1-Y121/Assumptions!$B$86)</f>
        <v/>
      </c>
      <c r="AA116" s="56">
        <f>MAX(0,1-Z121/Assumptions!$B$86)</f>
        <v/>
      </c>
      <c r="AB116" s="56">
        <f>MAX(0,1-AA121/Assumptions!$B$86)</f>
        <v/>
      </c>
      <c r="AC116" s="56">
        <f>MAX(0,1-AB121/Assumptions!$B$86)</f>
        <v/>
      </c>
      <c r="AD116" s="56">
        <f>MAX(0,1-AC121/Assumptions!$B$86)</f>
        <v/>
      </c>
      <c r="AE116" s="56">
        <f>MAX(0,1-AD121/Assumptions!$B$86)</f>
        <v/>
      </c>
    </row>
    <row r="117">
      <c r="A117" s="6" t="inlineStr">
        <is>
          <t xml:space="preserve">  New customers</t>
        </is>
      </c>
      <c r="B117" s="23" t="inlineStr">
        <is>
          <t>accounts</t>
        </is>
      </c>
      <c r="C117" s="60">
        <f>C115*C116*C15</f>
        <v/>
      </c>
      <c r="D117" s="60">
        <f>D115*D116*D15</f>
        <v/>
      </c>
      <c r="E117" s="60">
        <f>E115*E116*E15</f>
        <v/>
      </c>
      <c r="F117" s="60">
        <f>F115*F116*F15</f>
        <v/>
      </c>
      <c r="G117" s="60">
        <f>G115*G116*G15</f>
        <v/>
      </c>
      <c r="H117" s="60">
        <f>H115*H116*H15</f>
        <v/>
      </c>
      <c r="I117" s="60">
        <f>I115*I116*I15</f>
        <v/>
      </c>
      <c r="J117" s="60">
        <f>J115*J116*J15</f>
        <v/>
      </c>
      <c r="K117" s="60">
        <f>K115*K116*K15</f>
        <v/>
      </c>
      <c r="L117" s="60">
        <f>L115*L116*L15</f>
        <v/>
      </c>
      <c r="M117" s="60">
        <f>M115*M116*M15</f>
        <v/>
      </c>
      <c r="N117" s="60">
        <f>N115*N116*N15</f>
        <v/>
      </c>
      <c r="O117" s="60">
        <f>O115*O116*O15</f>
        <v/>
      </c>
      <c r="P117" s="60">
        <f>P115*P116*P15</f>
        <v/>
      </c>
      <c r="Q117" s="60">
        <f>Q115*Q116*Q15</f>
        <v/>
      </c>
      <c r="R117" s="60">
        <f>R115*R116*R15</f>
        <v/>
      </c>
      <c r="S117" s="60">
        <f>S115*S116*S15</f>
        <v/>
      </c>
      <c r="T117" s="60">
        <f>T115*T116*T15</f>
        <v/>
      </c>
      <c r="U117" s="60">
        <f>U115*U116*U15</f>
        <v/>
      </c>
      <c r="V117" s="60">
        <f>V115*V116*V15</f>
        <v/>
      </c>
      <c r="W117" s="60">
        <f>W115*W116*W15</f>
        <v/>
      </c>
      <c r="X117" s="60">
        <f>X115*X116*X15</f>
        <v/>
      </c>
      <c r="Y117" s="60">
        <f>Y115*Y116*Y15</f>
        <v/>
      </c>
      <c r="Z117" s="60">
        <f>Z115*Z116*Z15</f>
        <v/>
      </c>
      <c r="AA117" s="60">
        <f>AA115*AA116*AA15</f>
        <v/>
      </c>
      <c r="AB117" s="60">
        <f>AB115*AB116*AB15</f>
        <v/>
      </c>
      <c r="AC117" s="60">
        <f>AC115*AC116*AC15</f>
        <v/>
      </c>
      <c r="AD117" s="60">
        <f>AD115*AD116*AD15</f>
        <v/>
      </c>
      <c r="AE117" s="60">
        <f>AE115*AE116*AE15</f>
        <v/>
      </c>
    </row>
    <row r="118">
      <c r="A118" s="6" t="inlineStr">
        <is>
          <t xml:space="preserve">  Paying customers</t>
        </is>
      </c>
      <c r="B118" s="23" t="inlineStr">
        <is>
          <t>accounts</t>
        </is>
      </c>
      <c r="C118" s="28">
        <f>C117*(1-Assumptions!$B$134)^(C7/2)</f>
        <v/>
      </c>
      <c r="D118" s="28">
        <f>C118*(1-Assumptions!$B$134)^D7+D117*(1-Assumptions!$B$134)^(D7/2)</f>
        <v/>
      </c>
      <c r="E118" s="28">
        <f>D118*(1-Assumptions!$B$134)^E7+E117*(1-Assumptions!$B$134)^(E7/2)</f>
        <v/>
      </c>
      <c r="F118" s="28">
        <f>E118*(1-Assumptions!$B$134)^F7+F117*(1-Assumptions!$B$134)^(F7/2)</f>
        <v/>
      </c>
      <c r="G118" s="28">
        <f>F118*(1-Assumptions!$B$134)^G7+G117*(1-Assumptions!$B$134)^(G7/2)</f>
        <v/>
      </c>
      <c r="H118" s="28">
        <f>G118*(1-Assumptions!$B$134)^H7+H117*(1-Assumptions!$B$134)^(H7/2)</f>
        <v/>
      </c>
      <c r="I118" s="28">
        <f>H118*(1-Assumptions!$B$134)^I7+I117*(1-Assumptions!$B$134)^(I7/2)</f>
        <v/>
      </c>
      <c r="J118" s="28">
        <f>I118*(1-Assumptions!$B$134)^J7+J117*(1-Assumptions!$B$134)^(J7/2)</f>
        <v/>
      </c>
      <c r="K118" s="28">
        <f>J118*(1-Assumptions!$B$134)^K7+K117*(1-Assumptions!$B$134)^(K7/2)</f>
        <v/>
      </c>
      <c r="L118" s="28">
        <f>K118*(1-Assumptions!$B$134)^L7+L117*(1-Assumptions!$B$134)^(L7/2)</f>
        <v/>
      </c>
      <c r="M118" s="28">
        <f>L118*(1-Assumptions!$B$134)^M7+M117*(1-Assumptions!$B$134)^(M7/2)</f>
        <v/>
      </c>
      <c r="N118" s="28">
        <f>M118*(1-Assumptions!$B$134)^N7+N117*(1-Assumptions!$B$134)^(N7/2)</f>
        <v/>
      </c>
      <c r="O118" s="28">
        <f>N118*(1-Assumptions!$B$134)^O7+O117*(1-Assumptions!$B$134)^(O7/2)</f>
        <v/>
      </c>
      <c r="P118" s="28">
        <f>O118*(1-Assumptions!$B$134)^P7+P117*(1-Assumptions!$B$134)^(P7/2)</f>
        <v/>
      </c>
      <c r="Q118" s="28">
        <f>P118*(1-Assumptions!$B$134)^Q7+Q117*(1-Assumptions!$B$134)^(Q7/2)</f>
        <v/>
      </c>
      <c r="R118" s="28">
        <f>Q118*(1-Assumptions!$B$134)^R7+R117*(1-Assumptions!$B$134)^(R7/2)</f>
        <v/>
      </c>
      <c r="S118" s="28">
        <f>R118*(1-Assumptions!$B$134)^S7+S117*(1-Assumptions!$B$134)^(S7/2)</f>
        <v/>
      </c>
      <c r="T118" s="28">
        <f>S118*(1-Assumptions!$B$134)^T7+T117*(1-Assumptions!$B$134)^(T7/2)</f>
        <v/>
      </c>
      <c r="U118" s="28">
        <f>T118*(1-Assumptions!$B$134)^U7+U117*(1-Assumptions!$B$134)^(U7/2)</f>
        <v/>
      </c>
      <c r="V118" s="28">
        <f>U118*(1-Assumptions!$B$134)^V7+V117*(1-Assumptions!$B$134)^(V7/2)</f>
        <v/>
      </c>
      <c r="W118" s="28">
        <f>V118*(1-Assumptions!$B$134)^W7+W117*(1-Assumptions!$B$134)^(W7/2)</f>
        <v/>
      </c>
      <c r="X118" s="28">
        <f>W118*(1-Assumptions!$B$134)^X7+X117*(1-Assumptions!$B$134)^(X7/2)</f>
        <v/>
      </c>
      <c r="Y118" s="28">
        <f>X118*(1-Assumptions!$B$134)^Y7+Y117*(1-Assumptions!$B$134)^(Y7/2)</f>
        <v/>
      </c>
      <c r="Z118" s="28">
        <f>Y118*(1-Assumptions!$B$134)^Z7+Z117*(1-Assumptions!$B$134)^(Z7/2)</f>
        <v/>
      </c>
      <c r="AA118" s="28">
        <f>Z118*(1-Assumptions!$B$134)^AA7+AA117*(1-Assumptions!$B$134)^(AA7/2)</f>
        <v/>
      </c>
      <c r="AB118" s="28">
        <f>AA118*(1-Assumptions!$B$134)^AB7+AB117*(1-Assumptions!$B$134)^(AB7/2)</f>
        <v/>
      </c>
      <c r="AC118" s="28">
        <f>AB118*(1-Assumptions!$B$134)^AC7+AC117*(1-Assumptions!$B$134)^(AC7/2)</f>
        <v/>
      </c>
      <c r="AD118" s="28">
        <f>AC118*(1-Assumptions!$B$134)^AD7+AD117*(1-Assumptions!$B$134)^(AD7/2)</f>
        <v/>
      </c>
      <c r="AE118" s="28">
        <f>AD118*(1-Assumptions!$B$134)^AE7+AE117*(1-Assumptions!$B$134)^(AE7/2)</f>
        <v/>
      </c>
    </row>
    <row r="119">
      <c r="A119" s="6" t="inlineStr">
        <is>
          <t xml:space="preserve">  Churned this period</t>
        </is>
      </c>
      <c r="B119" s="23" t="inlineStr">
        <is>
          <t>accounts</t>
        </is>
      </c>
      <c r="C119" s="60">
        <f>C117-C118</f>
        <v/>
      </c>
      <c r="D119" s="60">
        <f>C118+D117-D118</f>
        <v/>
      </c>
      <c r="E119" s="60">
        <f>D118+E117-E118</f>
        <v/>
      </c>
      <c r="F119" s="60">
        <f>E118+F117-F118</f>
        <v/>
      </c>
      <c r="G119" s="60">
        <f>F118+G117-G118</f>
        <v/>
      </c>
      <c r="H119" s="60">
        <f>G118+H117-H118</f>
        <v/>
      </c>
      <c r="I119" s="60">
        <f>H118+I117-I118</f>
        <v/>
      </c>
      <c r="J119" s="60">
        <f>I118+J117-J118</f>
        <v/>
      </c>
      <c r="K119" s="60">
        <f>J118+K117-K118</f>
        <v/>
      </c>
      <c r="L119" s="60">
        <f>K118+L117-L118</f>
        <v/>
      </c>
      <c r="M119" s="60">
        <f>L118+M117-M118</f>
        <v/>
      </c>
      <c r="N119" s="60">
        <f>M118+N117-N118</f>
        <v/>
      </c>
      <c r="O119" s="60">
        <f>N118+O117-O118</f>
        <v/>
      </c>
      <c r="P119" s="60">
        <f>O118+P117-P118</f>
        <v/>
      </c>
      <c r="Q119" s="60">
        <f>P118+Q117-Q118</f>
        <v/>
      </c>
      <c r="R119" s="60">
        <f>Q118+R117-R118</f>
        <v/>
      </c>
      <c r="S119" s="60">
        <f>R118+S117-S118</f>
        <v/>
      </c>
      <c r="T119" s="60">
        <f>S118+T117-T118</f>
        <v/>
      </c>
      <c r="U119" s="60">
        <f>T118+U117-U118</f>
        <v/>
      </c>
      <c r="V119" s="60">
        <f>U118+V117-V118</f>
        <v/>
      </c>
      <c r="W119" s="60">
        <f>V118+W117-W118</f>
        <v/>
      </c>
      <c r="X119" s="60">
        <f>W118+X117-X118</f>
        <v/>
      </c>
      <c r="Y119" s="60">
        <f>X118+Y117-Y118</f>
        <v/>
      </c>
      <c r="Z119" s="60">
        <f>Y118+Z117-Z118</f>
        <v/>
      </c>
      <c r="AA119" s="60">
        <f>Z118+AA117-AA118</f>
        <v/>
      </c>
      <c r="AB119" s="60">
        <f>AA118+AB117-AB118</f>
        <v/>
      </c>
      <c r="AC119" s="60">
        <f>AB118+AC117-AC118</f>
        <v/>
      </c>
      <c r="AD119" s="60">
        <f>AC118+AD117-AD118</f>
        <v/>
      </c>
      <c r="AE119" s="60">
        <f>AD118+AE117-AE118</f>
        <v/>
      </c>
    </row>
    <row r="120">
      <c r="A120" s="6" t="inlineStr">
        <is>
          <t xml:space="preserve">  Holders (stopped paying, still hold gold)</t>
        </is>
      </c>
      <c r="B120" s="23" t="inlineStr">
        <is>
          <t>accounts</t>
        </is>
      </c>
      <c r="C120" s="50">
        <f>C119</f>
        <v/>
      </c>
      <c r="D120" s="50">
        <f>C120+D119</f>
        <v/>
      </c>
      <c r="E120" s="50">
        <f>D120+E119</f>
        <v/>
      </c>
      <c r="F120" s="50">
        <f>E120+F119</f>
        <v/>
      </c>
      <c r="G120" s="50">
        <f>F120+G119</f>
        <v/>
      </c>
      <c r="H120" s="50">
        <f>G120+H119</f>
        <v/>
      </c>
      <c r="I120" s="50">
        <f>H120+I119</f>
        <v/>
      </c>
      <c r="J120" s="50">
        <f>I120+J119</f>
        <v/>
      </c>
      <c r="K120" s="50">
        <f>J120+K119</f>
        <v/>
      </c>
      <c r="L120" s="50">
        <f>K120+L119</f>
        <v/>
      </c>
      <c r="M120" s="50">
        <f>L120+M119</f>
        <v/>
      </c>
      <c r="N120" s="50">
        <f>M120+N119</f>
        <v/>
      </c>
      <c r="O120" s="50">
        <f>N120+O119</f>
        <v/>
      </c>
      <c r="P120" s="50">
        <f>O120+P119</f>
        <v/>
      </c>
      <c r="Q120" s="50">
        <f>P120+Q119</f>
        <v/>
      </c>
      <c r="R120" s="50">
        <f>Q120+R119</f>
        <v/>
      </c>
      <c r="S120" s="50">
        <f>R120+S119</f>
        <v/>
      </c>
      <c r="T120" s="50">
        <f>S120+T119</f>
        <v/>
      </c>
      <c r="U120" s="50">
        <f>T120+U119</f>
        <v/>
      </c>
      <c r="V120" s="50">
        <f>U120+V119</f>
        <v/>
      </c>
      <c r="W120" s="50">
        <f>V120+W119</f>
        <v/>
      </c>
      <c r="X120" s="50">
        <f>W120+X119</f>
        <v/>
      </c>
      <c r="Y120" s="50">
        <f>X120+Y119</f>
        <v/>
      </c>
      <c r="Z120" s="50">
        <f>Y120+Z119</f>
        <v/>
      </c>
      <c r="AA120" s="50">
        <f>Z120+AA119</f>
        <v/>
      </c>
      <c r="AB120" s="50">
        <f>AA120+AB119</f>
        <v/>
      </c>
      <c r="AC120" s="50">
        <f>AB120+AC119</f>
        <v/>
      </c>
      <c r="AD120" s="50">
        <f>AC120+AD119</f>
        <v/>
      </c>
      <c r="AE120" s="50">
        <f>AD120+AE119</f>
        <v/>
      </c>
    </row>
    <row r="121">
      <c r="A121" s="6" t="inlineStr">
        <is>
          <t xml:space="preserve">  Cumulative ever acquired</t>
        </is>
      </c>
      <c r="B121" s="23" t="inlineStr">
        <is>
          <t>accounts</t>
        </is>
      </c>
      <c r="C121" s="50">
        <f>C117</f>
        <v/>
      </c>
      <c r="D121" s="50">
        <f>C121+D117</f>
        <v/>
      </c>
      <c r="E121" s="50">
        <f>D121+E117</f>
        <v/>
      </c>
      <c r="F121" s="50">
        <f>E121+F117</f>
        <v/>
      </c>
      <c r="G121" s="50">
        <f>F121+G117</f>
        <v/>
      </c>
      <c r="H121" s="50">
        <f>G121+H117</f>
        <v/>
      </c>
      <c r="I121" s="50">
        <f>H121+I117</f>
        <v/>
      </c>
      <c r="J121" s="50">
        <f>I121+J117</f>
        <v/>
      </c>
      <c r="K121" s="50">
        <f>J121+K117</f>
        <v/>
      </c>
      <c r="L121" s="50">
        <f>K121+L117</f>
        <v/>
      </c>
      <c r="M121" s="50">
        <f>L121+M117</f>
        <v/>
      </c>
      <c r="N121" s="50">
        <f>M121+N117</f>
        <v/>
      </c>
      <c r="O121" s="50">
        <f>N121+O117</f>
        <v/>
      </c>
      <c r="P121" s="50">
        <f>O121+P117</f>
        <v/>
      </c>
      <c r="Q121" s="50">
        <f>P121+Q117</f>
        <v/>
      </c>
      <c r="R121" s="50">
        <f>Q121+R117</f>
        <v/>
      </c>
      <c r="S121" s="50">
        <f>R121+S117</f>
        <v/>
      </c>
      <c r="T121" s="50">
        <f>S121+T117</f>
        <v/>
      </c>
      <c r="U121" s="50">
        <f>T121+U117</f>
        <v/>
      </c>
      <c r="V121" s="50">
        <f>U121+V117</f>
        <v/>
      </c>
      <c r="W121" s="50">
        <f>V121+W117</f>
        <v/>
      </c>
      <c r="X121" s="50">
        <f>W121+X117</f>
        <v/>
      </c>
      <c r="Y121" s="50">
        <f>X121+Y117</f>
        <v/>
      </c>
      <c r="Z121" s="50">
        <f>Y121+Z117</f>
        <v/>
      </c>
      <c r="AA121" s="50">
        <f>Z121+AA117</f>
        <v/>
      </c>
      <c r="AB121" s="50">
        <f>AA121+AB117</f>
        <v/>
      </c>
      <c r="AC121" s="50">
        <f>AB121+AC117</f>
        <v/>
      </c>
      <c r="AD121" s="50">
        <f>AC121+AD117</f>
        <v/>
      </c>
      <c r="AE121" s="50">
        <f>AD121+AE117</f>
        <v/>
      </c>
    </row>
    <row r="122">
      <c r="A122" s="6" t="inlineStr">
        <is>
          <t xml:space="preserve">  SIP contributions</t>
        </is>
      </c>
      <c r="B122" s="23" t="inlineStr">
        <is>
          <t>USD</t>
        </is>
      </c>
      <c r="C122" s="61">
        <f>IF(C2&gt;=Assumptions!$B$47,C118*Assumptions!$B$192*C7,0)</f>
        <v/>
      </c>
      <c r="D122" s="61">
        <f>IF(D2&gt;=Assumptions!$B$47,D118*Assumptions!$B$192*D7,0)</f>
        <v/>
      </c>
      <c r="E122" s="61">
        <f>IF(E2&gt;=Assumptions!$B$47,E118*Assumptions!$B$192*E7,0)</f>
        <v/>
      </c>
      <c r="F122" s="61">
        <f>IF(F2&gt;=Assumptions!$B$47,F118*Assumptions!$B$192*F7,0)</f>
        <v/>
      </c>
      <c r="G122" s="61">
        <f>IF(G2&gt;=Assumptions!$B$47,G118*Assumptions!$B$192*G7,0)</f>
        <v/>
      </c>
      <c r="H122" s="61">
        <f>IF(H2&gt;=Assumptions!$B$47,H118*Assumptions!$B$192*H7,0)</f>
        <v/>
      </c>
      <c r="I122" s="61">
        <f>IF(I2&gt;=Assumptions!$B$47,I118*Assumptions!$B$192*I7,0)</f>
        <v/>
      </c>
      <c r="J122" s="61">
        <f>IF(J2&gt;=Assumptions!$B$47,J118*Assumptions!$B$192*J7,0)</f>
        <v/>
      </c>
      <c r="K122" s="61">
        <f>IF(K2&gt;=Assumptions!$B$47,K118*Assumptions!$B$192*K7,0)</f>
        <v/>
      </c>
      <c r="L122" s="61">
        <f>IF(L2&gt;=Assumptions!$B$47,L118*Assumptions!$B$192*L7,0)</f>
        <v/>
      </c>
      <c r="M122" s="61">
        <f>IF(M2&gt;=Assumptions!$B$47,M118*Assumptions!$B$192*M7,0)</f>
        <v/>
      </c>
      <c r="N122" s="61">
        <f>IF(N2&gt;=Assumptions!$B$47,N118*Assumptions!$B$192*N7,0)</f>
        <v/>
      </c>
      <c r="O122" s="61">
        <f>IF(O2&gt;=Assumptions!$B$47,O118*Assumptions!$B$192*O7,0)</f>
        <v/>
      </c>
      <c r="P122" s="61">
        <f>IF(P2&gt;=Assumptions!$B$47,P118*Assumptions!$B$192*P7,0)</f>
        <v/>
      </c>
      <c r="Q122" s="61">
        <f>IF(Q2&gt;=Assumptions!$B$47,Q118*Assumptions!$B$192*Q7,0)</f>
        <v/>
      </c>
      <c r="R122" s="61">
        <f>IF(R2&gt;=Assumptions!$B$47,R118*Assumptions!$B$192*R7,0)</f>
        <v/>
      </c>
      <c r="S122" s="61">
        <f>IF(S2&gt;=Assumptions!$B$47,S118*Assumptions!$B$192*S7,0)</f>
        <v/>
      </c>
      <c r="T122" s="61">
        <f>IF(T2&gt;=Assumptions!$B$47,T118*Assumptions!$B$192*T7,0)</f>
        <v/>
      </c>
      <c r="U122" s="61">
        <f>IF(U2&gt;=Assumptions!$B$47,U118*Assumptions!$B$192*U7,0)</f>
        <v/>
      </c>
      <c r="V122" s="61">
        <f>IF(V2&gt;=Assumptions!$B$47,V118*Assumptions!$B$192*V7,0)</f>
        <v/>
      </c>
      <c r="W122" s="61">
        <f>IF(W2&gt;=Assumptions!$B$47,W118*Assumptions!$B$192*W7,0)</f>
        <v/>
      </c>
      <c r="X122" s="61">
        <f>IF(X2&gt;=Assumptions!$B$47,X118*Assumptions!$B$192*X7,0)</f>
        <v/>
      </c>
      <c r="Y122" s="61">
        <f>IF(Y2&gt;=Assumptions!$B$47,Y118*Assumptions!$B$192*Y7,0)</f>
        <v/>
      </c>
      <c r="Z122" s="61">
        <f>IF(Z2&gt;=Assumptions!$B$47,Z118*Assumptions!$B$192*Z7,0)</f>
        <v/>
      </c>
      <c r="AA122" s="61">
        <f>IF(AA2&gt;=Assumptions!$B$47,AA118*Assumptions!$B$192*AA7,0)</f>
        <v/>
      </c>
      <c r="AB122" s="61">
        <f>IF(AB2&gt;=Assumptions!$B$47,AB118*Assumptions!$B$192*AB7,0)</f>
        <v/>
      </c>
      <c r="AC122" s="61">
        <f>IF(AC2&gt;=Assumptions!$B$47,AC118*Assumptions!$B$192*AC7,0)</f>
        <v/>
      </c>
      <c r="AD122" s="61">
        <f>IF(AD2&gt;=Assumptions!$B$47,AD118*Assumptions!$B$192*AD7,0)</f>
        <v/>
      </c>
      <c r="AE122" s="61">
        <f>IF(AE2&gt;=Assumptions!$B$47,AE118*Assumptions!$B$192*AE7,0)</f>
        <v/>
      </c>
    </row>
    <row r="123">
      <c r="A123" s="6" t="inlineStr">
        <is>
          <t xml:space="preserve">  Spot purchase volume</t>
        </is>
      </c>
      <c r="B123" s="23" t="inlineStr">
        <is>
          <t>USD</t>
        </is>
      </c>
      <c r="C123" s="61">
        <f>IF(C2&gt;=Assumptions!$B$48,C118*Assumptions!$B$37*Assumptions!$B$154*Assumptions!$B$156*Assumptions!$B$34*Assumptions!$B$155/12*C7,0)</f>
        <v/>
      </c>
      <c r="D123" s="61">
        <f>IF(D2&gt;=Assumptions!$B$48,D118*Assumptions!$B$37*Assumptions!$B$154*Assumptions!$B$156*Assumptions!$B$34*Assumptions!$B$155/12*D7,0)</f>
        <v/>
      </c>
      <c r="E123" s="61">
        <f>IF(E2&gt;=Assumptions!$B$48,E118*Assumptions!$B$37*Assumptions!$B$154*Assumptions!$B$156*Assumptions!$B$34*Assumptions!$B$155/12*E7,0)</f>
        <v/>
      </c>
      <c r="F123" s="61">
        <f>IF(F2&gt;=Assumptions!$B$48,F118*Assumptions!$B$37*Assumptions!$B$154*Assumptions!$B$156*Assumptions!$B$34*Assumptions!$B$155/12*F7,0)</f>
        <v/>
      </c>
      <c r="G123" s="61">
        <f>IF(G2&gt;=Assumptions!$B$48,G118*Assumptions!$B$37*Assumptions!$B$154*Assumptions!$B$156*Assumptions!$B$34*Assumptions!$B$155/12*G7,0)</f>
        <v/>
      </c>
      <c r="H123" s="61">
        <f>IF(H2&gt;=Assumptions!$B$48,H118*Assumptions!$B$37*Assumptions!$B$154*Assumptions!$B$156*Assumptions!$B$34*Assumptions!$B$155/12*H7,0)</f>
        <v/>
      </c>
      <c r="I123" s="61">
        <f>IF(I2&gt;=Assumptions!$B$48,I118*Assumptions!$B$37*Assumptions!$B$154*Assumptions!$B$156*Assumptions!$B$34*Assumptions!$B$155/12*I7,0)</f>
        <v/>
      </c>
      <c r="J123" s="61">
        <f>IF(J2&gt;=Assumptions!$B$48,J118*Assumptions!$B$37*Assumptions!$B$154*Assumptions!$B$156*Assumptions!$B$34*Assumptions!$B$155/12*J7,0)</f>
        <v/>
      </c>
      <c r="K123" s="61">
        <f>IF(K2&gt;=Assumptions!$B$48,K118*Assumptions!$B$37*Assumptions!$B$154*Assumptions!$B$156*Assumptions!$B$34*Assumptions!$B$155/12*K7,0)</f>
        <v/>
      </c>
      <c r="L123" s="61">
        <f>IF(L2&gt;=Assumptions!$B$48,L118*Assumptions!$B$37*Assumptions!$B$154*Assumptions!$B$156*Assumptions!$B$34*Assumptions!$B$155/12*L7,0)</f>
        <v/>
      </c>
      <c r="M123" s="61">
        <f>IF(M2&gt;=Assumptions!$B$48,M118*Assumptions!$B$37*Assumptions!$B$154*Assumptions!$B$156*Assumptions!$B$34*Assumptions!$B$155/12*M7,0)</f>
        <v/>
      </c>
      <c r="N123" s="61">
        <f>IF(N2&gt;=Assumptions!$B$48,N118*Assumptions!$B$37*Assumptions!$B$154*Assumptions!$B$156*Assumptions!$B$34*Assumptions!$B$155/12*N7,0)</f>
        <v/>
      </c>
      <c r="O123" s="61">
        <f>IF(O2&gt;=Assumptions!$B$48,O118*Assumptions!$B$37*Assumptions!$B$154*Assumptions!$B$156*Assumptions!$B$34*Assumptions!$B$155/12*O7,0)</f>
        <v/>
      </c>
      <c r="P123" s="61">
        <f>IF(P2&gt;=Assumptions!$B$48,P118*Assumptions!$B$37*Assumptions!$B$154*Assumptions!$B$156*Assumptions!$B$34*Assumptions!$B$155/12*P7,0)</f>
        <v/>
      </c>
      <c r="Q123" s="61">
        <f>IF(Q2&gt;=Assumptions!$B$48,Q118*Assumptions!$B$37*Assumptions!$B$154*Assumptions!$B$156*Assumptions!$B$34*Assumptions!$B$155/12*Q7,0)</f>
        <v/>
      </c>
      <c r="R123" s="61">
        <f>IF(R2&gt;=Assumptions!$B$48,R118*Assumptions!$B$37*Assumptions!$B$154*Assumptions!$B$156*Assumptions!$B$34*Assumptions!$B$155/12*R7,0)</f>
        <v/>
      </c>
      <c r="S123" s="61">
        <f>IF(S2&gt;=Assumptions!$B$48,S118*Assumptions!$B$37*Assumptions!$B$154*Assumptions!$B$156*Assumptions!$B$34*Assumptions!$B$155/12*S7,0)</f>
        <v/>
      </c>
      <c r="T123" s="61">
        <f>IF(T2&gt;=Assumptions!$B$48,T118*Assumptions!$B$37*Assumptions!$B$154*Assumptions!$B$156*Assumptions!$B$34*Assumptions!$B$155/12*T7,0)</f>
        <v/>
      </c>
      <c r="U123" s="61">
        <f>IF(U2&gt;=Assumptions!$B$48,U118*Assumptions!$B$37*Assumptions!$B$154*Assumptions!$B$156*Assumptions!$B$34*Assumptions!$B$155/12*U7,0)</f>
        <v/>
      </c>
      <c r="V123" s="61">
        <f>IF(V2&gt;=Assumptions!$B$48,V118*Assumptions!$B$37*Assumptions!$B$154*Assumptions!$B$156*Assumptions!$B$34*Assumptions!$B$155/12*V7,0)</f>
        <v/>
      </c>
      <c r="W123" s="61">
        <f>IF(W2&gt;=Assumptions!$B$48,W118*Assumptions!$B$37*Assumptions!$B$154*Assumptions!$B$156*Assumptions!$B$34*Assumptions!$B$155/12*W7,0)</f>
        <v/>
      </c>
      <c r="X123" s="61">
        <f>IF(X2&gt;=Assumptions!$B$48,X118*Assumptions!$B$37*Assumptions!$B$154*Assumptions!$B$156*Assumptions!$B$34*Assumptions!$B$155/12*X7,0)</f>
        <v/>
      </c>
      <c r="Y123" s="61">
        <f>IF(Y2&gt;=Assumptions!$B$48,Y118*Assumptions!$B$37*Assumptions!$B$154*Assumptions!$B$156*Assumptions!$B$34*Assumptions!$B$155/12*Y7,0)</f>
        <v/>
      </c>
      <c r="Z123" s="61">
        <f>IF(Z2&gt;=Assumptions!$B$48,Z118*Assumptions!$B$37*Assumptions!$B$154*Assumptions!$B$156*Assumptions!$B$34*Assumptions!$B$155/12*Z7,0)</f>
        <v/>
      </c>
      <c r="AA123" s="61">
        <f>IF(AA2&gt;=Assumptions!$B$48,AA118*Assumptions!$B$37*Assumptions!$B$154*Assumptions!$B$156*Assumptions!$B$34*Assumptions!$B$155/12*AA7,0)</f>
        <v/>
      </c>
      <c r="AB123" s="61">
        <f>IF(AB2&gt;=Assumptions!$B$48,AB118*Assumptions!$B$37*Assumptions!$B$154*Assumptions!$B$156*Assumptions!$B$34*Assumptions!$B$155/12*AB7,0)</f>
        <v/>
      </c>
      <c r="AC123" s="61">
        <f>IF(AC2&gt;=Assumptions!$B$48,AC118*Assumptions!$B$37*Assumptions!$B$154*Assumptions!$B$156*Assumptions!$B$34*Assumptions!$B$155/12*AC7,0)</f>
        <v/>
      </c>
      <c r="AD123" s="61">
        <f>IF(AD2&gt;=Assumptions!$B$48,AD118*Assumptions!$B$37*Assumptions!$B$154*Assumptions!$B$156*Assumptions!$B$34*Assumptions!$B$155/12*AD7,0)</f>
        <v/>
      </c>
      <c r="AE123" s="61">
        <f>IF(AE2&gt;=Assumptions!$B$48,AE118*Assumptions!$B$37*Assumptions!$B$154*Assumptions!$B$156*Assumptions!$B$34*Assumptions!$B$155/12*AE7,0)</f>
        <v/>
      </c>
    </row>
    <row r="124">
      <c r="A124" s="6" t="inlineStr">
        <is>
          <t xml:space="preserve">  Grams purchased</t>
        </is>
      </c>
      <c r="B124" s="23" t="inlineStr">
        <is>
          <t>grams</t>
        </is>
      </c>
      <c r="C124" s="60">
        <f>(C122+C123)*(1-Assumptions!$B$8)/C20/(1+Assumptions!$B$9*(1-Assumptions!$B$229))</f>
        <v/>
      </c>
      <c r="D124" s="60">
        <f>(D122+D123)*(1-Assumptions!$B$8)/D20/(1+Assumptions!$B$9*(1-Assumptions!$B$229))</f>
        <v/>
      </c>
      <c r="E124" s="60">
        <f>(E122+E123)*(1-Assumptions!$B$8)/E20/(1+Assumptions!$B$9*(1-Assumptions!$B$229))</f>
        <v/>
      </c>
      <c r="F124" s="60">
        <f>(F122+F123)*(1-Assumptions!$B$8)/F20/(1+Assumptions!$B$9*(1-Assumptions!$B$229))</f>
        <v/>
      </c>
      <c r="G124" s="60">
        <f>(G122+G123)*(1-Assumptions!$B$8)/G20/(1+Assumptions!$B$9*(1-Assumptions!$B$229))</f>
        <v/>
      </c>
      <c r="H124" s="60">
        <f>(H122+H123)*(1-Assumptions!$B$8)/H20/(1+Assumptions!$B$9*(1-Assumptions!$B$229))</f>
        <v/>
      </c>
      <c r="I124" s="60">
        <f>(I122+I123)*(1-Assumptions!$B$8)/I20/(1+Assumptions!$B$9*(1-Assumptions!$B$229))</f>
        <v/>
      </c>
      <c r="J124" s="60">
        <f>(J122+J123)*(1-Assumptions!$B$8)/J20/(1+Assumptions!$B$9*(1-Assumptions!$B$229))</f>
        <v/>
      </c>
      <c r="K124" s="60">
        <f>(K122+K123)*(1-Assumptions!$B$8)/K20/(1+Assumptions!$B$9*(1-Assumptions!$B$229))</f>
        <v/>
      </c>
      <c r="L124" s="60">
        <f>(L122+L123)*(1-Assumptions!$B$8)/L20/(1+Assumptions!$B$9*(1-Assumptions!$B$229))</f>
        <v/>
      </c>
      <c r="M124" s="60">
        <f>(M122+M123)*(1-Assumptions!$B$8)/M20/(1+Assumptions!$B$9*(1-Assumptions!$B$229))</f>
        <v/>
      </c>
      <c r="N124" s="60">
        <f>(N122+N123)*(1-Assumptions!$B$8)/N20/(1+Assumptions!$B$9*(1-Assumptions!$B$229))</f>
        <v/>
      </c>
      <c r="O124" s="60">
        <f>(O122+O123)*(1-Assumptions!$B$8)/O20/(1+Assumptions!$B$9*(1-Assumptions!$B$229))</f>
        <v/>
      </c>
      <c r="P124" s="60">
        <f>(P122+P123)*(1-Assumptions!$B$8)/P20/(1+Assumptions!$B$9*(1-Assumptions!$B$229))</f>
        <v/>
      </c>
      <c r="Q124" s="60">
        <f>(Q122+Q123)*(1-Assumptions!$B$8)/Q20/(1+Assumptions!$B$9*(1-Assumptions!$B$229))</f>
        <v/>
      </c>
      <c r="R124" s="60">
        <f>(R122+R123)*(1-Assumptions!$B$8)/R20/(1+Assumptions!$B$9*(1-Assumptions!$B$229))</f>
        <v/>
      </c>
      <c r="S124" s="60">
        <f>(S122+S123)*(1-Assumptions!$B$8)/S20/(1+Assumptions!$B$9*(1-Assumptions!$B$229))</f>
        <v/>
      </c>
      <c r="T124" s="60">
        <f>(T122+T123)*(1-Assumptions!$B$8)/T20/(1+Assumptions!$B$9*(1-Assumptions!$B$229))</f>
        <v/>
      </c>
      <c r="U124" s="60">
        <f>(U122+U123)*(1-Assumptions!$B$8)/U20/(1+Assumptions!$B$9*(1-Assumptions!$B$229))</f>
        <v/>
      </c>
      <c r="V124" s="60">
        <f>(V122+V123)*(1-Assumptions!$B$8)/V20/(1+Assumptions!$B$9*(1-Assumptions!$B$229))</f>
        <v/>
      </c>
      <c r="W124" s="60">
        <f>(W122+W123)*(1-Assumptions!$B$8)/W20/(1+Assumptions!$B$9*(1-Assumptions!$B$229))</f>
        <v/>
      </c>
      <c r="X124" s="60">
        <f>(X122+X123)*(1-Assumptions!$B$8)/X20/(1+Assumptions!$B$9*(1-Assumptions!$B$229))</f>
        <v/>
      </c>
      <c r="Y124" s="60">
        <f>(Y122+Y123)*(1-Assumptions!$B$8)/Y20/(1+Assumptions!$B$9*(1-Assumptions!$B$229))</f>
        <v/>
      </c>
      <c r="Z124" s="60">
        <f>(Z122+Z123)*(1-Assumptions!$B$8)/Z20/(1+Assumptions!$B$9*(1-Assumptions!$B$229))</f>
        <v/>
      </c>
      <c r="AA124" s="60">
        <f>(AA122+AA123)*(1-Assumptions!$B$8)/AA20/(1+Assumptions!$B$9*(1-Assumptions!$B$229))</f>
        <v/>
      </c>
      <c r="AB124" s="60">
        <f>(AB122+AB123)*(1-Assumptions!$B$8)/AB20/(1+Assumptions!$B$9*(1-Assumptions!$B$229))</f>
        <v/>
      </c>
      <c r="AC124" s="60">
        <f>(AC122+AC123)*(1-Assumptions!$B$8)/AC20/(1+Assumptions!$B$9*(1-Assumptions!$B$229))</f>
        <v/>
      </c>
      <c r="AD124" s="60">
        <f>(AD122+AD123)*(1-Assumptions!$B$8)/AD20/(1+Assumptions!$B$9*(1-Assumptions!$B$229))</f>
        <v/>
      </c>
      <c r="AE124" s="60">
        <f>(AE122+AE123)*(1-Assumptions!$B$8)/AE20/(1+Assumptions!$B$9*(1-Assumptions!$B$229))</f>
        <v/>
      </c>
    </row>
    <row r="125">
      <c r="A125" s="6" t="inlineStr">
        <is>
          <t xml:space="preserve">  Collateral-eligible AUM decay rate (holder-weighted)</t>
        </is>
      </c>
      <c r="B125" s="23" t="inlineStr">
        <is>
          <t>%/period</t>
        </is>
      </c>
      <c r="C125" s="62">
        <f>(Assumptions!$B$151+Assumptions!$B$152*IF(C118+C120=0,1,(C118+C120*Assumptions!$B$153)/(C118+C120)))*C7/12</f>
        <v/>
      </c>
      <c r="D125" s="62">
        <f>(Assumptions!$B$151+Assumptions!$B$152*IF(D118+D120=0,1,(D118+D120*Assumptions!$B$153)/(D118+D120)))*D7/12</f>
        <v/>
      </c>
      <c r="E125" s="62">
        <f>(Assumptions!$B$151+Assumptions!$B$152*IF(E118+E120=0,1,(E118+E120*Assumptions!$B$153)/(E118+E120)))*E7/12</f>
        <v/>
      </c>
      <c r="F125" s="62">
        <f>(Assumptions!$B$151+Assumptions!$B$152*IF(F118+F120=0,1,(F118+F120*Assumptions!$B$153)/(F118+F120)))*F7/12</f>
        <v/>
      </c>
      <c r="G125" s="62">
        <f>(Assumptions!$B$151+Assumptions!$B$152*IF(G118+G120=0,1,(G118+G120*Assumptions!$B$153)/(G118+G120)))*G7/12</f>
        <v/>
      </c>
      <c r="H125" s="62">
        <f>(Assumptions!$B$151+Assumptions!$B$152*IF(H118+H120=0,1,(H118+H120*Assumptions!$B$153)/(H118+H120)))*H7/12</f>
        <v/>
      </c>
      <c r="I125" s="62">
        <f>(Assumptions!$B$151+Assumptions!$B$152*IF(I118+I120=0,1,(I118+I120*Assumptions!$B$153)/(I118+I120)))*I7/12</f>
        <v/>
      </c>
      <c r="J125" s="62">
        <f>(Assumptions!$B$151+Assumptions!$B$152*IF(J118+J120=0,1,(J118+J120*Assumptions!$B$153)/(J118+J120)))*J7/12</f>
        <v/>
      </c>
      <c r="K125" s="62">
        <f>(Assumptions!$B$151+Assumptions!$B$152*IF(K118+K120=0,1,(K118+K120*Assumptions!$B$153)/(K118+K120)))*K7/12</f>
        <v/>
      </c>
      <c r="L125" s="62">
        <f>(Assumptions!$B$151+Assumptions!$B$152*IF(L118+L120=0,1,(L118+L120*Assumptions!$B$153)/(L118+L120)))*L7/12</f>
        <v/>
      </c>
      <c r="M125" s="62">
        <f>(Assumptions!$B$151+Assumptions!$B$152*IF(M118+M120=0,1,(M118+M120*Assumptions!$B$153)/(M118+M120)))*M7/12</f>
        <v/>
      </c>
      <c r="N125" s="62">
        <f>(Assumptions!$B$151+Assumptions!$B$152*IF(N118+N120=0,1,(N118+N120*Assumptions!$B$153)/(N118+N120)))*N7/12</f>
        <v/>
      </c>
      <c r="O125" s="62">
        <f>(Assumptions!$B$151+Assumptions!$B$152*IF(O118+O120=0,1,(O118+O120*Assumptions!$B$153)/(O118+O120)))*O7/12</f>
        <v/>
      </c>
      <c r="P125" s="62">
        <f>(Assumptions!$B$151+Assumptions!$B$152*IF(P118+P120=0,1,(P118+P120*Assumptions!$B$153)/(P118+P120)))*P7/12</f>
        <v/>
      </c>
      <c r="Q125" s="62">
        <f>(Assumptions!$B$151+Assumptions!$B$152*IF(Q118+Q120=0,1,(Q118+Q120*Assumptions!$B$153)/(Q118+Q120)))*Q7/12</f>
        <v/>
      </c>
      <c r="R125" s="62">
        <f>(Assumptions!$B$151+Assumptions!$B$152*IF(R118+R120=0,1,(R118+R120*Assumptions!$B$153)/(R118+R120)))*R7/12</f>
        <v/>
      </c>
      <c r="S125" s="62">
        <f>(Assumptions!$B$151+Assumptions!$B$152*IF(S118+S120=0,1,(S118+S120*Assumptions!$B$153)/(S118+S120)))*S7/12</f>
        <v/>
      </c>
      <c r="T125" s="62">
        <f>(Assumptions!$B$151+Assumptions!$B$152*IF(T118+T120=0,1,(T118+T120*Assumptions!$B$153)/(T118+T120)))*T7/12</f>
        <v/>
      </c>
      <c r="U125" s="62">
        <f>(Assumptions!$B$151+Assumptions!$B$152*IF(U118+U120=0,1,(U118+U120*Assumptions!$B$153)/(U118+U120)))*U7/12</f>
        <v/>
      </c>
      <c r="V125" s="62">
        <f>(Assumptions!$B$151+Assumptions!$B$152*IF(V118+V120=0,1,(V118+V120*Assumptions!$B$153)/(V118+V120)))*V7/12</f>
        <v/>
      </c>
      <c r="W125" s="62">
        <f>(Assumptions!$B$151+Assumptions!$B$152*IF(W118+W120=0,1,(W118+W120*Assumptions!$B$153)/(W118+W120)))*W7/12</f>
        <v/>
      </c>
      <c r="X125" s="62">
        <f>(Assumptions!$B$151+Assumptions!$B$152*IF(X118+X120=0,1,(X118+X120*Assumptions!$B$153)/(X118+X120)))*X7/12</f>
        <v/>
      </c>
      <c r="Y125" s="62">
        <f>(Assumptions!$B$151+Assumptions!$B$152*IF(Y118+Y120=0,1,(Y118+Y120*Assumptions!$B$153)/(Y118+Y120)))*Y7/12</f>
        <v/>
      </c>
      <c r="Z125" s="62">
        <f>(Assumptions!$B$151+Assumptions!$B$152*IF(Z118+Z120=0,1,(Z118+Z120*Assumptions!$B$153)/(Z118+Z120)))*Z7/12</f>
        <v/>
      </c>
      <c r="AA125" s="62">
        <f>(Assumptions!$B$151+Assumptions!$B$152*IF(AA118+AA120=0,1,(AA118+AA120*Assumptions!$B$153)/(AA118+AA120)))*AA7/12</f>
        <v/>
      </c>
      <c r="AB125" s="62">
        <f>(Assumptions!$B$151+Assumptions!$B$152*IF(AB118+AB120=0,1,(AB118+AB120*Assumptions!$B$153)/(AB118+AB120)))*AB7/12</f>
        <v/>
      </c>
      <c r="AC125" s="62">
        <f>(Assumptions!$B$151+Assumptions!$B$152*IF(AC118+AC120=0,1,(AC118+AC120*Assumptions!$B$153)/(AC118+AC120)))*AC7/12</f>
        <v/>
      </c>
      <c r="AD125" s="62">
        <f>(Assumptions!$B$151+Assumptions!$B$152*IF(AD118+AD120=0,1,(AD118+AD120*Assumptions!$B$153)/(AD118+AD120)))*AD7/12</f>
        <v/>
      </c>
      <c r="AE125" s="62">
        <f>(Assumptions!$B$151+Assumptions!$B$152*IF(AE118+AE120=0,1,(AE118+AE120*Assumptions!$B$153)/(AE118+AE120)))*AE7/12</f>
        <v/>
      </c>
    </row>
    <row r="126">
      <c r="A126" s="6" t="inlineStr">
        <is>
          <t xml:space="preserve">  Redemption-only decay rate (metal actually leaving)</t>
        </is>
      </c>
      <c r="B126" s="23" t="inlineStr">
        <is>
          <t>%/period</t>
        </is>
      </c>
      <c r="C126" s="62">
        <f>Assumptions!$B$152*IF(C118+C120=0,1,(C118+C120*Assumptions!$B$153)/(C118+C120))*C7/12</f>
        <v/>
      </c>
      <c r="D126" s="62">
        <f>Assumptions!$B$152*IF(D118+D120=0,1,(D118+D120*Assumptions!$B$153)/(D118+D120))*D7/12</f>
        <v/>
      </c>
      <c r="E126" s="62">
        <f>Assumptions!$B$152*IF(E118+E120=0,1,(E118+E120*Assumptions!$B$153)/(E118+E120))*E7/12</f>
        <v/>
      </c>
      <c r="F126" s="62">
        <f>Assumptions!$B$152*IF(F118+F120=0,1,(F118+F120*Assumptions!$B$153)/(F118+F120))*F7/12</f>
        <v/>
      </c>
      <c r="G126" s="62">
        <f>Assumptions!$B$152*IF(G118+G120=0,1,(G118+G120*Assumptions!$B$153)/(G118+G120))*G7/12</f>
        <v/>
      </c>
      <c r="H126" s="62">
        <f>Assumptions!$B$152*IF(H118+H120=0,1,(H118+H120*Assumptions!$B$153)/(H118+H120))*H7/12</f>
        <v/>
      </c>
      <c r="I126" s="62">
        <f>Assumptions!$B$152*IF(I118+I120=0,1,(I118+I120*Assumptions!$B$153)/(I118+I120))*I7/12</f>
        <v/>
      </c>
      <c r="J126" s="62">
        <f>Assumptions!$B$152*IF(J118+J120=0,1,(J118+J120*Assumptions!$B$153)/(J118+J120))*J7/12</f>
        <v/>
      </c>
      <c r="K126" s="62">
        <f>Assumptions!$B$152*IF(K118+K120=0,1,(K118+K120*Assumptions!$B$153)/(K118+K120))*K7/12</f>
        <v/>
      </c>
      <c r="L126" s="62">
        <f>Assumptions!$B$152*IF(L118+L120=0,1,(L118+L120*Assumptions!$B$153)/(L118+L120))*L7/12</f>
        <v/>
      </c>
      <c r="M126" s="62">
        <f>Assumptions!$B$152*IF(M118+M120=0,1,(M118+M120*Assumptions!$B$153)/(M118+M120))*M7/12</f>
        <v/>
      </c>
      <c r="N126" s="62">
        <f>Assumptions!$B$152*IF(N118+N120=0,1,(N118+N120*Assumptions!$B$153)/(N118+N120))*N7/12</f>
        <v/>
      </c>
      <c r="O126" s="62">
        <f>Assumptions!$B$152*IF(O118+O120=0,1,(O118+O120*Assumptions!$B$153)/(O118+O120))*O7/12</f>
        <v/>
      </c>
      <c r="P126" s="62">
        <f>Assumptions!$B$152*IF(P118+P120=0,1,(P118+P120*Assumptions!$B$153)/(P118+P120))*P7/12</f>
        <v/>
      </c>
      <c r="Q126" s="62">
        <f>Assumptions!$B$152*IF(Q118+Q120=0,1,(Q118+Q120*Assumptions!$B$153)/(Q118+Q120))*Q7/12</f>
        <v/>
      </c>
      <c r="R126" s="62">
        <f>Assumptions!$B$152*IF(R118+R120=0,1,(R118+R120*Assumptions!$B$153)/(R118+R120))*R7/12</f>
        <v/>
      </c>
      <c r="S126" s="62">
        <f>Assumptions!$B$152*IF(S118+S120=0,1,(S118+S120*Assumptions!$B$153)/(S118+S120))*S7/12</f>
        <v/>
      </c>
      <c r="T126" s="62">
        <f>Assumptions!$B$152*IF(T118+T120=0,1,(T118+T120*Assumptions!$B$153)/(T118+T120))*T7/12</f>
        <v/>
      </c>
      <c r="U126" s="62">
        <f>Assumptions!$B$152*IF(U118+U120=0,1,(U118+U120*Assumptions!$B$153)/(U118+U120))*U7/12</f>
        <v/>
      </c>
      <c r="V126" s="62">
        <f>Assumptions!$B$152*IF(V118+V120=0,1,(V118+V120*Assumptions!$B$153)/(V118+V120))*V7/12</f>
        <v/>
      </c>
      <c r="W126" s="62">
        <f>Assumptions!$B$152*IF(W118+W120=0,1,(W118+W120*Assumptions!$B$153)/(W118+W120))*W7/12</f>
        <v/>
      </c>
      <c r="X126" s="62">
        <f>Assumptions!$B$152*IF(X118+X120=0,1,(X118+X120*Assumptions!$B$153)/(X118+X120))*X7/12</f>
        <v/>
      </c>
      <c r="Y126" s="62">
        <f>Assumptions!$B$152*IF(Y118+Y120=0,1,(Y118+Y120*Assumptions!$B$153)/(Y118+Y120))*Y7/12</f>
        <v/>
      </c>
      <c r="Z126" s="62">
        <f>Assumptions!$B$152*IF(Z118+Z120=0,1,(Z118+Z120*Assumptions!$B$153)/(Z118+Z120))*Z7/12</f>
        <v/>
      </c>
      <c r="AA126" s="62">
        <f>Assumptions!$B$152*IF(AA118+AA120=0,1,(AA118+AA120*Assumptions!$B$153)/(AA118+AA120))*AA7/12</f>
        <v/>
      </c>
      <c r="AB126" s="62">
        <f>Assumptions!$B$152*IF(AB118+AB120=0,1,(AB118+AB120*Assumptions!$B$153)/(AB118+AB120))*AB7/12</f>
        <v/>
      </c>
      <c r="AC126" s="62">
        <f>Assumptions!$B$152*IF(AC118+AC120=0,1,(AC118+AC120*Assumptions!$B$153)/(AC118+AC120))*AC7/12</f>
        <v/>
      </c>
      <c r="AD126" s="62">
        <f>Assumptions!$B$152*IF(AD118+AD120=0,1,(AD118+AD120*Assumptions!$B$153)/(AD118+AD120))*AD7/12</f>
        <v/>
      </c>
      <c r="AE126" s="62">
        <f>Assumptions!$B$152*IF(AE118+AE120=0,1,(AE118+AE120*Assumptions!$B$153)/(AE118+AE120))*AE7/12</f>
        <v/>
      </c>
    </row>
    <row r="127">
      <c r="A127" s="6" t="inlineStr">
        <is>
          <t xml:space="preserve">  Grams held (collateral-eligible)</t>
        </is>
      </c>
      <c r="B127" s="23" t="inlineStr">
        <is>
          <t>grams</t>
        </is>
      </c>
      <c r="C127" s="50">
        <f>C124</f>
        <v/>
      </c>
      <c r="D127" s="50">
        <f>C127*(1-D125)+D124</f>
        <v/>
      </c>
      <c r="E127" s="50">
        <f>D127*(1-E125)+E124</f>
        <v/>
      </c>
      <c r="F127" s="50">
        <f>E127*(1-F125)+F124</f>
        <v/>
      </c>
      <c r="G127" s="50">
        <f>F127*(1-G125)+G124</f>
        <v/>
      </c>
      <c r="H127" s="50">
        <f>G127*(1-H125)+H124</f>
        <v/>
      </c>
      <c r="I127" s="50">
        <f>H127*(1-I125)+I124</f>
        <v/>
      </c>
      <c r="J127" s="50">
        <f>I127*(1-J125)+J124</f>
        <v/>
      </c>
      <c r="K127" s="50">
        <f>J127*(1-K125)+K124</f>
        <v/>
      </c>
      <c r="L127" s="50">
        <f>K127*(1-L125)+L124</f>
        <v/>
      </c>
      <c r="M127" s="50">
        <f>L127*(1-M125)+M124</f>
        <v/>
      </c>
      <c r="N127" s="50">
        <f>M127*(1-N125)+N124</f>
        <v/>
      </c>
      <c r="O127" s="50">
        <f>N127*(1-O125)+O124</f>
        <v/>
      </c>
      <c r="P127" s="50">
        <f>O127*(1-P125)+P124</f>
        <v/>
      </c>
      <c r="Q127" s="50">
        <f>P127*(1-Q125)+Q124</f>
        <v/>
      </c>
      <c r="R127" s="50">
        <f>Q127*(1-R125)+R124</f>
        <v/>
      </c>
      <c r="S127" s="50">
        <f>R127*(1-S125)+S124</f>
        <v/>
      </c>
      <c r="T127" s="50">
        <f>S127*(1-T125)+T124</f>
        <v/>
      </c>
      <c r="U127" s="50">
        <f>T127*(1-U125)+U124</f>
        <v/>
      </c>
      <c r="V127" s="50">
        <f>U127*(1-V125)+V124</f>
        <v/>
      </c>
      <c r="W127" s="50">
        <f>V127*(1-W125)+W124</f>
        <v/>
      </c>
      <c r="X127" s="50">
        <f>W127*(1-X125)+X124</f>
        <v/>
      </c>
      <c r="Y127" s="50">
        <f>X127*(1-Y125)+Y124</f>
        <v/>
      </c>
      <c r="Z127" s="50">
        <f>Y127*(1-Z125)+Z124</f>
        <v/>
      </c>
      <c r="AA127" s="50">
        <f>Z127*(1-AA125)+AA124</f>
        <v/>
      </c>
      <c r="AB127" s="50">
        <f>AA127*(1-AB125)+AB124</f>
        <v/>
      </c>
      <c r="AC127" s="50">
        <f>AB127*(1-AC125)+AC124</f>
        <v/>
      </c>
      <c r="AD127" s="50">
        <f>AC127*(1-AD125)+AD124</f>
        <v/>
      </c>
      <c r="AE127" s="50">
        <f>AD127*(1-AE125)+AE124</f>
        <v/>
      </c>
    </row>
    <row r="128">
      <c r="A128" s="6" t="inlineStr">
        <is>
          <t xml:space="preserve">  Grams under custody (vaulted, incl. self-custodied)</t>
        </is>
      </c>
      <c r="B128" s="23" t="inlineStr">
        <is>
          <t>grams</t>
        </is>
      </c>
      <c r="C128" s="50">
        <f>C124</f>
        <v/>
      </c>
      <c r="D128" s="50">
        <f>C128*(1-D126)+D124</f>
        <v/>
      </c>
      <c r="E128" s="50">
        <f>D128*(1-E126)+E124</f>
        <v/>
      </c>
      <c r="F128" s="50">
        <f>E128*(1-F126)+F124</f>
        <v/>
      </c>
      <c r="G128" s="50">
        <f>F128*(1-G126)+G124</f>
        <v/>
      </c>
      <c r="H128" s="50">
        <f>G128*(1-H126)+H124</f>
        <v/>
      </c>
      <c r="I128" s="50">
        <f>H128*(1-I126)+I124</f>
        <v/>
      </c>
      <c r="J128" s="50">
        <f>I128*(1-J126)+J124</f>
        <v/>
      </c>
      <c r="K128" s="50">
        <f>J128*(1-K126)+K124</f>
        <v/>
      </c>
      <c r="L128" s="50">
        <f>K128*(1-L126)+L124</f>
        <v/>
      </c>
      <c r="M128" s="50">
        <f>L128*(1-M126)+M124</f>
        <v/>
      </c>
      <c r="N128" s="50">
        <f>M128*(1-N126)+N124</f>
        <v/>
      </c>
      <c r="O128" s="50">
        <f>N128*(1-O126)+O124</f>
        <v/>
      </c>
      <c r="P128" s="50">
        <f>O128*(1-P126)+P124</f>
        <v/>
      </c>
      <c r="Q128" s="50">
        <f>P128*(1-Q126)+Q124</f>
        <v/>
      </c>
      <c r="R128" s="50">
        <f>Q128*(1-R126)+R124</f>
        <v/>
      </c>
      <c r="S128" s="50">
        <f>R128*(1-S126)+S124</f>
        <v/>
      </c>
      <c r="T128" s="50">
        <f>S128*(1-T126)+T124</f>
        <v/>
      </c>
      <c r="U128" s="50">
        <f>T128*(1-U126)+U124</f>
        <v/>
      </c>
      <c r="V128" s="50">
        <f>U128*(1-V126)+V124</f>
        <v/>
      </c>
      <c r="W128" s="50">
        <f>V128*(1-W126)+W124</f>
        <v/>
      </c>
      <c r="X128" s="50">
        <f>W128*(1-X126)+X124</f>
        <v/>
      </c>
      <c r="Y128" s="50">
        <f>X128*(1-Y126)+Y124</f>
        <v/>
      </c>
      <c r="Z128" s="50">
        <f>Y128*(1-Z126)+Z124</f>
        <v/>
      </c>
      <c r="AA128" s="50">
        <f>Z128*(1-AA126)+AA124</f>
        <v/>
      </c>
      <c r="AB128" s="50">
        <f>AA128*(1-AB126)+AB124</f>
        <v/>
      </c>
      <c r="AC128" s="50">
        <f>AB128*(1-AC126)+AC124</f>
        <v/>
      </c>
      <c r="AD128" s="50">
        <f>AC128*(1-AD126)+AD124</f>
        <v/>
      </c>
      <c r="AE128" s="50">
        <f>AD128*(1-AE126)+AE124</f>
        <v/>
      </c>
    </row>
    <row r="129">
      <c r="A129" s="6" t="inlineStr">
        <is>
          <t xml:space="preserve">  AUM</t>
        </is>
      </c>
      <c r="B129" s="23" t="inlineStr">
        <is>
          <t>USD</t>
        </is>
      </c>
      <c r="C129" s="63">
        <f>C127*C20</f>
        <v/>
      </c>
      <c r="D129" s="63">
        <f>D127*D20</f>
        <v/>
      </c>
      <c r="E129" s="63">
        <f>E127*E20</f>
        <v/>
      </c>
      <c r="F129" s="63">
        <f>F127*F20</f>
        <v/>
      </c>
      <c r="G129" s="63">
        <f>G127*G20</f>
        <v/>
      </c>
      <c r="H129" s="63">
        <f>H127*H20</f>
        <v/>
      </c>
      <c r="I129" s="63">
        <f>I127*I20</f>
        <v/>
      </c>
      <c r="J129" s="63">
        <f>J127*J20</f>
        <v/>
      </c>
      <c r="K129" s="63">
        <f>K127*K20</f>
        <v/>
      </c>
      <c r="L129" s="63">
        <f>L127*L20</f>
        <v/>
      </c>
      <c r="M129" s="63">
        <f>M127*M20</f>
        <v/>
      </c>
      <c r="N129" s="63">
        <f>N127*N20</f>
        <v/>
      </c>
      <c r="O129" s="63">
        <f>O127*O20</f>
        <v/>
      </c>
      <c r="P129" s="63">
        <f>P127*P20</f>
        <v/>
      </c>
      <c r="Q129" s="63">
        <f>Q127*Q20</f>
        <v/>
      </c>
      <c r="R129" s="63">
        <f>R127*R20</f>
        <v/>
      </c>
      <c r="S129" s="63">
        <f>S127*S20</f>
        <v/>
      </c>
      <c r="T129" s="63">
        <f>T127*T20</f>
        <v/>
      </c>
      <c r="U129" s="63">
        <f>U127*U20</f>
        <v/>
      </c>
      <c r="V129" s="63">
        <f>V127*V20</f>
        <v/>
      </c>
      <c r="W129" s="63">
        <f>W127*W20</f>
        <v/>
      </c>
      <c r="X129" s="63">
        <f>X127*X20</f>
        <v/>
      </c>
      <c r="Y129" s="63">
        <f>Y127*Y20</f>
        <v/>
      </c>
      <c r="Z129" s="63">
        <f>Z127*Z20</f>
        <v/>
      </c>
      <c r="AA129" s="63">
        <f>AA127*AA20</f>
        <v/>
      </c>
      <c r="AB129" s="63">
        <f>AB127*AB20</f>
        <v/>
      </c>
      <c r="AC129" s="63">
        <f>AC127*AC20</f>
        <v/>
      </c>
      <c r="AD129" s="63">
        <f>AD127*AD20</f>
        <v/>
      </c>
      <c r="AE129" s="63">
        <f>AE127*AE20</f>
        <v/>
      </c>
    </row>
    <row r="130">
      <c r="A130" s="6" t="inlineStr">
        <is>
          <t xml:space="preserve">  Card-eligible base</t>
        </is>
      </c>
      <c r="B130" s="23" t="inlineStr">
        <is>
          <t>accounts</t>
        </is>
      </c>
      <c r="C130" s="60">
        <f>C118+C120*Assumptions!$B$228</f>
        <v/>
      </c>
      <c r="D130" s="60">
        <f>D118+D120*Assumptions!$B$228</f>
        <v/>
      </c>
      <c r="E130" s="60">
        <f>E118+E120*Assumptions!$B$228</f>
        <v/>
      </c>
      <c r="F130" s="60">
        <f>F118+F120*Assumptions!$B$228</f>
        <v/>
      </c>
      <c r="G130" s="60">
        <f>G118+G120*Assumptions!$B$228</f>
        <v/>
      </c>
      <c r="H130" s="60">
        <f>H118+H120*Assumptions!$B$228</f>
        <v/>
      </c>
      <c r="I130" s="60">
        <f>I118+I120*Assumptions!$B$228</f>
        <v/>
      </c>
      <c r="J130" s="60">
        <f>J118+J120*Assumptions!$B$228</f>
        <v/>
      </c>
      <c r="K130" s="60">
        <f>K118+K120*Assumptions!$B$228</f>
        <v/>
      </c>
      <c r="L130" s="60">
        <f>L118+L120*Assumptions!$B$228</f>
        <v/>
      </c>
      <c r="M130" s="60">
        <f>M118+M120*Assumptions!$B$228</f>
        <v/>
      </c>
      <c r="N130" s="60">
        <f>N118+N120*Assumptions!$B$228</f>
        <v/>
      </c>
      <c r="O130" s="60">
        <f>O118+O120*Assumptions!$B$228</f>
        <v/>
      </c>
      <c r="P130" s="60">
        <f>P118+P120*Assumptions!$B$228</f>
        <v/>
      </c>
      <c r="Q130" s="60">
        <f>Q118+Q120*Assumptions!$B$228</f>
        <v/>
      </c>
      <c r="R130" s="60">
        <f>R118+R120*Assumptions!$B$228</f>
        <v/>
      </c>
      <c r="S130" s="60">
        <f>S118+S120*Assumptions!$B$228</f>
        <v/>
      </c>
      <c r="T130" s="60">
        <f>T118+T120*Assumptions!$B$228</f>
        <v/>
      </c>
      <c r="U130" s="60">
        <f>U118+U120*Assumptions!$B$228</f>
        <v/>
      </c>
      <c r="V130" s="60">
        <f>V118+V120*Assumptions!$B$228</f>
        <v/>
      </c>
      <c r="W130" s="60">
        <f>W118+W120*Assumptions!$B$228</f>
        <v/>
      </c>
      <c r="X130" s="60">
        <f>X118+X120*Assumptions!$B$228</f>
        <v/>
      </c>
      <c r="Y130" s="60">
        <f>Y118+Y120*Assumptions!$B$228</f>
        <v/>
      </c>
      <c r="Z130" s="60">
        <f>Z118+Z120*Assumptions!$B$228</f>
        <v/>
      </c>
      <c r="AA130" s="60">
        <f>AA118+AA120*Assumptions!$B$228</f>
        <v/>
      </c>
      <c r="AB130" s="60">
        <f>AB118+AB120*Assumptions!$B$228</f>
        <v/>
      </c>
      <c r="AC130" s="60">
        <f>AC118+AC120*Assumptions!$B$228</f>
        <v/>
      </c>
      <c r="AD130" s="60">
        <f>AD118+AD120*Assumptions!$B$228</f>
        <v/>
      </c>
      <c r="AE130" s="60">
        <f>AE118+AE120*Assumptions!$B$228</f>
        <v/>
      </c>
    </row>
    <row r="131">
      <c r="A131" s="6" t="inlineStr">
        <is>
          <t xml:space="preserve">  Reaches an ICS benefit tier (memo - drives discounts, not access)</t>
        </is>
      </c>
      <c r="B131" s="23" t="inlineStr">
        <is>
          <t>accounts</t>
        </is>
      </c>
      <c r="C131" s="64">
        <f>IF(C7&gt;1,C130*Assumptions!$B$149,IF(C2&gt;Assumptions!$B$150,INDEX($C$130:$AE$130,1,C2-Assumptions!$B$150)*Assumptions!$B$149,0))</f>
        <v/>
      </c>
      <c r="D131" s="64">
        <f>IF(D7&gt;1,D130*Assumptions!$B$149,IF(D2&gt;Assumptions!$B$150,INDEX($C$130:$AE$130,1,D2-Assumptions!$B$150)*Assumptions!$B$149,0))</f>
        <v/>
      </c>
      <c r="E131" s="64">
        <f>IF(E7&gt;1,E130*Assumptions!$B$149,IF(E2&gt;Assumptions!$B$150,INDEX($C$130:$AE$130,1,E2-Assumptions!$B$150)*Assumptions!$B$149,0))</f>
        <v/>
      </c>
      <c r="F131" s="64">
        <f>IF(F7&gt;1,F130*Assumptions!$B$149,IF(F2&gt;Assumptions!$B$150,INDEX($C$130:$AE$130,1,F2-Assumptions!$B$150)*Assumptions!$B$149,0))</f>
        <v/>
      </c>
      <c r="G131" s="64">
        <f>IF(G7&gt;1,G130*Assumptions!$B$149,IF(G2&gt;Assumptions!$B$150,INDEX($C$130:$AE$130,1,G2-Assumptions!$B$150)*Assumptions!$B$149,0))</f>
        <v/>
      </c>
      <c r="H131" s="64">
        <f>IF(H7&gt;1,H130*Assumptions!$B$149,IF(H2&gt;Assumptions!$B$150,INDEX($C$130:$AE$130,1,H2-Assumptions!$B$150)*Assumptions!$B$149,0))</f>
        <v/>
      </c>
      <c r="I131" s="64">
        <f>IF(I7&gt;1,I130*Assumptions!$B$149,IF(I2&gt;Assumptions!$B$150,INDEX($C$130:$AE$130,1,I2-Assumptions!$B$150)*Assumptions!$B$149,0))</f>
        <v/>
      </c>
      <c r="J131" s="64">
        <f>IF(J7&gt;1,J130*Assumptions!$B$149,IF(J2&gt;Assumptions!$B$150,INDEX($C$130:$AE$130,1,J2-Assumptions!$B$150)*Assumptions!$B$149,0))</f>
        <v/>
      </c>
      <c r="K131" s="64">
        <f>IF(K7&gt;1,K130*Assumptions!$B$149,IF(K2&gt;Assumptions!$B$150,INDEX($C$130:$AE$130,1,K2-Assumptions!$B$150)*Assumptions!$B$149,0))</f>
        <v/>
      </c>
      <c r="L131" s="64">
        <f>IF(L7&gt;1,L130*Assumptions!$B$149,IF(L2&gt;Assumptions!$B$150,INDEX($C$130:$AE$130,1,L2-Assumptions!$B$150)*Assumptions!$B$149,0))</f>
        <v/>
      </c>
      <c r="M131" s="64">
        <f>IF(M7&gt;1,M130*Assumptions!$B$149,IF(M2&gt;Assumptions!$B$150,INDEX($C$130:$AE$130,1,M2-Assumptions!$B$150)*Assumptions!$B$149,0))</f>
        <v/>
      </c>
      <c r="N131" s="64">
        <f>IF(N7&gt;1,N130*Assumptions!$B$149,IF(N2&gt;Assumptions!$B$150,INDEX($C$130:$AE$130,1,N2-Assumptions!$B$150)*Assumptions!$B$149,0))</f>
        <v/>
      </c>
      <c r="O131" s="64">
        <f>IF(O7&gt;1,O130*Assumptions!$B$149,IF(O2&gt;Assumptions!$B$150,INDEX($C$130:$AE$130,1,O2-Assumptions!$B$150)*Assumptions!$B$149,0))</f>
        <v/>
      </c>
      <c r="P131" s="64">
        <f>IF(P7&gt;1,P130*Assumptions!$B$149,IF(P2&gt;Assumptions!$B$150,INDEX($C$130:$AE$130,1,P2-Assumptions!$B$150)*Assumptions!$B$149,0))</f>
        <v/>
      </c>
      <c r="Q131" s="64">
        <f>IF(Q7&gt;1,Q130*Assumptions!$B$149,IF(Q2&gt;Assumptions!$B$150,INDEX($C$130:$AE$130,1,Q2-Assumptions!$B$150)*Assumptions!$B$149,0))</f>
        <v/>
      </c>
      <c r="R131" s="64">
        <f>IF(R7&gt;1,R130*Assumptions!$B$149,IF(R2&gt;Assumptions!$B$150,INDEX($C$130:$AE$130,1,R2-Assumptions!$B$150)*Assumptions!$B$149,0))</f>
        <v/>
      </c>
      <c r="S131" s="64">
        <f>IF(S7&gt;1,S130*Assumptions!$B$149,IF(S2&gt;Assumptions!$B$150,INDEX($C$130:$AE$130,1,S2-Assumptions!$B$150)*Assumptions!$B$149,0))</f>
        <v/>
      </c>
      <c r="T131" s="64">
        <f>IF(T7&gt;1,T130*Assumptions!$B$149,IF(T2&gt;Assumptions!$B$150,INDEX($C$130:$AE$130,1,T2-Assumptions!$B$150)*Assumptions!$B$149,0))</f>
        <v/>
      </c>
      <c r="U131" s="64">
        <f>IF(U7&gt;1,U130*Assumptions!$B$149,IF(U2&gt;Assumptions!$B$150,INDEX($C$130:$AE$130,1,U2-Assumptions!$B$150)*Assumptions!$B$149,0))</f>
        <v/>
      </c>
      <c r="V131" s="64">
        <f>IF(V7&gt;1,V130*Assumptions!$B$149,IF(V2&gt;Assumptions!$B$150,INDEX($C$130:$AE$130,1,V2-Assumptions!$B$150)*Assumptions!$B$149,0))</f>
        <v/>
      </c>
      <c r="W131" s="64">
        <f>IF(W7&gt;1,W130*Assumptions!$B$149,IF(W2&gt;Assumptions!$B$150,INDEX($C$130:$AE$130,1,W2-Assumptions!$B$150)*Assumptions!$B$149,0))</f>
        <v/>
      </c>
      <c r="X131" s="64">
        <f>IF(X7&gt;1,X130*Assumptions!$B$149,IF(X2&gt;Assumptions!$B$150,INDEX($C$130:$AE$130,1,X2-Assumptions!$B$150)*Assumptions!$B$149,0))</f>
        <v/>
      </c>
      <c r="Y131" s="64">
        <f>IF(Y7&gt;1,Y130*Assumptions!$B$149,IF(Y2&gt;Assumptions!$B$150,INDEX($C$130:$AE$130,1,Y2-Assumptions!$B$150)*Assumptions!$B$149,0))</f>
        <v/>
      </c>
      <c r="Z131" s="64">
        <f>IF(Z7&gt;1,Z130*Assumptions!$B$149,IF(Z2&gt;Assumptions!$B$150,INDEX($C$130:$AE$130,1,Z2-Assumptions!$B$150)*Assumptions!$B$149,0))</f>
        <v/>
      </c>
      <c r="AA131" s="64">
        <f>IF(AA7&gt;1,AA130*Assumptions!$B$149,IF(AA2&gt;Assumptions!$B$150,INDEX($C$130:$AE$130,1,AA2-Assumptions!$B$150)*Assumptions!$B$149,0))</f>
        <v/>
      </c>
      <c r="AB131" s="64">
        <f>IF(AB7&gt;1,AB130*Assumptions!$B$149,IF(AB2&gt;Assumptions!$B$150,INDEX($C$130:$AE$130,1,AB2-Assumptions!$B$150)*Assumptions!$B$149,0))</f>
        <v/>
      </c>
      <c r="AC131" s="64">
        <f>IF(AC7&gt;1,AC130*Assumptions!$B$149,IF(AC2&gt;Assumptions!$B$150,INDEX($C$130:$AE$130,1,AC2-Assumptions!$B$150)*Assumptions!$B$149,0))</f>
        <v/>
      </c>
      <c r="AD131" s="64">
        <f>IF(AD7&gt;1,AD130*Assumptions!$B$149,IF(AD2&gt;Assumptions!$B$150,INDEX($C$130:$AE$130,1,AD2-Assumptions!$B$150)*Assumptions!$B$149,0))</f>
        <v/>
      </c>
      <c r="AE131" s="64">
        <f>IF(AE7&gt;1,AE130*Assumptions!$B$149,IF(AE2&gt;Assumptions!$B$150,INDEX($C$130:$AE$130,1,AE2-Assumptions!$B$150)*Assumptions!$B$149,0))</f>
        <v/>
      </c>
    </row>
    <row r="132">
      <c r="A132" s="6" t="inlineStr">
        <is>
          <t xml:space="preserve">  Active cards</t>
        </is>
      </c>
      <c r="B132" s="23" t="inlineStr">
        <is>
          <t>cards</t>
        </is>
      </c>
      <c r="C132" s="28">
        <f>IF(C2&gt;=Assumptions!$B$51,C130*Assumptions!$B$158,0)</f>
        <v/>
      </c>
      <c r="D132" s="28">
        <f>IF(D2&gt;=Assumptions!$B$51,D130*Assumptions!$B$158,0)</f>
        <v/>
      </c>
      <c r="E132" s="28">
        <f>IF(E2&gt;=Assumptions!$B$51,E130*Assumptions!$B$158,0)</f>
        <v/>
      </c>
      <c r="F132" s="28">
        <f>IF(F2&gt;=Assumptions!$B$51,F130*Assumptions!$B$158,0)</f>
        <v/>
      </c>
      <c r="G132" s="28">
        <f>IF(G2&gt;=Assumptions!$B$51,G130*Assumptions!$B$158,0)</f>
        <v/>
      </c>
      <c r="H132" s="28">
        <f>IF(H2&gt;=Assumptions!$B$51,H130*Assumptions!$B$158,0)</f>
        <v/>
      </c>
      <c r="I132" s="28">
        <f>IF(I2&gt;=Assumptions!$B$51,I130*Assumptions!$B$158,0)</f>
        <v/>
      </c>
      <c r="J132" s="28">
        <f>IF(J2&gt;=Assumptions!$B$51,J130*Assumptions!$B$158,0)</f>
        <v/>
      </c>
      <c r="K132" s="28">
        <f>IF(K2&gt;=Assumptions!$B$51,K130*Assumptions!$B$158,0)</f>
        <v/>
      </c>
      <c r="L132" s="28">
        <f>IF(L2&gt;=Assumptions!$B$51,L130*Assumptions!$B$158,0)</f>
        <v/>
      </c>
      <c r="M132" s="28">
        <f>IF(M2&gt;=Assumptions!$B$51,M130*Assumptions!$B$158,0)</f>
        <v/>
      </c>
      <c r="N132" s="28">
        <f>IF(N2&gt;=Assumptions!$B$51,N130*Assumptions!$B$158,0)</f>
        <v/>
      </c>
      <c r="O132" s="28">
        <f>IF(O2&gt;=Assumptions!$B$51,O130*Assumptions!$B$158,0)</f>
        <v/>
      </c>
      <c r="P132" s="28">
        <f>IF(P2&gt;=Assumptions!$B$51,P130*Assumptions!$B$158,0)</f>
        <v/>
      </c>
      <c r="Q132" s="28">
        <f>IF(Q2&gt;=Assumptions!$B$51,Q130*Assumptions!$B$158,0)</f>
        <v/>
      </c>
      <c r="R132" s="28">
        <f>IF(R2&gt;=Assumptions!$B$51,R130*Assumptions!$B$158,0)</f>
        <v/>
      </c>
      <c r="S132" s="28">
        <f>IF(S2&gt;=Assumptions!$B$51,S130*Assumptions!$B$158,0)</f>
        <v/>
      </c>
      <c r="T132" s="28">
        <f>IF(T2&gt;=Assumptions!$B$51,T130*Assumptions!$B$158,0)</f>
        <v/>
      </c>
      <c r="U132" s="28">
        <f>IF(U2&gt;=Assumptions!$B$51,U130*Assumptions!$B$158,0)</f>
        <v/>
      </c>
      <c r="V132" s="28">
        <f>IF(V2&gt;=Assumptions!$B$51,V130*Assumptions!$B$158,0)</f>
        <v/>
      </c>
      <c r="W132" s="28">
        <f>IF(W2&gt;=Assumptions!$B$51,W130*Assumptions!$B$158,0)</f>
        <v/>
      </c>
      <c r="X132" s="28">
        <f>IF(X2&gt;=Assumptions!$B$51,X130*Assumptions!$B$158,0)</f>
        <v/>
      </c>
      <c r="Y132" s="28">
        <f>IF(Y2&gt;=Assumptions!$B$51,Y130*Assumptions!$B$158,0)</f>
        <v/>
      </c>
      <c r="Z132" s="28">
        <f>IF(Z2&gt;=Assumptions!$B$51,Z130*Assumptions!$B$158,0)</f>
        <v/>
      </c>
      <c r="AA132" s="28">
        <f>IF(AA2&gt;=Assumptions!$B$51,AA130*Assumptions!$B$158,0)</f>
        <v/>
      </c>
      <c r="AB132" s="28">
        <f>IF(AB2&gt;=Assumptions!$B$51,AB130*Assumptions!$B$158,0)</f>
        <v/>
      </c>
      <c r="AC132" s="28">
        <f>IF(AC2&gt;=Assumptions!$B$51,AC130*Assumptions!$B$158,0)</f>
        <v/>
      </c>
      <c r="AD132" s="28">
        <f>IF(AD2&gt;=Assumptions!$B$51,AD130*Assumptions!$B$158,0)</f>
        <v/>
      </c>
      <c r="AE132" s="28">
        <f>IF(AE2&gt;=Assumptions!$B$51,AE130*Assumptions!$B$158,0)</f>
        <v/>
      </c>
    </row>
    <row r="133">
      <c r="A133" s="6" t="inlineStr">
        <is>
          <t xml:space="preserve">  ...of which have a live credit line (now all of them)</t>
        </is>
      </c>
      <c r="B133" s="23" t="inlineStr">
        <is>
          <t>cards</t>
        </is>
      </c>
      <c r="C133" s="28">
        <f>C132</f>
        <v/>
      </c>
      <c r="D133" s="28">
        <f>D132</f>
        <v/>
      </c>
      <c r="E133" s="28">
        <f>E132</f>
        <v/>
      </c>
      <c r="F133" s="28">
        <f>F132</f>
        <v/>
      </c>
      <c r="G133" s="28">
        <f>G132</f>
        <v/>
      </c>
      <c r="H133" s="28">
        <f>H132</f>
        <v/>
      </c>
      <c r="I133" s="28">
        <f>I132</f>
        <v/>
      </c>
      <c r="J133" s="28">
        <f>J132</f>
        <v/>
      </c>
      <c r="K133" s="28">
        <f>K132</f>
        <v/>
      </c>
      <c r="L133" s="28">
        <f>L132</f>
        <v/>
      </c>
      <c r="M133" s="28">
        <f>M132</f>
        <v/>
      </c>
      <c r="N133" s="28">
        <f>N132</f>
        <v/>
      </c>
      <c r="O133" s="28">
        <f>O132</f>
        <v/>
      </c>
      <c r="P133" s="28">
        <f>P132</f>
        <v/>
      </c>
      <c r="Q133" s="28">
        <f>Q132</f>
        <v/>
      </c>
      <c r="R133" s="28">
        <f>R132</f>
        <v/>
      </c>
      <c r="S133" s="28">
        <f>S132</f>
        <v/>
      </c>
      <c r="T133" s="28">
        <f>T132</f>
        <v/>
      </c>
      <c r="U133" s="28">
        <f>U132</f>
        <v/>
      </c>
      <c r="V133" s="28">
        <f>V132</f>
        <v/>
      </c>
      <c r="W133" s="28">
        <f>W132</f>
        <v/>
      </c>
      <c r="X133" s="28">
        <f>X132</f>
        <v/>
      </c>
      <c r="Y133" s="28">
        <f>Y132</f>
        <v/>
      </c>
      <c r="Z133" s="28">
        <f>Z132</f>
        <v/>
      </c>
      <c r="AA133" s="28">
        <f>AA132</f>
        <v/>
      </c>
      <c r="AB133" s="28">
        <f>AB132</f>
        <v/>
      </c>
      <c r="AC133" s="28">
        <f>AC132</f>
        <v/>
      </c>
      <c r="AD133" s="28">
        <f>AD132</f>
        <v/>
      </c>
      <c r="AE133" s="28">
        <f>AE132</f>
        <v/>
      </c>
    </row>
    <row r="134">
      <c r="A134" s="6" t="inlineStr">
        <is>
          <t xml:space="preserve">  ...newly issued this period (flow, drives the issuance fee)</t>
        </is>
      </c>
      <c r="B134" s="23" t="inlineStr">
        <is>
          <t>cards</t>
        </is>
      </c>
      <c r="C134" s="60">
        <f>C132</f>
        <v/>
      </c>
      <c r="D134" s="60">
        <f>MAX(0,D132-C132)</f>
        <v/>
      </c>
      <c r="E134" s="60">
        <f>MAX(0,E132-D132)</f>
        <v/>
      </c>
      <c r="F134" s="60">
        <f>MAX(0,F132-E132)</f>
        <v/>
      </c>
      <c r="G134" s="60">
        <f>MAX(0,G132-F132)</f>
        <v/>
      </c>
      <c r="H134" s="60">
        <f>MAX(0,H132-G132)</f>
        <v/>
      </c>
      <c r="I134" s="60">
        <f>MAX(0,I132-H132)</f>
        <v/>
      </c>
      <c r="J134" s="60">
        <f>MAX(0,J132-I132)</f>
        <v/>
      </c>
      <c r="K134" s="60">
        <f>MAX(0,K132-J132)</f>
        <v/>
      </c>
      <c r="L134" s="60">
        <f>MAX(0,L132-K132)</f>
        <v/>
      </c>
      <c r="M134" s="60">
        <f>MAX(0,M132-L132)</f>
        <v/>
      </c>
      <c r="N134" s="60">
        <f>MAX(0,N132-M132)</f>
        <v/>
      </c>
      <c r="O134" s="60">
        <f>MAX(0,O132-N132)</f>
        <v/>
      </c>
      <c r="P134" s="60">
        <f>MAX(0,P132-O132)</f>
        <v/>
      </c>
      <c r="Q134" s="60">
        <f>MAX(0,Q132-P132)</f>
        <v/>
      </c>
      <c r="R134" s="60">
        <f>MAX(0,R132-Q132)</f>
        <v/>
      </c>
      <c r="S134" s="60">
        <f>MAX(0,S132-R132)</f>
        <v/>
      </c>
      <c r="T134" s="60">
        <f>MAX(0,T132-S132)</f>
        <v/>
      </c>
      <c r="U134" s="60">
        <f>MAX(0,U132-T132)</f>
        <v/>
      </c>
      <c r="V134" s="60">
        <f>MAX(0,V132-U132)</f>
        <v/>
      </c>
      <c r="W134" s="60">
        <f>MAX(0,W132-V132)</f>
        <v/>
      </c>
      <c r="X134" s="60">
        <f>MAX(0,X132-W132)</f>
        <v/>
      </c>
      <c r="Y134" s="60">
        <f>MAX(0,Y132-X132)</f>
        <v/>
      </c>
      <c r="Z134" s="60">
        <f>MAX(0,Z132-Y132)</f>
        <v/>
      </c>
      <c r="AA134" s="60">
        <f>MAX(0,AA132-Z132)</f>
        <v/>
      </c>
      <c r="AB134" s="60">
        <f>MAX(0,AB132-AA132)</f>
        <v/>
      </c>
      <c r="AC134" s="60">
        <f>MAX(0,AC132-AB132)</f>
        <v/>
      </c>
      <c r="AD134" s="60">
        <f>MAX(0,AD132-AC132)</f>
        <v/>
      </c>
      <c r="AE134" s="60">
        <f>MAX(0,AE132-AD132)</f>
        <v/>
      </c>
    </row>
    <row r="135">
      <c r="A135" s="6" t="inlineStr">
        <is>
          <t xml:space="preserve">  Credit limit per customer (gold x LTV)</t>
        </is>
      </c>
      <c r="B135" s="23" t="inlineStr">
        <is>
          <t>USD</t>
        </is>
      </c>
      <c r="C135" s="61">
        <f>IF(C130=0,0,C129/C130*Assumptions!$B$31)</f>
        <v/>
      </c>
      <c r="D135" s="61">
        <f>IF(D130=0,0,D129/D130*Assumptions!$B$31)</f>
        <v/>
      </c>
      <c r="E135" s="61">
        <f>IF(E130=0,0,E129/E130*Assumptions!$B$31)</f>
        <v/>
      </c>
      <c r="F135" s="61">
        <f>IF(F130=0,0,F129/F130*Assumptions!$B$31)</f>
        <v/>
      </c>
      <c r="G135" s="61">
        <f>IF(G130=0,0,G129/G130*Assumptions!$B$31)</f>
        <v/>
      </c>
      <c r="H135" s="61">
        <f>IF(H130=0,0,H129/H130*Assumptions!$B$31)</f>
        <v/>
      </c>
      <c r="I135" s="61">
        <f>IF(I130=0,0,I129/I130*Assumptions!$B$31)</f>
        <v/>
      </c>
      <c r="J135" s="61">
        <f>IF(J130=0,0,J129/J130*Assumptions!$B$31)</f>
        <v/>
      </c>
      <c r="K135" s="61">
        <f>IF(K130=0,0,K129/K130*Assumptions!$B$31)</f>
        <v/>
      </c>
      <c r="L135" s="61">
        <f>IF(L130=0,0,L129/L130*Assumptions!$B$31)</f>
        <v/>
      </c>
      <c r="M135" s="61">
        <f>IF(M130=0,0,M129/M130*Assumptions!$B$31)</f>
        <v/>
      </c>
      <c r="N135" s="61">
        <f>IF(N130=0,0,N129/N130*Assumptions!$B$31)</f>
        <v/>
      </c>
      <c r="O135" s="61">
        <f>IF(O130=0,0,O129/O130*Assumptions!$B$31)</f>
        <v/>
      </c>
      <c r="P135" s="61">
        <f>IF(P130=0,0,P129/P130*Assumptions!$B$31)</f>
        <v/>
      </c>
      <c r="Q135" s="61">
        <f>IF(Q130=0,0,Q129/Q130*Assumptions!$B$31)</f>
        <v/>
      </c>
      <c r="R135" s="61">
        <f>IF(R130=0,0,R129/R130*Assumptions!$B$31)</f>
        <v/>
      </c>
      <c r="S135" s="61">
        <f>IF(S130=0,0,S129/S130*Assumptions!$B$31)</f>
        <v/>
      </c>
      <c r="T135" s="61">
        <f>IF(T130=0,0,T129/T130*Assumptions!$B$31)</f>
        <v/>
      </c>
      <c r="U135" s="61">
        <f>IF(U130=0,0,U129/U130*Assumptions!$B$31)</f>
        <v/>
      </c>
      <c r="V135" s="61">
        <f>IF(V130=0,0,V129/V130*Assumptions!$B$31)</f>
        <v/>
      </c>
      <c r="W135" s="61">
        <f>IF(W130=0,0,W129/W130*Assumptions!$B$31)</f>
        <v/>
      </c>
      <c r="X135" s="61">
        <f>IF(X130=0,0,X129/X130*Assumptions!$B$31)</f>
        <v/>
      </c>
      <c r="Y135" s="61">
        <f>IF(Y130=0,0,Y129/Y130*Assumptions!$B$31)</f>
        <v/>
      </c>
      <c r="Z135" s="61">
        <f>IF(Z130=0,0,Z129/Z130*Assumptions!$B$31)</f>
        <v/>
      </c>
      <c r="AA135" s="61">
        <f>IF(AA130=0,0,AA129/AA130*Assumptions!$B$31)</f>
        <v/>
      </c>
      <c r="AB135" s="61">
        <f>IF(AB130=0,0,AB129/AB130*Assumptions!$B$31)</f>
        <v/>
      </c>
      <c r="AC135" s="61">
        <f>IF(AC130=0,0,AC129/AC130*Assumptions!$B$31)</f>
        <v/>
      </c>
      <c r="AD135" s="61">
        <f>IF(AD130=0,0,AD129/AD130*Assumptions!$B$31)</f>
        <v/>
      </c>
      <c r="AE135" s="61">
        <f>IF(AE130=0,0,AE129/AE130*Assumptions!$B$31)</f>
        <v/>
      </c>
    </row>
    <row r="136">
      <c r="A136" s="6" t="inlineStr">
        <is>
          <t xml:space="preserve">  Annual drawdown per card (limit x drawn x draws)</t>
        </is>
      </c>
      <c r="B136" s="23" t="inlineStr">
        <is>
          <t>USD/yr</t>
        </is>
      </c>
      <c r="C136" s="61">
        <f>C135*Assumptions!$B$171*Assumptions!$B$173</f>
        <v/>
      </c>
      <c r="D136" s="61">
        <f>D135*Assumptions!$B$171*Assumptions!$B$173</f>
        <v/>
      </c>
      <c r="E136" s="61">
        <f>E135*Assumptions!$B$171*Assumptions!$B$173</f>
        <v/>
      </c>
      <c r="F136" s="61">
        <f>F135*Assumptions!$B$171*Assumptions!$B$173</f>
        <v/>
      </c>
      <c r="G136" s="61">
        <f>G135*Assumptions!$B$171*Assumptions!$B$173</f>
        <v/>
      </c>
      <c r="H136" s="61">
        <f>H135*Assumptions!$B$171*Assumptions!$B$173</f>
        <v/>
      </c>
      <c r="I136" s="61">
        <f>I135*Assumptions!$B$171*Assumptions!$B$173</f>
        <v/>
      </c>
      <c r="J136" s="61">
        <f>J135*Assumptions!$B$171*Assumptions!$B$173</f>
        <v/>
      </c>
      <c r="K136" s="61">
        <f>K135*Assumptions!$B$171*Assumptions!$B$173</f>
        <v/>
      </c>
      <c r="L136" s="61">
        <f>L135*Assumptions!$B$171*Assumptions!$B$173</f>
        <v/>
      </c>
      <c r="M136" s="61">
        <f>M135*Assumptions!$B$171*Assumptions!$B$173</f>
        <v/>
      </c>
      <c r="N136" s="61">
        <f>N135*Assumptions!$B$171*Assumptions!$B$173</f>
        <v/>
      </c>
      <c r="O136" s="61">
        <f>O135*Assumptions!$B$171*Assumptions!$B$173</f>
        <v/>
      </c>
      <c r="P136" s="61">
        <f>P135*Assumptions!$B$171*Assumptions!$B$173</f>
        <v/>
      </c>
      <c r="Q136" s="61">
        <f>Q135*Assumptions!$B$171*Assumptions!$B$173</f>
        <v/>
      </c>
      <c r="R136" s="61">
        <f>R135*Assumptions!$B$171*Assumptions!$B$173</f>
        <v/>
      </c>
      <c r="S136" s="61">
        <f>S135*Assumptions!$B$171*Assumptions!$B$173</f>
        <v/>
      </c>
      <c r="T136" s="61">
        <f>T135*Assumptions!$B$171*Assumptions!$B$173</f>
        <v/>
      </c>
      <c r="U136" s="61">
        <f>U135*Assumptions!$B$171*Assumptions!$B$173</f>
        <v/>
      </c>
      <c r="V136" s="61">
        <f>V135*Assumptions!$B$171*Assumptions!$B$173</f>
        <v/>
      </c>
      <c r="W136" s="61">
        <f>W135*Assumptions!$B$171*Assumptions!$B$173</f>
        <v/>
      </c>
      <c r="X136" s="61">
        <f>X135*Assumptions!$B$171*Assumptions!$B$173</f>
        <v/>
      </c>
      <c r="Y136" s="61">
        <f>Y135*Assumptions!$B$171*Assumptions!$B$173</f>
        <v/>
      </c>
      <c r="Z136" s="61">
        <f>Z135*Assumptions!$B$171*Assumptions!$B$173</f>
        <v/>
      </c>
      <c r="AA136" s="61">
        <f>AA135*Assumptions!$B$171*Assumptions!$B$173</f>
        <v/>
      </c>
      <c r="AB136" s="61">
        <f>AB135*Assumptions!$B$171*Assumptions!$B$173</f>
        <v/>
      </c>
      <c r="AC136" s="61">
        <f>AC135*Assumptions!$B$171*Assumptions!$B$173</f>
        <v/>
      </c>
      <c r="AD136" s="61">
        <f>AD135*Assumptions!$B$171*Assumptions!$B$173</f>
        <v/>
      </c>
      <c r="AE136" s="61">
        <f>AE135*Assumptions!$B$171*Assumptions!$B$173</f>
        <v/>
      </c>
    </row>
    <row r="137">
      <c r="A137" s="6" t="inlineStr">
        <is>
          <t xml:space="preserve">  Card spend per card per month</t>
        </is>
      </c>
      <c r="B137" s="23" t="inlineStr">
        <is>
          <t>USD</t>
        </is>
      </c>
      <c r="C137" s="61">
        <f>C136/12*C16</f>
        <v/>
      </c>
      <c r="D137" s="61">
        <f>D136/12*D16</f>
        <v/>
      </c>
      <c r="E137" s="61">
        <f>E136/12*E16</f>
        <v/>
      </c>
      <c r="F137" s="61">
        <f>F136/12*F16</f>
        <v/>
      </c>
      <c r="G137" s="61">
        <f>G136/12*G16</f>
        <v/>
      </c>
      <c r="H137" s="61">
        <f>H136/12*H16</f>
        <v/>
      </c>
      <c r="I137" s="61">
        <f>I136/12*I16</f>
        <v/>
      </c>
      <c r="J137" s="61">
        <f>J136/12*J16</f>
        <v/>
      </c>
      <c r="K137" s="61">
        <f>K136/12*K16</f>
        <v/>
      </c>
      <c r="L137" s="61">
        <f>L136/12*L16</f>
        <v/>
      </c>
      <c r="M137" s="61">
        <f>M136/12*M16</f>
        <v/>
      </c>
      <c r="N137" s="61">
        <f>N136/12*N16</f>
        <v/>
      </c>
      <c r="O137" s="61">
        <f>O136/12*O16</f>
        <v/>
      </c>
      <c r="P137" s="61">
        <f>P136/12*P16</f>
        <v/>
      </c>
      <c r="Q137" s="61">
        <f>Q136/12*Q16</f>
        <v/>
      </c>
      <c r="R137" s="61">
        <f>R136/12*R16</f>
        <v/>
      </c>
      <c r="S137" s="61">
        <f>S136/12*S16</f>
        <v/>
      </c>
      <c r="T137" s="61">
        <f>T136/12*T16</f>
        <v/>
      </c>
      <c r="U137" s="61">
        <f>U136/12*U16</f>
        <v/>
      </c>
      <c r="V137" s="61">
        <f>V136/12*V16</f>
        <v/>
      </c>
      <c r="W137" s="61">
        <f>W136/12*W16</f>
        <v/>
      </c>
      <c r="X137" s="61">
        <f>X136/12*X16</f>
        <v/>
      </c>
      <c r="Y137" s="61">
        <f>Y136/12*Y16</f>
        <v/>
      </c>
      <c r="Z137" s="61">
        <f>Z136/12*Z16</f>
        <v/>
      </c>
      <c r="AA137" s="61">
        <f>AA136/12*AA16</f>
        <v/>
      </c>
      <c r="AB137" s="61">
        <f>AB136/12*AB16</f>
        <v/>
      </c>
      <c r="AC137" s="61">
        <f>AC136/12*AC16</f>
        <v/>
      </c>
      <c r="AD137" s="61">
        <f>AD136/12*AD16</f>
        <v/>
      </c>
      <c r="AE137" s="61">
        <f>AE136/12*AE16</f>
        <v/>
      </c>
    </row>
    <row r="138">
      <c r="A138" s="6" t="inlineStr">
        <is>
          <t xml:space="preserve">  Card spend</t>
        </is>
      </c>
      <c r="B138" s="23" t="inlineStr">
        <is>
          <t>AED</t>
        </is>
      </c>
      <c r="C138" s="50">
        <f>C133*C137*Assumptions!$B$7*C7</f>
        <v/>
      </c>
      <c r="D138" s="50">
        <f>D133*D137*Assumptions!$B$7*D7</f>
        <v/>
      </c>
      <c r="E138" s="50">
        <f>E133*E137*Assumptions!$B$7*E7</f>
        <v/>
      </c>
      <c r="F138" s="50">
        <f>F133*F137*Assumptions!$B$7*F7</f>
        <v/>
      </c>
      <c r="G138" s="50">
        <f>G133*G137*Assumptions!$B$7*G7</f>
        <v/>
      </c>
      <c r="H138" s="50">
        <f>H133*H137*Assumptions!$B$7*H7</f>
        <v/>
      </c>
      <c r="I138" s="50">
        <f>I133*I137*Assumptions!$B$7*I7</f>
        <v/>
      </c>
      <c r="J138" s="50">
        <f>J133*J137*Assumptions!$B$7*J7</f>
        <v/>
      </c>
      <c r="K138" s="50">
        <f>K133*K137*Assumptions!$B$7*K7</f>
        <v/>
      </c>
      <c r="L138" s="50">
        <f>L133*L137*Assumptions!$B$7*L7</f>
        <v/>
      </c>
      <c r="M138" s="50">
        <f>M133*M137*Assumptions!$B$7*M7</f>
        <v/>
      </c>
      <c r="N138" s="50">
        <f>N133*N137*Assumptions!$B$7*N7</f>
        <v/>
      </c>
      <c r="O138" s="50">
        <f>O133*O137*Assumptions!$B$7*O7</f>
        <v/>
      </c>
      <c r="P138" s="50">
        <f>P133*P137*Assumptions!$B$7*P7</f>
        <v/>
      </c>
      <c r="Q138" s="50">
        <f>Q133*Q137*Assumptions!$B$7*Q7</f>
        <v/>
      </c>
      <c r="R138" s="50">
        <f>R133*R137*Assumptions!$B$7*R7</f>
        <v/>
      </c>
      <c r="S138" s="50">
        <f>S133*S137*Assumptions!$B$7*S7</f>
        <v/>
      </c>
      <c r="T138" s="50">
        <f>T133*T137*Assumptions!$B$7*T7</f>
        <v/>
      </c>
      <c r="U138" s="50">
        <f>U133*U137*Assumptions!$B$7*U7</f>
        <v/>
      </c>
      <c r="V138" s="50">
        <f>V133*V137*Assumptions!$B$7*V7</f>
        <v/>
      </c>
      <c r="W138" s="50">
        <f>W133*W137*Assumptions!$B$7*W7</f>
        <v/>
      </c>
      <c r="X138" s="50">
        <f>X133*X137*Assumptions!$B$7*X7</f>
        <v/>
      </c>
      <c r="Y138" s="50">
        <f>Y133*Y137*Assumptions!$B$7*Y7</f>
        <v/>
      </c>
      <c r="Z138" s="50">
        <f>Z133*Z137*Assumptions!$B$7*Z7</f>
        <v/>
      </c>
      <c r="AA138" s="50">
        <f>AA133*AA137*Assumptions!$B$7*AA7</f>
        <v/>
      </c>
      <c r="AB138" s="50">
        <f>AB133*AB137*Assumptions!$B$7*AB7</f>
        <v/>
      </c>
      <c r="AC138" s="50">
        <f>AC133*AC137*Assumptions!$B$7*AC7</f>
        <v/>
      </c>
      <c r="AD138" s="50">
        <f>AD133*AD137*Assumptions!$B$7*AD7</f>
        <v/>
      </c>
      <c r="AE138" s="50">
        <f>AE133*AE137*Assumptions!$B$7*AE7</f>
        <v/>
      </c>
    </row>
    <row r="139">
      <c r="A139" s="6" t="inlineStr">
        <is>
          <t xml:space="preserve">  Card spend</t>
        </is>
      </c>
      <c r="B139" s="23" t="inlineStr">
        <is>
          <t>USD</t>
        </is>
      </c>
      <c r="C139" s="61">
        <f>C138/Assumptions!$B$7</f>
        <v/>
      </c>
      <c r="D139" s="61">
        <f>D138/Assumptions!$B$7</f>
        <v/>
      </c>
      <c r="E139" s="61">
        <f>E138/Assumptions!$B$7</f>
        <v/>
      </c>
      <c r="F139" s="61">
        <f>F138/Assumptions!$B$7</f>
        <v/>
      </c>
      <c r="G139" s="61">
        <f>G138/Assumptions!$B$7</f>
        <v/>
      </c>
      <c r="H139" s="61">
        <f>H138/Assumptions!$B$7</f>
        <v/>
      </c>
      <c r="I139" s="61">
        <f>I138/Assumptions!$B$7</f>
        <v/>
      </c>
      <c r="J139" s="61">
        <f>J138/Assumptions!$B$7</f>
        <v/>
      </c>
      <c r="K139" s="61">
        <f>K138/Assumptions!$B$7</f>
        <v/>
      </c>
      <c r="L139" s="61">
        <f>L138/Assumptions!$B$7</f>
        <v/>
      </c>
      <c r="M139" s="61">
        <f>M138/Assumptions!$B$7</f>
        <v/>
      </c>
      <c r="N139" s="61">
        <f>N138/Assumptions!$B$7</f>
        <v/>
      </c>
      <c r="O139" s="61">
        <f>O138/Assumptions!$B$7</f>
        <v/>
      </c>
      <c r="P139" s="61">
        <f>P138/Assumptions!$B$7</f>
        <v/>
      </c>
      <c r="Q139" s="61">
        <f>Q138/Assumptions!$B$7</f>
        <v/>
      </c>
      <c r="R139" s="61">
        <f>R138/Assumptions!$B$7</f>
        <v/>
      </c>
      <c r="S139" s="61">
        <f>S138/Assumptions!$B$7</f>
        <v/>
      </c>
      <c r="T139" s="61">
        <f>T138/Assumptions!$B$7</f>
        <v/>
      </c>
      <c r="U139" s="61">
        <f>U138/Assumptions!$B$7</f>
        <v/>
      </c>
      <c r="V139" s="61">
        <f>V138/Assumptions!$B$7</f>
        <v/>
      </c>
      <c r="W139" s="61">
        <f>W138/Assumptions!$B$7</f>
        <v/>
      </c>
      <c r="X139" s="61">
        <f>X138/Assumptions!$B$7</f>
        <v/>
      </c>
      <c r="Y139" s="61">
        <f>Y138/Assumptions!$B$7</f>
        <v/>
      </c>
      <c r="Z139" s="61">
        <f>Z138/Assumptions!$B$7</f>
        <v/>
      </c>
      <c r="AA139" s="61">
        <f>AA138/Assumptions!$B$7</f>
        <v/>
      </c>
      <c r="AB139" s="61">
        <f>AB138/Assumptions!$B$7</f>
        <v/>
      </c>
      <c r="AC139" s="61">
        <f>AC138/Assumptions!$B$7</f>
        <v/>
      </c>
      <c r="AD139" s="61">
        <f>AD138/Assumptions!$B$7</f>
        <v/>
      </c>
      <c r="AE139" s="61">
        <f>AE138/Assumptions!$B$7</f>
        <v/>
      </c>
    </row>
    <row r="140">
      <c r="A140" s="6" t="inlineStr">
        <is>
          <t xml:space="preserve">  Average transaction size (derived)</t>
        </is>
      </c>
      <c r="B140" s="23" t="inlineStr">
        <is>
          <t>AED</t>
        </is>
      </c>
      <c r="C140" s="50">
        <f>IF(Assumptions!$B$159=0,0,C135*Assumptions!$B$171*Assumptions!$B$7/Assumptions!$B$159)</f>
        <v/>
      </c>
      <c r="D140" s="50">
        <f>IF(Assumptions!$B$159=0,0,D135*Assumptions!$B$171*Assumptions!$B$7/Assumptions!$B$159)</f>
        <v/>
      </c>
      <c r="E140" s="50">
        <f>IF(Assumptions!$B$159=0,0,E135*Assumptions!$B$171*Assumptions!$B$7/Assumptions!$B$159)</f>
        <v/>
      </c>
      <c r="F140" s="50">
        <f>IF(Assumptions!$B$159=0,0,F135*Assumptions!$B$171*Assumptions!$B$7/Assumptions!$B$159)</f>
        <v/>
      </c>
      <c r="G140" s="50">
        <f>IF(Assumptions!$B$159=0,0,G135*Assumptions!$B$171*Assumptions!$B$7/Assumptions!$B$159)</f>
        <v/>
      </c>
      <c r="H140" s="50">
        <f>IF(Assumptions!$B$159=0,0,H135*Assumptions!$B$171*Assumptions!$B$7/Assumptions!$B$159)</f>
        <v/>
      </c>
      <c r="I140" s="50">
        <f>IF(Assumptions!$B$159=0,0,I135*Assumptions!$B$171*Assumptions!$B$7/Assumptions!$B$159)</f>
        <v/>
      </c>
      <c r="J140" s="50">
        <f>IF(Assumptions!$B$159=0,0,J135*Assumptions!$B$171*Assumptions!$B$7/Assumptions!$B$159)</f>
        <v/>
      </c>
      <c r="K140" s="50">
        <f>IF(Assumptions!$B$159=0,0,K135*Assumptions!$B$171*Assumptions!$B$7/Assumptions!$B$159)</f>
        <v/>
      </c>
      <c r="L140" s="50">
        <f>IF(Assumptions!$B$159=0,0,L135*Assumptions!$B$171*Assumptions!$B$7/Assumptions!$B$159)</f>
        <v/>
      </c>
      <c r="M140" s="50">
        <f>IF(Assumptions!$B$159=0,0,M135*Assumptions!$B$171*Assumptions!$B$7/Assumptions!$B$159)</f>
        <v/>
      </c>
      <c r="N140" s="50">
        <f>IF(Assumptions!$B$159=0,0,N135*Assumptions!$B$171*Assumptions!$B$7/Assumptions!$B$159)</f>
        <v/>
      </c>
      <c r="O140" s="50">
        <f>IF(Assumptions!$B$159=0,0,O135*Assumptions!$B$171*Assumptions!$B$7/Assumptions!$B$159)</f>
        <v/>
      </c>
      <c r="P140" s="50">
        <f>IF(Assumptions!$B$159=0,0,P135*Assumptions!$B$171*Assumptions!$B$7/Assumptions!$B$159)</f>
        <v/>
      </c>
      <c r="Q140" s="50">
        <f>IF(Assumptions!$B$159=0,0,Q135*Assumptions!$B$171*Assumptions!$B$7/Assumptions!$B$159)</f>
        <v/>
      </c>
      <c r="R140" s="50">
        <f>IF(Assumptions!$B$159=0,0,R135*Assumptions!$B$171*Assumptions!$B$7/Assumptions!$B$159)</f>
        <v/>
      </c>
      <c r="S140" s="50">
        <f>IF(Assumptions!$B$159=0,0,S135*Assumptions!$B$171*Assumptions!$B$7/Assumptions!$B$159)</f>
        <v/>
      </c>
      <c r="T140" s="50">
        <f>IF(Assumptions!$B$159=0,0,T135*Assumptions!$B$171*Assumptions!$B$7/Assumptions!$B$159)</f>
        <v/>
      </c>
      <c r="U140" s="50">
        <f>IF(Assumptions!$B$159=0,0,U135*Assumptions!$B$171*Assumptions!$B$7/Assumptions!$B$159)</f>
        <v/>
      </c>
      <c r="V140" s="50">
        <f>IF(Assumptions!$B$159=0,0,V135*Assumptions!$B$171*Assumptions!$B$7/Assumptions!$B$159)</f>
        <v/>
      </c>
      <c r="W140" s="50">
        <f>IF(Assumptions!$B$159=0,0,W135*Assumptions!$B$171*Assumptions!$B$7/Assumptions!$B$159)</f>
        <v/>
      </c>
      <c r="X140" s="50">
        <f>IF(Assumptions!$B$159=0,0,X135*Assumptions!$B$171*Assumptions!$B$7/Assumptions!$B$159)</f>
        <v/>
      </c>
      <c r="Y140" s="50">
        <f>IF(Assumptions!$B$159=0,0,Y135*Assumptions!$B$171*Assumptions!$B$7/Assumptions!$B$159)</f>
        <v/>
      </c>
      <c r="Z140" s="50">
        <f>IF(Assumptions!$B$159=0,0,Z135*Assumptions!$B$171*Assumptions!$B$7/Assumptions!$B$159)</f>
        <v/>
      </c>
      <c r="AA140" s="50">
        <f>IF(Assumptions!$B$159=0,0,AA135*Assumptions!$B$171*Assumptions!$B$7/Assumptions!$B$159)</f>
        <v/>
      </c>
      <c r="AB140" s="50">
        <f>IF(Assumptions!$B$159=0,0,AB135*Assumptions!$B$171*Assumptions!$B$7/Assumptions!$B$159)</f>
        <v/>
      </c>
      <c r="AC140" s="50">
        <f>IF(Assumptions!$B$159=0,0,AC135*Assumptions!$B$171*Assumptions!$B$7/Assumptions!$B$159)</f>
        <v/>
      </c>
      <c r="AD140" s="50">
        <f>IF(Assumptions!$B$159=0,0,AD135*Assumptions!$B$171*Assumptions!$B$7/Assumptions!$B$159)</f>
        <v/>
      </c>
      <c r="AE140" s="50">
        <f>IF(Assumptions!$B$159=0,0,AE135*Assumptions!$B$171*Assumptions!$B$7/Assumptions!$B$159)</f>
        <v/>
      </c>
    </row>
    <row r="141">
      <c r="A141" s="6" t="inlineStr">
        <is>
          <t xml:space="preserve">  Card authorisations (memo - drives cost, not revenue)</t>
        </is>
      </c>
      <c r="B141" s="23" t="inlineStr">
        <is>
          <t>auths</t>
        </is>
      </c>
      <c r="C141" s="50">
        <f>C133*Assumptions!$B$173*Assumptions!$B$159*C7/12*(1+Assumptions!$B$16)</f>
        <v/>
      </c>
      <c r="D141" s="50">
        <f>D133*Assumptions!$B$173*Assumptions!$B$159*D7/12*(1+Assumptions!$B$16)</f>
        <v/>
      </c>
      <c r="E141" s="50">
        <f>E133*Assumptions!$B$173*Assumptions!$B$159*E7/12*(1+Assumptions!$B$16)</f>
        <v/>
      </c>
      <c r="F141" s="50">
        <f>F133*Assumptions!$B$173*Assumptions!$B$159*F7/12*(1+Assumptions!$B$16)</f>
        <v/>
      </c>
      <c r="G141" s="50">
        <f>G133*Assumptions!$B$173*Assumptions!$B$159*G7/12*(1+Assumptions!$B$16)</f>
        <v/>
      </c>
      <c r="H141" s="50">
        <f>H133*Assumptions!$B$173*Assumptions!$B$159*H7/12*(1+Assumptions!$B$16)</f>
        <v/>
      </c>
      <c r="I141" s="50">
        <f>I133*Assumptions!$B$173*Assumptions!$B$159*I7/12*(1+Assumptions!$B$16)</f>
        <v/>
      </c>
      <c r="J141" s="50">
        <f>J133*Assumptions!$B$173*Assumptions!$B$159*J7/12*(1+Assumptions!$B$16)</f>
        <v/>
      </c>
      <c r="K141" s="50">
        <f>K133*Assumptions!$B$173*Assumptions!$B$159*K7/12*(1+Assumptions!$B$16)</f>
        <v/>
      </c>
      <c r="L141" s="50">
        <f>L133*Assumptions!$B$173*Assumptions!$B$159*L7/12*(1+Assumptions!$B$16)</f>
        <v/>
      </c>
      <c r="M141" s="50">
        <f>M133*Assumptions!$B$173*Assumptions!$B$159*M7/12*(1+Assumptions!$B$16)</f>
        <v/>
      </c>
      <c r="N141" s="50">
        <f>N133*Assumptions!$B$173*Assumptions!$B$159*N7/12*(1+Assumptions!$B$16)</f>
        <v/>
      </c>
      <c r="O141" s="50">
        <f>O133*Assumptions!$B$173*Assumptions!$B$159*O7/12*(1+Assumptions!$B$16)</f>
        <v/>
      </c>
      <c r="P141" s="50">
        <f>P133*Assumptions!$B$173*Assumptions!$B$159*P7/12*(1+Assumptions!$B$16)</f>
        <v/>
      </c>
      <c r="Q141" s="50">
        <f>Q133*Assumptions!$B$173*Assumptions!$B$159*Q7/12*(1+Assumptions!$B$16)</f>
        <v/>
      </c>
      <c r="R141" s="50">
        <f>R133*Assumptions!$B$173*Assumptions!$B$159*R7/12*(1+Assumptions!$B$16)</f>
        <v/>
      </c>
      <c r="S141" s="50">
        <f>S133*Assumptions!$B$173*Assumptions!$B$159*S7/12*(1+Assumptions!$B$16)</f>
        <v/>
      </c>
      <c r="T141" s="50">
        <f>T133*Assumptions!$B$173*Assumptions!$B$159*T7/12*(1+Assumptions!$B$16)</f>
        <v/>
      </c>
      <c r="U141" s="50">
        <f>U133*Assumptions!$B$173*Assumptions!$B$159*U7/12*(1+Assumptions!$B$16)</f>
        <v/>
      </c>
      <c r="V141" s="50">
        <f>V133*Assumptions!$B$173*Assumptions!$B$159*V7/12*(1+Assumptions!$B$16)</f>
        <v/>
      </c>
      <c r="W141" s="50">
        <f>W133*Assumptions!$B$173*Assumptions!$B$159*W7/12*(1+Assumptions!$B$16)</f>
        <v/>
      </c>
      <c r="X141" s="50">
        <f>X133*Assumptions!$B$173*Assumptions!$B$159*X7/12*(1+Assumptions!$B$16)</f>
        <v/>
      </c>
      <c r="Y141" s="50">
        <f>Y133*Assumptions!$B$173*Assumptions!$B$159*Y7/12*(1+Assumptions!$B$16)</f>
        <v/>
      </c>
      <c r="Z141" s="50">
        <f>Z133*Assumptions!$B$173*Assumptions!$B$159*Z7/12*(1+Assumptions!$B$16)</f>
        <v/>
      </c>
      <c r="AA141" s="50">
        <f>AA133*Assumptions!$B$173*Assumptions!$B$159*AA7/12*(1+Assumptions!$B$16)</f>
        <v/>
      </c>
      <c r="AB141" s="50">
        <f>AB133*Assumptions!$B$173*Assumptions!$B$159*AB7/12*(1+Assumptions!$B$16)</f>
        <v/>
      </c>
      <c r="AC141" s="50">
        <f>AC133*Assumptions!$B$173*Assumptions!$B$159*AC7/12*(1+Assumptions!$B$16)</f>
        <v/>
      </c>
      <c r="AD141" s="50">
        <f>AD133*Assumptions!$B$173*Assumptions!$B$159*AD7/12*(1+Assumptions!$B$16)</f>
        <v/>
      </c>
      <c r="AE141" s="50">
        <f>AE133*Assumptions!$B$173*Assumptions!$B$159*AE7/12*(1+Assumptions!$B$16)</f>
        <v/>
      </c>
    </row>
    <row r="142">
      <c r="A142" s="6" t="inlineStr">
        <is>
          <t xml:space="preserve">  Stream 1a - Entry fee, SIP</t>
        </is>
      </c>
      <c r="B142" s="23" t="inlineStr">
        <is>
          <t>USD</t>
        </is>
      </c>
      <c r="C142" s="61">
        <f>C122*Assumptions!$B$8</f>
        <v/>
      </c>
      <c r="D142" s="61">
        <f>D122*Assumptions!$B$8</f>
        <v/>
      </c>
      <c r="E142" s="61">
        <f>E122*Assumptions!$B$8</f>
        <v/>
      </c>
      <c r="F142" s="61">
        <f>F122*Assumptions!$B$8</f>
        <v/>
      </c>
      <c r="G142" s="61">
        <f>G122*Assumptions!$B$8</f>
        <v/>
      </c>
      <c r="H142" s="61">
        <f>H122*Assumptions!$B$8</f>
        <v/>
      </c>
      <c r="I142" s="61">
        <f>I122*Assumptions!$B$8</f>
        <v/>
      </c>
      <c r="J142" s="61">
        <f>J122*Assumptions!$B$8</f>
        <v/>
      </c>
      <c r="K142" s="61">
        <f>K122*Assumptions!$B$8</f>
        <v/>
      </c>
      <c r="L142" s="61">
        <f>L122*Assumptions!$B$8</f>
        <v/>
      </c>
      <c r="M142" s="61">
        <f>M122*Assumptions!$B$8</f>
        <v/>
      </c>
      <c r="N142" s="61">
        <f>N122*Assumptions!$B$8</f>
        <v/>
      </c>
      <c r="O142" s="61">
        <f>O122*Assumptions!$B$8</f>
        <v/>
      </c>
      <c r="P142" s="61">
        <f>P122*Assumptions!$B$8</f>
        <v/>
      </c>
      <c r="Q142" s="61">
        <f>Q122*Assumptions!$B$8</f>
        <v/>
      </c>
      <c r="R142" s="61">
        <f>R122*Assumptions!$B$8</f>
        <v/>
      </c>
      <c r="S142" s="61">
        <f>S122*Assumptions!$B$8</f>
        <v/>
      </c>
      <c r="T142" s="61">
        <f>T122*Assumptions!$B$8</f>
        <v/>
      </c>
      <c r="U142" s="61">
        <f>U122*Assumptions!$B$8</f>
        <v/>
      </c>
      <c r="V142" s="61">
        <f>V122*Assumptions!$B$8</f>
        <v/>
      </c>
      <c r="W142" s="61">
        <f>W122*Assumptions!$B$8</f>
        <v/>
      </c>
      <c r="X142" s="61">
        <f>X122*Assumptions!$B$8</f>
        <v/>
      </c>
      <c r="Y142" s="61">
        <f>Y122*Assumptions!$B$8</f>
        <v/>
      </c>
      <c r="Z142" s="61">
        <f>Z122*Assumptions!$B$8</f>
        <v/>
      </c>
      <c r="AA142" s="61">
        <f>AA122*Assumptions!$B$8</f>
        <v/>
      </c>
      <c r="AB142" s="61">
        <f>AB122*Assumptions!$B$8</f>
        <v/>
      </c>
      <c r="AC142" s="61">
        <f>AC122*Assumptions!$B$8</f>
        <v/>
      </c>
      <c r="AD142" s="61">
        <f>AD122*Assumptions!$B$8</f>
        <v/>
      </c>
      <c r="AE142" s="61">
        <f>AE122*Assumptions!$B$8</f>
        <v/>
      </c>
    </row>
    <row r="143">
      <c r="A143" s="6" t="inlineStr">
        <is>
          <t xml:space="preserve">  Stream 1b - Entry fee, SPOT</t>
        </is>
      </c>
      <c r="B143" s="23" t="inlineStr">
        <is>
          <t>USD</t>
        </is>
      </c>
      <c r="C143" s="61">
        <f>C123*Assumptions!$B$8</f>
        <v/>
      </c>
      <c r="D143" s="61">
        <f>D123*Assumptions!$B$8</f>
        <v/>
      </c>
      <c r="E143" s="61">
        <f>E123*Assumptions!$B$8</f>
        <v/>
      </c>
      <c r="F143" s="61">
        <f>F123*Assumptions!$B$8</f>
        <v/>
      </c>
      <c r="G143" s="61">
        <f>G123*Assumptions!$B$8</f>
        <v/>
      </c>
      <c r="H143" s="61">
        <f>H123*Assumptions!$B$8</f>
        <v/>
      </c>
      <c r="I143" s="61">
        <f>I123*Assumptions!$B$8</f>
        <v/>
      </c>
      <c r="J143" s="61">
        <f>J123*Assumptions!$B$8</f>
        <v/>
      </c>
      <c r="K143" s="61">
        <f>K123*Assumptions!$B$8</f>
        <v/>
      </c>
      <c r="L143" s="61">
        <f>L123*Assumptions!$B$8</f>
        <v/>
      </c>
      <c r="M143" s="61">
        <f>M123*Assumptions!$B$8</f>
        <v/>
      </c>
      <c r="N143" s="61">
        <f>N123*Assumptions!$B$8</f>
        <v/>
      </c>
      <c r="O143" s="61">
        <f>O123*Assumptions!$B$8</f>
        <v/>
      </c>
      <c r="P143" s="61">
        <f>P123*Assumptions!$B$8</f>
        <v/>
      </c>
      <c r="Q143" s="61">
        <f>Q123*Assumptions!$B$8</f>
        <v/>
      </c>
      <c r="R143" s="61">
        <f>R123*Assumptions!$B$8</f>
        <v/>
      </c>
      <c r="S143" s="61">
        <f>S123*Assumptions!$B$8</f>
        <v/>
      </c>
      <c r="T143" s="61">
        <f>T123*Assumptions!$B$8</f>
        <v/>
      </c>
      <c r="U143" s="61">
        <f>U123*Assumptions!$B$8</f>
        <v/>
      </c>
      <c r="V143" s="61">
        <f>V123*Assumptions!$B$8</f>
        <v/>
      </c>
      <c r="W143" s="61">
        <f>W123*Assumptions!$B$8</f>
        <v/>
      </c>
      <c r="X143" s="61">
        <f>X123*Assumptions!$B$8</f>
        <v/>
      </c>
      <c r="Y143" s="61">
        <f>Y123*Assumptions!$B$8</f>
        <v/>
      </c>
      <c r="Z143" s="61">
        <f>Z123*Assumptions!$B$8</f>
        <v/>
      </c>
      <c r="AA143" s="61">
        <f>AA123*Assumptions!$B$8</f>
        <v/>
      </c>
      <c r="AB143" s="61">
        <f>AB123*Assumptions!$B$8</f>
        <v/>
      </c>
      <c r="AC143" s="61">
        <f>AC123*Assumptions!$B$8</f>
        <v/>
      </c>
      <c r="AD143" s="61">
        <f>AD123*Assumptions!$B$8</f>
        <v/>
      </c>
      <c r="AE143" s="61">
        <f>AE123*Assumptions!$B$8</f>
        <v/>
      </c>
    </row>
    <row r="144">
      <c r="A144" s="6" t="inlineStr">
        <is>
          <t xml:space="preserve">  Stream 2 - Card interchange</t>
        </is>
      </c>
      <c r="B144" s="23" t="inlineStr">
        <is>
          <t>USD</t>
        </is>
      </c>
      <c r="C144" s="61">
        <f>C139*IF(Assumptions!$B$227=1,MIN(Assumptions!$B$14,1%),Assumptions!$B$14)*(1-Assumptions!$B$157)</f>
        <v/>
      </c>
      <c r="D144" s="61">
        <f>D139*IF(Assumptions!$B$227=1,MIN(Assumptions!$B$14,1%),Assumptions!$B$14)*(1-Assumptions!$B$157)</f>
        <v/>
      </c>
      <c r="E144" s="61">
        <f>E139*IF(Assumptions!$B$227=1,MIN(Assumptions!$B$14,1%),Assumptions!$B$14)*(1-Assumptions!$B$157)</f>
        <v/>
      </c>
      <c r="F144" s="61">
        <f>F139*IF(Assumptions!$B$227=1,MIN(Assumptions!$B$14,1%),Assumptions!$B$14)*(1-Assumptions!$B$157)</f>
        <v/>
      </c>
      <c r="G144" s="61">
        <f>G139*IF(Assumptions!$B$227=1,MIN(Assumptions!$B$14,1%),Assumptions!$B$14)*(1-Assumptions!$B$157)</f>
        <v/>
      </c>
      <c r="H144" s="61">
        <f>H139*IF(Assumptions!$B$227=1,MIN(Assumptions!$B$14,1%),Assumptions!$B$14)*(1-Assumptions!$B$157)</f>
        <v/>
      </c>
      <c r="I144" s="61">
        <f>I139*IF(Assumptions!$B$227=1,MIN(Assumptions!$B$14,1%),Assumptions!$B$14)*(1-Assumptions!$B$157)</f>
        <v/>
      </c>
      <c r="J144" s="61">
        <f>J139*IF(Assumptions!$B$227=1,MIN(Assumptions!$B$14,1%),Assumptions!$B$14)*(1-Assumptions!$B$157)</f>
        <v/>
      </c>
      <c r="K144" s="61">
        <f>K139*IF(Assumptions!$B$227=1,MIN(Assumptions!$B$14,1%),Assumptions!$B$14)*(1-Assumptions!$B$157)</f>
        <v/>
      </c>
      <c r="L144" s="61">
        <f>L139*IF(Assumptions!$B$227=1,MIN(Assumptions!$B$14,1%),Assumptions!$B$14)*(1-Assumptions!$B$157)</f>
        <v/>
      </c>
      <c r="M144" s="61">
        <f>M139*IF(Assumptions!$B$227=1,MIN(Assumptions!$B$14,1%),Assumptions!$B$14)*(1-Assumptions!$B$157)</f>
        <v/>
      </c>
      <c r="N144" s="61">
        <f>N139*IF(Assumptions!$B$227=1,MIN(Assumptions!$B$14,1%),Assumptions!$B$14)*(1-Assumptions!$B$157)</f>
        <v/>
      </c>
      <c r="O144" s="61">
        <f>O139*IF(Assumptions!$B$227=1,MIN(Assumptions!$B$14,1%),Assumptions!$B$14)*(1-Assumptions!$B$157)</f>
        <v/>
      </c>
      <c r="P144" s="61">
        <f>P139*IF(Assumptions!$B$227=1,MIN(Assumptions!$B$14,1%),Assumptions!$B$14)*(1-Assumptions!$B$157)</f>
        <v/>
      </c>
      <c r="Q144" s="61">
        <f>Q139*IF(Assumptions!$B$227=1,MIN(Assumptions!$B$14,1%),Assumptions!$B$14)*(1-Assumptions!$B$157)</f>
        <v/>
      </c>
      <c r="R144" s="61">
        <f>R139*IF(Assumptions!$B$227=1,MIN(Assumptions!$B$14,1%),Assumptions!$B$14)*(1-Assumptions!$B$157)</f>
        <v/>
      </c>
      <c r="S144" s="61">
        <f>S139*IF(Assumptions!$B$227=1,MIN(Assumptions!$B$14,1%),Assumptions!$B$14)*(1-Assumptions!$B$157)</f>
        <v/>
      </c>
      <c r="T144" s="61">
        <f>T139*IF(Assumptions!$B$227=1,MIN(Assumptions!$B$14,1%),Assumptions!$B$14)*(1-Assumptions!$B$157)</f>
        <v/>
      </c>
      <c r="U144" s="61">
        <f>U139*IF(Assumptions!$B$227=1,MIN(Assumptions!$B$14,1%),Assumptions!$B$14)*(1-Assumptions!$B$157)</f>
        <v/>
      </c>
      <c r="V144" s="61">
        <f>V139*IF(Assumptions!$B$227=1,MIN(Assumptions!$B$14,1%),Assumptions!$B$14)*(1-Assumptions!$B$157)</f>
        <v/>
      </c>
      <c r="W144" s="61">
        <f>W139*IF(Assumptions!$B$227=1,MIN(Assumptions!$B$14,1%),Assumptions!$B$14)*(1-Assumptions!$B$157)</f>
        <v/>
      </c>
      <c r="X144" s="61">
        <f>X139*IF(Assumptions!$B$227=1,MIN(Assumptions!$B$14,1%),Assumptions!$B$14)*(1-Assumptions!$B$157)</f>
        <v/>
      </c>
      <c r="Y144" s="61">
        <f>Y139*IF(Assumptions!$B$227=1,MIN(Assumptions!$B$14,1%),Assumptions!$B$14)*(1-Assumptions!$B$157)</f>
        <v/>
      </c>
      <c r="Z144" s="61">
        <f>Z139*IF(Assumptions!$B$227=1,MIN(Assumptions!$B$14,1%),Assumptions!$B$14)*(1-Assumptions!$B$157)</f>
        <v/>
      </c>
      <c r="AA144" s="61">
        <f>AA139*IF(Assumptions!$B$227=1,MIN(Assumptions!$B$14,1%),Assumptions!$B$14)*(1-Assumptions!$B$157)</f>
        <v/>
      </c>
      <c r="AB144" s="61">
        <f>AB139*IF(Assumptions!$B$227=1,MIN(Assumptions!$B$14,1%),Assumptions!$B$14)*(1-Assumptions!$B$157)</f>
        <v/>
      </c>
      <c r="AC144" s="61">
        <f>AC139*IF(Assumptions!$B$227=1,MIN(Assumptions!$B$14,1%),Assumptions!$B$14)*(1-Assumptions!$B$157)</f>
        <v/>
      </c>
      <c r="AD144" s="61">
        <f>AD139*IF(Assumptions!$B$227=1,MIN(Assumptions!$B$14,1%),Assumptions!$B$14)*(1-Assumptions!$B$157)</f>
        <v/>
      </c>
      <c r="AE144" s="61">
        <f>AE139*IF(Assumptions!$B$227=1,MIN(Assumptions!$B$14,1%),Assumptions!$B$14)*(1-Assumptions!$B$157)</f>
        <v/>
      </c>
    </row>
    <row r="145">
      <c r="A145" s="6" t="inlineStr">
        <is>
          <t xml:space="preserve">  Family plan subscribers</t>
        </is>
      </c>
      <c r="B145" s="23" t="inlineStr">
        <is>
          <t>subscribers</t>
        </is>
      </c>
      <c r="C145" s="60">
        <f>IF(C2&gt;=Assumptions!$B$50,C117*Assumptions!$B$174*(1-Assumptions!$B$177)^(C7/2),0)</f>
        <v/>
      </c>
      <c r="D145" s="60">
        <f>IF(D2&gt;=Assumptions!$B$50,C145*(1-Assumptions!$B$177)^D7+D117*Assumptions!$B$174*(1-Assumptions!$B$177)^(D7/2),0)</f>
        <v/>
      </c>
      <c r="E145" s="60">
        <f>IF(E2&gt;=Assumptions!$B$50,D145*(1-Assumptions!$B$177)^E7+E117*Assumptions!$B$174*(1-Assumptions!$B$177)^(E7/2),0)</f>
        <v/>
      </c>
      <c r="F145" s="60">
        <f>IF(F2&gt;=Assumptions!$B$50,E145*(1-Assumptions!$B$177)^F7+F117*Assumptions!$B$174*(1-Assumptions!$B$177)^(F7/2),0)</f>
        <v/>
      </c>
      <c r="G145" s="60">
        <f>IF(G2&gt;=Assumptions!$B$50,F145*(1-Assumptions!$B$177)^G7+G117*Assumptions!$B$174*(1-Assumptions!$B$177)^(G7/2),0)</f>
        <v/>
      </c>
      <c r="H145" s="60">
        <f>IF(H2&gt;=Assumptions!$B$50,G145*(1-Assumptions!$B$177)^H7+H117*Assumptions!$B$174*(1-Assumptions!$B$177)^(H7/2),0)</f>
        <v/>
      </c>
      <c r="I145" s="60">
        <f>IF(I2&gt;=Assumptions!$B$50,H145*(1-Assumptions!$B$177)^I7+I117*Assumptions!$B$174*(1-Assumptions!$B$177)^(I7/2),0)</f>
        <v/>
      </c>
      <c r="J145" s="60">
        <f>IF(J2&gt;=Assumptions!$B$50,I145*(1-Assumptions!$B$177)^J7+J117*Assumptions!$B$174*(1-Assumptions!$B$177)^(J7/2),0)</f>
        <v/>
      </c>
      <c r="K145" s="60">
        <f>IF(K2&gt;=Assumptions!$B$50,J145*(1-Assumptions!$B$177)^K7+K117*Assumptions!$B$174*(1-Assumptions!$B$177)^(K7/2),0)</f>
        <v/>
      </c>
      <c r="L145" s="60">
        <f>IF(L2&gt;=Assumptions!$B$50,K145*(1-Assumptions!$B$177)^L7+L117*Assumptions!$B$174*(1-Assumptions!$B$177)^(L7/2),0)</f>
        <v/>
      </c>
      <c r="M145" s="60">
        <f>IF(M2&gt;=Assumptions!$B$50,L145*(1-Assumptions!$B$177)^M7+M117*Assumptions!$B$174*(1-Assumptions!$B$177)^(M7/2),0)</f>
        <v/>
      </c>
      <c r="N145" s="60">
        <f>IF(N2&gt;=Assumptions!$B$50,M145*(1-Assumptions!$B$177)^N7+N117*Assumptions!$B$174*(1-Assumptions!$B$177)^(N7/2),0)</f>
        <v/>
      </c>
      <c r="O145" s="60">
        <f>IF(O2&gt;=Assumptions!$B$50,N145*(1-Assumptions!$B$177)^O7+O117*Assumptions!$B$174*(1-Assumptions!$B$177)^(O7/2),0)</f>
        <v/>
      </c>
      <c r="P145" s="60">
        <f>IF(P2&gt;=Assumptions!$B$50,O145*(1-Assumptions!$B$177)^P7+P117*Assumptions!$B$174*(1-Assumptions!$B$177)^(P7/2),0)</f>
        <v/>
      </c>
      <c r="Q145" s="60">
        <f>IF(Q2&gt;=Assumptions!$B$50,P145*(1-Assumptions!$B$177)^Q7+Q117*Assumptions!$B$174*(1-Assumptions!$B$177)^(Q7/2),0)</f>
        <v/>
      </c>
      <c r="R145" s="60">
        <f>IF(R2&gt;=Assumptions!$B$50,Q145*(1-Assumptions!$B$177)^R7+R117*Assumptions!$B$174*(1-Assumptions!$B$177)^(R7/2),0)</f>
        <v/>
      </c>
      <c r="S145" s="60">
        <f>IF(S2&gt;=Assumptions!$B$50,R145*(1-Assumptions!$B$177)^S7+S117*Assumptions!$B$174*(1-Assumptions!$B$177)^(S7/2),0)</f>
        <v/>
      </c>
      <c r="T145" s="60">
        <f>IF(T2&gt;=Assumptions!$B$50,S145*(1-Assumptions!$B$177)^T7+T117*Assumptions!$B$174*(1-Assumptions!$B$177)^(T7/2),0)</f>
        <v/>
      </c>
      <c r="U145" s="60">
        <f>IF(U2&gt;=Assumptions!$B$50,T145*(1-Assumptions!$B$177)^U7+U117*Assumptions!$B$174*(1-Assumptions!$B$177)^(U7/2),0)</f>
        <v/>
      </c>
      <c r="V145" s="60">
        <f>IF(V2&gt;=Assumptions!$B$50,U145*(1-Assumptions!$B$177)^V7+V117*Assumptions!$B$174*(1-Assumptions!$B$177)^(V7/2),0)</f>
        <v/>
      </c>
      <c r="W145" s="60">
        <f>IF(W2&gt;=Assumptions!$B$50,V145*(1-Assumptions!$B$177)^W7+W117*Assumptions!$B$174*(1-Assumptions!$B$177)^(W7/2),0)</f>
        <v/>
      </c>
      <c r="X145" s="60">
        <f>IF(X2&gt;=Assumptions!$B$50,W145*(1-Assumptions!$B$177)^X7+X117*Assumptions!$B$174*(1-Assumptions!$B$177)^(X7/2),0)</f>
        <v/>
      </c>
      <c r="Y145" s="60">
        <f>IF(Y2&gt;=Assumptions!$B$50,X145*(1-Assumptions!$B$177)^Y7+Y117*Assumptions!$B$174*(1-Assumptions!$B$177)^(Y7/2),0)</f>
        <v/>
      </c>
      <c r="Z145" s="60">
        <f>IF(Z2&gt;=Assumptions!$B$50,Y145*(1-Assumptions!$B$177)^Z7+Z117*Assumptions!$B$174*(1-Assumptions!$B$177)^(Z7/2),0)</f>
        <v/>
      </c>
      <c r="AA145" s="60">
        <f>IF(AA2&gt;=Assumptions!$B$50,Z145*(1-Assumptions!$B$177)^AA7+AA117*Assumptions!$B$174*(1-Assumptions!$B$177)^(AA7/2),0)</f>
        <v/>
      </c>
      <c r="AB145" s="60">
        <f>IF(AB2&gt;=Assumptions!$B$50,AA145*(1-Assumptions!$B$177)^AB7+AB117*Assumptions!$B$174*(1-Assumptions!$B$177)^(AB7/2),0)</f>
        <v/>
      </c>
      <c r="AC145" s="60">
        <f>IF(AC2&gt;=Assumptions!$B$50,AB145*(1-Assumptions!$B$177)^AC7+AC117*Assumptions!$B$174*(1-Assumptions!$B$177)^(AC7/2),0)</f>
        <v/>
      </c>
      <c r="AD145" s="60">
        <f>IF(AD2&gt;=Assumptions!$B$50,AC145*(1-Assumptions!$B$177)^AD7+AD117*Assumptions!$B$174*(1-Assumptions!$B$177)^(AD7/2),0)</f>
        <v/>
      </c>
      <c r="AE145" s="60">
        <f>IF(AE2&gt;=Assumptions!$B$50,AD145*(1-Assumptions!$B$177)^AE7+AE117*Assumptions!$B$174*(1-Assumptions!$B$177)^(AE7/2),0)</f>
        <v/>
      </c>
    </row>
    <row r="146">
      <c r="A146" s="6" t="inlineStr">
        <is>
          <t xml:space="preserve">  Stream 3 - Family plan and Digital Will</t>
        </is>
      </c>
      <c r="B146" s="23" t="inlineStr">
        <is>
          <t>USD</t>
        </is>
      </c>
      <c r="C146" s="61">
        <f>C145*(Assumptions!$B$25+MAX(0,Assumptions!$B$176-1)*Assumptions!$B$26)/12*C7</f>
        <v/>
      </c>
      <c r="D146" s="61">
        <f>D145*(Assumptions!$B$25+MAX(0,Assumptions!$B$176-1)*Assumptions!$B$26)/12*D7</f>
        <v/>
      </c>
      <c r="E146" s="61">
        <f>E145*(Assumptions!$B$25+MAX(0,Assumptions!$B$176-1)*Assumptions!$B$26)/12*E7</f>
        <v/>
      </c>
      <c r="F146" s="61">
        <f>F145*(Assumptions!$B$25+MAX(0,Assumptions!$B$176-1)*Assumptions!$B$26)/12*F7</f>
        <v/>
      </c>
      <c r="G146" s="61">
        <f>G145*(Assumptions!$B$25+MAX(0,Assumptions!$B$176-1)*Assumptions!$B$26)/12*G7</f>
        <v/>
      </c>
      <c r="H146" s="61">
        <f>H145*(Assumptions!$B$25+MAX(0,Assumptions!$B$176-1)*Assumptions!$B$26)/12*H7</f>
        <v/>
      </c>
      <c r="I146" s="61">
        <f>I145*(Assumptions!$B$25+MAX(0,Assumptions!$B$176-1)*Assumptions!$B$26)/12*I7</f>
        <v/>
      </c>
      <c r="J146" s="61">
        <f>J145*(Assumptions!$B$25+MAX(0,Assumptions!$B$176-1)*Assumptions!$B$26)/12*J7</f>
        <v/>
      </c>
      <c r="K146" s="61">
        <f>K145*(Assumptions!$B$25+MAX(0,Assumptions!$B$176-1)*Assumptions!$B$26)/12*K7</f>
        <v/>
      </c>
      <c r="L146" s="61">
        <f>L145*(Assumptions!$B$25+MAX(0,Assumptions!$B$176-1)*Assumptions!$B$26)/12*L7</f>
        <v/>
      </c>
      <c r="M146" s="61">
        <f>M145*(Assumptions!$B$25+MAX(0,Assumptions!$B$176-1)*Assumptions!$B$26)/12*M7</f>
        <v/>
      </c>
      <c r="N146" s="61">
        <f>N145*(Assumptions!$B$25+MAX(0,Assumptions!$B$176-1)*Assumptions!$B$26)/12*N7</f>
        <v/>
      </c>
      <c r="O146" s="61">
        <f>O145*(Assumptions!$B$25+MAX(0,Assumptions!$B$176-1)*Assumptions!$B$26)/12*O7</f>
        <v/>
      </c>
      <c r="P146" s="61">
        <f>P145*(Assumptions!$B$25+MAX(0,Assumptions!$B$176-1)*Assumptions!$B$26)/12*P7</f>
        <v/>
      </c>
      <c r="Q146" s="61">
        <f>Q145*(Assumptions!$B$25+MAX(0,Assumptions!$B$176-1)*Assumptions!$B$26)/12*Q7</f>
        <v/>
      </c>
      <c r="R146" s="61">
        <f>R145*(Assumptions!$B$25+MAX(0,Assumptions!$B$176-1)*Assumptions!$B$26)/12*R7</f>
        <v/>
      </c>
      <c r="S146" s="61">
        <f>S145*(Assumptions!$B$25+MAX(0,Assumptions!$B$176-1)*Assumptions!$B$26)/12*S7</f>
        <v/>
      </c>
      <c r="T146" s="61">
        <f>T145*(Assumptions!$B$25+MAX(0,Assumptions!$B$176-1)*Assumptions!$B$26)/12*T7</f>
        <v/>
      </c>
      <c r="U146" s="61">
        <f>U145*(Assumptions!$B$25+MAX(0,Assumptions!$B$176-1)*Assumptions!$B$26)/12*U7</f>
        <v/>
      </c>
      <c r="V146" s="61">
        <f>V145*(Assumptions!$B$25+MAX(0,Assumptions!$B$176-1)*Assumptions!$B$26)/12*V7</f>
        <v/>
      </c>
      <c r="W146" s="61">
        <f>W145*(Assumptions!$B$25+MAX(0,Assumptions!$B$176-1)*Assumptions!$B$26)/12*W7</f>
        <v/>
      </c>
      <c r="X146" s="61">
        <f>X145*(Assumptions!$B$25+MAX(0,Assumptions!$B$176-1)*Assumptions!$B$26)/12*X7</f>
        <v/>
      </c>
      <c r="Y146" s="61">
        <f>Y145*(Assumptions!$B$25+MAX(0,Assumptions!$B$176-1)*Assumptions!$B$26)/12*Y7</f>
        <v/>
      </c>
      <c r="Z146" s="61">
        <f>Z145*(Assumptions!$B$25+MAX(0,Assumptions!$B$176-1)*Assumptions!$B$26)/12*Z7</f>
        <v/>
      </c>
      <c r="AA146" s="61">
        <f>AA145*(Assumptions!$B$25+MAX(0,Assumptions!$B$176-1)*Assumptions!$B$26)/12*AA7</f>
        <v/>
      </c>
      <c r="AB146" s="61">
        <f>AB145*(Assumptions!$B$25+MAX(0,Assumptions!$B$176-1)*Assumptions!$B$26)/12*AB7</f>
        <v/>
      </c>
      <c r="AC146" s="61">
        <f>AC145*(Assumptions!$B$25+MAX(0,Assumptions!$B$176-1)*Assumptions!$B$26)/12*AC7</f>
        <v/>
      </c>
      <c r="AD146" s="61">
        <f>AD145*(Assumptions!$B$25+MAX(0,Assumptions!$B$176-1)*Assumptions!$B$26)/12*AD7</f>
        <v/>
      </c>
      <c r="AE146" s="61">
        <f>AE145*(Assumptions!$B$25+MAX(0,Assumptions!$B$176-1)*Assumptions!$B$26)/12*AE7</f>
        <v/>
      </c>
    </row>
    <row r="147">
      <c r="A147" s="6" t="inlineStr">
        <is>
          <t xml:space="preserve">  Stream 4 - Cardholder fees (FX, ATM, events)</t>
        </is>
      </c>
      <c r="B147" s="23" t="inlineStr">
        <is>
          <t>USD</t>
        </is>
      </c>
      <c r="C147" s="61">
        <f>IF(C2&gt;=Assumptions!$B$52,C139*C17*Assumptions!$B$17+C133*(Assumptions!$B$163*MAX(0,Assumptions!$B$167-Assumptions!$B$18)+Assumptions!$B$164*MAX(0,Assumptions!$B$168-Assumptions!$B$18)+Assumptions!$B$165*MAX(0,Assumptions!$B$169-Assumptions!$B$18)+Assumptions!$B$166*MAX(0,Assumptions!$B$170-Assumptions!$B$18))*Assumptions!$B$19/Assumptions!$B$7*C7+C134*Assumptions!$B$20/Assumptions!$B$7+C132*(Assumptions!$B$161*Assumptions!$B$20+Assumptions!$B$162*Assumptions!$B$21)/12/Assumptions!$B$7*C7,0)</f>
        <v/>
      </c>
      <c r="D147" s="61">
        <f>IF(D2&gt;=Assumptions!$B$52,D139*D17*Assumptions!$B$17+D133*(Assumptions!$B$163*MAX(0,Assumptions!$B$167-Assumptions!$B$18)+Assumptions!$B$164*MAX(0,Assumptions!$B$168-Assumptions!$B$18)+Assumptions!$B$165*MAX(0,Assumptions!$B$169-Assumptions!$B$18)+Assumptions!$B$166*MAX(0,Assumptions!$B$170-Assumptions!$B$18))*Assumptions!$B$19/Assumptions!$B$7*D7+D134*Assumptions!$B$20/Assumptions!$B$7+D132*(Assumptions!$B$161*Assumptions!$B$20+Assumptions!$B$162*Assumptions!$B$21)/12/Assumptions!$B$7*D7,0)</f>
        <v/>
      </c>
      <c r="E147" s="61">
        <f>IF(E2&gt;=Assumptions!$B$52,E139*E17*Assumptions!$B$17+E133*(Assumptions!$B$163*MAX(0,Assumptions!$B$167-Assumptions!$B$18)+Assumptions!$B$164*MAX(0,Assumptions!$B$168-Assumptions!$B$18)+Assumptions!$B$165*MAX(0,Assumptions!$B$169-Assumptions!$B$18)+Assumptions!$B$166*MAX(0,Assumptions!$B$170-Assumptions!$B$18))*Assumptions!$B$19/Assumptions!$B$7*E7+E134*Assumptions!$B$20/Assumptions!$B$7+E132*(Assumptions!$B$161*Assumptions!$B$20+Assumptions!$B$162*Assumptions!$B$21)/12/Assumptions!$B$7*E7,0)</f>
        <v/>
      </c>
      <c r="F147" s="61">
        <f>IF(F2&gt;=Assumptions!$B$52,F139*F17*Assumptions!$B$17+F133*(Assumptions!$B$163*MAX(0,Assumptions!$B$167-Assumptions!$B$18)+Assumptions!$B$164*MAX(0,Assumptions!$B$168-Assumptions!$B$18)+Assumptions!$B$165*MAX(0,Assumptions!$B$169-Assumptions!$B$18)+Assumptions!$B$166*MAX(0,Assumptions!$B$170-Assumptions!$B$18))*Assumptions!$B$19/Assumptions!$B$7*F7+F134*Assumptions!$B$20/Assumptions!$B$7+F132*(Assumptions!$B$161*Assumptions!$B$20+Assumptions!$B$162*Assumptions!$B$21)/12/Assumptions!$B$7*F7,0)</f>
        <v/>
      </c>
      <c r="G147" s="61">
        <f>IF(G2&gt;=Assumptions!$B$52,G139*G17*Assumptions!$B$17+G133*(Assumptions!$B$163*MAX(0,Assumptions!$B$167-Assumptions!$B$18)+Assumptions!$B$164*MAX(0,Assumptions!$B$168-Assumptions!$B$18)+Assumptions!$B$165*MAX(0,Assumptions!$B$169-Assumptions!$B$18)+Assumptions!$B$166*MAX(0,Assumptions!$B$170-Assumptions!$B$18))*Assumptions!$B$19/Assumptions!$B$7*G7+G134*Assumptions!$B$20/Assumptions!$B$7+G132*(Assumptions!$B$161*Assumptions!$B$20+Assumptions!$B$162*Assumptions!$B$21)/12/Assumptions!$B$7*G7,0)</f>
        <v/>
      </c>
      <c r="H147" s="61">
        <f>IF(H2&gt;=Assumptions!$B$52,H139*H17*Assumptions!$B$17+H133*(Assumptions!$B$163*MAX(0,Assumptions!$B$167-Assumptions!$B$18)+Assumptions!$B$164*MAX(0,Assumptions!$B$168-Assumptions!$B$18)+Assumptions!$B$165*MAX(0,Assumptions!$B$169-Assumptions!$B$18)+Assumptions!$B$166*MAX(0,Assumptions!$B$170-Assumptions!$B$18))*Assumptions!$B$19/Assumptions!$B$7*H7+H134*Assumptions!$B$20/Assumptions!$B$7+H132*(Assumptions!$B$161*Assumptions!$B$20+Assumptions!$B$162*Assumptions!$B$21)/12/Assumptions!$B$7*H7,0)</f>
        <v/>
      </c>
      <c r="I147" s="61">
        <f>IF(I2&gt;=Assumptions!$B$52,I139*I17*Assumptions!$B$17+I133*(Assumptions!$B$163*MAX(0,Assumptions!$B$167-Assumptions!$B$18)+Assumptions!$B$164*MAX(0,Assumptions!$B$168-Assumptions!$B$18)+Assumptions!$B$165*MAX(0,Assumptions!$B$169-Assumptions!$B$18)+Assumptions!$B$166*MAX(0,Assumptions!$B$170-Assumptions!$B$18))*Assumptions!$B$19/Assumptions!$B$7*I7+I134*Assumptions!$B$20/Assumptions!$B$7+I132*(Assumptions!$B$161*Assumptions!$B$20+Assumptions!$B$162*Assumptions!$B$21)/12/Assumptions!$B$7*I7,0)</f>
        <v/>
      </c>
      <c r="J147" s="61">
        <f>IF(J2&gt;=Assumptions!$B$52,J139*J17*Assumptions!$B$17+J133*(Assumptions!$B$163*MAX(0,Assumptions!$B$167-Assumptions!$B$18)+Assumptions!$B$164*MAX(0,Assumptions!$B$168-Assumptions!$B$18)+Assumptions!$B$165*MAX(0,Assumptions!$B$169-Assumptions!$B$18)+Assumptions!$B$166*MAX(0,Assumptions!$B$170-Assumptions!$B$18))*Assumptions!$B$19/Assumptions!$B$7*J7+J134*Assumptions!$B$20/Assumptions!$B$7+J132*(Assumptions!$B$161*Assumptions!$B$20+Assumptions!$B$162*Assumptions!$B$21)/12/Assumptions!$B$7*J7,0)</f>
        <v/>
      </c>
      <c r="K147" s="61">
        <f>IF(K2&gt;=Assumptions!$B$52,K139*K17*Assumptions!$B$17+K133*(Assumptions!$B$163*MAX(0,Assumptions!$B$167-Assumptions!$B$18)+Assumptions!$B$164*MAX(0,Assumptions!$B$168-Assumptions!$B$18)+Assumptions!$B$165*MAX(0,Assumptions!$B$169-Assumptions!$B$18)+Assumptions!$B$166*MAX(0,Assumptions!$B$170-Assumptions!$B$18))*Assumptions!$B$19/Assumptions!$B$7*K7+K134*Assumptions!$B$20/Assumptions!$B$7+K132*(Assumptions!$B$161*Assumptions!$B$20+Assumptions!$B$162*Assumptions!$B$21)/12/Assumptions!$B$7*K7,0)</f>
        <v/>
      </c>
      <c r="L147" s="61">
        <f>IF(L2&gt;=Assumptions!$B$52,L139*L17*Assumptions!$B$17+L133*(Assumptions!$B$163*MAX(0,Assumptions!$B$167-Assumptions!$B$18)+Assumptions!$B$164*MAX(0,Assumptions!$B$168-Assumptions!$B$18)+Assumptions!$B$165*MAX(0,Assumptions!$B$169-Assumptions!$B$18)+Assumptions!$B$166*MAX(0,Assumptions!$B$170-Assumptions!$B$18))*Assumptions!$B$19/Assumptions!$B$7*L7+L134*Assumptions!$B$20/Assumptions!$B$7+L132*(Assumptions!$B$161*Assumptions!$B$20+Assumptions!$B$162*Assumptions!$B$21)/12/Assumptions!$B$7*L7,0)</f>
        <v/>
      </c>
      <c r="M147" s="61">
        <f>IF(M2&gt;=Assumptions!$B$52,M139*M17*Assumptions!$B$17+M133*(Assumptions!$B$163*MAX(0,Assumptions!$B$167-Assumptions!$B$18)+Assumptions!$B$164*MAX(0,Assumptions!$B$168-Assumptions!$B$18)+Assumptions!$B$165*MAX(0,Assumptions!$B$169-Assumptions!$B$18)+Assumptions!$B$166*MAX(0,Assumptions!$B$170-Assumptions!$B$18))*Assumptions!$B$19/Assumptions!$B$7*M7+M134*Assumptions!$B$20/Assumptions!$B$7+M132*(Assumptions!$B$161*Assumptions!$B$20+Assumptions!$B$162*Assumptions!$B$21)/12/Assumptions!$B$7*M7,0)</f>
        <v/>
      </c>
      <c r="N147" s="61">
        <f>IF(N2&gt;=Assumptions!$B$52,N139*N17*Assumptions!$B$17+N133*(Assumptions!$B$163*MAX(0,Assumptions!$B$167-Assumptions!$B$18)+Assumptions!$B$164*MAX(0,Assumptions!$B$168-Assumptions!$B$18)+Assumptions!$B$165*MAX(0,Assumptions!$B$169-Assumptions!$B$18)+Assumptions!$B$166*MAX(0,Assumptions!$B$170-Assumptions!$B$18))*Assumptions!$B$19/Assumptions!$B$7*N7+N134*Assumptions!$B$20/Assumptions!$B$7+N132*(Assumptions!$B$161*Assumptions!$B$20+Assumptions!$B$162*Assumptions!$B$21)/12/Assumptions!$B$7*N7,0)</f>
        <v/>
      </c>
      <c r="O147" s="61">
        <f>IF(O2&gt;=Assumptions!$B$52,O139*O17*Assumptions!$B$17+O133*(Assumptions!$B$163*MAX(0,Assumptions!$B$167-Assumptions!$B$18)+Assumptions!$B$164*MAX(0,Assumptions!$B$168-Assumptions!$B$18)+Assumptions!$B$165*MAX(0,Assumptions!$B$169-Assumptions!$B$18)+Assumptions!$B$166*MAX(0,Assumptions!$B$170-Assumptions!$B$18))*Assumptions!$B$19/Assumptions!$B$7*O7+O134*Assumptions!$B$20/Assumptions!$B$7+O132*(Assumptions!$B$161*Assumptions!$B$20+Assumptions!$B$162*Assumptions!$B$21)/12/Assumptions!$B$7*O7,0)</f>
        <v/>
      </c>
      <c r="P147" s="61">
        <f>IF(P2&gt;=Assumptions!$B$52,P139*P17*Assumptions!$B$17+P133*(Assumptions!$B$163*MAX(0,Assumptions!$B$167-Assumptions!$B$18)+Assumptions!$B$164*MAX(0,Assumptions!$B$168-Assumptions!$B$18)+Assumptions!$B$165*MAX(0,Assumptions!$B$169-Assumptions!$B$18)+Assumptions!$B$166*MAX(0,Assumptions!$B$170-Assumptions!$B$18))*Assumptions!$B$19/Assumptions!$B$7*P7+P134*Assumptions!$B$20/Assumptions!$B$7+P132*(Assumptions!$B$161*Assumptions!$B$20+Assumptions!$B$162*Assumptions!$B$21)/12/Assumptions!$B$7*P7,0)</f>
        <v/>
      </c>
      <c r="Q147" s="61">
        <f>IF(Q2&gt;=Assumptions!$B$52,Q139*Q17*Assumptions!$B$17+Q133*(Assumptions!$B$163*MAX(0,Assumptions!$B$167-Assumptions!$B$18)+Assumptions!$B$164*MAX(0,Assumptions!$B$168-Assumptions!$B$18)+Assumptions!$B$165*MAX(0,Assumptions!$B$169-Assumptions!$B$18)+Assumptions!$B$166*MAX(0,Assumptions!$B$170-Assumptions!$B$18))*Assumptions!$B$19/Assumptions!$B$7*Q7+Q134*Assumptions!$B$20/Assumptions!$B$7+Q132*(Assumptions!$B$161*Assumptions!$B$20+Assumptions!$B$162*Assumptions!$B$21)/12/Assumptions!$B$7*Q7,0)</f>
        <v/>
      </c>
      <c r="R147" s="61">
        <f>IF(R2&gt;=Assumptions!$B$52,R139*R17*Assumptions!$B$17+R133*(Assumptions!$B$163*MAX(0,Assumptions!$B$167-Assumptions!$B$18)+Assumptions!$B$164*MAX(0,Assumptions!$B$168-Assumptions!$B$18)+Assumptions!$B$165*MAX(0,Assumptions!$B$169-Assumptions!$B$18)+Assumptions!$B$166*MAX(0,Assumptions!$B$170-Assumptions!$B$18))*Assumptions!$B$19/Assumptions!$B$7*R7+R134*Assumptions!$B$20/Assumptions!$B$7+R132*(Assumptions!$B$161*Assumptions!$B$20+Assumptions!$B$162*Assumptions!$B$21)/12/Assumptions!$B$7*R7,0)</f>
        <v/>
      </c>
      <c r="S147" s="61">
        <f>IF(S2&gt;=Assumptions!$B$52,S139*S17*Assumptions!$B$17+S133*(Assumptions!$B$163*MAX(0,Assumptions!$B$167-Assumptions!$B$18)+Assumptions!$B$164*MAX(0,Assumptions!$B$168-Assumptions!$B$18)+Assumptions!$B$165*MAX(0,Assumptions!$B$169-Assumptions!$B$18)+Assumptions!$B$166*MAX(0,Assumptions!$B$170-Assumptions!$B$18))*Assumptions!$B$19/Assumptions!$B$7*S7+S134*Assumptions!$B$20/Assumptions!$B$7+S132*(Assumptions!$B$161*Assumptions!$B$20+Assumptions!$B$162*Assumptions!$B$21)/12/Assumptions!$B$7*S7,0)</f>
        <v/>
      </c>
      <c r="T147" s="61">
        <f>IF(T2&gt;=Assumptions!$B$52,T139*T17*Assumptions!$B$17+T133*(Assumptions!$B$163*MAX(0,Assumptions!$B$167-Assumptions!$B$18)+Assumptions!$B$164*MAX(0,Assumptions!$B$168-Assumptions!$B$18)+Assumptions!$B$165*MAX(0,Assumptions!$B$169-Assumptions!$B$18)+Assumptions!$B$166*MAX(0,Assumptions!$B$170-Assumptions!$B$18))*Assumptions!$B$19/Assumptions!$B$7*T7+T134*Assumptions!$B$20/Assumptions!$B$7+T132*(Assumptions!$B$161*Assumptions!$B$20+Assumptions!$B$162*Assumptions!$B$21)/12/Assumptions!$B$7*T7,0)</f>
        <v/>
      </c>
      <c r="U147" s="61">
        <f>IF(U2&gt;=Assumptions!$B$52,U139*U17*Assumptions!$B$17+U133*(Assumptions!$B$163*MAX(0,Assumptions!$B$167-Assumptions!$B$18)+Assumptions!$B$164*MAX(0,Assumptions!$B$168-Assumptions!$B$18)+Assumptions!$B$165*MAX(0,Assumptions!$B$169-Assumptions!$B$18)+Assumptions!$B$166*MAX(0,Assumptions!$B$170-Assumptions!$B$18))*Assumptions!$B$19/Assumptions!$B$7*U7+U134*Assumptions!$B$20/Assumptions!$B$7+U132*(Assumptions!$B$161*Assumptions!$B$20+Assumptions!$B$162*Assumptions!$B$21)/12/Assumptions!$B$7*U7,0)</f>
        <v/>
      </c>
      <c r="V147" s="61">
        <f>IF(V2&gt;=Assumptions!$B$52,V139*V17*Assumptions!$B$17+V133*(Assumptions!$B$163*MAX(0,Assumptions!$B$167-Assumptions!$B$18)+Assumptions!$B$164*MAX(0,Assumptions!$B$168-Assumptions!$B$18)+Assumptions!$B$165*MAX(0,Assumptions!$B$169-Assumptions!$B$18)+Assumptions!$B$166*MAX(0,Assumptions!$B$170-Assumptions!$B$18))*Assumptions!$B$19/Assumptions!$B$7*V7+V134*Assumptions!$B$20/Assumptions!$B$7+V132*(Assumptions!$B$161*Assumptions!$B$20+Assumptions!$B$162*Assumptions!$B$21)/12/Assumptions!$B$7*V7,0)</f>
        <v/>
      </c>
      <c r="W147" s="61">
        <f>IF(W2&gt;=Assumptions!$B$52,W139*W17*Assumptions!$B$17+W133*(Assumptions!$B$163*MAX(0,Assumptions!$B$167-Assumptions!$B$18)+Assumptions!$B$164*MAX(0,Assumptions!$B$168-Assumptions!$B$18)+Assumptions!$B$165*MAX(0,Assumptions!$B$169-Assumptions!$B$18)+Assumptions!$B$166*MAX(0,Assumptions!$B$170-Assumptions!$B$18))*Assumptions!$B$19/Assumptions!$B$7*W7+W134*Assumptions!$B$20/Assumptions!$B$7+W132*(Assumptions!$B$161*Assumptions!$B$20+Assumptions!$B$162*Assumptions!$B$21)/12/Assumptions!$B$7*W7,0)</f>
        <v/>
      </c>
      <c r="X147" s="61">
        <f>IF(X2&gt;=Assumptions!$B$52,X139*X17*Assumptions!$B$17+X133*(Assumptions!$B$163*MAX(0,Assumptions!$B$167-Assumptions!$B$18)+Assumptions!$B$164*MAX(0,Assumptions!$B$168-Assumptions!$B$18)+Assumptions!$B$165*MAX(0,Assumptions!$B$169-Assumptions!$B$18)+Assumptions!$B$166*MAX(0,Assumptions!$B$170-Assumptions!$B$18))*Assumptions!$B$19/Assumptions!$B$7*X7+X134*Assumptions!$B$20/Assumptions!$B$7+X132*(Assumptions!$B$161*Assumptions!$B$20+Assumptions!$B$162*Assumptions!$B$21)/12/Assumptions!$B$7*X7,0)</f>
        <v/>
      </c>
      <c r="Y147" s="61">
        <f>IF(Y2&gt;=Assumptions!$B$52,Y139*Y17*Assumptions!$B$17+Y133*(Assumptions!$B$163*MAX(0,Assumptions!$B$167-Assumptions!$B$18)+Assumptions!$B$164*MAX(0,Assumptions!$B$168-Assumptions!$B$18)+Assumptions!$B$165*MAX(0,Assumptions!$B$169-Assumptions!$B$18)+Assumptions!$B$166*MAX(0,Assumptions!$B$170-Assumptions!$B$18))*Assumptions!$B$19/Assumptions!$B$7*Y7+Y134*Assumptions!$B$20/Assumptions!$B$7+Y132*(Assumptions!$B$161*Assumptions!$B$20+Assumptions!$B$162*Assumptions!$B$21)/12/Assumptions!$B$7*Y7,0)</f>
        <v/>
      </c>
      <c r="Z147" s="61">
        <f>IF(Z2&gt;=Assumptions!$B$52,Z139*Z17*Assumptions!$B$17+Z133*(Assumptions!$B$163*MAX(0,Assumptions!$B$167-Assumptions!$B$18)+Assumptions!$B$164*MAX(0,Assumptions!$B$168-Assumptions!$B$18)+Assumptions!$B$165*MAX(0,Assumptions!$B$169-Assumptions!$B$18)+Assumptions!$B$166*MAX(0,Assumptions!$B$170-Assumptions!$B$18))*Assumptions!$B$19/Assumptions!$B$7*Z7+Z134*Assumptions!$B$20/Assumptions!$B$7+Z132*(Assumptions!$B$161*Assumptions!$B$20+Assumptions!$B$162*Assumptions!$B$21)/12/Assumptions!$B$7*Z7,0)</f>
        <v/>
      </c>
      <c r="AA147" s="61">
        <f>IF(AA2&gt;=Assumptions!$B$52,AA139*AA17*Assumptions!$B$17+AA133*(Assumptions!$B$163*MAX(0,Assumptions!$B$167-Assumptions!$B$18)+Assumptions!$B$164*MAX(0,Assumptions!$B$168-Assumptions!$B$18)+Assumptions!$B$165*MAX(0,Assumptions!$B$169-Assumptions!$B$18)+Assumptions!$B$166*MAX(0,Assumptions!$B$170-Assumptions!$B$18))*Assumptions!$B$19/Assumptions!$B$7*AA7+AA134*Assumptions!$B$20/Assumptions!$B$7+AA132*(Assumptions!$B$161*Assumptions!$B$20+Assumptions!$B$162*Assumptions!$B$21)/12/Assumptions!$B$7*AA7,0)</f>
        <v/>
      </c>
      <c r="AB147" s="61">
        <f>IF(AB2&gt;=Assumptions!$B$52,AB139*AB17*Assumptions!$B$17+AB133*(Assumptions!$B$163*MAX(0,Assumptions!$B$167-Assumptions!$B$18)+Assumptions!$B$164*MAX(0,Assumptions!$B$168-Assumptions!$B$18)+Assumptions!$B$165*MAX(0,Assumptions!$B$169-Assumptions!$B$18)+Assumptions!$B$166*MAX(0,Assumptions!$B$170-Assumptions!$B$18))*Assumptions!$B$19/Assumptions!$B$7*AB7+AB134*Assumptions!$B$20/Assumptions!$B$7+AB132*(Assumptions!$B$161*Assumptions!$B$20+Assumptions!$B$162*Assumptions!$B$21)/12/Assumptions!$B$7*AB7,0)</f>
        <v/>
      </c>
      <c r="AC147" s="61">
        <f>IF(AC2&gt;=Assumptions!$B$52,AC139*AC17*Assumptions!$B$17+AC133*(Assumptions!$B$163*MAX(0,Assumptions!$B$167-Assumptions!$B$18)+Assumptions!$B$164*MAX(0,Assumptions!$B$168-Assumptions!$B$18)+Assumptions!$B$165*MAX(0,Assumptions!$B$169-Assumptions!$B$18)+Assumptions!$B$166*MAX(0,Assumptions!$B$170-Assumptions!$B$18))*Assumptions!$B$19/Assumptions!$B$7*AC7+AC134*Assumptions!$B$20/Assumptions!$B$7+AC132*(Assumptions!$B$161*Assumptions!$B$20+Assumptions!$B$162*Assumptions!$B$21)/12/Assumptions!$B$7*AC7,0)</f>
        <v/>
      </c>
      <c r="AD147" s="61">
        <f>IF(AD2&gt;=Assumptions!$B$52,AD139*AD17*Assumptions!$B$17+AD133*(Assumptions!$B$163*MAX(0,Assumptions!$B$167-Assumptions!$B$18)+Assumptions!$B$164*MAX(0,Assumptions!$B$168-Assumptions!$B$18)+Assumptions!$B$165*MAX(0,Assumptions!$B$169-Assumptions!$B$18)+Assumptions!$B$166*MAX(0,Assumptions!$B$170-Assumptions!$B$18))*Assumptions!$B$19/Assumptions!$B$7*AD7+AD134*Assumptions!$B$20/Assumptions!$B$7+AD132*(Assumptions!$B$161*Assumptions!$B$20+Assumptions!$B$162*Assumptions!$B$21)/12/Assumptions!$B$7*AD7,0)</f>
        <v/>
      </c>
      <c r="AE147" s="61">
        <f>IF(AE2&gt;=Assumptions!$B$52,AE139*AE17*Assumptions!$B$17+AE133*(Assumptions!$B$163*MAX(0,Assumptions!$B$167-Assumptions!$B$18)+Assumptions!$B$164*MAX(0,Assumptions!$B$168-Assumptions!$B$18)+Assumptions!$B$165*MAX(0,Assumptions!$B$169-Assumptions!$B$18)+Assumptions!$B$166*MAX(0,Assumptions!$B$170-Assumptions!$B$18))*Assumptions!$B$19/Assumptions!$B$7*AE7+AE134*Assumptions!$B$20/Assumptions!$B$7+AE132*(Assumptions!$B$161*Assumptions!$B$20+Assumptions!$B$162*Assumptions!$B$21)/12/Assumptions!$B$7*AE7,0)</f>
        <v/>
      </c>
    </row>
    <row r="148">
      <c r="A148" s="6" t="inlineStr">
        <is>
          <t xml:space="preserve">  Average drawn balance outstanding</t>
        </is>
      </c>
      <c r="B148" s="23" t="inlineStr">
        <is>
          <t>USD</t>
        </is>
      </c>
      <c r="C148" s="61">
        <f>IF(C2&gt;=Assumptions!$B$53,C132*C135*(1-Assumptions!$B$227)*Assumptions!$B$171*Assumptions!$B$172,0)</f>
        <v/>
      </c>
      <c r="D148" s="61">
        <f>IF(D2&gt;=Assumptions!$B$53,D132*D135*(1-Assumptions!$B$227)*Assumptions!$B$171*Assumptions!$B$172,0)</f>
        <v/>
      </c>
      <c r="E148" s="61">
        <f>IF(E2&gt;=Assumptions!$B$53,E132*E135*(1-Assumptions!$B$227)*Assumptions!$B$171*Assumptions!$B$172,0)</f>
        <v/>
      </c>
      <c r="F148" s="61">
        <f>IF(F2&gt;=Assumptions!$B$53,F132*F135*(1-Assumptions!$B$227)*Assumptions!$B$171*Assumptions!$B$172,0)</f>
        <v/>
      </c>
      <c r="G148" s="61">
        <f>IF(G2&gt;=Assumptions!$B$53,G132*G135*(1-Assumptions!$B$227)*Assumptions!$B$171*Assumptions!$B$172,0)</f>
        <v/>
      </c>
      <c r="H148" s="61">
        <f>IF(H2&gt;=Assumptions!$B$53,H132*H135*(1-Assumptions!$B$227)*Assumptions!$B$171*Assumptions!$B$172,0)</f>
        <v/>
      </c>
      <c r="I148" s="61">
        <f>IF(I2&gt;=Assumptions!$B$53,I132*I135*(1-Assumptions!$B$227)*Assumptions!$B$171*Assumptions!$B$172,0)</f>
        <v/>
      </c>
      <c r="J148" s="61">
        <f>IF(J2&gt;=Assumptions!$B$53,J132*J135*(1-Assumptions!$B$227)*Assumptions!$B$171*Assumptions!$B$172,0)</f>
        <v/>
      </c>
      <c r="K148" s="61">
        <f>IF(K2&gt;=Assumptions!$B$53,K132*K135*(1-Assumptions!$B$227)*Assumptions!$B$171*Assumptions!$B$172,0)</f>
        <v/>
      </c>
      <c r="L148" s="61">
        <f>IF(L2&gt;=Assumptions!$B$53,L132*L135*(1-Assumptions!$B$227)*Assumptions!$B$171*Assumptions!$B$172,0)</f>
        <v/>
      </c>
      <c r="M148" s="61">
        <f>IF(M2&gt;=Assumptions!$B$53,M132*M135*(1-Assumptions!$B$227)*Assumptions!$B$171*Assumptions!$B$172,0)</f>
        <v/>
      </c>
      <c r="N148" s="61">
        <f>IF(N2&gt;=Assumptions!$B$53,N132*N135*(1-Assumptions!$B$227)*Assumptions!$B$171*Assumptions!$B$172,0)</f>
        <v/>
      </c>
      <c r="O148" s="61">
        <f>IF(O2&gt;=Assumptions!$B$53,O132*O135*(1-Assumptions!$B$227)*Assumptions!$B$171*Assumptions!$B$172,0)</f>
        <v/>
      </c>
      <c r="P148" s="61">
        <f>IF(P2&gt;=Assumptions!$B$53,P132*P135*(1-Assumptions!$B$227)*Assumptions!$B$171*Assumptions!$B$172,0)</f>
        <v/>
      </c>
      <c r="Q148" s="61">
        <f>IF(Q2&gt;=Assumptions!$B$53,Q132*Q135*(1-Assumptions!$B$227)*Assumptions!$B$171*Assumptions!$B$172,0)</f>
        <v/>
      </c>
      <c r="R148" s="61">
        <f>IF(R2&gt;=Assumptions!$B$53,R132*R135*(1-Assumptions!$B$227)*Assumptions!$B$171*Assumptions!$B$172,0)</f>
        <v/>
      </c>
      <c r="S148" s="61">
        <f>IF(S2&gt;=Assumptions!$B$53,S132*S135*(1-Assumptions!$B$227)*Assumptions!$B$171*Assumptions!$B$172,0)</f>
        <v/>
      </c>
      <c r="T148" s="61">
        <f>IF(T2&gt;=Assumptions!$B$53,T132*T135*(1-Assumptions!$B$227)*Assumptions!$B$171*Assumptions!$B$172,0)</f>
        <v/>
      </c>
      <c r="U148" s="61">
        <f>IF(U2&gt;=Assumptions!$B$53,U132*U135*(1-Assumptions!$B$227)*Assumptions!$B$171*Assumptions!$B$172,0)</f>
        <v/>
      </c>
      <c r="V148" s="61">
        <f>IF(V2&gt;=Assumptions!$B$53,V132*V135*(1-Assumptions!$B$227)*Assumptions!$B$171*Assumptions!$B$172,0)</f>
        <v/>
      </c>
      <c r="W148" s="61">
        <f>IF(W2&gt;=Assumptions!$B$53,W132*W135*(1-Assumptions!$B$227)*Assumptions!$B$171*Assumptions!$B$172,0)</f>
        <v/>
      </c>
      <c r="X148" s="61">
        <f>IF(X2&gt;=Assumptions!$B$53,X132*X135*(1-Assumptions!$B$227)*Assumptions!$B$171*Assumptions!$B$172,0)</f>
        <v/>
      </c>
      <c r="Y148" s="61">
        <f>IF(Y2&gt;=Assumptions!$B$53,Y132*Y135*(1-Assumptions!$B$227)*Assumptions!$B$171*Assumptions!$B$172,0)</f>
        <v/>
      </c>
      <c r="Z148" s="61">
        <f>IF(Z2&gt;=Assumptions!$B$53,Z132*Z135*(1-Assumptions!$B$227)*Assumptions!$B$171*Assumptions!$B$172,0)</f>
        <v/>
      </c>
      <c r="AA148" s="61">
        <f>IF(AA2&gt;=Assumptions!$B$53,AA132*AA135*(1-Assumptions!$B$227)*Assumptions!$B$171*Assumptions!$B$172,0)</f>
        <v/>
      </c>
      <c r="AB148" s="61">
        <f>IF(AB2&gt;=Assumptions!$B$53,AB132*AB135*(1-Assumptions!$B$227)*Assumptions!$B$171*Assumptions!$B$172,0)</f>
        <v/>
      </c>
      <c r="AC148" s="61">
        <f>IF(AC2&gt;=Assumptions!$B$53,AC132*AC135*(1-Assumptions!$B$227)*Assumptions!$B$171*Assumptions!$B$172,0)</f>
        <v/>
      </c>
      <c r="AD148" s="61">
        <f>IF(AD2&gt;=Assumptions!$B$53,AD132*AD135*(1-Assumptions!$B$227)*Assumptions!$B$171*Assumptions!$B$172,0)</f>
        <v/>
      </c>
      <c r="AE148" s="61">
        <f>IF(AE2&gt;=Assumptions!$B$53,AE132*AE135*(1-Assumptions!$B$227)*Assumptions!$B$171*Assumptions!$B$172,0)</f>
        <v/>
      </c>
    </row>
    <row r="149">
      <c r="A149" s="6" t="inlineStr">
        <is>
          <t xml:space="preserve">  Stream 5 - Lending revenue share</t>
        </is>
      </c>
      <c r="B149" s="23" t="inlineStr">
        <is>
          <t>USD</t>
        </is>
      </c>
      <c r="C149" s="61">
        <f>IF(C2&gt;=Assumptions!$B$53,(C148*Assumptions!$B$29*Assumptions!$B$30+C133*C136*(1-Assumptions!$B$227)*Assumptions!$B$27*Assumptions!$B$28)*C7/12,0)</f>
        <v/>
      </c>
      <c r="D149" s="61">
        <f>IF(D2&gt;=Assumptions!$B$53,(D148*Assumptions!$B$29*Assumptions!$B$30+D133*D136*(1-Assumptions!$B$227)*Assumptions!$B$27*Assumptions!$B$28)*D7/12,0)</f>
        <v/>
      </c>
      <c r="E149" s="61">
        <f>IF(E2&gt;=Assumptions!$B$53,(E148*Assumptions!$B$29*Assumptions!$B$30+E133*E136*(1-Assumptions!$B$227)*Assumptions!$B$27*Assumptions!$B$28)*E7/12,0)</f>
        <v/>
      </c>
      <c r="F149" s="61">
        <f>IF(F2&gt;=Assumptions!$B$53,(F148*Assumptions!$B$29*Assumptions!$B$30+F133*F136*(1-Assumptions!$B$227)*Assumptions!$B$27*Assumptions!$B$28)*F7/12,0)</f>
        <v/>
      </c>
      <c r="G149" s="61">
        <f>IF(G2&gt;=Assumptions!$B$53,(G148*Assumptions!$B$29*Assumptions!$B$30+G133*G136*(1-Assumptions!$B$227)*Assumptions!$B$27*Assumptions!$B$28)*G7/12,0)</f>
        <v/>
      </c>
      <c r="H149" s="61">
        <f>IF(H2&gt;=Assumptions!$B$53,(H148*Assumptions!$B$29*Assumptions!$B$30+H133*H136*(1-Assumptions!$B$227)*Assumptions!$B$27*Assumptions!$B$28)*H7/12,0)</f>
        <v/>
      </c>
      <c r="I149" s="61">
        <f>IF(I2&gt;=Assumptions!$B$53,(I148*Assumptions!$B$29*Assumptions!$B$30+I133*I136*(1-Assumptions!$B$227)*Assumptions!$B$27*Assumptions!$B$28)*I7/12,0)</f>
        <v/>
      </c>
      <c r="J149" s="61">
        <f>IF(J2&gt;=Assumptions!$B$53,(J148*Assumptions!$B$29*Assumptions!$B$30+J133*J136*(1-Assumptions!$B$227)*Assumptions!$B$27*Assumptions!$B$28)*J7/12,0)</f>
        <v/>
      </c>
      <c r="K149" s="61">
        <f>IF(K2&gt;=Assumptions!$B$53,(K148*Assumptions!$B$29*Assumptions!$B$30+K133*K136*(1-Assumptions!$B$227)*Assumptions!$B$27*Assumptions!$B$28)*K7/12,0)</f>
        <v/>
      </c>
      <c r="L149" s="61">
        <f>IF(L2&gt;=Assumptions!$B$53,(L148*Assumptions!$B$29*Assumptions!$B$30+L133*L136*(1-Assumptions!$B$227)*Assumptions!$B$27*Assumptions!$B$28)*L7/12,0)</f>
        <v/>
      </c>
      <c r="M149" s="61">
        <f>IF(M2&gt;=Assumptions!$B$53,(M148*Assumptions!$B$29*Assumptions!$B$30+M133*M136*(1-Assumptions!$B$227)*Assumptions!$B$27*Assumptions!$B$28)*M7/12,0)</f>
        <v/>
      </c>
      <c r="N149" s="61">
        <f>IF(N2&gt;=Assumptions!$B$53,(N148*Assumptions!$B$29*Assumptions!$B$30+N133*N136*(1-Assumptions!$B$227)*Assumptions!$B$27*Assumptions!$B$28)*N7/12,0)</f>
        <v/>
      </c>
      <c r="O149" s="61">
        <f>IF(O2&gt;=Assumptions!$B$53,(O148*Assumptions!$B$29*Assumptions!$B$30+O133*O136*(1-Assumptions!$B$227)*Assumptions!$B$27*Assumptions!$B$28)*O7/12,0)</f>
        <v/>
      </c>
      <c r="P149" s="61">
        <f>IF(P2&gt;=Assumptions!$B$53,(P148*Assumptions!$B$29*Assumptions!$B$30+P133*P136*(1-Assumptions!$B$227)*Assumptions!$B$27*Assumptions!$B$28)*P7/12,0)</f>
        <v/>
      </c>
      <c r="Q149" s="61">
        <f>IF(Q2&gt;=Assumptions!$B$53,(Q148*Assumptions!$B$29*Assumptions!$B$30+Q133*Q136*(1-Assumptions!$B$227)*Assumptions!$B$27*Assumptions!$B$28)*Q7/12,0)</f>
        <v/>
      </c>
      <c r="R149" s="61">
        <f>IF(R2&gt;=Assumptions!$B$53,(R148*Assumptions!$B$29*Assumptions!$B$30+R133*R136*(1-Assumptions!$B$227)*Assumptions!$B$27*Assumptions!$B$28)*R7/12,0)</f>
        <v/>
      </c>
      <c r="S149" s="61">
        <f>IF(S2&gt;=Assumptions!$B$53,(S148*Assumptions!$B$29*Assumptions!$B$30+S133*S136*(1-Assumptions!$B$227)*Assumptions!$B$27*Assumptions!$B$28)*S7/12,0)</f>
        <v/>
      </c>
      <c r="T149" s="61">
        <f>IF(T2&gt;=Assumptions!$B$53,(T148*Assumptions!$B$29*Assumptions!$B$30+T133*T136*(1-Assumptions!$B$227)*Assumptions!$B$27*Assumptions!$B$28)*T7/12,0)</f>
        <v/>
      </c>
      <c r="U149" s="61">
        <f>IF(U2&gt;=Assumptions!$B$53,(U148*Assumptions!$B$29*Assumptions!$B$30+U133*U136*(1-Assumptions!$B$227)*Assumptions!$B$27*Assumptions!$B$28)*U7/12,0)</f>
        <v/>
      </c>
      <c r="V149" s="61">
        <f>IF(V2&gt;=Assumptions!$B$53,(V148*Assumptions!$B$29*Assumptions!$B$30+V133*V136*(1-Assumptions!$B$227)*Assumptions!$B$27*Assumptions!$B$28)*V7/12,0)</f>
        <v/>
      </c>
      <c r="W149" s="61">
        <f>IF(W2&gt;=Assumptions!$B$53,(W148*Assumptions!$B$29*Assumptions!$B$30+W133*W136*(1-Assumptions!$B$227)*Assumptions!$B$27*Assumptions!$B$28)*W7/12,0)</f>
        <v/>
      </c>
      <c r="X149" s="61">
        <f>IF(X2&gt;=Assumptions!$B$53,(X148*Assumptions!$B$29*Assumptions!$B$30+X133*X136*(1-Assumptions!$B$227)*Assumptions!$B$27*Assumptions!$B$28)*X7/12,0)</f>
        <v/>
      </c>
      <c r="Y149" s="61">
        <f>IF(Y2&gt;=Assumptions!$B$53,(Y148*Assumptions!$B$29*Assumptions!$B$30+Y133*Y136*(1-Assumptions!$B$227)*Assumptions!$B$27*Assumptions!$B$28)*Y7/12,0)</f>
        <v/>
      </c>
      <c r="Z149" s="61">
        <f>IF(Z2&gt;=Assumptions!$B$53,(Z148*Assumptions!$B$29*Assumptions!$B$30+Z133*Z136*(1-Assumptions!$B$227)*Assumptions!$B$27*Assumptions!$B$28)*Z7/12,0)</f>
        <v/>
      </c>
      <c r="AA149" s="61">
        <f>IF(AA2&gt;=Assumptions!$B$53,(AA148*Assumptions!$B$29*Assumptions!$B$30+AA133*AA136*(1-Assumptions!$B$227)*Assumptions!$B$27*Assumptions!$B$28)*AA7/12,0)</f>
        <v/>
      </c>
      <c r="AB149" s="61">
        <f>IF(AB2&gt;=Assumptions!$B$53,(AB148*Assumptions!$B$29*Assumptions!$B$30+AB133*AB136*(1-Assumptions!$B$227)*Assumptions!$B$27*Assumptions!$B$28)*AB7/12,0)</f>
        <v/>
      </c>
      <c r="AC149" s="61">
        <f>IF(AC2&gt;=Assumptions!$B$53,(AC148*Assumptions!$B$29*Assumptions!$B$30+AC133*AC136*(1-Assumptions!$B$227)*Assumptions!$B$27*Assumptions!$B$28)*AC7/12,0)</f>
        <v/>
      </c>
      <c r="AD149" s="61">
        <f>IF(AD2&gt;=Assumptions!$B$53,(AD148*Assumptions!$B$29*Assumptions!$B$30+AD133*AD136*(1-Assumptions!$B$227)*Assumptions!$B$27*Assumptions!$B$28)*AD7/12,0)</f>
        <v/>
      </c>
      <c r="AE149" s="61">
        <f>IF(AE2&gt;=Assumptions!$B$53,(AE148*Assumptions!$B$29*Assumptions!$B$30+AE133*AE136*(1-Assumptions!$B$227)*Assumptions!$B$27*Assumptions!$B$28)*AE7/12,0)</f>
        <v/>
      </c>
    </row>
    <row r="150">
      <c r="A150" s="6" t="inlineStr">
        <is>
          <t xml:space="preserve">  Redemption events (memo - drives cost, not revenue)</t>
        </is>
      </c>
      <c r="B150" s="23" t="inlineStr">
        <is>
          <t>events</t>
        </is>
      </c>
      <c r="C150" s="50">
        <f>IF(C2&gt;=Assumptions!$B$49,(C118+C120*Assumptions!$B$153)*Assumptions!$B$152*C7/12,0)</f>
        <v/>
      </c>
      <c r="D150" s="50">
        <f>IF(D2&gt;=Assumptions!$B$49,(D118+D120*Assumptions!$B$153)*Assumptions!$B$152*D7/12,0)</f>
        <v/>
      </c>
      <c r="E150" s="50">
        <f>IF(E2&gt;=Assumptions!$B$49,(E118+E120*Assumptions!$B$153)*Assumptions!$B$152*E7/12,0)</f>
        <v/>
      </c>
      <c r="F150" s="50">
        <f>IF(F2&gt;=Assumptions!$B$49,(F118+F120*Assumptions!$B$153)*Assumptions!$B$152*F7/12,0)</f>
        <v/>
      </c>
      <c r="G150" s="50">
        <f>IF(G2&gt;=Assumptions!$B$49,(G118+G120*Assumptions!$B$153)*Assumptions!$B$152*G7/12,0)</f>
        <v/>
      </c>
      <c r="H150" s="50">
        <f>IF(H2&gt;=Assumptions!$B$49,(H118+H120*Assumptions!$B$153)*Assumptions!$B$152*H7/12,0)</f>
        <v/>
      </c>
      <c r="I150" s="50">
        <f>IF(I2&gt;=Assumptions!$B$49,(I118+I120*Assumptions!$B$153)*Assumptions!$B$152*I7/12,0)</f>
        <v/>
      </c>
      <c r="J150" s="50">
        <f>IF(J2&gt;=Assumptions!$B$49,(J118+J120*Assumptions!$B$153)*Assumptions!$B$152*J7/12,0)</f>
        <v/>
      </c>
      <c r="K150" s="50">
        <f>IF(K2&gt;=Assumptions!$B$49,(K118+K120*Assumptions!$B$153)*Assumptions!$B$152*K7/12,0)</f>
        <v/>
      </c>
      <c r="L150" s="50">
        <f>IF(L2&gt;=Assumptions!$B$49,(L118+L120*Assumptions!$B$153)*Assumptions!$B$152*L7/12,0)</f>
        <v/>
      </c>
      <c r="M150" s="50">
        <f>IF(M2&gt;=Assumptions!$B$49,(M118+M120*Assumptions!$B$153)*Assumptions!$B$152*M7/12,0)</f>
        <v/>
      </c>
      <c r="N150" s="50">
        <f>IF(N2&gt;=Assumptions!$B$49,(N118+N120*Assumptions!$B$153)*Assumptions!$B$152*N7/12,0)</f>
        <v/>
      </c>
      <c r="O150" s="50">
        <f>IF(O2&gt;=Assumptions!$B$49,(O118+O120*Assumptions!$B$153)*Assumptions!$B$152*O7/12,0)</f>
        <v/>
      </c>
      <c r="P150" s="50">
        <f>IF(P2&gt;=Assumptions!$B$49,(P118+P120*Assumptions!$B$153)*Assumptions!$B$152*P7/12,0)</f>
        <v/>
      </c>
      <c r="Q150" s="50">
        <f>IF(Q2&gt;=Assumptions!$B$49,(Q118+Q120*Assumptions!$B$153)*Assumptions!$B$152*Q7/12,0)</f>
        <v/>
      </c>
      <c r="R150" s="50">
        <f>IF(R2&gt;=Assumptions!$B$49,(R118+R120*Assumptions!$B$153)*Assumptions!$B$152*R7/12,0)</f>
        <v/>
      </c>
      <c r="S150" s="50">
        <f>IF(S2&gt;=Assumptions!$B$49,(S118+S120*Assumptions!$B$153)*Assumptions!$B$152*S7/12,0)</f>
        <v/>
      </c>
      <c r="T150" s="50">
        <f>IF(T2&gt;=Assumptions!$B$49,(T118+T120*Assumptions!$B$153)*Assumptions!$B$152*T7/12,0)</f>
        <v/>
      </c>
      <c r="U150" s="50">
        <f>IF(U2&gt;=Assumptions!$B$49,(U118+U120*Assumptions!$B$153)*Assumptions!$B$152*U7/12,0)</f>
        <v/>
      </c>
      <c r="V150" s="50">
        <f>IF(V2&gt;=Assumptions!$B$49,(V118+V120*Assumptions!$B$153)*Assumptions!$B$152*V7/12,0)</f>
        <v/>
      </c>
      <c r="W150" s="50">
        <f>IF(W2&gt;=Assumptions!$B$49,(W118+W120*Assumptions!$B$153)*Assumptions!$B$152*W7/12,0)</f>
        <v/>
      </c>
      <c r="X150" s="50">
        <f>IF(X2&gt;=Assumptions!$B$49,(X118+X120*Assumptions!$B$153)*Assumptions!$B$152*X7/12,0)</f>
        <v/>
      </c>
      <c r="Y150" s="50">
        <f>IF(Y2&gt;=Assumptions!$B$49,(Y118+Y120*Assumptions!$B$153)*Assumptions!$B$152*Y7/12,0)</f>
        <v/>
      </c>
      <c r="Z150" s="50">
        <f>IF(Z2&gt;=Assumptions!$B$49,(Z118+Z120*Assumptions!$B$153)*Assumptions!$B$152*Z7/12,0)</f>
        <v/>
      </c>
      <c r="AA150" s="50">
        <f>IF(AA2&gt;=Assumptions!$B$49,(AA118+AA120*Assumptions!$B$153)*Assumptions!$B$152*AA7/12,0)</f>
        <v/>
      </c>
      <c r="AB150" s="50">
        <f>IF(AB2&gt;=Assumptions!$B$49,(AB118+AB120*Assumptions!$B$153)*Assumptions!$B$152*AB7/12,0)</f>
        <v/>
      </c>
      <c r="AC150" s="50">
        <f>IF(AC2&gt;=Assumptions!$B$49,(AC118+AC120*Assumptions!$B$153)*Assumptions!$B$152*AC7/12,0)</f>
        <v/>
      </c>
      <c r="AD150" s="50">
        <f>IF(AD2&gt;=Assumptions!$B$49,(AD118+AD120*Assumptions!$B$153)*Assumptions!$B$152*AD7/12,0)</f>
        <v/>
      </c>
      <c r="AE150" s="50">
        <f>IF(AE2&gt;=Assumptions!$B$49,(AE118+AE120*Assumptions!$B$153)*Assumptions!$B$152*AE7/12,0)</f>
        <v/>
      </c>
    </row>
    <row r="151">
      <c r="A151" s="3" t="inlineStr">
        <is>
          <t xml:space="preserve">  SUBTOTAL - India</t>
        </is>
      </c>
      <c r="B151" s="23" t="inlineStr">
        <is>
          <t>USD</t>
        </is>
      </c>
      <c r="C151" s="63">
        <f>C142+C143+C144+C146+C147+C149</f>
        <v/>
      </c>
      <c r="D151" s="63">
        <f>D142+D143+D144+D146+D147+D149</f>
        <v/>
      </c>
      <c r="E151" s="63">
        <f>E142+E143+E144+E146+E147+E149</f>
        <v/>
      </c>
      <c r="F151" s="63">
        <f>F142+F143+F144+F146+F147+F149</f>
        <v/>
      </c>
      <c r="G151" s="63">
        <f>G142+G143+G144+G146+G147+G149</f>
        <v/>
      </c>
      <c r="H151" s="63">
        <f>H142+H143+H144+H146+H147+H149</f>
        <v/>
      </c>
      <c r="I151" s="63">
        <f>I142+I143+I144+I146+I147+I149</f>
        <v/>
      </c>
      <c r="J151" s="63">
        <f>J142+J143+J144+J146+J147+J149</f>
        <v/>
      </c>
      <c r="K151" s="63">
        <f>K142+K143+K144+K146+K147+K149</f>
        <v/>
      </c>
      <c r="L151" s="63">
        <f>L142+L143+L144+L146+L147+L149</f>
        <v/>
      </c>
      <c r="M151" s="63">
        <f>M142+M143+M144+M146+M147+M149</f>
        <v/>
      </c>
      <c r="N151" s="63">
        <f>N142+N143+N144+N146+N147+N149</f>
        <v/>
      </c>
      <c r="O151" s="63">
        <f>O142+O143+O144+O146+O147+O149</f>
        <v/>
      </c>
      <c r="P151" s="63">
        <f>P142+P143+P144+P146+P147+P149</f>
        <v/>
      </c>
      <c r="Q151" s="63">
        <f>Q142+Q143+Q144+Q146+Q147+Q149</f>
        <v/>
      </c>
      <c r="R151" s="63">
        <f>R142+R143+R144+R146+R147+R149</f>
        <v/>
      </c>
      <c r="S151" s="63">
        <f>S142+S143+S144+S146+S147+S149</f>
        <v/>
      </c>
      <c r="T151" s="63">
        <f>T142+T143+T144+T146+T147+T149</f>
        <v/>
      </c>
      <c r="U151" s="63">
        <f>U142+U143+U144+U146+U147+U149</f>
        <v/>
      </c>
      <c r="V151" s="63">
        <f>V142+V143+V144+V146+V147+V149</f>
        <v/>
      </c>
      <c r="W151" s="63">
        <f>W142+W143+W144+W146+W147+W149</f>
        <v/>
      </c>
      <c r="X151" s="63">
        <f>X142+X143+X144+X146+X147+X149</f>
        <v/>
      </c>
      <c r="Y151" s="63">
        <f>Y142+Y143+Y144+Y146+Y147+Y149</f>
        <v/>
      </c>
      <c r="Z151" s="63">
        <f>Z142+Z143+Z144+Z146+Z147+Z149</f>
        <v/>
      </c>
      <c r="AA151" s="63">
        <f>AA142+AA143+AA144+AA146+AA147+AA149</f>
        <v/>
      </c>
      <c r="AB151" s="63">
        <f>AB142+AB143+AB144+AB146+AB147+AB149</f>
        <v/>
      </c>
      <c r="AC151" s="63">
        <f>AC142+AC143+AC144+AC146+AC147+AC149</f>
        <v/>
      </c>
      <c r="AD151" s="63">
        <f>AD142+AD143+AD144+AD146+AD147+AD149</f>
        <v/>
      </c>
      <c r="AE151" s="63">
        <f>AE142+AE143+AE144+AE146+AE147+AE149</f>
        <v/>
      </c>
    </row>
    <row r="153">
      <c r="A153" s="51" t="inlineStr">
        <is>
          <t>NON-REGIONAL</t>
        </is>
      </c>
      <c r="B153" s="52" t="n"/>
      <c r="C153" s="52" t="n"/>
      <c r="D153" s="52" t="n"/>
      <c r="E153" s="52" t="n"/>
      <c r="F153" s="52" t="n"/>
      <c r="G153" s="52" t="n"/>
      <c r="H153" s="52" t="n"/>
      <c r="I153" s="52" t="n"/>
      <c r="J153" s="52" t="n"/>
      <c r="K153" s="52" t="n"/>
      <c r="L153" s="52" t="n"/>
      <c r="M153" s="52" t="n"/>
      <c r="N153" s="52" t="n"/>
      <c r="O153" s="52" t="n"/>
      <c r="P153" s="52" t="n"/>
      <c r="Q153" s="52" t="n"/>
      <c r="R153" s="52" t="n"/>
      <c r="S153" s="52" t="n"/>
      <c r="T153" s="52" t="n"/>
      <c r="U153" s="52" t="n"/>
      <c r="V153" s="52" t="n"/>
      <c r="W153" s="52" t="n"/>
      <c r="X153" s="52" t="n"/>
      <c r="Y153" s="52" t="n"/>
      <c r="Z153" s="52" t="n"/>
      <c r="AA153" s="52" t="n"/>
      <c r="AB153" s="52" t="n"/>
      <c r="AC153" s="52" t="n"/>
      <c r="AD153" s="52" t="n"/>
      <c r="AE153" s="52" t="n"/>
    </row>
    <row r="154">
      <c r="A154" s="6" t="inlineStr">
        <is>
          <t xml:space="preserve">  Partner AUM</t>
        </is>
      </c>
      <c r="B154" s="23" t="inlineStr">
        <is>
          <t>USD</t>
        </is>
      </c>
      <c r="C154" s="65">
        <f>IF(C2&gt;=Assumptions!$B$54,INDEX(Assumptions!$B$178:$B$184,C5)*Assumptions!$B$189,0)</f>
        <v/>
      </c>
      <c r="D154" s="65">
        <f>IF(D2&gt;=Assumptions!$B$54,INDEX(Assumptions!$B$178:$B$184,D5)*Assumptions!$B$189,0)</f>
        <v/>
      </c>
      <c r="E154" s="65">
        <f>IF(E2&gt;=Assumptions!$B$54,INDEX(Assumptions!$B$178:$B$184,E5)*Assumptions!$B$189,0)</f>
        <v/>
      </c>
      <c r="F154" s="65">
        <f>IF(F2&gt;=Assumptions!$B$54,INDEX(Assumptions!$B$178:$B$184,F5)*Assumptions!$B$189,0)</f>
        <v/>
      </c>
      <c r="G154" s="65">
        <f>IF(G2&gt;=Assumptions!$B$54,INDEX(Assumptions!$B$178:$B$184,G5)*Assumptions!$B$189,0)</f>
        <v/>
      </c>
      <c r="H154" s="65">
        <f>IF(H2&gt;=Assumptions!$B$54,INDEX(Assumptions!$B$178:$B$184,H5)*Assumptions!$B$189,0)</f>
        <v/>
      </c>
      <c r="I154" s="65">
        <f>IF(I2&gt;=Assumptions!$B$54,INDEX(Assumptions!$B$178:$B$184,I5)*Assumptions!$B$189,0)</f>
        <v/>
      </c>
      <c r="J154" s="65">
        <f>IF(J2&gt;=Assumptions!$B$54,INDEX(Assumptions!$B$178:$B$184,J5)*Assumptions!$B$189,0)</f>
        <v/>
      </c>
      <c r="K154" s="65">
        <f>IF(K2&gt;=Assumptions!$B$54,INDEX(Assumptions!$B$178:$B$184,K5)*Assumptions!$B$189,0)</f>
        <v/>
      </c>
      <c r="L154" s="65">
        <f>IF(L2&gt;=Assumptions!$B$54,INDEX(Assumptions!$B$178:$B$184,L5)*Assumptions!$B$189,0)</f>
        <v/>
      </c>
      <c r="M154" s="65">
        <f>IF(M2&gt;=Assumptions!$B$54,INDEX(Assumptions!$B$178:$B$184,M5)*Assumptions!$B$189,0)</f>
        <v/>
      </c>
      <c r="N154" s="65">
        <f>IF(N2&gt;=Assumptions!$B$54,INDEX(Assumptions!$B$178:$B$184,N5)*Assumptions!$B$189,0)</f>
        <v/>
      </c>
      <c r="O154" s="65">
        <f>IF(O2&gt;=Assumptions!$B$54,INDEX(Assumptions!$B$178:$B$184,O5)*Assumptions!$B$189,0)</f>
        <v/>
      </c>
      <c r="P154" s="65">
        <f>IF(P2&gt;=Assumptions!$B$54,INDEX(Assumptions!$B$178:$B$184,P5)*Assumptions!$B$189,0)</f>
        <v/>
      </c>
      <c r="Q154" s="65">
        <f>IF(Q2&gt;=Assumptions!$B$54,INDEX(Assumptions!$B$178:$B$184,Q5)*Assumptions!$B$189,0)</f>
        <v/>
      </c>
      <c r="R154" s="65">
        <f>IF(R2&gt;=Assumptions!$B$54,INDEX(Assumptions!$B$178:$B$184,R5)*Assumptions!$B$189,0)</f>
        <v/>
      </c>
      <c r="S154" s="65">
        <f>IF(S2&gt;=Assumptions!$B$54,INDEX(Assumptions!$B$178:$B$184,S5)*Assumptions!$B$189,0)</f>
        <v/>
      </c>
      <c r="T154" s="65">
        <f>IF(T2&gt;=Assumptions!$B$54,INDEX(Assumptions!$B$178:$B$184,T5)*Assumptions!$B$189,0)</f>
        <v/>
      </c>
      <c r="U154" s="65">
        <f>IF(U2&gt;=Assumptions!$B$54,INDEX(Assumptions!$B$178:$B$184,U5)*Assumptions!$B$189,0)</f>
        <v/>
      </c>
      <c r="V154" s="65">
        <f>IF(V2&gt;=Assumptions!$B$54,INDEX(Assumptions!$B$178:$B$184,V5)*Assumptions!$B$189,0)</f>
        <v/>
      </c>
      <c r="W154" s="65">
        <f>IF(W2&gt;=Assumptions!$B$54,INDEX(Assumptions!$B$178:$B$184,W5)*Assumptions!$B$189,0)</f>
        <v/>
      </c>
      <c r="X154" s="65">
        <f>IF(X2&gt;=Assumptions!$B$54,INDEX(Assumptions!$B$178:$B$184,X5)*Assumptions!$B$189,0)</f>
        <v/>
      </c>
      <c r="Y154" s="65">
        <f>IF(Y2&gt;=Assumptions!$B$54,INDEX(Assumptions!$B$178:$B$184,Y5)*Assumptions!$B$189,0)</f>
        <v/>
      </c>
      <c r="Z154" s="65">
        <f>IF(Z2&gt;=Assumptions!$B$54,INDEX(Assumptions!$B$178:$B$184,Z5)*Assumptions!$B$189,0)</f>
        <v/>
      </c>
      <c r="AA154" s="65">
        <f>IF(AA2&gt;=Assumptions!$B$54,INDEX(Assumptions!$B$178:$B$184,AA5)*Assumptions!$B$189,0)</f>
        <v/>
      </c>
      <c r="AB154" s="65">
        <f>IF(AB2&gt;=Assumptions!$B$54,INDEX(Assumptions!$B$178:$B$184,AB5)*Assumptions!$B$189,0)</f>
        <v/>
      </c>
      <c r="AC154" s="65">
        <f>IF(AC2&gt;=Assumptions!$B$54,INDEX(Assumptions!$B$178:$B$184,AC5)*Assumptions!$B$189,0)</f>
        <v/>
      </c>
      <c r="AD154" s="65">
        <f>IF(AD2&gt;=Assumptions!$B$54,INDEX(Assumptions!$B$178:$B$184,AD5)*Assumptions!$B$189,0)</f>
        <v/>
      </c>
      <c r="AE154" s="65">
        <f>IF(AE2&gt;=Assumptions!$B$54,INDEX(Assumptions!$B$178:$B$184,AE5)*Assumptions!$B$189,0)</f>
        <v/>
      </c>
    </row>
    <row r="155">
      <c r="A155" s="6" t="inlineStr">
        <is>
          <t>Stream 6 - B2B platform fee</t>
        </is>
      </c>
      <c r="B155" s="23" t="inlineStr">
        <is>
          <t>USD</t>
        </is>
      </c>
      <c r="C155" s="63">
        <f>C154*Assumptions!$B$185*C7/12</f>
        <v/>
      </c>
      <c r="D155" s="63">
        <f>D154*Assumptions!$B$185*D7/12</f>
        <v/>
      </c>
      <c r="E155" s="63">
        <f>E154*Assumptions!$B$185*E7/12</f>
        <v/>
      </c>
      <c r="F155" s="63">
        <f>F154*Assumptions!$B$185*F7/12</f>
        <v/>
      </c>
      <c r="G155" s="63">
        <f>G154*Assumptions!$B$185*G7/12</f>
        <v/>
      </c>
      <c r="H155" s="63">
        <f>H154*Assumptions!$B$185*H7/12</f>
        <v/>
      </c>
      <c r="I155" s="63">
        <f>I154*Assumptions!$B$185*I7/12</f>
        <v/>
      </c>
      <c r="J155" s="63">
        <f>J154*Assumptions!$B$185*J7/12</f>
        <v/>
      </c>
      <c r="K155" s="63">
        <f>K154*Assumptions!$B$185*K7/12</f>
        <v/>
      </c>
      <c r="L155" s="63">
        <f>L154*Assumptions!$B$185*L7/12</f>
        <v/>
      </c>
      <c r="M155" s="63">
        <f>M154*Assumptions!$B$185*M7/12</f>
        <v/>
      </c>
      <c r="N155" s="63">
        <f>N154*Assumptions!$B$185*N7/12</f>
        <v/>
      </c>
      <c r="O155" s="63">
        <f>O154*Assumptions!$B$185*O7/12</f>
        <v/>
      </c>
      <c r="P155" s="63">
        <f>P154*Assumptions!$B$185*P7/12</f>
        <v/>
      </c>
      <c r="Q155" s="63">
        <f>Q154*Assumptions!$B$185*Q7/12</f>
        <v/>
      </c>
      <c r="R155" s="63">
        <f>R154*Assumptions!$B$185*R7/12</f>
        <v/>
      </c>
      <c r="S155" s="63">
        <f>S154*Assumptions!$B$185*S7/12</f>
        <v/>
      </c>
      <c r="T155" s="63">
        <f>T154*Assumptions!$B$185*T7/12</f>
        <v/>
      </c>
      <c r="U155" s="63">
        <f>U154*Assumptions!$B$185*U7/12</f>
        <v/>
      </c>
      <c r="V155" s="63">
        <f>V154*Assumptions!$B$185*V7/12</f>
        <v/>
      </c>
      <c r="W155" s="63">
        <f>W154*Assumptions!$B$185*W7/12</f>
        <v/>
      </c>
      <c r="X155" s="63">
        <f>X154*Assumptions!$B$185*X7/12</f>
        <v/>
      </c>
      <c r="Y155" s="63">
        <f>Y154*Assumptions!$B$185*Y7/12</f>
        <v/>
      </c>
      <c r="Z155" s="63">
        <f>Z154*Assumptions!$B$185*Z7/12</f>
        <v/>
      </c>
      <c r="AA155" s="63">
        <f>AA154*Assumptions!$B$185*AA7/12</f>
        <v/>
      </c>
      <c r="AB155" s="63">
        <f>AB154*Assumptions!$B$185*AB7/12</f>
        <v/>
      </c>
      <c r="AC155" s="63">
        <f>AC154*Assumptions!$B$185*AC7/12</f>
        <v/>
      </c>
      <c r="AD155" s="63">
        <f>AD154*Assumptions!$B$185*AD7/12</f>
        <v/>
      </c>
      <c r="AE155" s="63">
        <f>AE154*Assumptions!$B$185*AE7/12</f>
        <v/>
      </c>
    </row>
    <row r="156">
      <c r="A156" s="9" t="inlineStr">
        <is>
          <t>Stream 6 is NOT regional: partners are institutions with their own customer books, not retail customers of a region. It is reported separately rather than allocated, because any allocation would be invented.</t>
        </is>
      </c>
    </row>
    <row r="158">
      <c r="A158" s="51" t="inlineStr">
        <is>
          <t>WHOLE-BOOK TOTALS</t>
        </is>
      </c>
      <c r="B158" s="52" t="n"/>
      <c r="C158" s="52" t="n"/>
      <c r="D158" s="52" t="n"/>
      <c r="E158" s="52" t="n"/>
      <c r="F158" s="52" t="n"/>
      <c r="G158" s="52" t="n"/>
      <c r="H158" s="52" t="n"/>
      <c r="I158" s="52" t="n"/>
      <c r="J158" s="52" t="n"/>
      <c r="K158" s="52" t="n"/>
      <c r="L158" s="52" t="n"/>
      <c r="M158" s="52" t="n"/>
      <c r="N158" s="52" t="n"/>
      <c r="O158" s="52" t="n"/>
      <c r="P158" s="52" t="n"/>
      <c r="Q158" s="52" t="n"/>
      <c r="R158" s="52" t="n"/>
      <c r="S158" s="52" t="n"/>
      <c r="T158" s="52" t="n"/>
      <c r="U158" s="52" t="n"/>
      <c r="V158" s="52" t="n"/>
      <c r="W158" s="52" t="n"/>
      <c r="X158" s="52" t="n"/>
      <c r="Y158" s="52" t="n"/>
      <c r="Z158" s="52" t="n"/>
      <c r="AA158" s="52" t="n"/>
      <c r="AB158" s="52" t="n"/>
      <c r="AC158" s="52" t="n"/>
      <c r="AD158" s="52" t="n"/>
      <c r="AE158" s="52" t="n"/>
    </row>
    <row r="159">
      <c r="A159" s="3" t="inlineStr">
        <is>
          <t>PAYING CUSTOMERS</t>
        </is>
      </c>
      <c r="B159" s="23" t="inlineStr">
        <is>
          <t>-</t>
        </is>
      </c>
      <c r="C159" s="50">
        <f>C32+C75+C118</f>
        <v/>
      </c>
      <c r="D159" s="50">
        <f>D32+D75+D118</f>
        <v/>
      </c>
      <c r="E159" s="50">
        <f>E32+E75+E118</f>
        <v/>
      </c>
      <c r="F159" s="50">
        <f>F32+F75+F118</f>
        <v/>
      </c>
      <c r="G159" s="50">
        <f>G32+G75+G118</f>
        <v/>
      </c>
      <c r="H159" s="50">
        <f>H32+H75+H118</f>
        <v/>
      </c>
      <c r="I159" s="50">
        <f>I32+I75+I118</f>
        <v/>
      </c>
      <c r="J159" s="50">
        <f>J32+J75+J118</f>
        <v/>
      </c>
      <c r="K159" s="50">
        <f>K32+K75+K118</f>
        <v/>
      </c>
      <c r="L159" s="50">
        <f>L32+L75+L118</f>
        <v/>
      </c>
      <c r="M159" s="50">
        <f>M32+M75+M118</f>
        <v/>
      </c>
      <c r="N159" s="50">
        <f>N32+N75+N118</f>
        <v/>
      </c>
      <c r="O159" s="50">
        <f>O32+O75+O118</f>
        <v/>
      </c>
      <c r="P159" s="50">
        <f>P32+P75+P118</f>
        <v/>
      </c>
      <c r="Q159" s="50">
        <f>Q32+Q75+Q118</f>
        <v/>
      </c>
      <c r="R159" s="50">
        <f>R32+R75+R118</f>
        <v/>
      </c>
      <c r="S159" s="50">
        <f>S32+S75+S118</f>
        <v/>
      </c>
      <c r="T159" s="50">
        <f>T32+T75+T118</f>
        <v/>
      </c>
      <c r="U159" s="50">
        <f>U32+U75+U118</f>
        <v/>
      </c>
      <c r="V159" s="50">
        <f>V32+V75+V118</f>
        <v/>
      </c>
      <c r="W159" s="50">
        <f>W32+W75+W118</f>
        <v/>
      </c>
      <c r="X159" s="50">
        <f>X32+X75+X118</f>
        <v/>
      </c>
      <c r="Y159" s="50">
        <f>Y32+Y75+Y118</f>
        <v/>
      </c>
      <c r="Z159" s="50">
        <f>Z32+Z75+Z118</f>
        <v/>
      </c>
      <c r="AA159" s="50">
        <f>AA32+AA75+AA118</f>
        <v/>
      </c>
      <c r="AB159" s="50">
        <f>AB32+AB75+AB118</f>
        <v/>
      </c>
      <c r="AC159" s="50">
        <f>AC32+AC75+AC118</f>
        <v/>
      </c>
      <c r="AD159" s="50">
        <f>AD32+AD75+AD118</f>
        <v/>
      </c>
      <c r="AE159" s="50">
        <f>AE32+AE75+AE118</f>
        <v/>
      </c>
    </row>
    <row r="160">
      <c r="A160" s="3" t="inlineStr">
        <is>
          <t>HOLDERS (stopped paying, still hold gold)</t>
        </is>
      </c>
      <c r="B160" s="23" t="inlineStr">
        <is>
          <t>-</t>
        </is>
      </c>
      <c r="C160" s="50">
        <f>C34+C77+C120</f>
        <v/>
      </c>
      <c r="D160" s="50">
        <f>D34+D77+D120</f>
        <v/>
      </c>
      <c r="E160" s="50">
        <f>E34+E77+E120</f>
        <v/>
      </c>
      <c r="F160" s="50">
        <f>F34+F77+F120</f>
        <v/>
      </c>
      <c r="G160" s="50">
        <f>G34+G77+G120</f>
        <v/>
      </c>
      <c r="H160" s="50">
        <f>H34+H77+H120</f>
        <v/>
      </c>
      <c r="I160" s="50">
        <f>I34+I77+I120</f>
        <v/>
      </c>
      <c r="J160" s="50">
        <f>J34+J77+J120</f>
        <v/>
      </c>
      <c r="K160" s="50">
        <f>K34+K77+K120</f>
        <v/>
      </c>
      <c r="L160" s="50">
        <f>L34+L77+L120</f>
        <v/>
      </c>
      <c r="M160" s="50">
        <f>M34+M77+M120</f>
        <v/>
      </c>
      <c r="N160" s="50">
        <f>N34+N77+N120</f>
        <v/>
      </c>
      <c r="O160" s="50">
        <f>O34+O77+O120</f>
        <v/>
      </c>
      <c r="P160" s="50">
        <f>P34+P77+P120</f>
        <v/>
      </c>
      <c r="Q160" s="50">
        <f>Q34+Q77+Q120</f>
        <v/>
      </c>
      <c r="R160" s="50">
        <f>R34+R77+R120</f>
        <v/>
      </c>
      <c r="S160" s="50">
        <f>S34+S77+S120</f>
        <v/>
      </c>
      <c r="T160" s="50">
        <f>T34+T77+T120</f>
        <v/>
      </c>
      <c r="U160" s="50">
        <f>U34+U77+U120</f>
        <v/>
      </c>
      <c r="V160" s="50">
        <f>V34+V77+V120</f>
        <v/>
      </c>
      <c r="W160" s="50">
        <f>W34+W77+W120</f>
        <v/>
      </c>
      <c r="X160" s="50">
        <f>X34+X77+X120</f>
        <v/>
      </c>
      <c r="Y160" s="50">
        <f>Y34+Y77+Y120</f>
        <v/>
      </c>
      <c r="Z160" s="50">
        <f>Z34+Z77+Z120</f>
        <v/>
      </c>
      <c r="AA160" s="50">
        <f>AA34+AA77+AA120</f>
        <v/>
      </c>
      <c r="AB160" s="50">
        <f>AB34+AB77+AB120</f>
        <v/>
      </c>
      <c r="AC160" s="50">
        <f>AC34+AC77+AC120</f>
        <v/>
      </c>
      <c r="AD160" s="50">
        <f>AD34+AD77+AD120</f>
        <v/>
      </c>
      <c r="AE160" s="50">
        <f>AE34+AE77+AE120</f>
        <v/>
      </c>
    </row>
    <row r="161">
      <c r="A161" s="6" t="inlineStr">
        <is>
          <t>Cumulative ever acquired</t>
        </is>
      </c>
      <c r="B161" s="23" t="inlineStr">
        <is>
          <t>-</t>
        </is>
      </c>
      <c r="C161" s="50">
        <f>C35+C78+C121</f>
        <v/>
      </c>
      <c r="D161" s="50">
        <f>D35+D78+D121</f>
        <v/>
      </c>
      <c r="E161" s="50">
        <f>E35+E78+E121</f>
        <v/>
      </c>
      <c r="F161" s="50">
        <f>F35+F78+F121</f>
        <v/>
      </c>
      <c r="G161" s="50">
        <f>G35+G78+G121</f>
        <v/>
      </c>
      <c r="H161" s="50">
        <f>H35+H78+H121</f>
        <v/>
      </c>
      <c r="I161" s="50">
        <f>I35+I78+I121</f>
        <v/>
      </c>
      <c r="J161" s="50">
        <f>J35+J78+J121</f>
        <v/>
      </c>
      <c r="K161" s="50">
        <f>K35+K78+K121</f>
        <v/>
      </c>
      <c r="L161" s="50">
        <f>L35+L78+L121</f>
        <v/>
      </c>
      <c r="M161" s="50">
        <f>M35+M78+M121</f>
        <v/>
      </c>
      <c r="N161" s="50">
        <f>N35+N78+N121</f>
        <v/>
      </c>
      <c r="O161" s="50">
        <f>O35+O78+O121</f>
        <v/>
      </c>
      <c r="P161" s="50">
        <f>P35+P78+P121</f>
        <v/>
      </c>
      <c r="Q161" s="50">
        <f>Q35+Q78+Q121</f>
        <v/>
      </c>
      <c r="R161" s="50">
        <f>R35+R78+R121</f>
        <v/>
      </c>
      <c r="S161" s="50">
        <f>S35+S78+S121</f>
        <v/>
      </c>
      <c r="T161" s="50">
        <f>T35+T78+T121</f>
        <v/>
      </c>
      <c r="U161" s="50">
        <f>U35+U78+U121</f>
        <v/>
      </c>
      <c r="V161" s="50">
        <f>V35+V78+V121</f>
        <v/>
      </c>
      <c r="W161" s="50">
        <f>W35+W78+W121</f>
        <v/>
      </c>
      <c r="X161" s="50">
        <f>X35+X78+X121</f>
        <v/>
      </c>
      <c r="Y161" s="50">
        <f>Y35+Y78+Y121</f>
        <v/>
      </c>
      <c r="Z161" s="50">
        <f>Z35+Z78+Z121</f>
        <v/>
      </c>
      <c r="AA161" s="50">
        <f>AA35+AA78+AA121</f>
        <v/>
      </c>
      <c r="AB161" s="50">
        <f>AB35+AB78+AB121</f>
        <v/>
      </c>
      <c r="AC161" s="50">
        <f>AC35+AC78+AC121</f>
        <v/>
      </c>
      <c r="AD161" s="50">
        <f>AD35+AD78+AD121</f>
        <v/>
      </c>
      <c r="AE161" s="50">
        <f>AE35+AE78+AE121</f>
        <v/>
      </c>
    </row>
    <row r="162">
      <c r="A162" s="3" t="inlineStr">
        <is>
          <t>NEW CUSTOMERS</t>
        </is>
      </c>
      <c r="B162" s="23" t="inlineStr">
        <is>
          <t>-</t>
        </is>
      </c>
      <c r="C162" s="50">
        <f>C31+C74+C117</f>
        <v/>
      </c>
      <c r="D162" s="50">
        <f>D31+D74+D117</f>
        <v/>
      </c>
      <c r="E162" s="50">
        <f>E31+E74+E117</f>
        <v/>
      </c>
      <c r="F162" s="50">
        <f>F31+F74+F117</f>
        <v/>
      </c>
      <c r="G162" s="50">
        <f>G31+G74+G117</f>
        <v/>
      </c>
      <c r="H162" s="50">
        <f>H31+H74+H117</f>
        <v/>
      </c>
      <c r="I162" s="50">
        <f>I31+I74+I117</f>
        <v/>
      </c>
      <c r="J162" s="50">
        <f>J31+J74+J117</f>
        <v/>
      </c>
      <c r="K162" s="50">
        <f>K31+K74+K117</f>
        <v/>
      </c>
      <c r="L162" s="50">
        <f>L31+L74+L117</f>
        <v/>
      </c>
      <c r="M162" s="50">
        <f>M31+M74+M117</f>
        <v/>
      </c>
      <c r="N162" s="50">
        <f>N31+N74+N117</f>
        <v/>
      </c>
      <c r="O162" s="50">
        <f>O31+O74+O117</f>
        <v/>
      </c>
      <c r="P162" s="50">
        <f>P31+P74+P117</f>
        <v/>
      </c>
      <c r="Q162" s="50">
        <f>Q31+Q74+Q117</f>
        <v/>
      </c>
      <c r="R162" s="50">
        <f>R31+R74+R117</f>
        <v/>
      </c>
      <c r="S162" s="50">
        <f>S31+S74+S117</f>
        <v/>
      </c>
      <c r="T162" s="50">
        <f>T31+T74+T117</f>
        <v/>
      </c>
      <c r="U162" s="50">
        <f>U31+U74+U117</f>
        <v/>
      </c>
      <c r="V162" s="50">
        <f>V31+V74+V117</f>
        <v/>
      </c>
      <c r="W162" s="50">
        <f>W31+W74+W117</f>
        <v/>
      </c>
      <c r="X162" s="50">
        <f>X31+X74+X117</f>
        <v/>
      </c>
      <c r="Y162" s="50">
        <f>Y31+Y74+Y117</f>
        <v/>
      </c>
      <c r="Z162" s="50">
        <f>Z31+Z74+Z117</f>
        <v/>
      </c>
      <c r="AA162" s="50">
        <f>AA31+AA74+AA117</f>
        <v/>
      </c>
      <c r="AB162" s="50">
        <f>AB31+AB74+AB117</f>
        <v/>
      </c>
      <c r="AC162" s="50">
        <f>AC31+AC74+AC117</f>
        <v/>
      </c>
      <c r="AD162" s="50">
        <f>AD31+AD74+AD117</f>
        <v/>
      </c>
      <c r="AE162" s="50">
        <f>AE31+AE74+AE117</f>
        <v/>
      </c>
    </row>
    <row r="163">
      <c r="A163" s="3" t="inlineStr">
        <is>
          <t>ACTIVE CARDS</t>
        </is>
      </c>
      <c r="B163" s="23" t="inlineStr">
        <is>
          <t>-</t>
        </is>
      </c>
      <c r="C163" s="50">
        <f>C46+C89+C132</f>
        <v/>
      </c>
      <c r="D163" s="50">
        <f>D46+D89+D132</f>
        <v/>
      </c>
      <c r="E163" s="50">
        <f>E46+E89+E132</f>
        <v/>
      </c>
      <c r="F163" s="50">
        <f>F46+F89+F132</f>
        <v/>
      </c>
      <c r="G163" s="50">
        <f>G46+G89+G132</f>
        <v/>
      </c>
      <c r="H163" s="50">
        <f>H46+H89+H132</f>
        <v/>
      </c>
      <c r="I163" s="50">
        <f>I46+I89+I132</f>
        <v/>
      </c>
      <c r="J163" s="50">
        <f>J46+J89+J132</f>
        <v/>
      </c>
      <c r="K163" s="50">
        <f>K46+K89+K132</f>
        <v/>
      </c>
      <c r="L163" s="50">
        <f>L46+L89+L132</f>
        <v/>
      </c>
      <c r="M163" s="50">
        <f>M46+M89+M132</f>
        <v/>
      </c>
      <c r="N163" s="50">
        <f>N46+N89+N132</f>
        <v/>
      </c>
      <c r="O163" s="50">
        <f>O46+O89+O132</f>
        <v/>
      </c>
      <c r="P163" s="50">
        <f>P46+P89+P132</f>
        <v/>
      </c>
      <c r="Q163" s="50">
        <f>Q46+Q89+Q132</f>
        <v/>
      </c>
      <c r="R163" s="50">
        <f>R46+R89+R132</f>
        <v/>
      </c>
      <c r="S163" s="50">
        <f>S46+S89+S132</f>
        <v/>
      </c>
      <c r="T163" s="50">
        <f>T46+T89+T132</f>
        <v/>
      </c>
      <c r="U163" s="50">
        <f>U46+U89+U132</f>
        <v/>
      </c>
      <c r="V163" s="50">
        <f>V46+V89+V132</f>
        <v/>
      </c>
      <c r="W163" s="50">
        <f>W46+W89+W132</f>
        <v/>
      </c>
      <c r="X163" s="50">
        <f>X46+X89+X132</f>
        <v/>
      </c>
      <c r="Y163" s="50">
        <f>Y46+Y89+Y132</f>
        <v/>
      </c>
      <c r="Z163" s="50">
        <f>Z46+Z89+Z132</f>
        <v/>
      </c>
      <c r="AA163" s="50">
        <f>AA46+AA89+AA132</f>
        <v/>
      </c>
      <c r="AB163" s="50">
        <f>AB46+AB89+AB132</f>
        <v/>
      </c>
      <c r="AC163" s="50">
        <f>AC46+AC89+AC132</f>
        <v/>
      </c>
      <c r="AD163" s="50">
        <f>AD46+AD89+AD132</f>
        <v/>
      </c>
      <c r="AE163" s="50">
        <f>AE46+AE89+AE132</f>
        <v/>
      </c>
    </row>
    <row r="164">
      <c r="A164" s="6" t="inlineStr">
        <is>
          <t>GRAMS HELD</t>
        </is>
      </c>
      <c r="B164" s="23" t="inlineStr">
        <is>
          <t>-</t>
        </is>
      </c>
      <c r="C164" s="50">
        <f>C41+C84+C127</f>
        <v/>
      </c>
      <c r="D164" s="50">
        <f>D41+D84+D127</f>
        <v/>
      </c>
      <c r="E164" s="50">
        <f>E41+E84+E127</f>
        <v/>
      </c>
      <c r="F164" s="50">
        <f>F41+F84+F127</f>
        <v/>
      </c>
      <c r="G164" s="50">
        <f>G41+G84+G127</f>
        <v/>
      </c>
      <c r="H164" s="50">
        <f>H41+H84+H127</f>
        <v/>
      </c>
      <c r="I164" s="50">
        <f>I41+I84+I127</f>
        <v/>
      </c>
      <c r="J164" s="50">
        <f>J41+J84+J127</f>
        <v/>
      </c>
      <c r="K164" s="50">
        <f>K41+K84+K127</f>
        <v/>
      </c>
      <c r="L164" s="50">
        <f>L41+L84+L127</f>
        <v/>
      </c>
      <c r="M164" s="50">
        <f>M41+M84+M127</f>
        <v/>
      </c>
      <c r="N164" s="50">
        <f>N41+N84+N127</f>
        <v/>
      </c>
      <c r="O164" s="50">
        <f>O41+O84+O127</f>
        <v/>
      </c>
      <c r="P164" s="50">
        <f>P41+P84+P127</f>
        <v/>
      </c>
      <c r="Q164" s="50">
        <f>Q41+Q84+Q127</f>
        <v/>
      </c>
      <c r="R164" s="50">
        <f>R41+R84+R127</f>
        <v/>
      </c>
      <c r="S164" s="50">
        <f>S41+S84+S127</f>
        <v/>
      </c>
      <c r="T164" s="50">
        <f>T41+T84+T127</f>
        <v/>
      </c>
      <c r="U164" s="50">
        <f>U41+U84+U127</f>
        <v/>
      </c>
      <c r="V164" s="50">
        <f>V41+V84+V127</f>
        <v/>
      </c>
      <c r="W164" s="50">
        <f>W41+W84+W127</f>
        <v/>
      </c>
      <c r="X164" s="50">
        <f>X41+X84+X127</f>
        <v/>
      </c>
      <c r="Y164" s="50">
        <f>Y41+Y84+Y127</f>
        <v/>
      </c>
      <c r="Z164" s="50">
        <f>Z41+Z84+Z127</f>
        <v/>
      </c>
      <c r="AA164" s="50">
        <f>AA41+AA84+AA127</f>
        <v/>
      </c>
      <c r="AB164" s="50">
        <f>AB41+AB84+AB127</f>
        <v/>
      </c>
      <c r="AC164" s="50">
        <f>AC41+AC84+AC127</f>
        <v/>
      </c>
      <c r="AD164" s="50">
        <f>AD41+AD84+AD127</f>
        <v/>
      </c>
      <c r="AE164" s="50">
        <f>AE41+AE84+AE127</f>
        <v/>
      </c>
    </row>
    <row r="165">
      <c r="A165" s="3" t="inlineStr">
        <is>
          <t>GRAMS UNDER CUSTODY</t>
        </is>
      </c>
      <c r="B165" s="23" t="inlineStr">
        <is>
          <t>-</t>
        </is>
      </c>
      <c r="C165" s="50">
        <f>C42+C85+C128</f>
        <v/>
      </c>
      <c r="D165" s="50">
        <f>D42+D85+D128</f>
        <v/>
      </c>
      <c r="E165" s="50">
        <f>E42+E85+E128</f>
        <v/>
      </c>
      <c r="F165" s="50">
        <f>F42+F85+F128</f>
        <v/>
      </c>
      <c r="G165" s="50">
        <f>G42+G85+G128</f>
        <v/>
      </c>
      <c r="H165" s="50">
        <f>H42+H85+H128</f>
        <v/>
      </c>
      <c r="I165" s="50">
        <f>I42+I85+I128</f>
        <v/>
      </c>
      <c r="J165" s="50">
        <f>J42+J85+J128</f>
        <v/>
      </c>
      <c r="K165" s="50">
        <f>K42+K85+K128</f>
        <v/>
      </c>
      <c r="L165" s="50">
        <f>L42+L85+L128</f>
        <v/>
      </c>
      <c r="M165" s="50">
        <f>M42+M85+M128</f>
        <v/>
      </c>
      <c r="N165" s="50">
        <f>N42+N85+N128</f>
        <v/>
      </c>
      <c r="O165" s="50">
        <f>O42+O85+O128</f>
        <v/>
      </c>
      <c r="P165" s="50">
        <f>P42+P85+P128</f>
        <v/>
      </c>
      <c r="Q165" s="50">
        <f>Q42+Q85+Q128</f>
        <v/>
      </c>
      <c r="R165" s="50">
        <f>R42+R85+R128</f>
        <v/>
      </c>
      <c r="S165" s="50">
        <f>S42+S85+S128</f>
        <v/>
      </c>
      <c r="T165" s="50">
        <f>T42+T85+T128</f>
        <v/>
      </c>
      <c r="U165" s="50">
        <f>U42+U85+U128</f>
        <v/>
      </c>
      <c r="V165" s="50">
        <f>V42+V85+V128</f>
        <v/>
      </c>
      <c r="W165" s="50">
        <f>W42+W85+W128</f>
        <v/>
      </c>
      <c r="X165" s="50">
        <f>X42+X85+X128</f>
        <v/>
      </c>
      <c r="Y165" s="50">
        <f>Y42+Y85+Y128</f>
        <v/>
      </c>
      <c r="Z165" s="50">
        <f>Z42+Z85+Z128</f>
        <v/>
      </c>
      <c r="AA165" s="50">
        <f>AA42+AA85+AA128</f>
        <v/>
      </c>
      <c r="AB165" s="50">
        <f>AB42+AB85+AB128</f>
        <v/>
      </c>
      <c r="AC165" s="50">
        <f>AC42+AC85+AC128</f>
        <v/>
      </c>
      <c r="AD165" s="50">
        <f>AD42+AD85+AD128</f>
        <v/>
      </c>
      <c r="AE165" s="50">
        <f>AE42+AE85+AE128</f>
        <v/>
      </c>
    </row>
    <row r="166">
      <c r="A166" s="6" t="inlineStr">
        <is>
          <t>Grams purchased</t>
        </is>
      </c>
      <c r="B166" s="23" t="inlineStr">
        <is>
          <t>-</t>
        </is>
      </c>
      <c r="C166" s="60">
        <f>C38+C81+C124</f>
        <v/>
      </c>
      <c r="D166" s="60">
        <f>D38+D81+D124</f>
        <v/>
      </c>
      <c r="E166" s="60">
        <f>E38+E81+E124</f>
        <v/>
      </c>
      <c r="F166" s="60">
        <f>F38+F81+F124</f>
        <v/>
      </c>
      <c r="G166" s="60">
        <f>G38+G81+G124</f>
        <v/>
      </c>
      <c r="H166" s="60">
        <f>H38+H81+H124</f>
        <v/>
      </c>
      <c r="I166" s="60">
        <f>I38+I81+I124</f>
        <v/>
      </c>
      <c r="J166" s="60">
        <f>J38+J81+J124</f>
        <v/>
      </c>
      <c r="K166" s="60">
        <f>K38+K81+K124</f>
        <v/>
      </c>
      <c r="L166" s="60">
        <f>L38+L81+L124</f>
        <v/>
      </c>
      <c r="M166" s="60">
        <f>M38+M81+M124</f>
        <v/>
      </c>
      <c r="N166" s="60">
        <f>N38+N81+N124</f>
        <v/>
      </c>
      <c r="O166" s="60">
        <f>O38+O81+O124</f>
        <v/>
      </c>
      <c r="P166" s="60">
        <f>P38+P81+P124</f>
        <v/>
      </c>
      <c r="Q166" s="60">
        <f>Q38+Q81+Q124</f>
        <v/>
      </c>
      <c r="R166" s="60">
        <f>R38+R81+R124</f>
        <v/>
      </c>
      <c r="S166" s="60">
        <f>S38+S81+S124</f>
        <v/>
      </c>
      <c r="T166" s="60">
        <f>T38+T81+T124</f>
        <v/>
      </c>
      <c r="U166" s="60">
        <f>U38+U81+U124</f>
        <v/>
      </c>
      <c r="V166" s="60">
        <f>V38+V81+V124</f>
        <v/>
      </c>
      <c r="W166" s="60">
        <f>W38+W81+W124</f>
        <v/>
      </c>
      <c r="X166" s="60">
        <f>X38+X81+X124</f>
        <v/>
      </c>
      <c r="Y166" s="60">
        <f>Y38+Y81+Y124</f>
        <v/>
      </c>
      <c r="Z166" s="60">
        <f>Z38+Z81+Z124</f>
        <v/>
      </c>
      <c r="AA166" s="60">
        <f>AA38+AA81+AA124</f>
        <v/>
      </c>
      <c r="AB166" s="60">
        <f>AB38+AB81+AB124</f>
        <v/>
      </c>
      <c r="AC166" s="60">
        <f>AC38+AC81+AC124</f>
        <v/>
      </c>
      <c r="AD166" s="60">
        <f>AD38+AD81+AD124</f>
        <v/>
      </c>
      <c r="AE166" s="60">
        <f>AE38+AE81+AE124</f>
        <v/>
      </c>
    </row>
    <row r="167">
      <c r="A167" s="3" t="inlineStr">
        <is>
          <t>COLLATERAL-ELIGIBLE AUM</t>
        </is>
      </c>
      <c r="B167" s="23" t="inlineStr">
        <is>
          <t>-</t>
        </is>
      </c>
      <c r="C167" s="61">
        <f>C43+C86+C129</f>
        <v/>
      </c>
      <c r="D167" s="61">
        <f>D43+D86+D129</f>
        <v/>
      </c>
      <c r="E167" s="61">
        <f>E43+E86+E129</f>
        <v/>
      </c>
      <c r="F167" s="61">
        <f>F43+F86+F129</f>
        <v/>
      </c>
      <c r="G167" s="61">
        <f>G43+G86+G129</f>
        <v/>
      </c>
      <c r="H167" s="61">
        <f>H43+H86+H129</f>
        <v/>
      </c>
      <c r="I167" s="61">
        <f>I43+I86+I129</f>
        <v/>
      </c>
      <c r="J167" s="61">
        <f>J43+J86+J129</f>
        <v/>
      </c>
      <c r="K167" s="61">
        <f>K43+K86+K129</f>
        <v/>
      </c>
      <c r="L167" s="61">
        <f>L43+L86+L129</f>
        <v/>
      </c>
      <c r="M167" s="61">
        <f>M43+M86+M129</f>
        <v/>
      </c>
      <c r="N167" s="61">
        <f>N43+N86+N129</f>
        <v/>
      </c>
      <c r="O167" s="61">
        <f>O43+O86+O129</f>
        <v/>
      </c>
      <c r="P167" s="61">
        <f>P43+P86+P129</f>
        <v/>
      </c>
      <c r="Q167" s="61">
        <f>Q43+Q86+Q129</f>
        <v/>
      </c>
      <c r="R167" s="61">
        <f>R43+R86+R129</f>
        <v/>
      </c>
      <c r="S167" s="61">
        <f>S43+S86+S129</f>
        <v/>
      </c>
      <c r="T167" s="61">
        <f>T43+T86+T129</f>
        <v/>
      </c>
      <c r="U167" s="61">
        <f>U43+U86+U129</f>
        <v/>
      </c>
      <c r="V167" s="61">
        <f>V43+V86+V129</f>
        <v/>
      </c>
      <c r="W167" s="61">
        <f>W43+W86+W129</f>
        <v/>
      </c>
      <c r="X167" s="61">
        <f>X43+X86+X129</f>
        <v/>
      </c>
      <c r="Y167" s="61">
        <f>Y43+Y86+Y129</f>
        <v/>
      </c>
      <c r="Z167" s="61">
        <f>Z43+Z86+Z129</f>
        <v/>
      </c>
      <c r="AA167" s="61">
        <f>AA43+AA86+AA129</f>
        <v/>
      </c>
      <c r="AB167" s="61">
        <f>AB43+AB86+AB129</f>
        <v/>
      </c>
      <c r="AC167" s="61">
        <f>AC43+AC86+AC129</f>
        <v/>
      </c>
      <c r="AD167" s="61">
        <f>AD43+AD86+AD129</f>
        <v/>
      </c>
      <c r="AE167" s="61">
        <f>AE43+AE86+AE129</f>
        <v/>
      </c>
    </row>
    <row r="168">
      <c r="A168" s="6" t="inlineStr">
        <is>
          <t>Reaches an ICS benefit tier (memo - drives discounts, not access)</t>
        </is>
      </c>
      <c r="B168" s="23" t="inlineStr">
        <is>
          <t>-</t>
        </is>
      </c>
      <c r="C168" s="50">
        <f>C45+C88+C131</f>
        <v/>
      </c>
      <c r="D168" s="50">
        <f>D45+D88+D131</f>
        <v/>
      </c>
      <c r="E168" s="50">
        <f>E45+E88+E131</f>
        <v/>
      </c>
      <c r="F168" s="50">
        <f>F45+F88+F131</f>
        <v/>
      </c>
      <c r="G168" s="50">
        <f>G45+G88+G131</f>
        <v/>
      </c>
      <c r="H168" s="50">
        <f>H45+H88+H131</f>
        <v/>
      </c>
      <c r="I168" s="50">
        <f>I45+I88+I131</f>
        <v/>
      </c>
      <c r="J168" s="50">
        <f>J45+J88+J131</f>
        <v/>
      </c>
      <c r="K168" s="50">
        <f>K45+K88+K131</f>
        <v/>
      </c>
      <c r="L168" s="50">
        <f>L45+L88+L131</f>
        <v/>
      </c>
      <c r="M168" s="50">
        <f>M45+M88+M131</f>
        <v/>
      </c>
      <c r="N168" s="50">
        <f>N45+N88+N131</f>
        <v/>
      </c>
      <c r="O168" s="50">
        <f>O45+O88+O131</f>
        <v/>
      </c>
      <c r="P168" s="50">
        <f>P45+P88+P131</f>
        <v/>
      </c>
      <c r="Q168" s="50">
        <f>Q45+Q88+Q131</f>
        <v/>
      </c>
      <c r="R168" s="50">
        <f>R45+R88+R131</f>
        <v/>
      </c>
      <c r="S168" s="50">
        <f>S45+S88+S131</f>
        <v/>
      </c>
      <c r="T168" s="50">
        <f>T45+T88+T131</f>
        <v/>
      </c>
      <c r="U168" s="50">
        <f>U45+U88+U131</f>
        <v/>
      </c>
      <c r="V168" s="50">
        <f>V45+V88+V131</f>
        <v/>
      </c>
      <c r="W168" s="50">
        <f>W45+W88+W131</f>
        <v/>
      </c>
      <c r="X168" s="50">
        <f>X45+X88+X131</f>
        <v/>
      </c>
      <c r="Y168" s="50">
        <f>Y45+Y88+Y131</f>
        <v/>
      </c>
      <c r="Z168" s="50">
        <f>Z45+Z88+Z131</f>
        <v/>
      </c>
      <c r="AA168" s="50">
        <f>AA45+AA88+AA131</f>
        <v/>
      </c>
      <c r="AB168" s="50">
        <f>AB45+AB88+AB131</f>
        <v/>
      </c>
      <c r="AC168" s="50">
        <f>AC45+AC88+AC131</f>
        <v/>
      </c>
      <c r="AD168" s="50">
        <f>AD45+AD88+AD131</f>
        <v/>
      </c>
      <c r="AE168" s="50">
        <f>AE45+AE88+AE131</f>
        <v/>
      </c>
    </row>
    <row r="169">
      <c r="A169" s="6" t="inlineStr">
        <is>
          <t>SIP contributions</t>
        </is>
      </c>
      <c r="B169" s="23" t="inlineStr">
        <is>
          <t>-</t>
        </is>
      </c>
      <c r="C169" s="61">
        <f>C36+C79+C122</f>
        <v/>
      </c>
      <c r="D169" s="61">
        <f>D36+D79+D122</f>
        <v/>
      </c>
      <c r="E169" s="61">
        <f>E36+E79+E122</f>
        <v/>
      </c>
      <c r="F169" s="61">
        <f>F36+F79+F122</f>
        <v/>
      </c>
      <c r="G169" s="61">
        <f>G36+G79+G122</f>
        <v/>
      </c>
      <c r="H169" s="61">
        <f>H36+H79+H122</f>
        <v/>
      </c>
      <c r="I169" s="61">
        <f>I36+I79+I122</f>
        <v/>
      </c>
      <c r="J169" s="61">
        <f>J36+J79+J122</f>
        <v/>
      </c>
      <c r="K169" s="61">
        <f>K36+K79+K122</f>
        <v/>
      </c>
      <c r="L169" s="61">
        <f>L36+L79+L122</f>
        <v/>
      </c>
      <c r="M169" s="61">
        <f>M36+M79+M122</f>
        <v/>
      </c>
      <c r="N169" s="61">
        <f>N36+N79+N122</f>
        <v/>
      </c>
      <c r="O169" s="61">
        <f>O36+O79+O122</f>
        <v/>
      </c>
      <c r="P169" s="61">
        <f>P36+P79+P122</f>
        <v/>
      </c>
      <c r="Q169" s="61">
        <f>Q36+Q79+Q122</f>
        <v/>
      </c>
      <c r="R169" s="61">
        <f>R36+R79+R122</f>
        <v/>
      </c>
      <c r="S169" s="61">
        <f>S36+S79+S122</f>
        <v/>
      </c>
      <c r="T169" s="61">
        <f>T36+T79+T122</f>
        <v/>
      </c>
      <c r="U169" s="61">
        <f>U36+U79+U122</f>
        <v/>
      </c>
      <c r="V169" s="61">
        <f>V36+V79+V122</f>
        <v/>
      </c>
      <c r="W169" s="61">
        <f>W36+W79+W122</f>
        <v/>
      </c>
      <c r="X169" s="61">
        <f>X36+X79+X122</f>
        <v/>
      </c>
      <c r="Y169" s="61">
        <f>Y36+Y79+Y122</f>
        <v/>
      </c>
      <c r="Z169" s="61">
        <f>Z36+Z79+Z122</f>
        <v/>
      </c>
      <c r="AA169" s="61">
        <f>AA36+AA79+AA122</f>
        <v/>
      </c>
      <c r="AB169" s="61">
        <f>AB36+AB79+AB122</f>
        <v/>
      </c>
      <c r="AC169" s="61">
        <f>AC36+AC79+AC122</f>
        <v/>
      </c>
      <c r="AD169" s="61">
        <f>AD36+AD79+AD122</f>
        <v/>
      </c>
      <c r="AE169" s="61">
        <f>AE36+AE79+AE122</f>
        <v/>
      </c>
    </row>
    <row r="170">
      <c r="A170" s="6" t="inlineStr">
        <is>
          <t>Spot purchase volume</t>
        </is>
      </c>
      <c r="B170" s="23" t="inlineStr">
        <is>
          <t>-</t>
        </is>
      </c>
      <c r="C170" s="61">
        <f>C37+C80+C123</f>
        <v/>
      </c>
      <c r="D170" s="61">
        <f>D37+D80+D123</f>
        <v/>
      </c>
      <c r="E170" s="61">
        <f>E37+E80+E123</f>
        <v/>
      </c>
      <c r="F170" s="61">
        <f>F37+F80+F123</f>
        <v/>
      </c>
      <c r="G170" s="61">
        <f>G37+G80+G123</f>
        <v/>
      </c>
      <c r="H170" s="61">
        <f>H37+H80+H123</f>
        <v/>
      </c>
      <c r="I170" s="61">
        <f>I37+I80+I123</f>
        <v/>
      </c>
      <c r="J170" s="61">
        <f>J37+J80+J123</f>
        <v/>
      </c>
      <c r="K170" s="61">
        <f>K37+K80+K123</f>
        <v/>
      </c>
      <c r="L170" s="61">
        <f>L37+L80+L123</f>
        <v/>
      </c>
      <c r="M170" s="61">
        <f>M37+M80+M123</f>
        <v/>
      </c>
      <c r="N170" s="61">
        <f>N37+N80+N123</f>
        <v/>
      </c>
      <c r="O170" s="61">
        <f>O37+O80+O123</f>
        <v/>
      </c>
      <c r="P170" s="61">
        <f>P37+P80+P123</f>
        <v/>
      </c>
      <c r="Q170" s="61">
        <f>Q37+Q80+Q123</f>
        <v/>
      </c>
      <c r="R170" s="61">
        <f>R37+R80+R123</f>
        <v/>
      </c>
      <c r="S170" s="61">
        <f>S37+S80+S123</f>
        <v/>
      </c>
      <c r="T170" s="61">
        <f>T37+T80+T123</f>
        <v/>
      </c>
      <c r="U170" s="61">
        <f>U37+U80+U123</f>
        <v/>
      </c>
      <c r="V170" s="61">
        <f>V37+V80+V123</f>
        <v/>
      </c>
      <c r="W170" s="61">
        <f>W37+W80+W123</f>
        <v/>
      </c>
      <c r="X170" s="61">
        <f>X37+X80+X123</f>
        <v/>
      </c>
      <c r="Y170" s="61">
        <f>Y37+Y80+Y123</f>
        <v/>
      </c>
      <c r="Z170" s="61">
        <f>Z37+Z80+Z123</f>
        <v/>
      </c>
      <c r="AA170" s="61">
        <f>AA37+AA80+AA123</f>
        <v/>
      </c>
      <c r="AB170" s="61">
        <f>AB37+AB80+AB123</f>
        <v/>
      </c>
      <c r="AC170" s="61">
        <f>AC37+AC80+AC123</f>
        <v/>
      </c>
      <c r="AD170" s="61">
        <f>AD37+AD80+AD123</f>
        <v/>
      </c>
      <c r="AE170" s="61">
        <f>AE37+AE80+AE123</f>
        <v/>
      </c>
    </row>
    <row r="171">
      <c r="A171" s="6" t="inlineStr">
        <is>
          <t>Card spend</t>
        </is>
      </c>
      <c r="B171" s="23" t="inlineStr">
        <is>
          <t>-</t>
        </is>
      </c>
      <c r="C171" s="61">
        <f>C53+C96+C139</f>
        <v/>
      </c>
      <c r="D171" s="61">
        <f>D53+D96+D139</f>
        <v/>
      </c>
      <c r="E171" s="61">
        <f>E53+E96+E139</f>
        <v/>
      </c>
      <c r="F171" s="61">
        <f>F53+F96+F139</f>
        <v/>
      </c>
      <c r="G171" s="61">
        <f>G53+G96+G139</f>
        <v/>
      </c>
      <c r="H171" s="61">
        <f>H53+H96+H139</f>
        <v/>
      </c>
      <c r="I171" s="61">
        <f>I53+I96+I139</f>
        <v/>
      </c>
      <c r="J171" s="61">
        <f>J53+J96+J139</f>
        <v/>
      </c>
      <c r="K171" s="61">
        <f>K53+K96+K139</f>
        <v/>
      </c>
      <c r="L171" s="61">
        <f>L53+L96+L139</f>
        <v/>
      </c>
      <c r="M171" s="61">
        <f>M53+M96+M139</f>
        <v/>
      </c>
      <c r="N171" s="61">
        <f>N53+N96+N139</f>
        <v/>
      </c>
      <c r="O171" s="61">
        <f>O53+O96+O139</f>
        <v/>
      </c>
      <c r="P171" s="61">
        <f>P53+P96+P139</f>
        <v/>
      </c>
      <c r="Q171" s="61">
        <f>Q53+Q96+Q139</f>
        <v/>
      </c>
      <c r="R171" s="61">
        <f>R53+R96+R139</f>
        <v/>
      </c>
      <c r="S171" s="61">
        <f>S53+S96+S139</f>
        <v/>
      </c>
      <c r="T171" s="61">
        <f>T53+T96+T139</f>
        <v/>
      </c>
      <c r="U171" s="61">
        <f>U53+U96+U139</f>
        <v/>
      </c>
      <c r="V171" s="61">
        <f>V53+V96+V139</f>
        <v/>
      </c>
      <c r="W171" s="61">
        <f>W53+W96+W139</f>
        <v/>
      </c>
      <c r="X171" s="61">
        <f>X53+X96+X139</f>
        <v/>
      </c>
      <c r="Y171" s="61">
        <f>Y53+Y96+Y139</f>
        <v/>
      </c>
      <c r="Z171" s="61">
        <f>Z53+Z96+Z139</f>
        <v/>
      </c>
      <c r="AA171" s="61">
        <f>AA53+AA96+AA139</f>
        <v/>
      </c>
      <c r="AB171" s="61">
        <f>AB53+AB96+AB139</f>
        <v/>
      </c>
      <c r="AC171" s="61">
        <f>AC53+AC96+AC139</f>
        <v/>
      </c>
      <c r="AD171" s="61">
        <f>AD53+AD96+AD139</f>
        <v/>
      </c>
      <c r="AE171" s="61">
        <f>AE53+AE96+AE139</f>
        <v/>
      </c>
    </row>
    <row r="172">
      <c r="A172" s="6" t="inlineStr">
        <is>
          <t>GOLD UNDER CUSTODY (comparable headline)</t>
        </is>
      </c>
      <c r="B172" s="23" t="inlineStr">
        <is>
          <t>USD</t>
        </is>
      </c>
      <c r="C172" s="63">
        <f>C165*C20</f>
        <v/>
      </c>
      <c r="D172" s="63">
        <f>D165*D20</f>
        <v/>
      </c>
      <c r="E172" s="63">
        <f>E165*E20</f>
        <v/>
      </c>
      <c r="F172" s="63">
        <f>F165*F20</f>
        <v/>
      </c>
      <c r="G172" s="63">
        <f>G165*G20</f>
        <v/>
      </c>
      <c r="H172" s="63">
        <f>H165*H20</f>
        <v/>
      </c>
      <c r="I172" s="63">
        <f>I165*I20</f>
        <v/>
      </c>
      <c r="J172" s="63">
        <f>J165*J20</f>
        <v/>
      </c>
      <c r="K172" s="63">
        <f>K165*K20</f>
        <v/>
      </c>
      <c r="L172" s="63">
        <f>L165*L20</f>
        <v/>
      </c>
      <c r="M172" s="63">
        <f>M165*M20</f>
        <v/>
      </c>
      <c r="N172" s="63">
        <f>N165*N20</f>
        <v/>
      </c>
      <c r="O172" s="63">
        <f>O165*O20</f>
        <v/>
      </c>
      <c r="P172" s="63">
        <f>P165*P20</f>
        <v/>
      </c>
      <c r="Q172" s="63">
        <f>Q165*Q20</f>
        <v/>
      </c>
      <c r="R172" s="63">
        <f>R165*R20</f>
        <v/>
      </c>
      <c r="S172" s="63">
        <f>S165*S20</f>
        <v/>
      </c>
      <c r="T172" s="63">
        <f>T165*T20</f>
        <v/>
      </c>
      <c r="U172" s="63">
        <f>U165*U20</f>
        <v/>
      </c>
      <c r="V172" s="63">
        <f>V165*V20</f>
        <v/>
      </c>
      <c r="W172" s="63">
        <f>W165*W20</f>
        <v/>
      </c>
      <c r="X172" s="63">
        <f>X165*X20</f>
        <v/>
      </c>
      <c r="Y172" s="63">
        <f>Y165*Y20</f>
        <v/>
      </c>
      <c r="Z172" s="63">
        <f>Z165*Z20</f>
        <v/>
      </c>
      <c r="AA172" s="63">
        <f>AA165*AA20</f>
        <v/>
      </c>
      <c r="AB172" s="63">
        <f>AB165*AB20</f>
        <v/>
      </c>
      <c r="AC172" s="63">
        <f>AC165*AC20</f>
        <v/>
      </c>
      <c r="AD172" s="63">
        <f>AD165*AD20</f>
        <v/>
      </c>
      <c r="AE172" s="63">
        <f>AE165*AE20</f>
        <v/>
      </c>
    </row>
    <row r="173">
      <c r="A173"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is>
      </c>
    </row>
    <row r="174">
      <c r="A174" s="6" t="inlineStr">
        <is>
          <t xml:space="preserve">  Gold under custody at the CONSTANT M1 price (memo)</t>
        </is>
      </c>
      <c r="B174" s="23" t="inlineStr">
        <is>
          <t>USD</t>
        </is>
      </c>
      <c r="C174" s="61">
        <f>C165*Assumptions!$B$6</f>
        <v/>
      </c>
      <c r="D174" s="61">
        <f>D165*Assumptions!$B$6</f>
        <v/>
      </c>
      <c r="E174" s="61">
        <f>E165*Assumptions!$B$6</f>
        <v/>
      </c>
      <c r="F174" s="61">
        <f>F165*Assumptions!$B$6</f>
        <v/>
      </c>
      <c r="G174" s="61">
        <f>G165*Assumptions!$B$6</f>
        <v/>
      </c>
      <c r="H174" s="61">
        <f>H165*Assumptions!$B$6</f>
        <v/>
      </c>
      <c r="I174" s="61">
        <f>I165*Assumptions!$B$6</f>
        <v/>
      </c>
      <c r="J174" s="61">
        <f>J165*Assumptions!$B$6</f>
        <v/>
      </c>
      <c r="K174" s="61">
        <f>K165*Assumptions!$B$6</f>
        <v/>
      </c>
      <c r="L174" s="61">
        <f>L165*Assumptions!$B$6</f>
        <v/>
      </c>
      <c r="M174" s="61">
        <f>M165*Assumptions!$B$6</f>
        <v/>
      </c>
      <c r="N174" s="61">
        <f>N165*Assumptions!$B$6</f>
        <v/>
      </c>
      <c r="O174" s="61">
        <f>O165*Assumptions!$B$6</f>
        <v/>
      </c>
      <c r="P174" s="61">
        <f>P165*Assumptions!$B$6</f>
        <v/>
      </c>
      <c r="Q174" s="61">
        <f>Q165*Assumptions!$B$6</f>
        <v/>
      </c>
      <c r="R174" s="61">
        <f>R165*Assumptions!$B$6</f>
        <v/>
      </c>
      <c r="S174" s="61">
        <f>S165*Assumptions!$B$6</f>
        <v/>
      </c>
      <c r="T174" s="61">
        <f>T165*Assumptions!$B$6</f>
        <v/>
      </c>
      <c r="U174" s="61">
        <f>U165*Assumptions!$B$6</f>
        <v/>
      </c>
      <c r="V174" s="61">
        <f>V165*Assumptions!$B$6</f>
        <v/>
      </c>
      <c r="W174" s="61">
        <f>W165*Assumptions!$B$6</f>
        <v/>
      </c>
      <c r="X174" s="61">
        <f>X165*Assumptions!$B$6</f>
        <v/>
      </c>
      <c r="Y174" s="61">
        <f>Y165*Assumptions!$B$6</f>
        <v/>
      </c>
      <c r="Z174" s="61">
        <f>Z165*Assumptions!$B$6</f>
        <v/>
      </c>
      <c r="AA174" s="61">
        <f>AA165*Assumptions!$B$6</f>
        <v/>
      </c>
      <c r="AB174" s="61">
        <f>AB165*Assumptions!$B$6</f>
        <v/>
      </c>
      <c r="AC174" s="61">
        <f>AC165*Assumptions!$B$6</f>
        <v/>
      </c>
      <c r="AD174" s="61">
        <f>AD165*Assumptions!$B$6</f>
        <v/>
      </c>
      <c r="AE174" s="61">
        <f>AE165*Assumptions!$B$6</f>
        <v/>
      </c>
    </row>
    <row r="175">
      <c r="A175" s="6" t="inlineStr">
        <is>
          <t xml:space="preserve">  of which is the metal moving, not the business</t>
        </is>
      </c>
      <c r="B175" s="23" t="inlineStr">
        <is>
          <t>USD</t>
        </is>
      </c>
      <c r="C175" s="61">
        <f>C172-C174</f>
        <v/>
      </c>
      <c r="D175" s="61">
        <f>D172-D174</f>
        <v/>
      </c>
      <c r="E175" s="61">
        <f>E172-E174</f>
        <v/>
      </c>
      <c r="F175" s="61">
        <f>F172-F174</f>
        <v/>
      </c>
      <c r="G175" s="61">
        <f>G172-G174</f>
        <v/>
      </c>
      <c r="H175" s="61">
        <f>H172-H174</f>
        <v/>
      </c>
      <c r="I175" s="61">
        <f>I172-I174</f>
        <v/>
      </c>
      <c r="J175" s="61">
        <f>J172-J174</f>
        <v/>
      </c>
      <c r="K175" s="61">
        <f>K172-K174</f>
        <v/>
      </c>
      <c r="L175" s="61">
        <f>L172-L174</f>
        <v/>
      </c>
      <c r="M175" s="61">
        <f>M172-M174</f>
        <v/>
      </c>
      <c r="N175" s="61">
        <f>N172-N174</f>
        <v/>
      </c>
      <c r="O175" s="61">
        <f>O172-O174</f>
        <v/>
      </c>
      <c r="P175" s="61">
        <f>P172-P174</f>
        <v/>
      </c>
      <c r="Q175" s="61">
        <f>Q172-Q174</f>
        <v/>
      </c>
      <c r="R175" s="61">
        <f>R172-R174</f>
        <v/>
      </c>
      <c r="S175" s="61">
        <f>S172-S174</f>
        <v/>
      </c>
      <c r="T175" s="61">
        <f>T172-T174</f>
        <v/>
      </c>
      <c r="U175" s="61">
        <f>U172-U174</f>
        <v/>
      </c>
      <c r="V175" s="61">
        <f>V172-V174</f>
        <v/>
      </c>
      <c r="W175" s="61">
        <f>W172-W174</f>
        <v/>
      </c>
      <c r="X175" s="61">
        <f>X172-X174</f>
        <v/>
      </c>
      <c r="Y175" s="61">
        <f>Y172-Y174</f>
        <v/>
      </c>
      <c r="Z175" s="61">
        <f>Z172-Z174</f>
        <v/>
      </c>
      <c r="AA175" s="61">
        <f>AA172-AA174</f>
        <v/>
      </c>
      <c r="AB175" s="61">
        <f>AB172-AB174</f>
        <v/>
      </c>
      <c r="AC175" s="61">
        <f>AC172-AC174</f>
        <v/>
      </c>
      <c r="AD175" s="61">
        <f>AD172-AD174</f>
        <v/>
      </c>
      <c r="AE175" s="61">
        <f>AE172-AE174</f>
        <v/>
      </c>
    </row>
    <row r="176">
      <c r="A176" s="9" t="inlineStr">
        <is>
          <t>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is>
      </c>
    </row>
    <row r="177">
      <c r="A177" s="6" t="inlineStr">
        <is>
          <t>CHECK: paying + holders = cumulative ever acquired</t>
        </is>
      </c>
      <c r="B177" s="23" t="inlineStr">
        <is>
          <t>delta</t>
        </is>
      </c>
      <c r="C177" s="66">
        <f>C159+C160-C161</f>
        <v/>
      </c>
      <c r="D177" s="66">
        <f>D159+D160-D161</f>
        <v/>
      </c>
      <c r="E177" s="66">
        <f>E159+E160-E161</f>
        <v/>
      </c>
      <c r="F177" s="66">
        <f>F159+F160-F161</f>
        <v/>
      </c>
      <c r="G177" s="66">
        <f>G159+G160-G161</f>
        <v/>
      </c>
      <c r="H177" s="66">
        <f>H159+H160-H161</f>
        <v/>
      </c>
      <c r="I177" s="66">
        <f>I159+I160-I161</f>
        <v/>
      </c>
      <c r="J177" s="66">
        <f>J159+J160-J161</f>
        <v/>
      </c>
      <c r="K177" s="66">
        <f>K159+K160-K161</f>
        <v/>
      </c>
      <c r="L177" s="66">
        <f>L159+L160-L161</f>
        <v/>
      </c>
      <c r="M177" s="66">
        <f>M159+M160-M161</f>
        <v/>
      </c>
      <c r="N177" s="66">
        <f>N159+N160-N161</f>
        <v/>
      </c>
      <c r="O177" s="66">
        <f>O159+O160-O161</f>
        <v/>
      </c>
      <c r="P177" s="66">
        <f>P159+P160-P161</f>
        <v/>
      </c>
      <c r="Q177" s="66">
        <f>Q159+Q160-Q161</f>
        <v/>
      </c>
      <c r="R177" s="66">
        <f>R159+R160-R161</f>
        <v/>
      </c>
      <c r="S177" s="66">
        <f>S159+S160-S161</f>
        <v/>
      </c>
      <c r="T177" s="66">
        <f>T159+T160-T161</f>
        <v/>
      </c>
      <c r="U177" s="66">
        <f>U159+U160-U161</f>
        <v/>
      </c>
      <c r="V177" s="66">
        <f>V159+V160-V161</f>
        <v/>
      </c>
      <c r="W177" s="66">
        <f>W159+W160-W161</f>
        <v/>
      </c>
      <c r="X177" s="66">
        <f>X159+X160-X161</f>
        <v/>
      </c>
      <c r="Y177" s="66">
        <f>Y159+Y160-Y161</f>
        <v/>
      </c>
      <c r="Z177" s="66">
        <f>Z159+Z160-Z161</f>
        <v/>
      </c>
      <c r="AA177" s="66">
        <f>AA159+AA160-AA161</f>
        <v/>
      </c>
      <c r="AB177" s="66">
        <f>AB159+AB160-AB161</f>
        <v/>
      </c>
      <c r="AC177" s="66">
        <f>AC159+AC160-AC161</f>
        <v/>
      </c>
      <c r="AD177" s="66">
        <f>AD159+AD160-AD161</f>
        <v/>
      </c>
      <c r="AE177" s="66">
        <f>AE159+AE160-AE161</f>
        <v/>
      </c>
    </row>
    <row r="178">
      <c r="A178" s="6" t="inlineStr">
        <is>
          <t>CHECK: custody &gt;= collateral-eligible (must be &gt;= 0)</t>
        </is>
      </c>
      <c r="B178" s="23" t="inlineStr">
        <is>
          <t>grams</t>
        </is>
      </c>
      <c r="C178" s="66">
        <f>C165-C164</f>
        <v/>
      </c>
      <c r="D178" s="66">
        <f>D165-D164</f>
        <v/>
      </c>
      <c r="E178" s="66">
        <f>E165-E164</f>
        <v/>
      </c>
      <c r="F178" s="66">
        <f>F165-F164</f>
        <v/>
      </c>
      <c r="G178" s="66">
        <f>G165-G164</f>
        <v/>
      </c>
      <c r="H178" s="66">
        <f>H165-H164</f>
        <v/>
      </c>
      <c r="I178" s="66">
        <f>I165-I164</f>
        <v/>
      </c>
      <c r="J178" s="66">
        <f>J165-J164</f>
        <v/>
      </c>
      <c r="K178" s="66">
        <f>K165-K164</f>
        <v/>
      </c>
      <c r="L178" s="66">
        <f>L165-L164</f>
        <v/>
      </c>
      <c r="M178" s="66">
        <f>M165-M164</f>
        <v/>
      </c>
      <c r="N178" s="66">
        <f>N165-N164</f>
        <v/>
      </c>
      <c r="O178" s="66">
        <f>O165-O164</f>
        <v/>
      </c>
      <c r="P178" s="66">
        <f>P165-P164</f>
        <v/>
      </c>
      <c r="Q178" s="66">
        <f>Q165-Q164</f>
        <v/>
      </c>
      <c r="R178" s="66">
        <f>R165-R164</f>
        <v/>
      </c>
      <c r="S178" s="66">
        <f>S165-S164</f>
        <v/>
      </c>
      <c r="T178" s="66">
        <f>T165-T164</f>
        <v/>
      </c>
      <c r="U178" s="66">
        <f>U165-U164</f>
        <v/>
      </c>
      <c r="V178" s="66">
        <f>V165-V164</f>
        <v/>
      </c>
      <c r="W178" s="66">
        <f>W165-W164</f>
        <v/>
      </c>
      <c r="X178" s="66">
        <f>X165-X164</f>
        <v/>
      </c>
      <c r="Y178" s="66">
        <f>Y165-Y164</f>
        <v/>
      </c>
      <c r="Z178" s="66">
        <f>Z165-Z164</f>
        <v/>
      </c>
      <c r="AA178" s="66">
        <f>AA165-AA164</f>
        <v/>
      </c>
      <c r="AB178" s="66">
        <f>AB165-AB164</f>
        <v/>
      </c>
      <c r="AC178" s="66">
        <f>AC165-AC164</f>
        <v/>
      </c>
      <c r="AD178" s="66">
        <f>AD165-AD164</f>
        <v/>
      </c>
      <c r="AE178" s="66">
        <f>AE165-AE164</f>
        <v/>
      </c>
    </row>
    <row r="179">
      <c r="A179" s="6" t="inlineStr">
        <is>
          <t xml:space="preserve">  Collateral-eligible AUM per paying customer (memo)</t>
        </is>
      </c>
      <c r="B179" s="23" t="inlineStr">
        <is>
          <t>USD</t>
        </is>
      </c>
      <c r="C179" s="61">
        <f>IF(C159=0,0,C167/C159)</f>
        <v/>
      </c>
      <c r="D179" s="61">
        <f>IF(D159=0,0,D167/D159)</f>
        <v/>
      </c>
      <c r="E179" s="61">
        <f>IF(E159=0,0,E167/E159)</f>
        <v/>
      </c>
      <c r="F179" s="61">
        <f>IF(F159=0,0,F167/F159)</f>
        <v/>
      </c>
      <c r="G179" s="61">
        <f>IF(G159=0,0,G167/G159)</f>
        <v/>
      </c>
      <c r="H179" s="61">
        <f>IF(H159=0,0,H167/H159)</f>
        <v/>
      </c>
      <c r="I179" s="61">
        <f>IF(I159=0,0,I167/I159)</f>
        <v/>
      </c>
      <c r="J179" s="61">
        <f>IF(J159=0,0,J167/J159)</f>
        <v/>
      </c>
      <c r="K179" s="61">
        <f>IF(K159=0,0,K167/K159)</f>
        <v/>
      </c>
      <c r="L179" s="61">
        <f>IF(L159=0,0,L167/L159)</f>
        <v/>
      </c>
      <c r="M179" s="61">
        <f>IF(M159=0,0,M167/M159)</f>
        <v/>
      </c>
      <c r="N179" s="61">
        <f>IF(N159=0,0,N167/N159)</f>
        <v/>
      </c>
      <c r="O179" s="61">
        <f>IF(O159=0,0,O167/O159)</f>
        <v/>
      </c>
      <c r="P179" s="61">
        <f>IF(P159=0,0,P167/P159)</f>
        <v/>
      </c>
      <c r="Q179" s="61">
        <f>IF(Q159=0,0,Q167/Q159)</f>
        <v/>
      </c>
      <c r="R179" s="61">
        <f>IF(R159=0,0,R167/R159)</f>
        <v/>
      </c>
      <c r="S179" s="61">
        <f>IF(S159=0,0,S167/S159)</f>
        <v/>
      </c>
      <c r="T179" s="61">
        <f>IF(T159=0,0,T167/T159)</f>
        <v/>
      </c>
      <c r="U179" s="61">
        <f>IF(U159=0,0,U167/U159)</f>
        <v/>
      </c>
      <c r="V179" s="61">
        <f>IF(V159=0,0,V167/V159)</f>
        <v/>
      </c>
      <c r="W179" s="61">
        <f>IF(W159=0,0,W167/W159)</f>
        <v/>
      </c>
      <c r="X179" s="61">
        <f>IF(X159=0,0,X167/X159)</f>
        <v/>
      </c>
      <c r="Y179" s="61">
        <f>IF(Y159=0,0,Y167/Y159)</f>
        <v/>
      </c>
      <c r="Z179" s="61">
        <f>IF(Z159=0,0,Z167/Z159)</f>
        <v/>
      </c>
      <c r="AA179" s="61">
        <f>IF(AA159=0,0,AA167/AA159)</f>
        <v/>
      </c>
      <c r="AB179" s="61">
        <f>IF(AB159=0,0,AB167/AB159)</f>
        <v/>
      </c>
      <c r="AC179" s="61">
        <f>IF(AC159=0,0,AC167/AC159)</f>
        <v/>
      </c>
      <c r="AD179" s="61">
        <f>IF(AD159=0,0,AD167/AD159)</f>
        <v/>
      </c>
      <c r="AE179" s="61">
        <f>IF(AE159=0,0,AE167/AE159)</f>
        <v/>
      </c>
    </row>
    <row r="180">
      <c r="A180" s="6" t="inlineStr">
        <is>
          <t xml:space="preserve">  Total credit capacity across cardholders (memo)</t>
        </is>
      </c>
      <c r="B180" s="23" t="inlineStr">
        <is>
          <t>USD</t>
        </is>
      </c>
      <c r="C180" s="61">
        <f>C46*C49+C89*C92+C132*C135</f>
        <v/>
      </c>
      <c r="D180" s="61">
        <f>D46*D49+D89*D92+D132*D135</f>
        <v/>
      </c>
      <c r="E180" s="61">
        <f>E46*E49+E89*E92+E132*E135</f>
        <v/>
      </c>
      <c r="F180" s="61">
        <f>F46*F49+F89*F92+F132*F135</f>
        <v/>
      </c>
      <c r="G180" s="61">
        <f>G46*G49+G89*G92+G132*G135</f>
        <v/>
      </c>
      <c r="H180" s="61">
        <f>H46*H49+H89*H92+H132*H135</f>
        <v/>
      </c>
      <c r="I180" s="61">
        <f>I46*I49+I89*I92+I132*I135</f>
        <v/>
      </c>
      <c r="J180" s="61">
        <f>J46*J49+J89*J92+J132*J135</f>
        <v/>
      </c>
      <c r="K180" s="61">
        <f>K46*K49+K89*K92+K132*K135</f>
        <v/>
      </c>
      <c r="L180" s="61">
        <f>L46*L49+L89*L92+L132*L135</f>
        <v/>
      </c>
      <c r="M180" s="61">
        <f>M46*M49+M89*M92+M132*M135</f>
        <v/>
      </c>
      <c r="N180" s="61">
        <f>N46*N49+N89*N92+N132*N135</f>
        <v/>
      </c>
      <c r="O180" s="61">
        <f>O46*O49+O89*O92+O132*O135</f>
        <v/>
      </c>
      <c r="P180" s="61">
        <f>P46*P49+P89*P92+P132*P135</f>
        <v/>
      </c>
      <c r="Q180" s="61">
        <f>Q46*Q49+Q89*Q92+Q132*Q135</f>
        <v/>
      </c>
      <c r="R180" s="61">
        <f>R46*R49+R89*R92+R132*R135</f>
        <v/>
      </c>
      <c r="S180" s="61">
        <f>S46*S49+S89*S92+S132*S135</f>
        <v/>
      </c>
      <c r="T180" s="61">
        <f>T46*T49+T89*T92+T132*T135</f>
        <v/>
      </c>
      <c r="U180" s="61">
        <f>U46*U49+U89*U92+U132*U135</f>
        <v/>
      </c>
      <c r="V180" s="61">
        <f>V46*V49+V89*V92+V132*V135</f>
        <v/>
      </c>
      <c r="W180" s="61">
        <f>W46*W49+W89*W92+W132*W135</f>
        <v/>
      </c>
      <c r="X180" s="61">
        <f>X46*X49+X89*X92+X132*X135</f>
        <v/>
      </c>
      <c r="Y180" s="61">
        <f>Y46*Y49+Y89*Y92+Y132*Y135</f>
        <v/>
      </c>
      <c r="Z180" s="61">
        <f>Z46*Z49+Z89*Z92+Z132*Z135</f>
        <v/>
      </c>
      <c r="AA180" s="61">
        <f>AA46*AA49+AA89*AA92+AA132*AA135</f>
        <v/>
      </c>
      <c r="AB180" s="61">
        <f>AB46*AB49+AB89*AB92+AB132*AB135</f>
        <v/>
      </c>
      <c r="AC180" s="61">
        <f>AC46*AC49+AC89*AC92+AC132*AC135</f>
        <v/>
      </c>
      <c r="AD180" s="61">
        <f>AD46*AD49+AD89*AD92+AD132*AD135</f>
        <v/>
      </c>
      <c r="AE180" s="61">
        <f>AE46*AE49+AE89*AE92+AE132*AE135</f>
        <v/>
      </c>
    </row>
    <row r="181">
      <c r="A181" s="6" t="inlineStr">
        <is>
          <t xml:space="preserve">  CHECK: card spend vs credit capacity (must be &lt;= 1.00)</t>
        </is>
      </c>
      <c r="B181" s="23" t="inlineStr">
        <is>
          <t>x</t>
        </is>
      </c>
      <c r="C181" s="67">
        <f>IF(C180=0,0,((C53+C96+C139)/C7)/C180)</f>
        <v/>
      </c>
      <c r="D181" s="67">
        <f>IF(D180=0,0,((D53+D96+D139)/D7)/D180)</f>
        <v/>
      </c>
      <c r="E181" s="67">
        <f>IF(E180=0,0,((E53+E96+E139)/E7)/E180)</f>
        <v/>
      </c>
      <c r="F181" s="67">
        <f>IF(F180=0,0,((F53+F96+F139)/F7)/F180)</f>
        <v/>
      </c>
      <c r="G181" s="67">
        <f>IF(G180=0,0,((G53+G96+G139)/G7)/G180)</f>
        <v/>
      </c>
      <c r="H181" s="67">
        <f>IF(H180=0,0,((H53+H96+H139)/H7)/H180)</f>
        <v/>
      </c>
      <c r="I181" s="67">
        <f>IF(I180=0,0,((I53+I96+I139)/I7)/I180)</f>
        <v/>
      </c>
      <c r="J181" s="67">
        <f>IF(J180=0,0,((J53+J96+J139)/J7)/J180)</f>
        <v/>
      </c>
      <c r="K181" s="67">
        <f>IF(K180=0,0,((K53+K96+K139)/K7)/K180)</f>
        <v/>
      </c>
      <c r="L181" s="67">
        <f>IF(L180=0,0,((L53+L96+L139)/L7)/L180)</f>
        <v/>
      </c>
      <c r="M181" s="67">
        <f>IF(M180=0,0,((M53+M96+M139)/M7)/M180)</f>
        <v/>
      </c>
      <c r="N181" s="67">
        <f>IF(N180=0,0,((N53+N96+N139)/N7)/N180)</f>
        <v/>
      </c>
      <c r="O181" s="67">
        <f>IF(O180=0,0,((O53+O96+O139)/O7)/O180)</f>
        <v/>
      </c>
      <c r="P181" s="67">
        <f>IF(P180=0,0,((P53+P96+P139)/P7)/P180)</f>
        <v/>
      </c>
      <c r="Q181" s="67">
        <f>IF(Q180=0,0,((Q53+Q96+Q139)/Q7)/Q180)</f>
        <v/>
      </c>
      <c r="R181" s="67">
        <f>IF(R180=0,0,((R53+R96+R139)/R7)/R180)</f>
        <v/>
      </c>
      <c r="S181" s="67">
        <f>IF(S180=0,0,((S53+S96+S139)/S7)/S180)</f>
        <v/>
      </c>
      <c r="T181" s="67">
        <f>IF(T180=0,0,((T53+T96+T139)/T7)/T180)</f>
        <v/>
      </c>
      <c r="U181" s="67">
        <f>IF(U180=0,0,((U53+U96+U139)/U7)/U180)</f>
        <v/>
      </c>
      <c r="V181" s="67">
        <f>IF(V180=0,0,((V53+V96+V139)/V7)/V180)</f>
        <v/>
      </c>
      <c r="W181" s="67">
        <f>IF(W180=0,0,((W53+W96+W139)/W7)/W180)</f>
        <v/>
      </c>
      <c r="X181" s="67">
        <f>IF(X180=0,0,((X53+X96+X139)/X7)/X180)</f>
        <v/>
      </c>
      <c r="Y181" s="67">
        <f>IF(Y180=0,0,((Y53+Y96+Y139)/Y7)/Y180)</f>
        <v/>
      </c>
      <c r="Z181" s="67">
        <f>IF(Z180=0,0,((Z53+Z96+Z139)/Z7)/Z180)</f>
        <v/>
      </c>
      <c r="AA181" s="67">
        <f>IF(AA180=0,0,((AA53+AA96+AA139)/AA7)/AA180)</f>
        <v/>
      </c>
      <c r="AB181" s="67">
        <f>IF(AB180=0,0,((AB53+AB96+AB139)/AB7)/AB180)</f>
        <v/>
      </c>
      <c r="AC181" s="67">
        <f>IF(AC180=0,0,((AC53+AC96+AC139)/AC7)/AC180)</f>
        <v/>
      </c>
      <c r="AD181" s="67">
        <f>IF(AD180=0,0,((AD53+AD96+AD139)/AD7)/AD180)</f>
        <v/>
      </c>
      <c r="AE181" s="67">
        <f>IF(AE180=0,0,((AE53+AE96+AE139)/AE7)/AE180)</f>
        <v/>
      </c>
    </row>
    <row r="183" ht="18" customHeight="1">
      <c r="A183" s="12" t="inlineStr">
        <is>
          <t>SERVICING LOAD - reported, not capped</t>
        </is>
      </c>
      <c r="B183" s="13" t="n"/>
      <c r="C183" s="13" t="n"/>
      <c r="D183" s="13" t="n"/>
      <c r="E183" s="13" t="n"/>
      <c r="F183" s="13" t="n"/>
      <c r="G183" s="13" t="n"/>
      <c r="H183" s="13" t="n"/>
    </row>
    <row r="184">
      <c r="A184" s="6" t="inlineStr">
        <is>
          <t xml:space="preserve">  Paying customers per agent - UAE</t>
        </is>
      </c>
      <c r="B184" s="23" t="inlineStr">
        <is>
          <t>customers</t>
        </is>
      </c>
      <c r="C184" s="60">
        <f>IF(C28=0,0,C32/(C28/Assumptions!$B$135/C7))</f>
        <v/>
      </c>
      <c r="D184" s="60">
        <f>IF(D28=0,0,D32/(D28/Assumptions!$B$135/D7))</f>
        <v/>
      </c>
      <c r="E184" s="60">
        <f>IF(E28=0,0,E32/(E28/Assumptions!$B$135/E7))</f>
        <v/>
      </c>
      <c r="F184" s="60">
        <f>IF(F28=0,0,F32/(F28/Assumptions!$B$135/F7))</f>
        <v/>
      </c>
      <c r="G184" s="60">
        <f>IF(G28=0,0,G32/(G28/Assumptions!$B$135/G7))</f>
        <v/>
      </c>
      <c r="H184" s="60">
        <f>IF(H28=0,0,H32/(H28/Assumptions!$B$135/H7))</f>
        <v/>
      </c>
      <c r="I184" s="60">
        <f>IF(I28=0,0,I32/(I28/Assumptions!$B$135/I7))</f>
        <v/>
      </c>
      <c r="J184" s="60">
        <f>IF(J28=0,0,J32/(J28/Assumptions!$B$135/J7))</f>
        <v/>
      </c>
      <c r="K184" s="60">
        <f>IF(K28=0,0,K32/(K28/Assumptions!$B$135/K7))</f>
        <v/>
      </c>
      <c r="L184" s="60">
        <f>IF(L28=0,0,L32/(L28/Assumptions!$B$135/L7))</f>
        <v/>
      </c>
      <c r="M184" s="60">
        <f>IF(M28=0,0,M32/(M28/Assumptions!$B$135/M7))</f>
        <v/>
      </c>
      <c r="N184" s="60">
        <f>IF(N28=0,0,N32/(N28/Assumptions!$B$135/N7))</f>
        <v/>
      </c>
      <c r="O184" s="60">
        <f>IF(O28=0,0,O32/(O28/Assumptions!$B$135/O7))</f>
        <v/>
      </c>
      <c r="P184" s="60">
        <f>IF(P28=0,0,P32/(P28/Assumptions!$B$135/P7))</f>
        <v/>
      </c>
      <c r="Q184" s="60">
        <f>IF(Q28=0,0,Q32/(Q28/Assumptions!$B$135/Q7))</f>
        <v/>
      </c>
      <c r="R184" s="60">
        <f>IF(R28=0,0,R32/(R28/Assumptions!$B$135/R7))</f>
        <v/>
      </c>
      <c r="S184" s="60">
        <f>IF(S28=0,0,S32/(S28/Assumptions!$B$135/S7))</f>
        <v/>
      </c>
      <c r="T184" s="60">
        <f>IF(T28=0,0,T32/(T28/Assumptions!$B$135/T7))</f>
        <v/>
      </c>
      <c r="U184" s="60">
        <f>IF(U28=0,0,U32/(U28/Assumptions!$B$135/U7))</f>
        <v/>
      </c>
      <c r="V184" s="60">
        <f>IF(V28=0,0,V32/(V28/Assumptions!$B$135/V7))</f>
        <v/>
      </c>
      <c r="W184" s="60">
        <f>IF(W28=0,0,W32/(W28/Assumptions!$B$135/W7))</f>
        <v/>
      </c>
      <c r="X184" s="60">
        <f>IF(X28=0,0,X32/(X28/Assumptions!$B$135/X7))</f>
        <v/>
      </c>
      <c r="Y184" s="60">
        <f>IF(Y28=0,0,Y32/(Y28/Assumptions!$B$135/Y7))</f>
        <v/>
      </c>
      <c r="Z184" s="60">
        <f>IF(Z28=0,0,Z32/(Z28/Assumptions!$B$135/Z7))</f>
        <v/>
      </c>
      <c r="AA184" s="60">
        <f>IF(AA28=0,0,AA32/(AA28/Assumptions!$B$135/AA7))</f>
        <v/>
      </c>
      <c r="AB184" s="60">
        <f>IF(AB28=0,0,AB32/(AB28/Assumptions!$B$135/AB7))</f>
        <v/>
      </c>
      <c r="AC184" s="60">
        <f>IF(AC28=0,0,AC32/(AC28/Assumptions!$B$135/AC7))</f>
        <v/>
      </c>
      <c r="AD184" s="60">
        <f>IF(AD28=0,0,AD32/(AD28/Assumptions!$B$135/AD7))</f>
        <v/>
      </c>
      <c r="AE184" s="60">
        <f>IF(AE28=0,0,AE32/(AE28/Assumptions!$B$135/AE7))</f>
        <v/>
      </c>
    </row>
    <row r="185">
      <c r="A185" s="6" t="inlineStr">
        <is>
          <t xml:space="preserve">  Paying customers per agent - Oman and Bahrain</t>
        </is>
      </c>
      <c r="B185" s="23" t="inlineStr">
        <is>
          <t>customers</t>
        </is>
      </c>
      <c r="C185" s="60">
        <f>IF(C71=0,0,C75/(C71/Assumptions!$B$135/C7))</f>
        <v/>
      </c>
      <c r="D185" s="60">
        <f>IF(D71=0,0,D75/(D71/Assumptions!$B$135/D7))</f>
        <v/>
      </c>
      <c r="E185" s="60">
        <f>IF(E71=0,0,E75/(E71/Assumptions!$B$135/E7))</f>
        <v/>
      </c>
      <c r="F185" s="60">
        <f>IF(F71=0,0,F75/(F71/Assumptions!$B$135/F7))</f>
        <v/>
      </c>
      <c r="G185" s="60">
        <f>IF(G71=0,0,G75/(G71/Assumptions!$B$135/G7))</f>
        <v/>
      </c>
      <c r="H185" s="60">
        <f>IF(H71=0,0,H75/(H71/Assumptions!$B$135/H7))</f>
        <v/>
      </c>
      <c r="I185" s="60">
        <f>IF(I71=0,0,I75/(I71/Assumptions!$B$135/I7))</f>
        <v/>
      </c>
      <c r="J185" s="60">
        <f>IF(J71=0,0,J75/(J71/Assumptions!$B$135/J7))</f>
        <v/>
      </c>
      <c r="K185" s="60">
        <f>IF(K71=0,0,K75/(K71/Assumptions!$B$135/K7))</f>
        <v/>
      </c>
      <c r="L185" s="60">
        <f>IF(L71=0,0,L75/(L71/Assumptions!$B$135/L7))</f>
        <v/>
      </c>
      <c r="M185" s="60">
        <f>IF(M71=0,0,M75/(M71/Assumptions!$B$135/M7))</f>
        <v/>
      </c>
      <c r="N185" s="60">
        <f>IF(N71=0,0,N75/(N71/Assumptions!$B$135/N7))</f>
        <v/>
      </c>
      <c r="O185" s="60">
        <f>IF(O71=0,0,O75/(O71/Assumptions!$B$135/O7))</f>
        <v/>
      </c>
      <c r="P185" s="60">
        <f>IF(P71=0,0,P75/(P71/Assumptions!$B$135/P7))</f>
        <v/>
      </c>
      <c r="Q185" s="60">
        <f>IF(Q71=0,0,Q75/(Q71/Assumptions!$B$135/Q7))</f>
        <v/>
      </c>
      <c r="R185" s="60">
        <f>IF(R71=0,0,R75/(R71/Assumptions!$B$135/R7))</f>
        <v/>
      </c>
      <c r="S185" s="60">
        <f>IF(S71=0,0,S75/(S71/Assumptions!$B$135/S7))</f>
        <v/>
      </c>
      <c r="T185" s="60">
        <f>IF(T71=0,0,T75/(T71/Assumptions!$B$135/T7))</f>
        <v/>
      </c>
      <c r="U185" s="60">
        <f>IF(U71=0,0,U75/(U71/Assumptions!$B$135/U7))</f>
        <v/>
      </c>
      <c r="V185" s="60">
        <f>IF(V71=0,0,V75/(V71/Assumptions!$B$135/V7))</f>
        <v/>
      </c>
      <c r="W185" s="60">
        <f>IF(W71=0,0,W75/(W71/Assumptions!$B$135/W7))</f>
        <v/>
      </c>
      <c r="X185" s="60">
        <f>IF(X71=0,0,X75/(X71/Assumptions!$B$135/X7))</f>
        <v/>
      </c>
      <c r="Y185" s="60">
        <f>IF(Y71=0,0,Y75/(Y71/Assumptions!$B$135/Y7))</f>
        <v/>
      </c>
      <c r="Z185" s="60">
        <f>IF(Z71=0,0,Z75/(Z71/Assumptions!$B$135/Z7))</f>
        <v/>
      </c>
      <c r="AA185" s="60">
        <f>IF(AA71=0,0,AA75/(AA71/Assumptions!$B$135/AA7))</f>
        <v/>
      </c>
      <c r="AB185" s="60">
        <f>IF(AB71=0,0,AB75/(AB71/Assumptions!$B$135/AB7))</f>
        <v/>
      </c>
      <c r="AC185" s="60">
        <f>IF(AC71=0,0,AC75/(AC71/Assumptions!$B$135/AC7))</f>
        <v/>
      </c>
      <c r="AD185" s="60">
        <f>IF(AD71=0,0,AD75/(AD71/Assumptions!$B$135/AD7))</f>
        <v/>
      </c>
      <c r="AE185" s="60">
        <f>IF(AE71=0,0,AE75/(AE71/Assumptions!$B$135/AE7))</f>
        <v/>
      </c>
    </row>
    <row r="186">
      <c r="A186" s="6" t="inlineStr">
        <is>
          <t xml:space="preserve">  Paying customers per agent - India</t>
        </is>
      </c>
      <c r="B186" s="23" t="inlineStr">
        <is>
          <t>customers</t>
        </is>
      </c>
      <c r="C186" s="60">
        <f>IF(C114=0,0,C118/(C114/Assumptions!$B$135/C7))</f>
        <v/>
      </c>
      <c r="D186" s="60">
        <f>IF(D114=0,0,D118/(D114/Assumptions!$B$135/D7))</f>
        <v/>
      </c>
      <c r="E186" s="60">
        <f>IF(E114=0,0,E118/(E114/Assumptions!$B$135/E7))</f>
        <v/>
      </c>
      <c r="F186" s="60">
        <f>IF(F114=0,0,F118/(F114/Assumptions!$B$135/F7))</f>
        <v/>
      </c>
      <c r="G186" s="60">
        <f>IF(G114=0,0,G118/(G114/Assumptions!$B$135/G7))</f>
        <v/>
      </c>
      <c r="H186" s="60">
        <f>IF(H114=0,0,H118/(H114/Assumptions!$B$135/H7))</f>
        <v/>
      </c>
      <c r="I186" s="60">
        <f>IF(I114=0,0,I118/(I114/Assumptions!$B$135/I7))</f>
        <v/>
      </c>
      <c r="J186" s="60">
        <f>IF(J114=0,0,J118/(J114/Assumptions!$B$135/J7))</f>
        <v/>
      </c>
      <c r="K186" s="60">
        <f>IF(K114=0,0,K118/(K114/Assumptions!$B$135/K7))</f>
        <v/>
      </c>
      <c r="L186" s="60">
        <f>IF(L114=0,0,L118/(L114/Assumptions!$B$135/L7))</f>
        <v/>
      </c>
      <c r="M186" s="60">
        <f>IF(M114=0,0,M118/(M114/Assumptions!$B$135/M7))</f>
        <v/>
      </c>
      <c r="N186" s="60">
        <f>IF(N114=0,0,N118/(N114/Assumptions!$B$135/N7))</f>
        <v/>
      </c>
      <c r="O186" s="60">
        <f>IF(O114=0,0,O118/(O114/Assumptions!$B$135/O7))</f>
        <v/>
      </c>
      <c r="P186" s="60">
        <f>IF(P114=0,0,P118/(P114/Assumptions!$B$135/P7))</f>
        <v/>
      </c>
      <c r="Q186" s="60">
        <f>IF(Q114=0,0,Q118/(Q114/Assumptions!$B$135/Q7))</f>
        <v/>
      </c>
      <c r="R186" s="60">
        <f>IF(R114=0,0,R118/(R114/Assumptions!$B$135/R7))</f>
        <v/>
      </c>
      <c r="S186" s="60">
        <f>IF(S114=0,0,S118/(S114/Assumptions!$B$135/S7))</f>
        <v/>
      </c>
      <c r="T186" s="60">
        <f>IF(T114=0,0,T118/(T114/Assumptions!$B$135/T7))</f>
        <v/>
      </c>
      <c r="U186" s="60">
        <f>IF(U114=0,0,U118/(U114/Assumptions!$B$135/U7))</f>
        <v/>
      </c>
      <c r="V186" s="60">
        <f>IF(V114=0,0,V118/(V114/Assumptions!$B$135/V7))</f>
        <v/>
      </c>
      <c r="W186" s="60">
        <f>IF(W114=0,0,W118/(W114/Assumptions!$B$135/W7))</f>
        <v/>
      </c>
      <c r="X186" s="60">
        <f>IF(X114=0,0,X118/(X114/Assumptions!$B$135/X7))</f>
        <v/>
      </c>
      <c r="Y186" s="60">
        <f>IF(Y114=0,0,Y118/(Y114/Assumptions!$B$135/Y7))</f>
        <v/>
      </c>
      <c r="Z186" s="60">
        <f>IF(Z114=0,0,Z118/(Z114/Assumptions!$B$135/Z7))</f>
        <v/>
      </c>
      <c r="AA186" s="60">
        <f>IF(AA114=0,0,AA118/(AA114/Assumptions!$B$135/AA7))</f>
        <v/>
      </c>
      <c r="AB186" s="60">
        <f>IF(AB114=0,0,AB118/(AB114/Assumptions!$B$135/AB7))</f>
        <v/>
      </c>
      <c r="AC186" s="60">
        <f>IF(AC114=0,0,AC118/(AC114/Assumptions!$B$135/AC7))</f>
        <v/>
      </c>
      <c r="AD186" s="60">
        <f>IF(AD114=0,0,AD118/(AD114/Assumptions!$B$135/AD7))</f>
        <v/>
      </c>
      <c r="AE186" s="60">
        <f>IF(AE114=0,0,AE118/(AE114/Assumptions!$B$135/AE7))</f>
        <v/>
      </c>
    </row>
    <row r="187">
      <c r="A187" s="9" t="inlineStr">
        <is>
          <t>Blank where a region has no agents, which is UAE and Oman &amp; Bahrain by design. Compare against 345-550 (microfinance loan officer, heavy weekly servicing) and ~2,335 (Bank Mitra, on-demand servicing). Aurumix's servicing is lighter than either, so a high number here is not automatically wrong - but it should be a decision rather than an accident.</t>
        </is>
      </c>
    </row>
    <row r="189">
      <c r="A189" s="6" t="inlineStr">
        <is>
          <t>Stream 1a - Entry fee, SIP</t>
        </is>
      </c>
      <c r="B189" s="23" t="inlineStr">
        <is>
          <t>USD</t>
        </is>
      </c>
      <c r="C189" s="61">
        <f>C56+C99+C142</f>
        <v/>
      </c>
      <c r="D189" s="61">
        <f>D56+D99+D142</f>
        <v/>
      </c>
      <c r="E189" s="61">
        <f>E56+E99+E142</f>
        <v/>
      </c>
      <c r="F189" s="61">
        <f>F56+F99+F142</f>
        <v/>
      </c>
      <c r="G189" s="61">
        <f>G56+G99+G142</f>
        <v/>
      </c>
      <c r="H189" s="61">
        <f>H56+H99+H142</f>
        <v/>
      </c>
      <c r="I189" s="61">
        <f>I56+I99+I142</f>
        <v/>
      </c>
      <c r="J189" s="61">
        <f>J56+J99+J142</f>
        <v/>
      </c>
      <c r="K189" s="61">
        <f>K56+K99+K142</f>
        <v/>
      </c>
      <c r="L189" s="61">
        <f>L56+L99+L142</f>
        <v/>
      </c>
      <c r="M189" s="61">
        <f>M56+M99+M142</f>
        <v/>
      </c>
      <c r="N189" s="61">
        <f>N56+N99+N142</f>
        <v/>
      </c>
      <c r="O189" s="61">
        <f>O56+O99+O142</f>
        <v/>
      </c>
      <c r="P189" s="61">
        <f>P56+P99+P142</f>
        <v/>
      </c>
      <c r="Q189" s="61">
        <f>Q56+Q99+Q142</f>
        <v/>
      </c>
      <c r="R189" s="61">
        <f>R56+R99+R142</f>
        <v/>
      </c>
      <c r="S189" s="61">
        <f>S56+S99+S142</f>
        <v/>
      </c>
      <c r="T189" s="61">
        <f>T56+T99+T142</f>
        <v/>
      </c>
      <c r="U189" s="61">
        <f>U56+U99+U142</f>
        <v/>
      </c>
      <c r="V189" s="61">
        <f>V56+V99+V142</f>
        <v/>
      </c>
      <c r="W189" s="61">
        <f>W56+W99+W142</f>
        <v/>
      </c>
      <c r="X189" s="61">
        <f>X56+X99+X142</f>
        <v/>
      </c>
      <c r="Y189" s="61">
        <f>Y56+Y99+Y142</f>
        <v/>
      </c>
      <c r="Z189" s="61">
        <f>Z56+Z99+Z142</f>
        <v/>
      </c>
      <c r="AA189" s="61">
        <f>AA56+AA99+AA142</f>
        <v/>
      </c>
      <c r="AB189" s="61">
        <f>AB56+AB99+AB142</f>
        <v/>
      </c>
      <c r="AC189" s="61">
        <f>AC56+AC99+AC142</f>
        <v/>
      </c>
      <c r="AD189" s="61">
        <f>AD56+AD99+AD142</f>
        <v/>
      </c>
      <c r="AE189" s="61">
        <f>AE56+AE99+AE142</f>
        <v/>
      </c>
    </row>
    <row r="190">
      <c r="A190" s="6" t="inlineStr">
        <is>
          <t>Stream 1b - Entry fee, SPOT</t>
        </is>
      </c>
      <c r="B190" s="23" t="inlineStr">
        <is>
          <t>USD</t>
        </is>
      </c>
      <c r="C190" s="61">
        <f>C57+C100+C143</f>
        <v/>
      </c>
      <c r="D190" s="61">
        <f>D57+D100+D143</f>
        <v/>
      </c>
      <c r="E190" s="61">
        <f>E57+E100+E143</f>
        <v/>
      </c>
      <c r="F190" s="61">
        <f>F57+F100+F143</f>
        <v/>
      </c>
      <c r="G190" s="61">
        <f>G57+G100+G143</f>
        <v/>
      </c>
      <c r="H190" s="61">
        <f>H57+H100+H143</f>
        <v/>
      </c>
      <c r="I190" s="61">
        <f>I57+I100+I143</f>
        <v/>
      </c>
      <c r="J190" s="61">
        <f>J57+J100+J143</f>
        <v/>
      </c>
      <c r="K190" s="61">
        <f>K57+K100+K143</f>
        <v/>
      </c>
      <c r="L190" s="61">
        <f>L57+L100+L143</f>
        <v/>
      </c>
      <c r="M190" s="61">
        <f>M57+M100+M143</f>
        <v/>
      </c>
      <c r="N190" s="61">
        <f>N57+N100+N143</f>
        <v/>
      </c>
      <c r="O190" s="61">
        <f>O57+O100+O143</f>
        <v/>
      </c>
      <c r="P190" s="61">
        <f>P57+P100+P143</f>
        <v/>
      </c>
      <c r="Q190" s="61">
        <f>Q57+Q100+Q143</f>
        <v/>
      </c>
      <c r="R190" s="61">
        <f>R57+R100+R143</f>
        <v/>
      </c>
      <c r="S190" s="61">
        <f>S57+S100+S143</f>
        <v/>
      </c>
      <c r="T190" s="61">
        <f>T57+T100+T143</f>
        <v/>
      </c>
      <c r="U190" s="61">
        <f>U57+U100+U143</f>
        <v/>
      </c>
      <c r="V190" s="61">
        <f>V57+V100+V143</f>
        <v/>
      </c>
      <c r="W190" s="61">
        <f>W57+W100+W143</f>
        <v/>
      </c>
      <c r="X190" s="61">
        <f>X57+X100+X143</f>
        <v/>
      </c>
      <c r="Y190" s="61">
        <f>Y57+Y100+Y143</f>
        <v/>
      </c>
      <c r="Z190" s="61">
        <f>Z57+Z100+Z143</f>
        <v/>
      </c>
      <c r="AA190" s="61">
        <f>AA57+AA100+AA143</f>
        <v/>
      </c>
      <c r="AB190" s="61">
        <f>AB57+AB100+AB143</f>
        <v/>
      </c>
      <c r="AC190" s="61">
        <f>AC57+AC100+AC143</f>
        <v/>
      </c>
      <c r="AD190" s="61">
        <f>AD57+AD100+AD143</f>
        <v/>
      </c>
      <c r="AE190" s="61">
        <f>AE57+AE100+AE143</f>
        <v/>
      </c>
    </row>
    <row r="191">
      <c r="A191" s="6" t="inlineStr">
        <is>
          <t>Stream 2 - Card interchange</t>
        </is>
      </c>
      <c r="B191" s="23" t="inlineStr">
        <is>
          <t>USD</t>
        </is>
      </c>
      <c r="C191" s="61">
        <f>C58+C101+C144</f>
        <v/>
      </c>
      <c r="D191" s="61">
        <f>D58+D101+D144</f>
        <v/>
      </c>
      <c r="E191" s="61">
        <f>E58+E101+E144</f>
        <v/>
      </c>
      <c r="F191" s="61">
        <f>F58+F101+F144</f>
        <v/>
      </c>
      <c r="G191" s="61">
        <f>G58+G101+G144</f>
        <v/>
      </c>
      <c r="H191" s="61">
        <f>H58+H101+H144</f>
        <v/>
      </c>
      <c r="I191" s="61">
        <f>I58+I101+I144</f>
        <v/>
      </c>
      <c r="J191" s="61">
        <f>J58+J101+J144</f>
        <v/>
      </c>
      <c r="K191" s="61">
        <f>K58+K101+K144</f>
        <v/>
      </c>
      <c r="L191" s="61">
        <f>L58+L101+L144</f>
        <v/>
      </c>
      <c r="M191" s="61">
        <f>M58+M101+M144</f>
        <v/>
      </c>
      <c r="N191" s="61">
        <f>N58+N101+N144</f>
        <v/>
      </c>
      <c r="O191" s="61">
        <f>O58+O101+O144</f>
        <v/>
      </c>
      <c r="P191" s="61">
        <f>P58+P101+P144</f>
        <v/>
      </c>
      <c r="Q191" s="61">
        <f>Q58+Q101+Q144</f>
        <v/>
      </c>
      <c r="R191" s="61">
        <f>R58+R101+R144</f>
        <v/>
      </c>
      <c r="S191" s="61">
        <f>S58+S101+S144</f>
        <v/>
      </c>
      <c r="T191" s="61">
        <f>T58+T101+T144</f>
        <v/>
      </c>
      <c r="U191" s="61">
        <f>U58+U101+U144</f>
        <v/>
      </c>
      <c r="V191" s="61">
        <f>V58+V101+V144</f>
        <v/>
      </c>
      <c r="W191" s="61">
        <f>W58+W101+W144</f>
        <v/>
      </c>
      <c r="X191" s="61">
        <f>X58+X101+X144</f>
        <v/>
      </c>
      <c r="Y191" s="61">
        <f>Y58+Y101+Y144</f>
        <v/>
      </c>
      <c r="Z191" s="61">
        <f>Z58+Z101+Z144</f>
        <v/>
      </c>
      <c r="AA191" s="61">
        <f>AA58+AA101+AA144</f>
        <v/>
      </c>
      <c r="AB191" s="61">
        <f>AB58+AB101+AB144</f>
        <v/>
      </c>
      <c r="AC191" s="61">
        <f>AC58+AC101+AC144</f>
        <v/>
      </c>
      <c r="AD191" s="61">
        <f>AD58+AD101+AD144</f>
        <v/>
      </c>
      <c r="AE191" s="61">
        <f>AE58+AE101+AE144</f>
        <v/>
      </c>
    </row>
    <row r="192">
      <c r="A192" s="6" t="inlineStr">
        <is>
          <t>Stream 3 - Family plan and Digital Will</t>
        </is>
      </c>
      <c r="B192" s="23" t="inlineStr">
        <is>
          <t>USD</t>
        </is>
      </c>
      <c r="C192" s="61">
        <f>C60+C103+C146</f>
        <v/>
      </c>
      <c r="D192" s="61">
        <f>D60+D103+D146</f>
        <v/>
      </c>
      <c r="E192" s="61">
        <f>E60+E103+E146</f>
        <v/>
      </c>
      <c r="F192" s="61">
        <f>F60+F103+F146</f>
        <v/>
      </c>
      <c r="G192" s="61">
        <f>G60+G103+G146</f>
        <v/>
      </c>
      <c r="H192" s="61">
        <f>H60+H103+H146</f>
        <v/>
      </c>
      <c r="I192" s="61">
        <f>I60+I103+I146</f>
        <v/>
      </c>
      <c r="J192" s="61">
        <f>J60+J103+J146</f>
        <v/>
      </c>
      <c r="K192" s="61">
        <f>K60+K103+K146</f>
        <v/>
      </c>
      <c r="L192" s="61">
        <f>L60+L103+L146</f>
        <v/>
      </c>
      <c r="M192" s="61">
        <f>M60+M103+M146</f>
        <v/>
      </c>
      <c r="N192" s="61">
        <f>N60+N103+N146</f>
        <v/>
      </c>
      <c r="O192" s="61">
        <f>O60+O103+O146</f>
        <v/>
      </c>
      <c r="P192" s="61">
        <f>P60+P103+P146</f>
        <v/>
      </c>
      <c r="Q192" s="61">
        <f>Q60+Q103+Q146</f>
        <v/>
      </c>
      <c r="R192" s="61">
        <f>R60+R103+R146</f>
        <v/>
      </c>
      <c r="S192" s="61">
        <f>S60+S103+S146</f>
        <v/>
      </c>
      <c r="T192" s="61">
        <f>T60+T103+T146</f>
        <v/>
      </c>
      <c r="U192" s="61">
        <f>U60+U103+U146</f>
        <v/>
      </c>
      <c r="V192" s="61">
        <f>V60+V103+V146</f>
        <v/>
      </c>
      <c r="W192" s="61">
        <f>W60+W103+W146</f>
        <v/>
      </c>
      <c r="X192" s="61">
        <f>X60+X103+X146</f>
        <v/>
      </c>
      <c r="Y192" s="61">
        <f>Y60+Y103+Y146</f>
        <v/>
      </c>
      <c r="Z192" s="61">
        <f>Z60+Z103+Z146</f>
        <v/>
      </c>
      <c r="AA192" s="61">
        <f>AA60+AA103+AA146</f>
        <v/>
      </c>
      <c r="AB192" s="61">
        <f>AB60+AB103+AB146</f>
        <v/>
      </c>
      <c r="AC192" s="61">
        <f>AC60+AC103+AC146</f>
        <v/>
      </c>
      <c r="AD192" s="61">
        <f>AD60+AD103+AD146</f>
        <v/>
      </c>
      <c r="AE192" s="61">
        <f>AE60+AE103+AE146</f>
        <v/>
      </c>
    </row>
    <row r="193">
      <c r="A193" s="6" t="inlineStr">
        <is>
          <t>Stream 4 - Cardholder fees</t>
        </is>
      </c>
      <c r="B193" s="23" t="inlineStr">
        <is>
          <t>USD</t>
        </is>
      </c>
      <c r="C193" s="61">
        <f>C61+C104+C147</f>
        <v/>
      </c>
      <c r="D193" s="61">
        <f>D61+D104+D147</f>
        <v/>
      </c>
      <c r="E193" s="61">
        <f>E61+E104+E147</f>
        <v/>
      </c>
      <c r="F193" s="61">
        <f>F61+F104+F147</f>
        <v/>
      </c>
      <c r="G193" s="61">
        <f>G61+G104+G147</f>
        <v/>
      </c>
      <c r="H193" s="61">
        <f>H61+H104+H147</f>
        <v/>
      </c>
      <c r="I193" s="61">
        <f>I61+I104+I147</f>
        <v/>
      </c>
      <c r="J193" s="61">
        <f>J61+J104+J147</f>
        <v/>
      </c>
      <c r="K193" s="61">
        <f>K61+K104+K147</f>
        <v/>
      </c>
      <c r="L193" s="61">
        <f>L61+L104+L147</f>
        <v/>
      </c>
      <c r="M193" s="61">
        <f>M61+M104+M147</f>
        <v/>
      </c>
      <c r="N193" s="61">
        <f>N61+N104+N147</f>
        <v/>
      </c>
      <c r="O193" s="61">
        <f>O61+O104+O147</f>
        <v/>
      </c>
      <c r="P193" s="61">
        <f>P61+P104+P147</f>
        <v/>
      </c>
      <c r="Q193" s="61">
        <f>Q61+Q104+Q147</f>
        <v/>
      </c>
      <c r="R193" s="61">
        <f>R61+R104+R147</f>
        <v/>
      </c>
      <c r="S193" s="61">
        <f>S61+S104+S147</f>
        <v/>
      </c>
      <c r="T193" s="61">
        <f>T61+T104+T147</f>
        <v/>
      </c>
      <c r="U193" s="61">
        <f>U61+U104+U147</f>
        <v/>
      </c>
      <c r="V193" s="61">
        <f>V61+V104+V147</f>
        <v/>
      </c>
      <c r="W193" s="61">
        <f>W61+W104+W147</f>
        <v/>
      </c>
      <c r="X193" s="61">
        <f>X61+X104+X147</f>
        <v/>
      </c>
      <c r="Y193" s="61">
        <f>Y61+Y104+Y147</f>
        <v/>
      </c>
      <c r="Z193" s="61">
        <f>Z61+Z104+Z147</f>
        <v/>
      </c>
      <c r="AA193" s="61">
        <f>AA61+AA104+AA147</f>
        <v/>
      </c>
      <c r="AB193" s="61">
        <f>AB61+AB104+AB147</f>
        <v/>
      </c>
      <c r="AC193" s="61">
        <f>AC61+AC104+AC147</f>
        <v/>
      </c>
      <c r="AD193" s="61">
        <f>AD61+AD104+AD147</f>
        <v/>
      </c>
      <c r="AE193" s="61">
        <f>AE61+AE104+AE147</f>
        <v/>
      </c>
    </row>
    <row r="194">
      <c r="A194" s="6" t="inlineStr">
        <is>
          <t>Stream 5 - Lending revenue share</t>
        </is>
      </c>
      <c r="B194" s="23" t="inlineStr">
        <is>
          <t>USD</t>
        </is>
      </c>
      <c r="C194" s="61">
        <f>C63+C106+C149</f>
        <v/>
      </c>
      <c r="D194" s="61">
        <f>D63+D106+D149</f>
        <v/>
      </c>
      <c r="E194" s="61">
        <f>E63+E106+E149</f>
        <v/>
      </c>
      <c r="F194" s="61">
        <f>F63+F106+F149</f>
        <v/>
      </c>
      <c r="G194" s="61">
        <f>G63+G106+G149</f>
        <v/>
      </c>
      <c r="H194" s="61">
        <f>H63+H106+H149</f>
        <v/>
      </c>
      <c r="I194" s="61">
        <f>I63+I106+I149</f>
        <v/>
      </c>
      <c r="J194" s="61">
        <f>J63+J106+J149</f>
        <v/>
      </c>
      <c r="K194" s="61">
        <f>K63+K106+K149</f>
        <v/>
      </c>
      <c r="L194" s="61">
        <f>L63+L106+L149</f>
        <v/>
      </c>
      <c r="M194" s="61">
        <f>M63+M106+M149</f>
        <v/>
      </c>
      <c r="N194" s="61">
        <f>N63+N106+N149</f>
        <v/>
      </c>
      <c r="O194" s="61">
        <f>O63+O106+O149</f>
        <v/>
      </c>
      <c r="P194" s="61">
        <f>P63+P106+P149</f>
        <v/>
      </c>
      <c r="Q194" s="61">
        <f>Q63+Q106+Q149</f>
        <v/>
      </c>
      <c r="R194" s="61">
        <f>R63+R106+R149</f>
        <v/>
      </c>
      <c r="S194" s="61">
        <f>S63+S106+S149</f>
        <v/>
      </c>
      <c r="T194" s="61">
        <f>T63+T106+T149</f>
        <v/>
      </c>
      <c r="U194" s="61">
        <f>U63+U106+U149</f>
        <v/>
      </c>
      <c r="V194" s="61">
        <f>V63+V106+V149</f>
        <v/>
      </c>
      <c r="W194" s="61">
        <f>W63+W106+W149</f>
        <v/>
      </c>
      <c r="X194" s="61">
        <f>X63+X106+X149</f>
        <v/>
      </c>
      <c r="Y194" s="61">
        <f>Y63+Y106+Y149</f>
        <v/>
      </c>
      <c r="Z194" s="61">
        <f>Z63+Z106+Z149</f>
        <v/>
      </c>
      <c r="AA194" s="61">
        <f>AA63+AA106+AA149</f>
        <v/>
      </c>
      <c r="AB194" s="61">
        <f>AB63+AB106+AB149</f>
        <v/>
      </c>
      <c r="AC194" s="61">
        <f>AC63+AC106+AC149</f>
        <v/>
      </c>
      <c r="AD194" s="61">
        <f>AD63+AD106+AD149</f>
        <v/>
      </c>
      <c r="AE194" s="61">
        <f>AE63+AE106+AE149</f>
        <v/>
      </c>
    </row>
    <row r="195">
      <c r="A195" s="6" t="inlineStr">
        <is>
          <t>Redemption events (memo - drives cost, not revenue)</t>
        </is>
      </c>
      <c r="B195" s="23" t="inlineStr">
        <is>
          <t>events</t>
        </is>
      </c>
      <c r="C195" s="50">
        <f>C64+C107+C150</f>
        <v/>
      </c>
      <c r="D195" s="50">
        <f>D64+D107+D150</f>
        <v/>
      </c>
      <c r="E195" s="50">
        <f>E64+E107+E150</f>
        <v/>
      </c>
      <c r="F195" s="50">
        <f>F64+F107+F150</f>
        <v/>
      </c>
      <c r="G195" s="50">
        <f>G64+G107+G150</f>
        <v/>
      </c>
      <c r="H195" s="50">
        <f>H64+H107+H150</f>
        <v/>
      </c>
      <c r="I195" s="50">
        <f>I64+I107+I150</f>
        <v/>
      </c>
      <c r="J195" s="50">
        <f>J64+J107+J150</f>
        <v/>
      </c>
      <c r="K195" s="50">
        <f>K64+K107+K150</f>
        <v/>
      </c>
      <c r="L195" s="50">
        <f>L64+L107+L150</f>
        <v/>
      </c>
      <c r="M195" s="50">
        <f>M64+M107+M150</f>
        <v/>
      </c>
      <c r="N195" s="50">
        <f>N64+N107+N150</f>
        <v/>
      </c>
      <c r="O195" s="50">
        <f>O64+O107+O150</f>
        <v/>
      </c>
      <c r="P195" s="50">
        <f>P64+P107+P150</f>
        <v/>
      </c>
      <c r="Q195" s="50">
        <f>Q64+Q107+Q150</f>
        <v/>
      </c>
      <c r="R195" s="50">
        <f>R64+R107+R150</f>
        <v/>
      </c>
      <c r="S195" s="50">
        <f>S64+S107+S150</f>
        <v/>
      </c>
      <c r="T195" s="50">
        <f>T64+T107+T150</f>
        <v/>
      </c>
      <c r="U195" s="50">
        <f>U64+U107+U150</f>
        <v/>
      </c>
      <c r="V195" s="50">
        <f>V64+V107+V150</f>
        <v/>
      </c>
      <c r="W195" s="50">
        <f>W64+W107+W150</f>
        <v/>
      </c>
      <c r="X195" s="50">
        <f>X64+X107+X150</f>
        <v/>
      </c>
      <c r="Y195" s="50">
        <f>Y64+Y107+Y150</f>
        <v/>
      </c>
      <c r="Z195" s="50">
        <f>Z64+Z107+Z150</f>
        <v/>
      </c>
      <c r="AA195" s="50">
        <f>AA64+AA107+AA150</f>
        <v/>
      </c>
      <c r="AB195" s="50">
        <f>AB64+AB107+AB150</f>
        <v/>
      </c>
      <c r="AC195" s="50">
        <f>AC64+AC107+AC150</f>
        <v/>
      </c>
      <c r="AD195" s="50">
        <f>AD64+AD107+AD150</f>
        <v/>
      </c>
      <c r="AE195" s="50">
        <f>AE64+AE107+AE150</f>
        <v/>
      </c>
    </row>
    <row r="196">
      <c r="A196" s="6" t="inlineStr">
        <is>
          <t>Card authorisations (memo - drives cost, not revenue)</t>
        </is>
      </c>
      <c r="B196" s="23" t="inlineStr">
        <is>
          <t>events</t>
        </is>
      </c>
      <c r="C196" s="50">
        <f>C55+C98+C141</f>
        <v/>
      </c>
      <c r="D196" s="50">
        <f>D55+D98+D141</f>
        <v/>
      </c>
      <c r="E196" s="50">
        <f>E55+E98+E141</f>
        <v/>
      </c>
      <c r="F196" s="50">
        <f>F55+F98+F141</f>
        <v/>
      </c>
      <c r="G196" s="50">
        <f>G55+G98+G141</f>
        <v/>
      </c>
      <c r="H196" s="50">
        <f>H55+H98+H141</f>
        <v/>
      </c>
      <c r="I196" s="50">
        <f>I55+I98+I141</f>
        <v/>
      </c>
      <c r="J196" s="50">
        <f>J55+J98+J141</f>
        <v/>
      </c>
      <c r="K196" s="50">
        <f>K55+K98+K141</f>
        <v/>
      </c>
      <c r="L196" s="50">
        <f>L55+L98+L141</f>
        <v/>
      </c>
      <c r="M196" s="50">
        <f>M55+M98+M141</f>
        <v/>
      </c>
      <c r="N196" s="50">
        <f>N55+N98+N141</f>
        <v/>
      </c>
      <c r="O196" s="50">
        <f>O55+O98+O141</f>
        <v/>
      </c>
      <c r="P196" s="50">
        <f>P55+P98+P141</f>
        <v/>
      </c>
      <c r="Q196" s="50">
        <f>Q55+Q98+Q141</f>
        <v/>
      </c>
      <c r="R196" s="50">
        <f>R55+R98+R141</f>
        <v/>
      </c>
      <c r="S196" s="50">
        <f>S55+S98+S141</f>
        <v/>
      </c>
      <c r="T196" s="50">
        <f>T55+T98+T141</f>
        <v/>
      </c>
      <c r="U196" s="50">
        <f>U55+U98+U141</f>
        <v/>
      </c>
      <c r="V196" s="50">
        <f>V55+V98+V141</f>
        <v/>
      </c>
      <c r="W196" s="50">
        <f>W55+W98+W141</f>
        <v/>
      </c>
      <c r="X196" s="50">
        <f>X55+X98+X141</f>
        <v/>
      </c>
      <c r="Y196" s="50">
        <f>Y55+Y98+Y141</f>
        <v/>
      </c>
      <c r="Z196" s="50">
        <f>Z55+Z98+Z141</f>
        <v/>
      </c>
      <c r="AA196" s="50">
        <f>AA55+AA98+AA141</f>
        <v/>
      </c>
      <c r="AB196" s="50">
        <f>AB55+AB98+AB141</f>
        <v/>
      </c>
      <c r="AC196" s="50">
        <f>AC55+AC98+AC141</f>
        <v/>
      </c>
      <c r="AD196" s="50">
        <f>AD55+AD98+AD141</f>
        <v/>
      </c>
      <c r="AE196" s="50">
        <f>AE55+AE98+AE141</f>
        <v/>
      </c>
    </row>
    <row r="197">
      <c r="A197" s="3" t="inlineStr">
        <is>
          <t>TOTAL NET REVENUE</t>
        </is>
      </c>
      <c r="B197" s="23" t="inlineStr">
        <is>
          <t>USD</t>
        </is>
      </c>
      <c r="C197" s="63">
        <f>C65+C108+C151+C155</f>
        <v/>
      </c>
      <c r="D197" s="63">
        <f>D65+D108+D151+D155</f>
        <v/>
      </c>
      <c r="E197" s="63">
        <f>E65+E108+E151+E155</f>
        <v/>
      </c>
      <c r="F197" s="63">
        <f>F65+F108+F151+F155</f>
        <v/>
      </c>
      <c r="G197" s="63">
        <f>G65+G108+G151+G155</f>
        <v/>
      </c>
      <c r="H197" s="63">
        <f>H65+H108+H151+H155</f>
        <v/>
      </c>
      <c r="I197" s="63">
        <f>I65+I108+I151+I155</f>
        <v/>
      </c>
      <c r="J197" s="63">
        <f>J65+J108+J151+J155</f>
        <v/>
      </c>
      <c r="K197" s="63">
        <f>K65+K108+K151+K155</f>
        <v/>
      </c>
      <c r="L197" s="63">
        <f>L65+L108+L151+L155</f>
        <v/>
      </c>
      <c r="M197" s="63">
        <f>M65+M108+M151+M155</f>
        <v/>
      </c>
      <c r="N197" s="63">
        <f>N65+N108+N151+N155</f>
        <v/>
      </c>
      <c r="O197" s="63">
        <f>O65+O108+O151+O155</f>
        <v/>
      </c>
      <c r="P197" s="63">
        <f>P65+P108+P151+P155</f>
        <v/>
      </c>
      <c r="Q197" s="63">
        <f>Q65+Q108+Q151+Q155</f>
        <v/>
      </c>
      <c r="R197" s="63">
        <f>R65+R108+R151+R155</f>
        <v/>
      </c>
      <c r="S197" s="63">
        <f>S65+S108+S151+S155</f>
        <v/>
      </c>
      <c r="T197" s="63">
        <f>T65+T108+T151+T155</f>
        <v/>
      </c>
      <c r="U197" s="63">
        <f>U65+U108+U151+U155</f>
        <v/>
      </c>
      <c r="V197" s="63">
        <f>V65+V108+V151+V155</f>
        <v/>
      </c>
      <c r="W197" s="63">
        <f>W65+W108+W151+W155</f>
        <v/>
      </c>
      <c r="X197" s="63">
        <f>X65+X108+X151+X155</f>
        <v/>
      </c>
      <c r="Y197" s="63">
        <f>Y65+Y108+Y151+Y155</f>
        <v/>
      </c>
      <c r="Z197" s="63">
        <f>Z65+Z108+Z151+Z155</f>
        <v/>
      </c>
      <c r="AA197" s="63">
        <f>AA65+AA108+AA151+AA155</f>
        <v/>
      </c>
      <c r="AB197" s="63">
        <f>AB65+AB108+AB151+AB155</f>
        <v/>
      </c>
      <c r="AC197" s="63">
        <f>AC65+AC108+AC151+AC155</f>
        <v/>
      </c>
      <c r="AD197" s="63">
        <f>AD65+AD108+AD151+AD155</f>
        <v/>
      </c>
      <c r="AE197" s="63">
        <f>AE65+AE108+AE151+AE155</f>
        <v/>
      </c>
    </row>
    <row r="198">
      <c r="A198" s="6" t="inlineStr">
        <is>
          <t>Net revenue per paying customer (annualised)</t>
        </is>
      </c>
      <c r="B198" s="23" t="inlineStr">
        <is>
          <t>USD</t>
        </is>
      </c>
      <c r="C198" s="61">
        <f>IF(C159=0,0,C197/C159/C7*12)</f>
        <v/>
      </c>
      <c r="D198" s="61">
        <f>IF(D159=0,0,D197/D159/D7*12)</f>
        <v/>
      </c>
      <c r="E198" s="61">
        <f>IF(E159=0,0,E197/E159/E7*12)</f>
        <v/>
      </c>
      <c r="F198" s="61">
        <f>IF(F159=0,0,F197/F159/F7*12)</f>
        <v/>
      </c>
      <c r="G198" s="61">
        <f>IF(G159=0,0,G197/G159/G7*12)</f>
        <v/>
      </c>
      <c r="H198" s="61">
        <f>IF(H159=0,0,H197/H159/H7*12)</f>
        <v/>
      </c>
      <c r="I198" s="61">
        <f>IF(I159=0,0,I197/I159/I7*12)</f>
        <v/>
      </c>
      <c r="J198" s="61">
        <f>IF(J159=0,0,J197/J159/J7*12)</f>
        <v/>
      </c>
      <c r="K198" s="61">
        <f>IF(K159=0,0,K197/K159/K7*12)</f>
        <v/>
      </c>
      <c r="L198" s="61">
        <f>IF(L159=0,0,L197/L159/L7*12)</f>
        <v/>
      </c>
      <c r="M198" s="61">
        <f>IF(M159=0,0,M197/M159/M7*12)</f>
        <v/>
      </c>
      <c r="N198" s="61">
        <f>IF(N159=0,0,N197/N159/N7*12)</f>
        <v/>
      </c>
      <c r="O198" s="61">
        <f>IF(O159=0,0,O197/O159/O7*12)</f>
        <v/>
      </c>
      <c r="P198" s="61">
        <f>IF(P159=0,0,P197/P159/P7*12)</f>
        <v/>
      </c>
      <c r="Q198" s="61">
        <f>IF(Q159=0,0,Q197/Q159/Q7*12)</f>
        <v/>
      </c>
      <c r="R198" s="61">
        <f>IF(R159=0,0,R197/R159/R7*12)</f>
        <v/>
      </c>
      <c r="S198" s="61">
        <f>IF(S159=0,0,S197/S159/S7*12)</f>
        <v/>
      </c>
      <c r="T198" s="61">
        <f>IF(T159=0,0,T197/T159/T7*12)</f>
        <v/>
      </c>
      <c r="U198" s="61">
        <f>IF(U159=0,0,U197/U159/U7*12)</f>
        <v/>
      </c>
      <c r="V198" s="61">
        <f>IF(V159=0,0,V197/V159/V7*12)</f>
        <v/>
      </c>
      <c r="W198" s="61">
        <f>IF(W159=0,0,W197/W159/W7*12)</f>
        <v/>
      </c>
      <c r="X198" s="61">
        <f>IF(X159=0,0,X197/X159/X7*12)</f>
        <v/>
      </c>
      <c r="Y198" s="61">
        <f>IF(Y159=0,0,Y197/Y159/Y7*12)</f>
        <v/>
      </c>
      <c r="Z198" s="61">
        <f>IF(Z159=0,0,Z197/Z159/Z7*12)</f>
        <v/>
      </c>
      <c r="AA198" s="61">
        <f>IF(AA159=0,0,AA197/AA159/AA7*12)</f>
        <v/>
      </c>
      <c r="AB198" s="61">
        <f>IF(AB159=0,0,AB197/AB159/AB7*12)</f>
        <v/>
      </c>
      <c r="AC198" s="61">
        <f>IF(AC159=0,0,AC197/AC159/AC7*12)</f>
        <v/>
      </c>
      <c r="AD198" s="61">
        <f>IF(AD159=0,0,AD197/AD159/AD7*12)</f>
        <v/>
      </c>
      <c r="AE198" s="61">
        <f>IF(AE159=0,0,AE197/AE159/AE7*12)</f>
        <v/>
      </c>
    </row>
    <row r="199">
      <c r="A199" s="6" t="inlineStr">
        <is>
          <t>CHECK: regional subtotals + B2B = sum of streams</t>
        </is>
      </c>
      <c r="B199" s="23" t="inlineStr">
        <is>
          <t>delta</t>
        </is>
      </c>
      <c r="C199" s="66">
        <f>C197-(C189+C190+C191+C192+C193+C194+C155)</f>
        <v/>
      </c>
      <c r="D199" s="66">
        <f>D197-(D189+D190+D191+D192+D193+D194+D155)</f>
        <v/>
      </c>
      <c r="E199" s="66">
        <f>E197-(E189+E190+E191+E192+E193+E194+E155)</f>
        <v/>
      </c>
      <c r="F199" s="66">
        <f>F197-(F189+F190+F191+F192+F193+F194+F155)</f>
        <v/>
      </c>
      <c r="G199" s="66">
        <f>G197-(G189+G190+G191+G192+G193+G194+G155)</f>
        <v/>
      </c>
      <c r="H199" s="66">
        <f>H197-(H189+H190+H191+H192+H193+H194+H155)</f>
        <v/>
      </c>
      <c r="I199" s="66">
        <f>I197-(I189+I190+I191+I192+I193+I194+I155)</f>
        <v/>
      </c>
      <c r="J199" s="66">
        <f>J197-(J189+J190+J191+J192+J193+J194+J155)</f>
        <v/>
      </c>
      <c r="K199" s="66">
        <f>K197-(K189+K190+K191+K192+K193+K194+K155)</f>
        <v/>
      </c>
      <c r="L199" s="66">
        <f>L197-(L189+L190+L191+L192+L193+L194+L155)</f>
        <v/>
      </c>
      <c r="M199" s="66">
        <f>M197-(M189+M190+M191+M192+M193+M194+M155)</f>
        <v/>
      </c>
      <c r="N199" s="66">
        <f>N197-(N189+N190+N191+N192+N193+N194+N155)</f>
        <v/>
      </c>
      <c r="O199" s="66">
        <f>O197-(O189+O190+O191+O192+O193+O194+O155)</f>
        <v/>
      </c>
      <c r="P199" s="66">
        <f>P197-(P189+P190+P191+P192+P193+P194+P155)</f>
        <v/>
      </c>
      <c r="Q199" s="66">
        <f>Q197-(Q189+Q190+Q191+Q192+Q193+Q194+Q155)</f>
        <v/>
      </c>
      <c r="R199" s="66">
        <f>R197-(R189+R190+R191+R192+R193+R194+R155)</f>
        <v/>
      </c>
      <c r="S199" s="66">
        <f>S197-(S189+S190+S191+S192+S193+S194+S155)</f>
        <v/>
      </c>
      <c r="T199" s="66">
        <f>T197-(T189+T190+T191+T192+T193+T194+T155)</f>
        <v/>
      </c>
      <c r="U199" s="66">
        <f>U197-(U189+U190+U191+U192+U193+U194+U155)</f>
        <v/>
      </c>
      <c r="V199" s="66">
        <f>V197-(V189+V190+V191+V192+V193+V194+V155)</f>
        <v/>
      </c>
      <c r="W199" s="66">
        <f>W197-(W189+W190+W191+W192+W193+W194+W155)</f>
        <v/>
      </c>
      <c r="X199" s="66">
        <f>X197-(X189+X190+X191+X192+X193+X194+X155)</f>
        <v/>
      </c>
      <c r="Y199" s="66">
        <f>Y197-(Y189+Y190+Y191+Y192+Y193+Y194+Y155)</f>
        <v/>
      </c>
      <c r="Z199" s="66">
        <f>Z197-(Z189+Z190+Z191+Z192+Z193+Z194+Z155)</f>
        <v/>
      </c>
      <c r="AA199" s="66">
        <f>AA197-(AA189+AA190+AA191+AA192+AA193+AA194+AA155)</f>
        <v/>
      </c>
      <c r="AB199" s="66">
        <f>AB197-(AB189+AB190+AB191+AB192+AB193+AB194+AB155)</f>
        <v/>
      </c>
      <c r="AC199" s="66">
        <f>AC197-(AC189+AC190+AC191+AC192+AC193+AC194+AC155)</f>
        <v/>
      </c>
      <c r="AD199" s="66">
        <f>AD197-(AD189+AD190+AD191+AD192+AD193+AD194+AD155)</f>
        <v/>
      </c>
      <c r="AE199" s="66">
        <f>AE197-(AE189+AE190+AE191+AE192+AE193+AE194+AE155)</f>
        <v/>
      </c>
    </row>
    <row r="202" ht="20" customHeight="1">
      <c r="A202" s="12" t="inlineStr">
        <is>
          <t>WORKING CAPITAL - the float. NOT A COST: money tied up, not money spent</t>
        </is>
      </c>
      <c r="B202" s="13" t="n"/>
      <c r="C202" s="13" t="n"/>
      <c r="D202" s="13" t="n"/>
      <c r="E202" s="13" t="n"/>
      <c r="F202" s="13" t="n"/>
      <c r="G202" s="13" t="n"/>
      <c r="H202" s="13" t="n"/>
      <c r="I202" s="13" t="n"/>
      <c r="J202" s="13" t="n"/>
      <c r="K202" s="13" t="n"/>
      <c r="L202" s="13" t="n"/>
      <c r="M202" s="13" t="n"/>
      <c r="N202" s="13" t="n"/>
      <c r="O202" s="13" t="n"/>
      <c r="P202" s="13" t="n"/>
      <c r="Q202" s="13" t="n"/>
      <c r="R202" s="13" t="n"/>
      <c r="S202" s="13" t="n"/>
      <c r="T202" s="13" t="n"/>
      <c r="U202" s="13" t="n"/>
      <c r="V202" s="13" t="n"/>
      <c r="W202" s="13" t="n"/>
      <c r="X202" s="13" t="n"/>
      <c r="Y202" s="13" t="n"/>
      <c r="Z202" s="13" t="n"/>
      <c r="AA202" s="13" t="n"/>
      <c r="AB202" s="13" t="n"/>
      <c r="AC202" s="13" t="n"/>
      <c r="AD202" s="13" t="n"/>
      <c r="AE202" s="13" t="n"/>
    </row>
    <row r="204">
      <c r="A204" s="51" t="inlineStr">
        <is>
          <t>THE FLOAT - Aurumix's own gold, held before any customer owns it</t>
        </is>
      </c>
      <c r="B204" s="52" t="n"/>
      <c r="C204" s="52" t="n"/>
      <c r="D204" s="52" t="n"/>
      <c r="E204" s="52" t="n"/>
      <c r="F204" s="52" t="n"/>
      <c r="G204" s="52" t="n"/>
      <c r="H204" s="52" t="n"/>
      <c r="I204" s="52" t="n"/>
      <c r="J204" s="52" t="n"/>
      <c r="K204" s="52" t="n"/>
      <c r="L204" s="52" t="n"/>
      <c r="M204" s="52" t="n"/>
      <c r="N204" s="52" t="n"/>
      <c r="O204" s="52" t="n"/>
      <c r="P204" s="52" t="n"/>
      <c r="Q204" s="52" t="n"/>
      <c r="R204" s="52" t="n"/>
      <c r="S204" s="52" t="n"/>
      <c r="T204" s="52" t="n"/>
      <c r="U204" s="52" t="n"/>
      <c r="V204" s="52" t="n"/>
      <c r="W204" s="52" t="n"/>
      <c r="X204" s="52" t="n"/>
      <c r="Y204" s="52" t="n"/>
      <c r="Z204" s="52" t="n"/>
      <c r="AA204" s="52" t="n"/>
      <c r="AB204" s="52" t="n"/>
      <c r="AC204" s="52" t="n"/>
      <c r="AD204" s="52" t="n"/>
      <c r="AE204" s="52" t="n"/>
    </row>
    <row r="205">
      <c r="A205" s="6" t="inlineStr">
        <is>
          <t xml:space="preserve">  Daily demand</t>
        </is>
      </c>
      <c r="B205" s="23" t="inlineStr">
        <is>
          <t>grams/day</t>
        </is>
      </c>
      <c r="C205" s="60">
        <f>C166/(C7*365/12)</f>
        <v/>
      </c>
      <c r="D205" s="60">
        <f>D166/(D7*365/12)</f>
        <v/>
      </c>
      <c r="E205" s="60">
        <f>E166/(E7*365/12)</f>
        <v/>
      </c>
      <c r="F205" s="60">
        <f>F166/(F7*365/12)</f>
        <v/>
      </c>
      <c r="G205" s="60">
        <f>G166/(G7*365/12)</f>
        <v/>
      </c>
      <c r="H205" s="60">
        <f>H166/(H7*365/12)</f>
        <v/>
      </c>
      <c r="I205" s="60">
        <f>I166/(I7*365/12)</f>
        <v/>
      </c>
      <c r="J205" s="60">
        <f>J166/(J7*365/12)</f>
        <v/>
      </c>
      <c r="K205" s="60">
        <f>K166/(K7*365/12)</f>
        <v/>
      </c>
      <c r="L205" s="60">
        <f>L166/(L7*365/12)</f>
        <v/>
      </c>
      <c r="M205" s="60">
        <f>M166/(M7*365/12)</f>
        <v/>
      </c>
      <c r="N205" s="60">
        <f>N166/(N7*365/12)</f>
        <v/>
      </c>
      <c r="O205" s="60">
        <f>O166/(O7*365/12)</f>
        <v/>
      </c>
      <c r="P205" s="60">
        <f>P166/(P7*365/12)</f>
        <v/>
      </c>
      <c r="Q205" s="60">
        <f>Q166/(Q7*365/12)</f>
        <v/>
      </c>
      <c r="R205" s="60">
        <f>R166/(R7*365/12)</f>
        <v/>
      </c>
      <c r="S205" s="60">
        <f>S166/(S7*365/12)</f>
        <v/>
      </c>
      <c r="T205" s="60">
        <f>T166/(T7*365/12)</f>
        <v/>
      </c>
      <c r="U205" s="60">
        <f>U166/(U7*365/12)</f>
        <v/>
      </c>
      <c r="V205" s="60">
        <f>V166/(V7*365/12)</f>
        <v/>
      </c>
      <c r="W205" s="60">
        <f>W166/(W7*365/12)</f>
        <v/>
      </c>
      <c r="X205" s="60">
        <f>X166/(X7*365/12)</f>
        <v/>
      </c>
      <c r="Y205" s="60">
        <f>Y166/(Y7*365/12)</f>
        <v/>
      </c>
      <c r="Z205" s="60">
        <f>Z166/(Z7*365/12)</f>
        <v/>
      </c>
      <c r="AA205" s="60">
        <f>AA166/(AA7*365/12)</f>
        <v/>
      </c>
      <c r="AB205" s="60">
        <f>AB166/(AB7*365/12)</f>
        <v/>
      </c>
      <c r="AC205" s="60">
        <f>AC166/(AC7*365/12)</f>
        <v/>
      </c>
      <c r="AD205" s="60">
        <f>AD166/(AD7*365/12)</f>
        <v/>
      </c>
      <c r="AE205" s="60">
        <f>AE166/(AE7*365/12)</f>
        <v/>
      </c>
    </row>
    <row r="206">
      <c r="A206" s="6" t="inlineStr">
        <is>
          <t xml:space="preserve">  FLOAT REQUIRED</t>
        </is>
      </c>
      <c r="B206" s="23" t="inlineStr">
        <is>
          <t>grams</t>
        </is>
      </c>
      <c r="C206" s="50">
        <f>MAX(2*Assumptions!$B$10,Assumptions!$B$10+Assumptions!$B$132*C205)</f>
        <v/>
      </c>
      <c r="D206" s="50">
        <f>MAX(2*Assumptions!$B$10,Assumptions!$B$10+Assumptions!$B$132*D205)</f>
        <v/>
      </c>
      <c r="E206" s="50">
        <f>MAX(2*Assumptions!$B$10,Assumptions!$B$10+Assumptions!$B$132*E205)</f>
        <v/>
      </c>
      <c r="F206" s="50">
        <f>MAX(2*Assumptions!$B$10,Assumptions!$B$10+Assumptions!$B$132*F205)</f>
        <v/>
      </c>
      <c r="G206" s="50">
        <f>MAX(2*Assumptions!$B$10,Assumptions!$B$10+Assumptions!$B$132*G205)</f>
        <v/>
      </c>
      <c r="H206" s="50">
        <f>MAX(2*Assumptions!$B$10,Assumptions!$B$10+Assumptions!$B$132*H205)</f>
        <v/>
      </c>
      <c r="I206" s="50">
        <f>MAX(2*Assumptions!$B$10,Assumptions!$B$10+Assumptions!$B$132*I205)</f>
        <v/>
      </c>
      <c r="J206" s="50">
        <f>MAX(2*Assumptions!$B$10,Assumptions!$B$10+Assumptions!$B$132*J205)</f>
        <v/>
      </c>
      <c r="K206" s="50">
        <f>MAX(2*Assumptions!$B$10,Assumptions!$B$10+Assumptions!$B$132*K205)</f>
        <v/>
      </c>
      <c r="L206" s="50">
        <f>MAX(2*Assumptions!$B$10,Assumptions!$B$10+Assumptions!$B$132*L205)</f>
        <v/>
      </c>
      <c r="M206" s="50">
        <f>MAX(2*Assumptions!$B$10,Assumptions!$B$10+Assumptions!$B$132*M205)</f>
        <v/>
      </c>
      <c r="N206" s="50">
        <f>MAX(2*Assumptions!$B$10,Assumptions!$B$10+Assumptions!$B$132*N205)</f>
        <v/>
      </c>
      <c r="O206" s="50">
        <f>MAX(2*Assumptions!$B$10,Assumptions!$B$10+Assumptions!$B$132*O205)</f>
        <v/>
      </c>
      <c r="P206" s="50">
        <f>MAX(2*Assumptions!$B$10,Assumptions!$B$10+Assumptions!$B$132*P205)</f>
        <v/>
      </c>
      <c r="Q206" s="50">
        <f>MAX(2*Assumptions!$B$10,Assumptions!$B$10+Assumptions!$B$132*Q205)</f>
        <v/>
      </c>
      <c r="R206" s="50">
        <f>MAX(2*Assumptions!$B$10,Assumptions!$B$10+Assumptions!$B$132*R205)</f>
        <v/>
      </c>
      <c r="S206" s="50">
        <f>MAX(2*Assumptions!$B$10,Assumptions!$B$10+Assumptions!$B$132*S205)</f>
        <v/>
      </c>
      <c r="T206" s="50">
        <f>MAX(2*Assumptions!$B$10,Assumptions!$B$10+Assumptions!$B$132*T205)</f>
        <v/>
      </c>
      <c r="U206" s="50">
        <f>MAX(2*Assumptions!$B$10,Assumptions!$B$10+Assumptions!$B$132*U205)</f>
        <v/>
      </c>
      <c r="V206" s="50">
        <f>MAX(2*Assumptions!$B$10,Assumptions!$B$10+Assumptions!$B$132*V205)</f>
        <v/>
      </c>
      <c r="W206" s="50">
        <f>MAX(2*Assumptions!$B$10,Assumptions!$B$10+Assumptions!$B$132*W205)</f>
        <v/>
      </c>
      <c r="X206" s="50">
        <f>MAX(2*Assumptions!$B$10,Assumptions!$B$10+Assumptions!$B$132*X205)</f>
        <v/>
      </c>
      <c r="Y206" s="50">
        <f>MAX(2*Assumptions!$B$10,Assumptions!$B$10+Assumptions!$B$132*Y205)</f>
        <v/>
      </c>
      <c r="Z206" s="50">
        <f>MAX(2*Assumptions!$B$10,Assumptions!$B$10+Assumptions!$B$132*Z205)</f>
        <v/>
      </c>
      <c r="AA206" s="50">
        <f>MAX(2*Assumptions!$B$10,Assumptions!$B$10+Assumptions!$B$132*AA205)</f>
        <v/>
      </c>
      <c r="AB206" s="50">
        <f>MAX(2*Assumptions!$B$10,Assumptions!$B$10+Assumptions!$B$132*AB205)</f>
        <v/>
      </c>
      <c r="AC206" s="50">
        <f>MAX(2*Assumptions!$B$10,Assumptions!$B$10+Assumptions!$B$132*AC205)</f>
        <v/>
      </c>
      <c r="AD206" s="50">
        <f>MAX(2*Assumptions!$B$10,Assumptions!$B$10+Assumptions!$B$132*AD205)</f>
        <v/>
      </c>
      <c r="AE206" s="50">
        <f>MAX(2*Assumptions!$B$10,Assumptions!$B$10+Assumptions!$B$132*AE205)</f>
        <v/>
      </c>
    </row>
    <row r="207">
      <c r="A207" s="9" t="inlineStr">
        <is>
          <t>MAX(two bars, one bar + N days of demand). TWO BARS IS THE FLOOR because you need one bar to sell from and one behind it - hold only one and you drop below a full bar the moment you sell, with customers already paid for gold you cannot deliver. That half is a SETTLED RULE from the design docs. THE N-DAY BUFFER IS THE ASSUMPTION, and it sizes REPLENISHMENT - how long to get metal back into the vault, not how long demand takes to empty the shelf. The floor binds until demand reaches 10 grams a day, around month six, so THE LAUNCH FIGURE DOES NOT DEPEND ON THE BUFFER AT ALL.</t>
        </is>
      </c>
    </row>
    <row r="208">
      <c r="A208" s="6" t="inlineStr">
        <is>
          <t xml:space="preserve">  ...in bars</t>
        </is>
      </c>
      <c r="B208" s="23" t="inlineStr">
        <is>
          <t>bars</t>
        </is>
      </c>
      <c r="C208" s="60">
        <f>C206/Assumptions!$B$10</f>
        <v/>
      </c>
      <c r="D208" s="60">
        <f>D206/Assumptions!$B$10</f>
        <v/>
      </c>
      <c r="E208" s="60">
        <f>E206/Assumptions!$B$10</f>
        <v/>
      </c>
      <c r="F208" s="60">
        <f>F206/Assumptions!$B$10</f>
        <v/>
      </c>
      <c r="G208" s="60">
        <f>G206/Assumptions!$B$10</f>
        <v/>
      </c>
      <c r="H208" s="60">
        <f>H206/Assumptions!$B$10</f>
        <v/>
      </c>
      <c r="I208" s="60">
        <f>I206/Assumptions!$B$10</f>
        <v/>
      </c>
      <c r="J208" s="60">
        <f>J206/Assumptions!$B$10</f>
        <v/>
      </c>
      <c r="K208" s="60">
        <f>K206/Assumptions!$B$10</f>
        <v/>
      </c>
      <c r="L208" s="60">
        <f>L206/Assumptions!$B$10</f>
        <v/>
      </c>
      <c r="M208" s="60">
        <f>M206/Assumptions!$B$10</f>
        <v/>
      </c>
      <c r="N208" s="60">
        <f>N206/Assumptions!$B$10</f>
        <v/>
      </c>
      <c r="O208" s="60">
        <f>O206/Assumptions!$B$10</f>
        <v/>
      </c>
      <c r="P208" s="60">
        <f>P206/Assumptions!$B$10</f>
        <v/>
      </c>
      <c r="Q208" s="60">
        <f>Q206/Assumptions!$B$10</f>
        <v/>
      </c>
      <c r="R208" s="60">
        <f>R206/Assumptions!$B$10</f>
        <v/>
      </c>
      <c r="S208" s="60">
        <f>S206/Assumptions!$B$10</f>
        <v/>
      </c>
      <c r="T208" s="60">
        <f>T206/Assumptions!$B$10</f>
        <v/>
      </c>
      <c r="U208" s="60">
        <f>U206/Assumptions!$B$10</f>
        <v/>
      </c>
      <c r="V208" s="60">
        <f>V206/Assumptions!$B$10</f>
        <v/>
      </c>
      <c r="W208" s="60">
        <f>W206/Assumptions!$B$10</f>
        <v/>
      </c>
      <c r="X208" s="60">
        <f>X206/Assumptions!$B$10</f>
        <v/>
      </c>
      <c r="Y208" s="60">
        <f>Y206/Assumptions!$B$10</f>
        <v/>
      </c>
      <c r="Z208" s="60">
        <f>Z206/Assumptions!$B$10</f>
        <v/>
      </c>
      <c r="AA208" s="60">
        <f>AA206/Assumptions!$B$10</f>
        <v/>
      </c>
      <c r="AB208" s="60">
        <f>AB206/Assumptions!$B$10</f>
        <v/>
      </c>
      <c r="AC208" s="60">
        <f>AC206/Assumptions!$B$10</f>
        <v/>
      </c>
      <c r="AD208" s="60">
        <f>AD206/Assumptions!$B$10</f>
        <v/>
      </c>
      <c r="AE208" s="60">
        <f>AE206/Assumptions!$B$10</f>
        <v/>
      </c>
    </row>
    <row r="209">
      <c r="A209" s="3" t="inlineStr">
        <is>
          <t>FLOAT REQUIRED (standing balance)</t>
        </is>
      </c>
      <c r="B209" s="23" t="inlineStr">
        <is>
          <t>USD</t>
        </is>
      </c>
      <c r="C209" s="63">
        <f>C206*C20*(1+Assumptions!$B$9)</f>
        <v/>
      </c>
      <c r="D209" s="63">
        <f>D206*D20*(1+Assumptions!$B$9)</f>
        <v/>
      </c>
      <c r="E209" s="63">
        <f>E206*E20*(1+Assumptions!$B$9)</f>
        <v/>
      </c>
      <c r="F209" s="63">
        <f>F206*F20*(1+Assumptions!$B$9)</f>
        <v/>
      </c>
      <c r="G209" s="63">
        <f>G206*G20*(1+Assumptions!$B$9)</f>
        <v/>
      </c>
      <c r="H209" s="63">
        <f>H206*H20*(1+Assumptions!$B$9)</f>
        <v/>
      </c>
      <c r="I209" s="63">
        <f>I206*I20*(1+Assumptions!$B$9)</f>
        <v/>
      </c>
      <c r="J209" s="63">
        <f>J206*J20*(1+Assumptions!$B$9)</f>
        <v/>
      </c>
      <c r="K209" s="63">
        <f>K206*K20*(1+Assumptions!$B$9)</f>
        <v/>
      </c>
      <c r="L209" s="63">
        <f>L206*L20*(1+Assumptions!$B$9)</f>
        <v/>
      </c>
      <c r="M209" s="63">
        <f>M206*M20*(1+Assumptions!$B$9)</f>
        <v/>
      </c>
      <c r="N209" s="63">
        <f>N206*N20*(1+Assumptions!$B$9)</f>
        <v/>
      </c>
      <c r="O209" s="63">
        <f>O206*O20*(1+Assumptions!$B$9)</f>
        <v/>
      </c>
      <c r="P209" s="63">
        <f>P206*P20*(1+Assumptions!$B$9)</f>
        <v/>
      </c>
      <c r="Q209" s="63">
        <f>Q206*Q20*(1+Assumptions!$B$9)</f>
        <v/>
      </c>
      <c r="R209" s="63">
        <f>R206*R20*(1+Assumptions!$B$9)</f>
        <v/>
      </c>
      <c r="S209" s="63">
        <f>S206*S20*(1+Assumptions!$B$9)</f>
        <v/>
      </c>
      <c r="T209" s="63">
        <f>T206*T20*(1+Assumptions!$B$9)</f>
        <v/>
      </c>
      <c r="U209" s="63">
        <f>U206*U20*(1+Assumptions!$B$9)</f>
        <v/>
      </c>
      <c r="V209" s="63">
        <f>V206*V20*(1+Assumptions!$B$9)</f>
        <v/>
      </c>
      <c r="W209" s="63">
        <f>W206*W20*(1+Assumptions!$B$9)</f>
        <v/>
      </c>
      <c r="X209" s="63">
        <f>X206*X20*(1+Assumptions!$B$9)</f>
        <v/>
      </c>
      <c r="Y209" s="63">
        <f>Y206*Y20*(1+Assumptions!$B$9)</f>
        <v/>
      </c>
      <c r="Z209" s="63">
        <f>Z206*Z20*(1+Assumptions!$B$9)</f>
        <v/>
      </c>
      <c r="AA209" s="63">
        <f>AA206*AA20*(1+Assumptions!$B$9)</f>
        <v/>
      </c>
      <c r="AB209" s="63">
        <f>AB206*AB20*(1+Assumptions!$B$9)</f>
        <v/>
      </c>
      <c r="AC209" s="63">
        <f>AC206*AC20*(1+Assumptions!$B$9)</f>
        <v/>
      </c>
      <c r="AD209" s="63">
        <f>AD206*AD20*(1+Assumptions!$B$9)</f>
        <v/>
      </c>
      <c r="AE209" s="63">
        <f>AE206*AE20*(1+Assumptions!$B$9)</f>
        <v/>
      </c>
    </row>
    <row r="210">
      <c r="A210" s="9" t="inlineStr">
        <is>
          <t>AT SPOT PLUS THE PREMIUM, because the float is bought from the dealer like any other metal. This is a BALANCE, not a flow - it is what is sitting on the shelf at that date, not what was spent that period.</t>
        </is>
      </c>
    </row>
    <row r="211">
      <c r="A211" s="6" t="inlineStr">
        <is>
          <t xml:space="preserve">  Cash needed this period (new grams only)</t>
        </is>
      </c>
      <c r="B211" s="23" t="inlineStr">
        <is>
          <t>USD</t>
        </is>
      </c>
      <c r="C211" s="61">
        <f>C206*C20*(1+Assumptions!$B$9)</f>
        <v/>
      </c>
      <c r="D211" s="61">
        <f>MAX(0,D206-C206)*D20*(1+Assumptions!$B$9)</f>
        <v/>
      </c>
      <c r="E211" s="61">
        <f>MAX(0,E206-D206)*E20*(1+Assumptions!$B$9)</f>
        <v/>
      </c>
      <c r="F211" s="61">
        <f>MAX(0,F206-E206)*F20*(1+Assumptions!$B$9)</f>
        <v/>
      </c>
      <c r="G211" s="61">
        <f>MAX(0,G206-F206)*G20*(1+Assumptions!$B$9)</f>
        <v/>
      </c>
      <c r="H211" s="61">
        <f>MAX(0,H206-G206)*H20*(1+Assumptions!$B$9)</f>
        <v/>
      </c>
      <c r="I211" s="61">
        <f>MAX(0,I206-H206)*I20*(1+Assumptions!$B$9)</f>
        <v/>
      </c>
      <c r="J211" s="61">
        <f>MAX(0,J206-I206)*J20*(1+Assumptions!$B$9)</f>
        <v/>
      </c>
      <c r="K211" s="61">
        <f>MAX(0,K206-J206)*K20*(1+Assumptions!$B$9)</f>
        <v/>
      </c>
      <c r="L211" s="61">
        <f>MAX(0,L206-K206)*L20*(1+Assumptions!$B$9)</f>
        <v/>
      </c>
      <c r="M211" s="61">
        <f>MAX(0,M206-L206)*M20*(1+Assumptions!$B$9)</f>
        <v/>
      </c>
      <c r="N211" s="61">
        <f>MAX(0,N206-M206)*N20*(1+Assumptions!$B$9)</f>
        <v/>
      </c>
      <c r="O211" s="61">
        <f>MAX(0,O206-N206)*O20*(1+Assumptions!$B$9)</f>
        <v/>
      </c>
      <c r="P211" s="61">
        <f>MAX(0,P206-O206)*P20*(1+Assumptions!$B$9)</f>
        <v/>
      </c>
      <c r="Q211" s="61">
        <f>MAX(0,Q206-P206)*Q20*(1+Assumptions!$B$9)</f>
        <v/>
      </c>
      <c r="R211" s="61">
        <f>MAX(0,R206-Q206)*R20*(1+Assumptions!$B$9)</f>
        <v/>
      </c>
      <c r="S211" s="61">
        <f>MAX(0,S206-R206)*S20*(1+Assumptions!$B$9)</f>
        <v/>
      </c>
      <c r="T211" s="61">
        <f>MAX(0,T206-S206)*T20*(1+Assumptions!$B$9)</f>
        <v/>
      </c>
      <c r="U211" s="61">
        <f>MAX(0,U206-T206)*U20*(1+Assumptions!$B$9)</f>
        <v/>
      </c>
      <c r="V211" s="61">
        <f>MAX(0,V206-U206)*V20*(1+Assumptions!$B$9)</f>
        <v/>
      </c>
      <c r="W211" s="61">
        <f>MAX(0,W206-V206)*W20*(1+Assumptions!$B$9)</f>
        <v/>
      </c>
      <c r="X211" s="61">
        <f>MAX(0,X206-W206)*X20*(1+Assumptions!$B$9)</f>
        <v/>
      </c>
      <c r="Y211" s="61">
        <f>MAX(0,Y206-X206)*Y20*(1+Assumptions!$B$9)</f>
        <v/>
      </c>
      <c r="Z211" s="61">
        <f>MAX(0,Z206-Y206)*Z20*(1+Assumptions!$B$9)</f>
        <v/>
      </c>
      <c r="AA211" s="61">
        <f>MAX(0,AA206-Z206)*AA20*(1+Assumptions!$B$9)</f>
        <v/>
      </c>
      <c r="AB211" s="61">
        <f>MAX(0,AB206-AA206)*AB20*(1+Assumptions!$B$9)</f>
        <v/>
      </c>
      <c r="AC211" s="61">
        <f>MAX(0,AC206-AB206)*AC20*(1+Assumptions!$B$9)</f>
        <v/>
      </c>
      <c r="AD211" s="61">
        <f>MAX(0,AD206-AC206)*AD20*(1+Assumptions!$B$9)</f>
        <v/>
      </c>
      <c r="AE211" s="61">
        <f>MAX(0,AE206-AD206)*AE20*(1+Assumptions!$B$9)</f>
        <v/>
      </c>
    </row>
    <row r="212">
      <c r="A212" s="9" t="inlineStr">
        <is>
          <t>NOT the change in the balance above. The balance also moves when gold reprices, and metal already on the shelf needs no new money to revalue - only EXTRA GRAMS have to be funded. M1 carries the whole 200 g because that is the launch purchase.</t>
        </is>
      </c>
    </row>
    <row r="213">
      <c r="A213" s="3" t="inlineStr">
        <is>
          <t>CUMULATIVE CASH INVESTED IN THE FLOAT</t>
        </is>
      </c>
      <c r="B213" s="23" t="inlineStr">
        <is>
          <t>USD</t>
        </is>
      </c>
      <c r="C213" s="63">
        <f>C211</f>
        <v/>
      </c>
      <c r="D213" s="63">
        <f>C213+D211</f>
        <v/>
      </c>
      <c r="E213" s="63">
        <f>D213+E211</f>
        <v/>
      </c>
      <c r="F213" s="63">
        <f>E213+F211</f>
        <v/>
      </c>
      <c r="G213" s="63">
        <f>F213+G211</f>
        <v/>
      </c>
      <c r="H213" s="63">
        <f>G213+H211</f>
        <v/>
      </c>
      <c r="I213" s="63">
        <f>H213+I211</f>
        <v/>
      </c>
      <c r="J213" s="63">
        <f>I213+J211</f>
        <v/>
      </c>
      <c r="K213" s="63">
        <f>J213+K211</f>
        <v/>
      </c>
      <c r="L213" s="63">
        <f>K213+L211</f>
        <v/>
      </c>
      <c r="M213" s="63">
        <f>L213+M211</f>
        <v/>
      </c>
      <c r="N213" s="63">
        <f>M213+N211</f>
        <v/>
      </c>
      <c r="O213" s="63">
        <f>N213+O211</f>
        <v/>
      </c>
      <c r="P213" s="63">
        <f>O213+P211</f>
        <v/>
      </c>
      <c r="Q213" s="63">
        <f>P213+Q211</f>
        <v/>
      </c>
      <c r="R213" s="63">
        <f>Q213+R211</f>
        <v/>
      </c>
      <c r="S213" s="63">
        <f>R213+S211</f>
        <v/>
      </c>
      <c r="T213" s="63">
        <f>S213+T211</f>
        <v/>
      </c>
      <c r="U213" s="63">
        <f>T213+U211</f>
        <v/>
      </c>
      <c r="V213" s="63">
        <f>U213+V211</f>
        <v/>
      </c>
      <c r="W213" s="63">
        <f>V213+W211</f>
        <v/>
      </c>
      <c r="X213" s="63">
        <f>W213+X211</f>
        <v/>
      </c>
      <c r="Y213" s="63">
        <f>X213+Y211</f>
        <v/>
      </c>
      <c r="Z213" s="63">
        <f>Y213+Z211</f>
        <v/>
      </c>
      <c r="AA213" s="63">
        <f>Z213+AA211</f>
        <v/>
      </c>
      <c r="AB213" s="63">
        <f>AA213+AB211</f>
        <v/>
      </c>
      <c r="AC213" s="63">
        <f>AB213+AC211</f>
        <v/>
      </c>
      <c r="AD213" s="63">
        <f>AC213+AD211</f>
        <v/>
      </c>
      <c r="AE213" s="63">
        <f>AD213+AE211</f>
        <v/>
      </c>
    </row>
    <row r="214">
      <c r="A214" s="3" t="inlineStr">
        <is>
          <t>CARD SETTLEMENT PREFUNDING (working capital, not a cost)</t>
        </is>
      </c>
      <c r="B214" s="23" t="inlineStr">
        <is>
          <t>USD</t>
        </is>
      </c>
      <c r="C214" s="63">
        <f>IF(C2&gt;=Assumptions!$B$51,MAX(Assumptions!$B$221,C171/365*Assumptions!$B$220),0)</f>
        <v/>
      </c>
      <c r="D214" s="63">
        <f>IF(D2&gt;=Assumptions!$B$51,MAX(Assumptions!$B$221,D171/365*Assumptions!$B$220),0)</f>
        <v/>
      </c>
      <c r="E214" s="63">
        <f>IF(E2&gt;=Assumptions!$B$51,MAX(Assumptions!$B$221,E171/365*Assumptions!$B$220),0)</f>
        <v/>
      </c>
      <c r="F214" s="63">
        <f>IF(F2&gt;=Assumptions!$B$51,MAX(Assumptions!$B$221,F171/365*Assumptions!$B$220),0)</f>
        <v/>
      </c>
      <c r="G214" s="63">
        <f>IF(G2&gt;=Assumptions!$B$51,MAX(Assumptions!$B$221,G171/365*Assumptions!$B$220),0)</f>
        <v/>
      </c>
      <c r="H214" s="63">
        <f>IF(H2&gt;=Assumptions!$B$51,MAX(Assumptions!$B$221,H171/365*Assumptions!$B$220),0)</f>
        <v/>
      </c>
      <c r="I214" s="63">
        <f>IF(I2&gt;=Assumptions!$B$51,MAX(Assumptions!$B$221,I171/365*Assumptions!$B$220),0)</f>
        <v/>
      </c>
      <c r="J214" s="63">
        <f>IF(J2&gt;=Assumptions!$B$51,MAX(Assumptions!$B$221,J171/365*Assumptions!$B$220),0)</f>
        <v/>
      </c>
      <c r="K214" s="63">
        <f>IF(K2&gt;=Assumptions!$B$51,MAX(Assumptions!$B$221,K171/365*Assumptions!$B$220),0)</f>
        <v/>
      </c>
      <c r="L214" s="63">
        <f>IF(L2&gt;=Assumptions!$B$51,MAX(Assumptions!$B$221,L171/365*Assumptions!$B$220),0)</f>
        <v/>
      </c>
      <c r="M214" s="63">
        <f>IF(M2&gt;=Assumptions!$B$51,MAX(Assumptions!$B$221,M171/365*Assumptions!$B$220),0)</f>
        <v/>
      </c>
      <c r="N214" s="63">
        <f>IF(N2&gt;=Assumptions!$B$51,MAX(Assumptions!$B$221,N171/365*Assumptions!$B$220),0)</f>
        <v/>
      </c>
      <c r="O214" s="63">
        <f>IF(O2&gt;=Assumptions!$B$51,MAX(Assumptions!$B$221,O171/365*Assumptions!$B$220),0)</f>
        <v/>
      </c>
      <c r="P214" s="63">
        <f>IF(P2&gt;=Assumptions!$B$51,MAX(Assumptions!$B$221,P171/365*Assumptions!$B$220),0)</f>
        <v/>
      </c>
      <c r="Q214" s="63">
        <f>IF(Q2&gt;=Assumptions!$B$51,MAX(Assumptions!$B$221,Q171/365*Assumptions!$B$220),0)</f>
        <v/>
      </c>
      <c r="R214" s="63">
        <f>IF(R2&gt;=Assumptions!$B$51,MAX(Assumptions!$B$221,R171/365*Assumptions!$B$220),0)</f>
        <v/>
      </c>
      <c r="S214" s="63">
        <f>IF(S2&gt;=Assumptions!$B$51,MAX(Assumptions!$B$221,S171/365*Assumptions!$B$220),0)</f>
        <v/>
      </c>
      <c r="T214" s="63">
        <f>IF(T2&gt;=Assumptions!$B$51,MAX(Assumptions!$B$221,T171/365*Assumptions!$B$220),0)</f>
        <v/>
      </c>
      <c r="U214" s="63">
        <f>IF(U2&gt;=Assumptions!$B$51,MAX(Assumptions!$B$221,U171/365*Assumptions!$B$220),0)</f>
        <v/>
      </c>
      <c r="V214" s="63">
        <f>IF(V2&gt;=Assumptions!$B$51,MAX(Assumptions!$B$221,V171/365*Assumptions!$B$220),0)</f>
        <v/>
      </c>
      <c r="W214" s="63">
        <f>IF(W2&gt;=Assumptions!$B$51,MAX(Assumptions!$B$221,W171/365*Assumptions!$B$220),0)</f>
        <v/>
      </c>
      <c r="X214" s="63">
        <f>IF(X2&gt;=Assumptions!$B$51,MAX(Assumptions!$B$221,X171/365*Assumptions!$B$220),0)</f>
        <v/>
      </c>
      <c r="Y214" s="63">
        <f>IF(Y2&gt;=Assumptions!$B$51,MAX(Assumptions!$B$221,Y171/365*Assumptions!$B$220),0)</f>
        <v/>
      </c>
      <c r="Z214" s="63">
        <f>IF(Z2&gt;=Assumptions!$B$51,MAX(Assumptions!$B$221,Z171/365*Assumptions!$B$220),0)</f>
        <v/>
      </c>
      <c r="AA214" s="63">
        <f>IF(AA2&gt;=Assumptions!$B$51,MAX(Assumptions!$B$221,AA171/365*Assumptions!$B$220),0)</f>
        <v/>
      </c>
      <c r="AB214" s="63">
        <f>IF(AB2&gt;=Assumptions!$B$51,MAX(Assumptions!$B$221,AB171/365*Assumptions!$B$220),0)</f>
        <v/>
      </c>
      <c r="AC214" s="63">
        <f>IF(AC2&gt;=Assumptions!$B$51,MAX(Assumptions!$B$221,AC171/365*Assumptions!$B$220),0)</f>
        <v/>
      </c>
      <c r="AD214" s="63">
        <f>IF(AD2&gt;=Assumptions!$B$51,MAX(Assumptions!$B$221,AD171/365*Assumptions!$B$220),0)</f>
        <v/>
      </c>
      <c r="AE214" s="63">
        <f>IF(AE2&gt;=Assumptions!$B$51,MAX(Assumptions!$B$221,AE171/365*Assumptions!$B$220),0)</f>
        <v/>
      </c>
    </row>
    <row r="215">
      <c r="A215" s="9" t="inlineStr">
        <is>
          <t>CASH ON DEPOSIT WITH THE PROCESSOR so card transactions settle before customer funds arrive - the JIT funding mechanism. LIKE THE FLOAT, IT IS MONEY TIED UP RATHER THAN SPENT, and it comes back if the programme winds down. It is NOT in any cost total. THE FLOOR BINDS THROUGHOUT: two days of Y7 card spend is about USD 43,000 against a USD 100,000 minimum, so this is effectively a fixed sum from card launch - a FOURTH minimum-commitment structure. No public schedule exists for prefunding; it is contractual with the processor.</t>
        </is>
      </c>
    </row>
    <row r="216">
      <c r="A216" s="6" t="inlineStr">
        <is>
          <t>CHECK: float never falls below two bars (must be &gt;= 0)</t>
        </is>
      </c>
      <c r="B216" s="23" t="inlineStr">
        <is>
          <t>grams</t>
        </is>
      </c>
      <c r="C216" s="68">
        <f>C206-2*Assumptions!$B$10</f>
        <v/>
      </c>
      <c r="D216" s="68">
        <f>D206-2*Assumptions!$B$10</f>
        <v/>
      </c>
      <c r="E216" s="68">
        <f>E206-2*Assumptions!$B$10</f>
        <v/>
      </c>
      <c r="F216" s="68">
        <f>F206-2*Assumptions!$B$10</f>
        <v/>
      </c>
      <c r="G216" s="68">
        <f>G206-2*Assumptions!$B$10</f>
        <v/>
      </c>
      <c r="H216" s="68">
        <f>H206-2*Assumptions!$B$10</f>
        <v/>
      </c>
      <c r="I216" s="68">
        <f>I206-2*Assumptions!$B$10</f>
        <v/>
      </c>
      <c r="J216" s="68">
        <f>J206-2*Assumptions!$B$10</f>
        <v/>
      </c>
      <c r="K216" s="68">
        <f>K206-2*Assumptions!$B$10</f>
        <v/>
      </c>
      <c r="L216" s="68">
        <f>L206-2*Assumptions!$B$10</f>
        <v/>
      </c>
      <c r="M216" s="68">
        <f>M206-2*Assumptions!$B$10</f>
        <v/>
      </c>
      <c r="N216" s="68">
        <f>N206-2*Assumptions!$B$10</f>
        <v/>
      </c>
      <c r="O216" s="68">
        <f>O206-2*Assumptions!$B$10</f>
        <v/>
      </c>
      <c r="P216" s="68">
        <f>P206-2*Assumptions!$B$10</f>
        <v/>
      </c>
      <c r="Q216" s="68">
        <f>Q206-2*Assumptions!$B$10</f>
        <v/>
      </c>
      <c r="R216" s="68">
        <f>R206-2*Assumptions!$B$10</f>
        <v/>
      </c>
      <c r="S216" s="68">
        <f>S206-2*Assumptions!$B$10</f>
        <v/>
      </c>
      <c r="T216" s="68">
        <f>T206-2*Assumptions!$B$10</f>
        <v/>
      </c>
      <c r="U216" s="68">
        <f>U206-2*Assumptions!$B$10</f>
        <v/>
      </c>
      <c r="V216" s="68">
        <f>V206-2*Assumptions!$B$10</f>
        <v/>
      </c>
      <c r="W216" s="68">
        <f>W206-2*Assumptions!$B$10</f>
        <v/>
      </c>
      <c r="X216" s="68">
        <f>X206-2*Assumptions!$B$10</f>
        <v/>
      </c>
      <c r="Y216" s="68">
        <f>Y206-2*Assumptions!$B$10</f>
        <v/>
      </c>
      <c r="Z216" s="68">
        <f>Z206-2*Assumptions!$B$10</f>
        <v/>
      </c>
      <c r="AA216" s="68">
        <f>AA206-2*Assumptions!$B$10</f>
        <v/>
      </c>
      <c r="AB216" s="68">
        <f>AB206-2*Assumptions!$B$10</f>
        <v/>
      </c>
      <c r="AC216" s="68">
        <f>AC206-2*Assumptions!$B$10</f>
        <v/>
      </c>
      <c r="AD216" s="68">
        <f>AD206-2*Assumptions!$B$10</f>
        <v/>
      </c>
      <c r="AE216" s="68">
        <f>AE206-2*Assumptions!$B$10</f>
        <v/>
      </c>
    </row>
    <row r="219" ht="20" customHeight="1">
      <c r="A219" s="12" t="inlineStr">
        <is>
          <t>COST BASE - every row below this line is money going OUT</t>
        </is>
      </c>
      <c r="B219" s="13" t="n"/>
      <c r="C219" s="13" t="n"/>
      <c r="D219" s="13" t="n"/>
      <c r="E219" s="13" t="n"/>
      <c r="F219" s="13" t="n"/>
      <c r="G219" s="13" t="n"/>
      <c r="H219" s="13" t="n"/>
      <c r="I219" s="13" t="n"/>
      <c r="J219" s="13" t="n"/>
      <c r="K219" s="13" t="n"/>
      <c r="L219" s="13" t="n"/>
      <c r="M219" s="13" t="n"/>
      <c r="N219" s="13" t="n"/>
      <c r="O219" s="13" t="n"/>
      <c r="P219" s="13" t="n"/>
      <c r="Q219" s="13" t="n"/>
      <c r="R219" s="13" t="n"/>
      <c r="S219" s="13" t="n"/>
      <c r="T219" s="13" t="n"/>
      <c r="U219" s="13" t="n"/>
      <c r="V219" s="13" t="n"/>
      <c r="W219" s="13" t="n"/>
      <c r="X219" s="13" t="n"/>
      <c r="Y219" s="13" t="n"/>
      <c r="Z219" s="13" t="n"/>
      <c r="AA219" s="13" t="n"/>
      <c r="AB219" s="13" t="n"/>
      <c r="AC219" s="13" t="n"/>
      <c r="AD219" s="13" t="n"/>
      <c r="AE219" s="13" t="n"/>
    </row>
    <row r="221">
      <c r="A221" s="51" t="inlineStr">
        <is>
          <t>COST OF GOODS SOLD - inside the gold trade, charged against stream 1</t>
        </is>
      </c>
      <c r="B221" s="52" t="n"/>
      <c r="C221" s="52" t="n"/>
      <c r="D221" s="52" t="n"/>
      <c r="E221" s="52" t="n"/>
      <c r="F221" s="52" t="n"/>
      <c r="G221" s="52" t="n"/>
      <c r="H221" s="52" t="n"/>
      <c r="I221" s="52" t="n"/>
      <c r="J221" s="52" t="n"/>
      <c r="K221" s="52" t="n"/>
      <c r="L221" s="52" t="n"/>
      <c r="M221" s="52" t="n"/>
      <c r="N221" s="52" t="n"/>
      <c r="O221" s="52" t="n"/>
      <c r="P221" s="52" t="n"/>
      <c r="Q221" s="52" t="n"/>
      <c r="R221" s="52" t="n"/>
      <c r="S221" s="52" t="n"/>
      <c r="T221" s="52" t="n"/>
      <c r="U221" s="52" t="n"/>
      <c r="V221" s="52" t="n"/>
      <c r="W221" s="52" t="n"/>
      <c r="X221" s="52" t="n"/>
      <c r="Y221" s="52" t="n"/>
      <c r="Z221" s="52" t="n"/>
      <c r="AA221" s="52" t="n"/>
      <c r="AB221" s="52" t="n"/>
      <c r="AC221" s="52" t="n"/>
      <c r="AD221" s="52" t="n"/>
      <c r="AE221" s="52" t="n"/>
    </row>
    <row r="222">
      <c r="A222" s="6" t="inlineStr">
        <is>
          <t xml:space="preserve">  Grams returned by redemption (recycled into the float)</t>
        </is>
      </c>
      <c r="B222" s="23" t="inlineStr">
        <is>
          <t>grams</t>
        </is>
      </c>
      <c r="C222" s="60">
        <f>0</f>
        <v/>
      </c>
      <c r="D222" s="60">
        <f>MAX(0,C165+D166-D165)</f>
        <v/>
      </c>
      <c r="E222" s="60">
        <f>MAX(0,D165+E166-E165)</f>
        <v/>
      </c>
      <c r="F222" s="60">
        <f>MAX(0,E165+F166-F165)</f>
        <v/>
      </c>
      <c r="G222" s="60">
        <f>MAX(0,F165+G166-G165)</f>
        <v/>
      </c>
      <c r="H222" s="60">
        <f>MAX(0,G165+H166-H165)</f>
        <v/>
      </c>
      <c r="I222" s="60">
        <f>MAX(0,H165+I166-I165)</f>
        <v/>
      </c>
      <c r="J222" s="60">
        <f>MAX(0,I165+J166-J165)</f>
        <v/>
      </c>
      <c r="K222" s="60">
        <f>MAX(0,J165+K166-K165)</f>
        <v/>
      </c>
      <c r="L222" s="60">
        <f>MAX(0,K165+L166-L165)</f>
        <v/>
      </c>
      <c r="M222" s="60">
        <f>MAX(0,L165+M166-M165)</f>
        <v/>
      </c>
      <c r="N222" s="60">
        <f>MAX(0,M165+N166-N165)</f>
        <v/>
      </c>
      <c r="O222" s="60">
        <f>MAX(0,N165+O166-O165)</f>
        <v/>
      </c>
      <c r="P222" s="60">
        <f>MAX(0,O165+P166-P165)</f>
        <v/>
      </c>
      <c r="Q222" s="60">
        <f>MAX(0,P165+Q166-Q165)</f>
        <v/>
      </c>
      <c r="R222" s="60">
        <f>MAX(0,Q165+R166-R165)</f>
        <v/>
      </c>
      <c r="S222" s="60">
        <f>MAX(0,R165+S166-S165)</f>
        <v/>
      </c>
      <c r="T222" s="60">
        <f>MAX(0,S165+T166-T165)</f>
        <v/>
      </c>
      <c r="U222" s="60">
        <f>MAX(0,T165+U166-U165)</f>
        <v/>
      </c>
      <c r="V222" s="60">
        <f>MAX(0,U165+V166-V165)</f>
        <v/>
      </c>
      <c r="W222" s="60">
        <f>MAX(0,V165+W166-W165)</f>
        <v/>
      </c>
      <c r="X222" s="60">
        <f>MAX(0,W165+X166-X165)</f>
        <v/>
      </c>
      <c r="Y222" s="60">
        <f>MAX(0,X165+Y166-Y165)</f>
        <v/>
      </c>
      <c r="Z222" s="60">
        <f>MAX(0,Y165+Z166-Z165)</f>
        <v/>
      </c>
      <c r="AA222" s="60">
        <f>MAX(0,Z165+AA166-AA165)</f>
        <v/>
      </c>
      <c r="AB222" s="60">
        <f>MAX(0,AA165+AB166-AB165)</f>
        <v/>
      </c>
      <c r="AC222" s="60">
        <f>MAX(0,AB165+AC166-AC165)</f>
        <v/>
      </c>
      <c r="AD222" s="60">
        <f>MAX(0,AC165+AD166-AD165)</f>
        <v/>
      </c>
      <c r="AE222" s="60">
        <f>MAX(0,AD165+AE166-AE165)</f>
        <v/>
      </c>
    </row>
    <row r="223">
      <c r="A223" s="9" t="inlineStr">
        <is>
          <t>THE METAL NEVER PHYSICALLY LEAVES. This product has no physical redemption - exit is a cash buyback - so a redeeming customer's gold stops being theirs and becomes Aurumix's own float, already vaulted and already in bar form. That is the whole reason D30 charges the premium on net new grams.</t>
        </is>
      </c>
    </row>
    <row r="224">
      <c r="A224" s="6" t="inlineStr">
        <is>
          <t xml:space="preserve">  Net new grams - the metal that must actually be made</t>
        </is>
      </c>
      <c r="B224" s="23" t="inlineStr">
        <is>
          <t>grams</t>
        </is>
      </c>
      <c r="C224" s="60">
        <f>MAX(0,C166-C222*(1-Assumptions!$B$230))</f>
        <v/>
      </c>
      <c r="D224" s="60">
        <f>MAX(0,D166-D222*(1-Assumptions!$B$230))</f>
        <v/>
      </c>
      <c r="E224" s="60">
        <f>MAX(0,E166-E222*(1-Assumptions!$B$230))</f>
        <v/>
      </c>
      <c r="F224" s="60">
        <f>MAX(0,F166-F222*(1-Assumptions!$B$230))</f>
        <v/>
      </c>
      <c r="G224" s="60">
        <f>MAX(0,G166-G222*(1-Assumptions!$B$230))</f>
        <v/>
      </c>
      <c r="H224" s="60">
        <f>MAX(0,H166-H222*(1-Assumptions!$B$230))</f>
        <v/>
      </c>
      <c r="I224" s="60">
        <f>MAX(0,I166-I222*(1-Assumptions!$B$230))</f>
        <v/>
      </c>
      <c r="J224" s="60">
        <f>MAX(0,J166-J222*(1-Assumptions!$B$230))</f>
        <v/>
      </c>
      <c r="K224" s="60">
        <f>MAX(0,K166-K222*(1-Assumptions!$B$230))</f>
        <v/>
      </c>
      <c r="L224" s="60">
        <f>MAX(0,L166-L222*(1-Assumptions!$B$230))</f>
        <v/>
      </c>
      <c r="M224" s="60">
        <f>MAX(0,M166-M222*(1-Assumptions!$B$230))</f>
        <v/>
      </c>
      <c r="N224" s="60">
        <f>MAX(0,N166-N222*(1-Assumptions!$B$230))</f>
        <v/>
      </c>
      <c r="O224" s="60">
        <f>MAX(0,O166-O222*(1-Assumptions!$B$230))</f>
        <v/>
      </c>
      <c r="P224" s="60">
        <f>MAX(0,P166-P222*(1-Assumptions!$B$230))</f>
        <v/>
      </c>
      <c r="Q224" s="60">
        <f>MAX(0,Q166-Q222*(1-Assumptions!$B$230))</f>
        <v/>
      </c>
      <c r="R224" s="60">
        <f>MAX(0,R166-R222*(1-Assumptions!$B$230))</f>
        <v/>
      </c>
      <c r="S224" s="60">
        <f>MAX(0,S166-S222*(1-Assumptions!$B$230))</f>
        <v/>
      </c>
      <c r="T224" s="60">
        <f>MAX(0,T166-T222*(1-Assumptions!$B$230))</f>
        <v/>
      </c>
      <c r="U224" s="60">
        <f>MAX(0,U166-U222*(1-Assumptions!$B$230))</f>
        <v/>
      </c>
      <c r="V224" s="60">
        <f>MAX(0,V166-V222*(1-Assumptions!$B$230))</f>
        <v/>
      </c>
      <c r="W224" s="60">
        <f>MAX(0,W166-W222*(1-Assumptions!$B$230))</f>
        <v/>
      </c>
      <c r="X224" s="60">
        <f>MAX(0,X166-X222*(1-Assumptions!$B$230))</f>
        <v/>
      </c>
      <c r="Y224" s="60">
        <f>MAX(0,Y166-Y222*(1-Assumptions!$B$230))</f>
        <v/>
      </c>
      <c r="Z224" s="60">
        <f>MAX(0,Z166-Z222*(1-Assumptions!$B$230))</f>
        <v/>
      </c>
      <c r="AA224" s="60">
        <f>MAX(0,AA166-AA222*(1-Assumptions!$B$230))</f>
        <v/>
      </c>
      <c r="AB224" s="60">
        <f>MAX(0,AB166-AB222*(1-Assumptions!$B$230))</f>
        <v/>
      </c>
      <c r="AC224" s="60">
        <f>MAX(0,AC166-AC222*(1-Assumptions!$B$230))</f>
        <v/>
      </c>
      <c r="AD224" s="60">
        <f>MAX(0,AD166-AD222*(1-Assumptions!$B$230))</f>
        <v/>
      </c>
      <c r="AE224" s="60">
        <f>MAX(0,AE166-AE222*(1-Assumptions!$B$230))</f>
        <v/>
      </c>
    </row>
    <row r="225">
      <c r="A225" s="6" t="inlineStr">
        <is>
          <t>COGS - Fabrication premium paid to the dealer</t>
        </is>
      </c>
      <c r="B225" s="23" t="inlineStr">
        <is>
          <t>USD</t>
        </is>
      </c>
      <c r="C225" s="63">
        <f>C224*C20*Assumptions!$B$9*Assumptions!$B$229</f>
        <v/>
      </c>
      <c r="D225" s="63">
        <f>D224*D20*Assumptions!$B$9*Assumptions!$B$229</f>
        <v/>
      </c>
      <c r="E225" s="63">
        <f>E224*E20*Assumptions!$B$9*Assumptions!$B$229</f>
        <v/>
      </c>
      <c r="F225" s="63">
        <f>F224*F20*Assumptions!$B$9*Assumptions!$B$229</f>
        <v/>
      </c>
      <c r="G225" s="63">
        <f>G224*G20*Assumptions!$B$9*Assumptions!$B$229</f>
        <v/>
      </c>
      <c r="H225" s="63">
        <f>H224*H20*Assumptions!$B$9*Assumptions!$B$229</f>
        <v/>
      </c>
      <c r="I225" s="63">
        <f>I224*I20*Assumptions!$B$9*Assumptions!$B$229</f>
        <v/>
      </c>
      <c r="J225" s="63">
        <f>J224*J20*Assumptions!$B$9*Assumptions!$B$229</f>
        <v/>
      </c>
      <c r="K225" s="63">
        <f>K224*K20*Assumptions!$B$9*Assumptions!$B$229</f>
        <v/>
      </c>
      <c r="L225" s="63">
        <f>L224*L20*Assumptions!$B$9*Assumptions!$B$229</f>
        <v/>
      </c>
      <c r="M225" s="63">
        <f>M224*M20*Assumptions!$B$9*Assumptions!$B$229</f>
        <v/>
      </c>
      <c r="N225" s="63">
        <f>N224*N20*Assumptions!$B$9*Assumptions!$B$229</f>
        <v/>
      </c>
      <c r="O225" s="63">
        <f>O224*O20*Assumptions!$B$9*Assumptions!$B$229</f>
        <v/>
      </c>
      <c r="P225" s="63">
        <f>P224*P20*Assumptions!$B$9*Assumptions!$B$229</f>
        <v/>
      </c>
      <c r="Q225" s="63">
        <f>Q224*Q20*Assumptions!$B$9*Assumptions!$B$229</f>
        <v/>
      </c>
      <c r="R225" s="63">
        <f>R224*R20*Assumptions!$B$9*Assumptions!$B$229</f>
        <v/>
      </c>
      <c r="S225" s="63">
        <f>S224*S20*Assumptions!$B$9*Assumptions!$B$229</f>
        <v/>
      </c>
      <c r="T225" s="63">
        <f>T224*T20*Assumptions!$B$9*Assumptions!$B$229</f>
        <v/>
      </c>
      <c r="U225" s="63">
        <f>U224*U20*Assumptions!$B$9*Assumptions!$B$229</f>
        <v/>
      </c>
      <c r="V225" s="63">
        <f>V224*V20*Assumptions!$B$9*Assumptions!$B$229</f>
        <v/>
      </c>
      <c r="W225" s="63">
        <f>W224*W20*Assumptions!$B$9*Assumptions!$B$229</f>
        <v/>
      </c>
      <c r="X225" s="63">
        <f>X224*X20*Assumptions!$B$9*Assumptions!$B$229</f>
        <v/>
      </c>
      <c r="Y225" s="63">
        <f>Y224*Y20*Assumptions!$B$9*Assumptions!$B$229</f>
        <v/>
      </c>
      <c r="Z225" s="63">
        <f>Z224*Z20*Assumptions!$B$9*Assumptions!$B$229</f>
        <v/>
      </c>
      <c r="AA225" s="63">
        <f>AA224*AA20*Assumptions!$B$9*Assumptions!$B$229</f>
        <v/>
      </c>
      <c r="AB225" s="63">
        <f>AB224*AB20*Assumptions!$B$9*Assumptions!$B$229</f>
        <v/>
      </c>
      <c r="AC225" s="63">
        <f>AC224*AC20*Assumptions!$B$9*Assumptions!$B$229</f>
        <v/>
      </c>
      <c r="AD225" s="63">
        <f>AD224*AD20*Assumptions!$B$9*Assumptions!$B$229</f>
        <v/>
      </c>
      <c r="AE225" s="63">
        <f>AE224*AE20*Assumptions!$B$9*Assumptions!$B$229</f>
        <v/>
      </c>
    </row>
    <row r="226">
      <c r="A226" s="9" t="inlineStr">
        <is>
          <t>WHAT IS NOT IN THIS LINE, ON PURPOSE. Aurumix charges every customer for the premium but pays it only on metal it actually has fabricated, so the premium on RECYCLED grams is margin it keeps - roughly USD 166k over the horizon at the modelled redemption rates. That is real and it is deliberately left out of the model: it is a consequence of owning the float, it is the client's to take or leave, and it belongs in the conversation as upside rather than in the base case as revenue.</t>
        </is>
      </c>
    </row>
    <row r="228">
      <c r="A228" s="3" t="inlineStr">
        <is>
          <t>TOTAL COST OF GOODS SOLD</t>
        </is>
      </c>
      <c r="B228" s="23" t="inlineStr">
        <is>
          <t>USD</t>
        </is>
      </c>
      <c r="C228" s="63">
        <f>C225</f>
        <v/>
      </c>
      <c r="D228" s="63">
        <f>D225</f>
        <v/>
      </c>
      <c r="E228" s="63">
        <f>E225</f>
        <v/>
      </c>
      <c r="F228" s="63">
        <f>F225</f>
        <v/>
      </c>
      <c r="G228" s="63">
        <f>G225</f>
        <v/>
      </c>
      <c r="H228" s="63">
        <f>H225</f>
        <v/>
      </c>
      <c r="I228" s="63">
        <f>I225</f>
        <v/>
      </c>
      <c r="J228" s="63">
        <f>J225</f>
        <v/>
      </c>
      <c r="K228" s="63">
        <f>K225</f>
        <v/>
      </c>
      <c r="L228" s="63">
        <f>L225</f>
        <v/>
      </c>
      <c r="M228" s="63">
        <f>M225</f>
        <v/>
      </c>
      <c r="N228" s="63">
        <f>N225</f>
        <v/>
      </c>
      <c r="O228" s="63">
        <f>O225</f>
        <v/>
      </c>
      <c r="P228" s="63">
        <f>P225</f>
        <v/>
      </c>
      <c r="Q228" s="63">
        <f>Q225</f>
        <v/>
      </c>
      <c r="R228" s="63">
        <f>R225</f>
        <v/>
      </c>
      <c r="S228" s="63">
        <f>S225</f>
        <v/>
      </c>
      <c r="T228" s="63">
        <f>T225</f>
        <v/>
      </c>
      <c r="U228" s="63">
        <f>U225</f>
        <v/>
      </c>
      <c r="V228" s="63">
        <f>V225</f>
        <v/>
      </c>
      <c r="W228" s="63">
        <f>W225</f>
        <v/>
      </c>
      <c r="X228" s="63">
        <f>X225</f>
        <v/>
      </c>
      <c r="Y228" s="63">
        <f>Y225</f>
        <v/>
      </c>
      <c r="Z228" s="63">
        <f>Z225</f>
        <v/>
      </c>
      <c r="AA228" s="63">
        <f>AA225</f>
        <v/>
      </c>
      <c r="AB228" s="63">
        <f>AB225</f>
        <v/>
      </c>
      <c r="AC228" s="63">
        <f>AC225</f>
        <v/>
      </c>
      <c r="AD228" s="63">
        <f>AD225</f>
        <v/>
      </c>
      <c r="AE228" s="63">
        <f>AE225</f>
        <v/>
      </c>
    </row>
    <row r="231">
      <c r="A231" s="51" t="inlineStr">
        <is>
          <t>OPERATING EXPENSES - the cost of running the business, not of buying the metal</t>
        </is>
      </c>
      <c r="B231" s="52" t="n"/>
      <c r="C231" s="52" t="n"/>
      <c r="D231" s="52" t="n"/>
      <c r="E231" s="52" t="n"/>
      <c r="F231" s="52" t="n"/>
      <c r="G231" s="52" t="n"/>
      <c r="H231" s="52" t="n"/>
      <c r="I231" s="52" t="n"/>
      <c r="J231" s="52" t="n"/>
      <c r="K231" s="52" t="n"/>
      <c r="L231" s="52" t="n"/>
      <c r="M231" s="52" t="n"/>
      <c r="N231" s="52" t="n"/>
      <c r="O231" s="52" t="n"/>
      <c r="P231" s="52" t="n"/>
      <c r="Q231" s="52" t="n"/>
      <c r="R231" s="52" t="n"/>
      <c r="S231" s="52" t="n"/>
      <c r="T231" s="52" t="n"/>
      <c r="U231" s="52" t="n"/>
      <c r="V231" s="52" t="n"/>
      <c r="W231" s="52" t="n"/>
      <c r="X231" s="52" t="n"/>
      <c r="Y231" s="52" t="n"/>
      <c r="Z231" s="52" t="n"/>
      <c r="AA231" s="52" t="n"/>
      <c r="AB231" s="52" t="n"/>
      <c r="AC231" s="52" t="n"/>
      <c r="AD231" s="52" t="n"/>
      <c r="AE231" s="52" t="n"/>
    </row>
    <row r="232">
      <c r="A232" s="6" t="inlineStr">
        <is>
          <t xml:space="preserve">  Metal in the vault (customer gold + Aurumix's own float)</t>
        </is>
      </c>
      <c r="B232" s="23" t="inlineStr">
        <is>
          <t>grams</t>
        </is>
      </c>
      <c r="C232" s="50">
        <f>C165+C206</f>
        <v/>
      </c>
      <c r="D232" s="50">
        <f>D165+D206</f>
        <v/>
      </c>
      <c r="E232" s="50">
        <f>E165+E206</f>
        <v/>
      </c>
      <c r="F232" s="50">
        <f>F165+F206</f>
        <v/>
      </c>
      <c r="G232" s="50">
        <f>G165+G206</f>
        <v/>
      </c>
      <c r="H232" s="50">
        <f>H165+H206</f>
        <v/>
      </c>
      <c r="I232" s="50">
        <f>I165+I206</f>
        <v/>
      </c>
      <c r="J232" s="50">
        <f>J165+J206</f>
        <v/>
      </c>
      <c r="K232" s="50">
        <f>K165+K206</f>
        <v/>
      </c>
      <c r="L232" s="50">
        <f>L165+L206</f>
        <v/>
      </c>
      <c r="M232" s="50">
        <f>M165+M206</f>
        <v/>
      </c>
      <c r="N232" s="50">
        <f>N165+N206</f>
        <v/>
      </c>
      <c r="O232" s="50">
        <f>O165+O206</f>
        <v/>
      </c>
      <c r="P232" s="50">
        <f>P165+P206</f>
        <v/>
      </c>
      <c r="Q232" s="50">
        <f>Q165+Q206</f>
        <v/>
      </c>
      <c r="R232" s="50">
        <f>R165+R206</f>
        <v/>
      </c>
      <c r="S232" s="50">
        <f>S165+S206</f>
        <v/>
      </c>
      <c r="T232" s="50">
        <f>T165+T206</f>
        <v/>
      </c>
      <c r="U232" s="50">
        <f>U165+U206</f>
        <v/>
      </c>
      <c r="V232" s="50">
        <f>V165+V206</f>
        <v/>
      </c>
      <c r="W232" s="50">
        <f>W165+W206</f>
        <v/>
      </c>
      <c r="X232" s="50">
        <f>X165+X206</f>
        <v/>
      </c>
      <c r="Y232" s="50">
        <f>Y165+Y206</f>
        <v/>
      </c>
      <c r="Z232" s="50">
        <f>Z165+Z206</f>
        <v/>
      </c>
      <c r="AA232" s="50">
        <f>AA165+AA206</f>
        <v/>
      </c>
      <c r="AB232" s="50">
        <f>AB165+AB206</f>
        <v/>
      </c>
      <c r="AC232" s="50">
        <f>AC165+AC206</f>
        <v/>
      </c>
      <c r="AD232" s="50">
        <f>AD165+AD206</f>
        <v/>
      </c>
      <c r="AE232" s="50">
        <f>AE165+AE206</f>
        <v/>
      </c>
    </row>
    <row r="233">
      <c r="A233" s="6" t="inlineStr">
        <is>
          <t>OPEX - Vault storage</t>
        </is>
      </c>
      <c r="B233" s="23" t="inlineStr">
        <is>
          <t>USD</t>
        </is>
      </c>
      <c r="C233" s="63">
        <f>MAX(Assumptions!$B$194*C7*365/12,Assumptions!$B$193*C232*C20*C7/12)</f>
        <v/>
      </c>
      <c r="D233" s="63">
        <f>MAX(Assumptions!$B$194*D7*365/12,Assumptions!$B$193*D232*D20*D7/12)</f>
        <v/>
      </c>
      <c r="E233" s="63">
        <f>MAX(Assumptions!$B$194*E7*365/12,Assumptions!$B$193*E232*E20*E7/12)</f>
        <v/>
      </c>
      <c r="F233" s="63">
        <f>MAX(Assumptions!$B$194*F7*365/12,Assumptions!$B$193*F232*F20*F7/12)</f>
        <v/>
      </c>
      <c r="G233" s="63">
        <f>MAX(Assumptions!$B$194*G7*365/12,Assumptions!$B$193*G232*G20*G7/12)</f>
        <v/>
      </c>
      <c r="H233" s="63">
        <f>MAX(Assumptions!$B$194*H7*365/12,Assumptions!$B$193*H232*H20*H7/12)</f>
        <v/>
      </c>
      <c r="I233" s="63">
        <f>MAX(Assumptions!$B$194*I7*365/12,Assumptions!$B$193*I232*I20*I7/12)</f>
        <v/>
      </c>
      <c r="J233" s="63">
        <f>MAX(Assumptions!$B$194*J7*365/12,Assumptions!$B$193*J232*J20*J7/12)</f>
        <v/>
      </c>
      <c r="K233" s="63">
        <f>MAX(Assumptions!$B$194*K7*365/12,Assumptions!$B$193*K232*K20*K7/12)</f>
        <v/>
      </c>
      <c r="L233" s="63">
        <f>MAX(Assumptions!$B$194*L7*365/12,Assumptions!$B$193*L232*L20*L7/12)</f>
        <v/>
      </c>
      <c r="M233" s="63">
        <f>MAX(Assumptions!$B$194*M7*365/12,Assumptions!$B$193*M232*M20*M7/12)</f>
        <v/>
      </c>
      <c r="N233" s="63">
        <f>MAX(Assumptions!$B$194*N7*365/12,Assumptions!$B$193*N232*N20*N7/12)</f>
        <v/>
      </c>
      <c r="O233" s="63">
        <f>MAX(Assumptions!$B$194*O7*365/12,Assumptions!$B$193*O232*O20*O7/12)</f>
        <v/>
      </c>
      <c r="P233" s="63">
        <f>MAX(Assumptions!$B$194*P7*365/12,Assumptions!$B$193*P232*P20*P7/12)</f>
        <v/>
      </c>
      <c r="Q233" s="63">
        <f>MAX(Assumptions!$B$194*Q7*365/12,Assumptions!$B$193*Q232*Q20*Q7/12)</f>
        <v/>
      </c>
      <c r="R233" s="63">
        <f>MAX(Assumptions!$B$194*R7*365/12,Assumptions!$B$193*R232*R20*R7/12)</f>
        <v/>
      </c>
      <c r="S233" s="63">
        <f>MAX(Assumptions!$B$194*S7*365/12,Assumptions!$B$193*S232*S20*S7/12)</f>
        <v/>
      </c>
      <c r="T233" s="63">
        <f>MAX(Assumptions!$B$194*T7*365/12,Assumptions!$B$193*T232*T20*T7/12)</f>
        <v/>
      </c>
      <c r="U233" s="63">
        <f>MAX(Assumptions!$B$194*U7*365/12,Assumptions!$B$193*U232*U20*U7/12)</f>
        <v/>
      </c>
      <c r="V233" s="63">
        <f>MAX(Assumptions!$B$194*V7*365/12,Assumptions!$B$193*V232*V20*V7/12)</f>
        <v/>
      </c>
      <c r="W233" s="63">
        <f>MAX(Assumptions!$B$194*W7*365/12,Assumptions!$B$193*W232*W20*W7/12)</f>
        <v/>
      </c>
      <c r="X233" s="63">
        <f>MAX(Assumptions!$B$194*X7*365/12,Assumptions!$B$193*X232*X20*X7/12)</f>
        <v/>
      </c>
      <c r="Y233" s="63">
        <f>MAX(Assumptions!$B$194*Y7*365/12,Assumptions!$B$193*Y232*Y20*Y7/12)</f>
        <v/>
      </c>
      <c r="Z233" s="63">
        <f>MAX(Assumptions!$B$194*Z7*365/12,Assumptions!$B$193*Z232*Z20*Z7/12)</f>
        <v/>
      </c>
      <c r="AA233" s="63">
        <f>MAX(Assumptions!$B$194*AA7*365/12,Assumptions!$B$193*AA232*AA20*AA7/12)</f>
        <v/>
      </c>
      <c r="AB233" s="63">
        <f>MAX(Assumptions!$B$194*AB7*365/12,Assumptions!$B$193*AB232*AB20*AB7/12)</f>
        <v/>
      </c>
      <c r="AC233" s="63">
        <f>MAX(Assumptions!$B$194*AC7*365/12,Assumptions!$B$193*AC232*AC20*AC7/12)</f>
        <v/>
      </c>
      <c r="AD233" s="63">
        <f>MAX(Assumptions!$B$194*AD7*365/12,Assumptions!$B$193*AD232*AD20*AD7/12)</f>
        <v/>
      </c>
      <c r="AE233" s="63">
        <f>MAX(Assumptions!$B$194*AE7*365/12,Assumptions!$B$193*AE232*AE20*AE7/12)</f>
        <v/>
      </c>
    </row>
    <row r="234">
      <c r="A234" s="9" t="inlineStr">
        <is>
          <t>MAX(the vault's minimum, the percentage rate on metal held). THIS IS WHAT AURUMIX PAYS THE VAULT. It is NOT a fee charged to customers - decision 42 makes retail storage free forever, and every comparator does the same: Paxos states it 'does not charge gold storage fees to its customers at this time' and Kinesis charges 0%, funding it from a share of transaction fees. THE CLIENT'S ASSUMED 0.8-1.0% CUSTODY FEE IS BOTH UNCOMPETITIVE AND ROUGHLY 7x THE REAL COST.</t>
        </is>
      </c>
    </row>
    <row r="235">
      <c r="A235" s="6" t="inlineStr">
        <is>
          <t xml:space="preserve">  ...as % of metal held per year (memo - watch the minimum bite)</t>
        </is>
      </c>
      <c r="B235" s="23" t="inlineStr">
        <is>
          <t>%/yr</t>
        </is>
      </c>
      <c r="C235" s="69">
        <f>IF(C232=0,0,C233/(C232*C20)*12/C7)</f>
        <v/>
      </c>
      <c r="D235" s="69">
        <f>IF(D232=0,0,D233/(D232*D20)*12/D7)</f>
        <v/>
      </c>
      <c r="E235" s="69">
        <f>IF(E232=0,0,E233/(E232*E20)*12/E7)</f>
        <v/>
      </c>
      <c r="F235" s="69">
        <f>IF(F232=0,0,F233/(F232*F20)*12/F7)</f>
        <v/>
      </c>
      <c r="G235" s="69">
        <f>IF(G232=0,0,G233/(G232*G20)*12/G7)</f>
        <v/>
      </c>
      <c r="H235" s="69">
        <f>IF(H232=0,0,H233/(H232*H20)*12/H7)</f>
        <v/>
      </c>
      <c r="I235" s="69">
        <f>IF(I232=0,0,I233/(I232*I20)*12/I7)</f>
        <v/>
      </c>
      <c r="J235" s="69">
        <f>IF(J232=0,0,J233/(J232*J20)*12/J7)</f>
        <v/>
      </c>
      <c r="K235" s="69">
        <f>IF(K232=0,0,K233/(K232*K20)*12/K7)</f>
        <v/>
      </c>
      <c r="L235" s="69">
        <f>IF(L232=0,0,L233/(L232*L20)*12/L7)</f>
        <v/>
      </c>
      <c r="M235" s="69">
        <f>IF(M232=0,0,M233/(M232*M20)*12/M7)</f>
        <v/>
      </c>
      <c r="N235" s="69">
        <f>IF(N232=0,0,N233/(N232*N20)*12/N7)</f>
        <v/>
      </c>
      <c r="O235" s="69">
        <f>IF(O232=0,0,O233/(O232*O20)*12/O7)</f>
        <v/>
      </c>
      <c r="P235" s="69">
        <f>IF(P232=0,0,P233/(P232*P20)*12/P7)</f>
        <v/>
      </c>
      <c r="Q235" s="69">
        <f>IF(Q232=0,0,Q233/(Q232*Q20)*12/Q7)</f>
        <v/>
      </c>
      <c r="R235" s="69">
        <f>IF(R232=0,0,R233/(R232*R20)*12/R7)</f>
        <v/>
      </c>
      <c r="S235" s="69">
        <f>IF(S232=0,0,S233/(S232*S20)*12/S7)</f>
        <v/>
      </c>
      <c r="T235" s="69">
        <f>IF(T232=0,0,T233/(T232*T20)*12/T7)</f>
        <v/>
      </c>
      <c r="U235" s="69">
        <f>IF(U232=0,0,U233/(U232*U20)*12/U7)</f>
        <v/>
      </c>
      <c r="V235" s="69">
        <f>IF(V232=0,0,V233/(V232*V20)*12/V7)</f>
        <v/>
      </c>
      <c r="W235" s="69">
        <f>IF(W232=0,0,W233/(W232*W20)*12/W7)</f>
        <v/>
      </c>
      <c r="X235" s="69">
        <f>IF(X232=0,0,X233/(X232*X20)*12/X7)</f>
        <v/>
      </c>
      <c r="Y235" s="69">
        <f>IF(Y232=0,0,Y233/(Y232*Y20)*12/Y7)</f>
        <v/>
      </c>
      <c r="Z235" s="69">
        <f>IF(Z232=0,0,Z233/(Z232*Z20)*12/Z7)</f>
        <v/>
      </c>
      <c r="AA235" s="69">
        <f>IF(AA232=0,0,AA233/(AA232*AA20)*12/AA7)</f>
        <v/>
      </c>
      <c r="AB235" s="69">
        <f>IF(AB232=0,0,AB233/(AB232*AB20)*12/AB7)</f>
        <v/>
      </c>
      <c r="AC235" s="69">
        <f>IF(AC232=0,0,AC233/(AC232*AC20)*12/AC7)</f>
        <v/>
      </c>
      <c r="AD235" s="69">
        <f>IF(AD232=0,0,AD233/(AD232*AD20)*12/AD7)</f>
        <v/>
      </c>
      <c r="AE235" s="69">
        <f>IF(AE232=0,0,AE233/(AE232*AE20)*12/AE7)</f>
        <v/>
      </c>
    </row>
    <row r="236">
      <c r="A236" s="6" t="inlineStr">
        <is>
          <t>OPEX - VARA annual supervision</t>
        </is>
      </c>
      <c r="B236" s="23" t="inlineStr">
        <is>
          <t>USD</t>
        </is>
      </c>
      <c r="C236" s="63">
        <f>IF(OR(C6=1,C6=0),Assumptions!$B$195/Assumptions!$B$7,0)</f>
        <v/>
      </c>
      <c r="D236" s="63">
        <f>IF(OR(D6=1,D6=0),Assumptions!$B$195/Assumptions!$B$7,0)</f>
        <v/>
      </c>
      <c r="E236" s="63">
        <f>IF(OR(E6=1,E6=0),Assumptions!$B$195/Assumptions!$B$7,0)</f>
        <v/>
      </c>
      <c r="F236" s="63">
        <f>IF(OR(F6=1,F6=0),Assumptions!$B$195/Assumptions!$B$7,0)</f>
        <v/>
      </c>
      <c r="G236" s="63">
        <f>IF(OR(G6=1,G6=0),Assumptions!$B$195/Assumptions!$B$7,0)</f>
        <v/>
      </c>
      <c r="H236" s="63">
        <f>IF(OR(H6=1,H6=0),Assumptions!$B$195/Assumptions!$B$7,0)</f>
        <v/>
      </c>
      <c r="I236" s="63">
        <f>IF(OR(I6=1,I6=0),Assumptions!$B$195/Assumptions!$B$7,0)</f>
        <v/>
      </c>
      <c r="J236" s="63">
        <f>IF(OR(J6=1,J6=0),Assumptions!$B$195/Assumptions!$B$7,0)</f>
        <v/>
      </c>
      <c r="K236" s="63">
        <f>IF(OR(K6=1,K6=0),Assumptions!$B$195/Assumptions!$B$7,0)</f>
        <v/>
      </c>
      <c r="L236" s="63">
        <f>IF(OR(L6=1,L6=0),Assumptions!$B$195/Assumptions!$B$7,0)</f>
        <v/>
      </c>
      <c r="M236" s="63">
        <f>IF(OR(M6=1,M6=0),Assumptions!$B$195/Assumptions!$B$7,0)</f>
        <v/>
      </c>
      <c r="N236" s="63">
        <f>IF(OR(N6=1,N6=0),Assumptions!$B$195/Assumptions!$B$7,0)</f>
        <v/>
      </c>
      <c r="O236" s="63">
        <f>IF(OR(O6=1,O6=0),Assumptions!$B$195/Assumptions!$B$7,0)</f>
        <v/>
      </c>
      <c r="P236" s="63">
        <f>IF(OR(P6=1,P6=0),Assumptions!$B$195/Assumptions!$B$7,0)</f>
        <v/>
      </c>
      <c r="Q236" s="63">
        <f>IF(OR(Q6=1,Q6=0),Assumptions!$B$195/Assumptions!$B$7,0)</f>
        <v/>
      </c>
      <c r="R236" s="63">
        <f>IF(OR(R6=1,R6=0),Assumptions!$B$195/Assumptions!$B$7,0)</f>
        <v/>
      </c>
      <c r="S236" s="63">
        <f>IF(OR(S6=1,S6=0),Assumptions!$B$195/Assumptions!$B$7,0)</f>
        <v/>
      </c>
      <c r="T236" s="63">
        <f>IF(OR(T6=1,T6=0),Assumptions!$B$195/Assumptions!$B$7,0)</f>
        <v/>
      </c>
      <c r="U236" s="63">
        <f>IF(OR(U6=1,U6=0),Assumptions!$B$195/Assumptions!$B$7,0)</f>
        <v/>
      </c>
      <c r="V236" s="63">
        <f>IF(OR(V6=1,V6=0),Assumptions!$B$195/Assumptions!$B$7,0)</f>
        <v/>
      </c>
      <c r="W236" s="63">
        <f>IF(OR(W6=1,W6=0),Assumptions!$B$195/Assumptions!$B$7,0)</f>
        <v/>
      </c>
      <c r="X236" s="63">
        <f>IF(OR(X6=1,X6=0),Assumptions!$B$195/Assumptions!$B$7,0)</f>
        <v/>
      </c>
      <c r="Y236" s="63">
        <f>IF(OR(Y6=1,Y6=0),Assumptions!$B$195/Assumptions!$B$7,0)</f>
        <v/>
      </c>
      <c r="Z236" s="63">
        <f>IF(OR(Z6=1,Z6=0),Assumptions!$B$195/Assumptions!$B$7,0)</f>
        <v/>
      </c>
      <c r="AA236" s="63">
        <f>IF(OR(AA6=1,AA6=0),Assumptions!$B$195/Assumptions!$B$7,0)</f>
        <v/>
      </c>
      <c r="AB236" s="63">
        <f>IF(OR(AB6=1,AB6=0),Assumptions!$B$195/Assumptions!$B$7,0)</f>
        <v/>
      </c>
      <c r="AC236" s="63">
        <f>IF(OR(AC6=1,AC6=0),Assumptions!$B$195/Assumptions!$B$7,0)</f>
        <v/>
      </c>
      <c r="AD236" s="63">
        <f>IF(OR(AD6=1,AD6=0),Assumptions!$B$195/Assumptions!$B$7,0)</f>
        <v/>
      </c>
      <c r="AE236" s="63">
        <f>IF(OR(AE6=1,AE6=0),Assumptions!$B$195/Assumptions!$B$7,0)</f>
        <v/>
      </c>
    </row>
    <row r="237">
      <c r="A237" s="9" t="inlineStr">
        <is>
          <t>PER LICENSED ACTIVITY, and the activity set is unconfirmed - see the Scenario note. Payable IN ADVANCE of conducting the activity, so Year 1 carries it before a single customer arrives.</t>
        </is>
      </c>
    </row>
    <row r="238">
      <c r="A238" s="6" t="inlineStr">
        <is>
          <t>OPEX - DMCC company licence</t>
        </is>
      </c>
      <c r="B238" s="23" t="inlineStr">
        <is>
          <t>USD</t>
        </is>
      </c>
      <c r="C238" s="63">
        <f>IF(OR(C6=1,C6=0),Assumptions!$B$197/Assumptions!$B$7,0)</f>
        <v/>
      </c>
      <c r="D238" s="63">
        <f>IF(OR(D6=1,D6=0),Assumptions!$B$197/Assumptions!$B$7,0)</f>
        <v/>
      </c>
      <c r="E238" s="63">
        <f>IF(OR(E6=1,E6=0),Assumptions!$B$197/Assumptions!$B$7,0)</f>
        <v/>
      </c>
      <c r="F238" s="63">
        <f>IF(OR(F6=1,F6=0),Assumptions!$B$197/Assumptions!$B$7,0)</f>
        <v/>
      </c>
      <c r="G238" s="63">
        <f>IF(OR(G6=1,G6=0),Assumptions!$B$197/Assumptions!$B$7,0)</f>
        <v/>
      </c>
      <c r="H238" s="63">
        <f>IF(OR(H6=1,H6=0),Assumptions!$B$197/Assumptions!$B$7,0)</f>
        <v/>
      </c>
      <c r="I238" s="63">
        <f>IF(OR(I6=1,I6=0),Assumptions!$B$197/Assumptions!$B$7,0)</f>
        <v/>
      </c>
      <c r="J238" s="63">
        <f>IF(OR(J6=1,J6=0),Assumptions!$B$197/Assumptions!$B$7,0)</f>
        <v/>
      </c>
      <c r="K238" s="63">
        <f>IF(OR(K6=1,K6=0),Assumptions!$B$197/Assumptions!$B$7,0)</f>
        <v/>
      </c>
      <c r="L238" s="63">
        <f>IF(OR(L6=1,L6=0),Assumptions!$B$197/Assumptions!$B$7,0)</f>
        <v/>
      </c>
      <c r="M238" s="63">
        <f>IF(OR(M6=1,M6=0),Assumptions!$B$197/Assumptions!$B$7,0)</f>
        <v/>
      </c>
      <c r="N238" s="63">
        <f>IF(OR(N6=1,N6=0),Assumptions!$B$197/Assumptions!$B$7,0)</f>
        <v/>
      </c>
      <c r="O238" s="63">
        <f>IF(OR(O6=1,O6=0),Assumptions!$B$197/Assumptions!$B$7,0)</f>
        <v/>
      </c>
      <c r="P238" s="63">
        <f>IF(OR(P6=1,P6=0),Assumptions!$B$197/Assumptions!$B$7,0)</f>
        <v/>
      </c>
      <c r="Q238" s="63">
        <f>IF(OR(Q6=1,Q6=0),Assumptions!$B$197/Assumptions!$B$7,0)</f>
        <v/>
      </c>
      <c r="R238" s="63">
        <f>IF(OR(R6=1,R6=0),Assumptions!$B$197/Assumptions!$B$7,0)</f>
        <v/>
      </c>
      <c r="S238" s="63">
        <f>IF(OR(S6=1,S6=0),Assumptions!$B$197/Assumptions!$B$7,0)</f>
        <v/>
      </c>
      <c r="T238" s="63">
        <f>IF(OR(T6=1,T6=0),Assumptions!$B$197/Assumptions!$B$7,0)</f>
        <v/>
      </c>
      <c r="U238" s="63">
        <f>IF(OR(U6=1,U6=0),Assumptions!$B$197/Assumptions!$B$7,0)</f>
        <v/>
      </c>
      <c r="V238" s="63">
        <f>IF(OR(V6=1,V6=0),Assumptions!$B$197/Assumptions!$B$7,0)</f>
        <v/>
      </c>
      <c r="W238" s="63">
        <f>IF(OR(W6=1,W6=0),Assumptions!$B$197/Assumptions!$B$7,0)</f>
        <v/>
      </c>
      <c r="X238" s="63">
        <f>IF(OR(X6=1,X6=0),Assumptions!$B$197/Assumptions!$B$7,0)</f>
        <v/>
      </c>
      <c r="Y238" s="63">
        <f>IF(OR(Y6=1,Y6=0),Assumptions!$B$197/Assumptions!$B$7,0)</f>
        <v/>
      </c>
      <c r="Z238" s="63">
        <f>IF(OR(Z6=1,Z6=0),Assumptions!$B$197/Assumptions!$B$7,0)</f>
        <v/>
      </c>
      <c r="AA238" s="63">
        <f>IF(OR(AA6=1,AA6=0),Assumptions!$B$197/Assumptions!$B$7,0)</f>
        <v/>
      </c>
      <c r="AB238" s="63">
        <f>IF(OR(AB6=1,AB6=0),Assumptions!$B$197/Assumptions!$B$7,0)</f>
        <v/>
      </c>
      <c r="AC238" s="63">
        <f>IF(OR(AC6=1,AC6=0),Assumptions!$B$197/Assumptions!$B$7,0)</f>
        <v/>
      </c>
      <c r="AD238" s="63">
        <f>IF(OR(AD6=1,AD6=0),Assumptions!$B$197/Assumptions!$B$7,0)</f>
        <v/>
      </c>
      <c r="AE238" s="63">
        <f>IF(OR(AE6=1,AE6=0),Assumptions!$B$197/Assumptions!$B$7,0)</f>
        <v/>
      </c>
    </row>
    <row r="239">
      <c r="A239" s="6" t="inlineStr">
        <is>
          <t>OPEX - KYC and AML verification</t>
        </is>
      </c>
      <c r="B239" s="23" t="inlineStr">
        <is>
          <t>USD</t>
        </is>
      </c>
      <c r="C239" s="63">
        <f>MAX(Assumptions!$B$226*C7,Assumptions!$B$199*C162)</f>
        <v/>
      </c>
      <c r="D239" s="63">
        <f>MAX(Assumptions!$B$226*D7,Assumptions!$B$199*D162)</f>
        <v/>
      </c>
      <c r="E239" s="63">
        <f>MAX(Assumptions!$B$226*E7,Assumptions!$B$199*E162)</f>
        <v/>
      </c>
      <c r="F239" s="63">
        <f>MAX(Assumptions!$B$226*F7,Assumptions!$B$199*F162)</f>
        <v/>
      </c>
      <c r="G239" s="63">
        <f>MAX(Assumptions!$B$226*G7,Assumptions!$B$199*G162)</f>
        <v/>
      </c>
      <c r="H239" s="63">
        <f>MAX(Assumptions!$B$226*H7,Assumptions!$B$199*H162)</f>
        <v/>
      </c>
      <c r="I239" s="63">
        <f>MAX(Assumptions!$B$226*I7,Assumptions!$B$199*I162)</f>
        <v/>
      </c>
      <c r="J239" s="63">
        <f>MAX(Assumptions!$B$226*J7,Assumptions!$B$199*J162)</f>
        <v/>
      </c>
      <c r="K239" s="63">
        <f>MAX(Assumptions!$B$226*K7,Assumptions!$B$199*K162)</f>
        <v/>
      </c>
      <c r="L239" s="63">
        <f>MAX(Assumptions!$B$226*L7,Assumptions!$B$199*L162)</f>
        <v/>
      </c>
      <c r="M239" s="63">
        <f>MAX(Assumptions!$B$226*M7,Assumptions!$B$199*M162)</f>
        <v/>
      </c>
      <c r="N239" s="63">
        <f>MAX(Assumptions!$B$226*N7,Assumptions!$B$199*N162)</f>
        <v/>
      </c>
      <c r="O239" s="63">
        <f>MAX(Assumptions!$B$226*O7,Assumptions!$B$199*O162)</f>
        <v/>
      </c>
      <c r="P239" s="63">
        <f>MAX(Assumptions!$B$226*P7,Assumptions!$B$199*P162)</f>
        <v/>
      </c>
      <c r="Q239" s="63">
        <f>MAX(Assumptions!$B$226*Q7,Assumptions!$B$199*Q162)</f>
        <v/>
      </c>
      <c r="R239" s="63">
        <f>MAX(Assumptions!$B$226*R7,Assumptions!$B$199*R162)</f>
        <v/>
      </c>
      <c r="S239" s="63">
        <f>MAX(Assumptions!$B$226*S7,Assumptions!$B$199*S162)</f>
        <v/>
      </c>
      <c r="T239" s="63">
        <f>MAX(Assumptions!$B$226*T7,Assumptions!$B$199*T162)</f>
        <v/>
      </c>
      <c r="U239" s="63">
        <f>MAX(Assumptions!$B$226*U7,Assumptions!$B$199*U162)</f>
        <v/>
      </c>
      <c r="V239" s="63">
        <f>MAX(Assumptions!$B$226*V7,Assumptions!$B$199*V162)</f>
        <v/>
      </c>
      <c r="W239" s="63">
        <f>MAX(Assumptions!$B$226*W7,Assumptions!$B$199*W162)</f>
        <v/>
      </c>
      <c r="X239" s="63">
        <f>MAX(Assumptions!$B$226*X7,Assumptions!$B$199*X162)</f>
        <v/>
      </c>
      <c r="Y239" s="63">
        <f>MAX(Assumptions!$B$226*Y7,Assumptions!$B$199*Y162)</f>
        <v/>
      </c>
      <c r="Z239" s="63">
        <f>MAX(Assumptions!$B$226*Z7,Assumptions!$B$199*Z162)</f>
        <v/>
      </c>
      <c r="AA239" s="63">
        <f>MAX(Assumptions!$B$226*AA7,Assumptions!$B$199*AA162)</f>
        <v/>
      </c>
      <c r="AB239" s="63">
        <f>MAX(Assumptions!$B$226*AB7,Assumptions!$B$199*AB162)</f>
        <v/>
      </c>
      <c r="AC239" s="63">
        <f>MAX(Assumptions!$B$226*AC7,Assumptions!$B$199*AC162)</f>
        <v/>
      </c>
      <c r="AD239" s="63">
        <f>MAX(Assumptions!$B$226*AD7,Assumptions!$B$199*AD162)</f>
        <v/>
      </c>
      <c r="AE239" s="63">
        <f>MAX(Assumptions!$B$226*AE7,Assumptions!$B$199*AE162)</f>
        <v/>
      </c>
    </row>
    <row r="240">
      <c r="A240" s="9" t="inlineStr">
        <is>
          <t>MAX(the monthly minimum, per-verification cost x new customers). Charged on SUCCESSFUL verifications only. The minimum binds below about 162 verifications a month, which is most of the first two years.</t>
        </is>
      </c>
    </row>
    <row r="241">
      <c r="A241" s="6" t="inlineStr">
        <is>
          <t>OPEX - One-off Year 1 (licence application, incorporation, launch audit)</t>
        </is>
      </c>
      <c r="B241" s="23" t="inlineStr">
        <is>
          <t>USD</t>
        </is>
      </c>
      <c r="C241" s="63">
        <f>IF(C2=1,(Assumptions!$B$196+Assumptions!$B$198)/Assumptions!$B$7+Assumptions!$B$206,0)</f>
        <v/>
      </c>
      <c r="D241" s="63">
        <f>IF(D2=1,(Assumptions!$B$196+Assumptions!$B$198)/Assumptions!$B$7+Assumptions!$B$206,0)</f>
        <v/>
      </c>
      <c r="E241" s="63">
        <f>IF(E2=1,(Assumptions!$B$196+Assumptions!$B$198)/Assumptions!$B$7+Assumptions!$B$206,0)</f>
        <v/>
      </c>
      <c r="F241" s="63">
        <f>IF(F2=1,(Assumptions!$B$196+Assumptions!$B$198)/Assumptions!$B$7+Assumptions!$B$206,0)</f>
        <v/>
      </c>
      <c r="G241" s="63">
        <f>IF(G2=1,(Assumptions!$B$196+Assumptions!$B$198)/Assumptions!$B$7+Assumptions!$B$206,0)</f>
        <v/>
      </c>
      <c r="H241" s="63">
        <f>IF(H2=1,(Assumptions!$B$196+Assumptions!$B$198)/Assumptions!$B$7+Assumptions!$B$206,0)</f>
        <v/>
      </c>
      <c r="I241" s="63">
        <f>IF(I2=1,(Assumptions!$B$196+Assumptions!$B$198)/Assumptions!$B$7+Assumptions!$B$206,0)</f>
        <v/>
      </c>
      <c r="J241" s="63">
        <f>IF(J2=1,(Assumptions!$B$196+Assumptions!$B$198)/Assumptions!$B$7+Assumptions!$B$206,0)</f>
        <v/>
      </c>
      <c r="K241" s="63">
        <f>IF(K2=1,(Assumptions!$B$196+Assumptions!$B$198)/Assumptions!$B$7+Assumptions!$B$206,0)</f>
        <v/>
      </c>
      <c r="L241" s="63">
        <f>IF(L2=1,(Assumptions!$B$196+Assumptions!$B$198)/Assumptions!$B$7+Assumptions!$B$206,0)</f>
        <v/>
      </c>
      <c r="M241" s="63">
        <f>IF(M2=1,(Assumptions!$B$196+Assumptions!$B$198)/Assumptions!$B$7+Assumptions!$B$206,0)</f>
        <v/>
      </c>
      <c r="N241" s="63">
        <f>IF(N2=1,(Assumptions!$B$196+Assumptions!$B$198)/Assumptions!$B$7+Assumptions!$B$206,0)</f>
        <v/>
      </c>
      <c r="O241" s="63">
        <f>IF(O2=1,(Assumptions!$B$196+Assumptions!$B$198)/Assumptions!$B$7+Assumptions!$B$206,0)</f>
        <v/>
      </c>
      <c r="P241" s="63">
        <f>IF(P2=1,(Assumptions!$B$196+Assumptions!$B$198)/Assumptions!$B$7+Assumptions!$B$206,0)</f>
        <v/>
      </c>
      <c r="Q241" s="63">
        <f>IF(Q2=1,(Assumptions!$B$196+Assumptions!$B$198)/Assumptions!$B$7+Assumptions!$B$206,0)</f>
        <v/>
      </c>
      <c r="R241" s="63">
        <f>IF(R2=1,(Assumptions!$B$196+Assumptions!$B$198)/Assumptions!$B$7+Assumptions!$B$206,0)</f>
        <v/>
      </c>
      <c r="S241" s="63">
        <f>IF(S2=1,(Assumptions!$B$196+Assumptions!$B$198)/Assumptions!$B$7+Assumptions!$B$206,0)</f>
        <v/>
      </c>
      <c r="T241" s="63">
        <f>IF(T2=1,(Assumptions!$B$196+Assumptions!$B$198)/Assumptions!$B$7+Assumptions!$B$206,0)</f>
        <v/>
      </c>
      <c r="U241" s="63">
        <f>IF(U2=1,(Assumptions!$B$196+Assumptions!$B$198)/Assumptions!$B$7+Assumptions!$B$206,0)</f>
        <v/>
      </c>
      <c r="V241" s="63">
        <f>IF(V2=1,(Assumptions!$B$196+Assumptions!$B$198)/Assumptions!$B$7+Assumptions!$B$206,0)</f>
        <v/>
      </c>
      <c r="W241" s="63">
        <f>IF(W2=1,(Assumptions!$B$196+Assumptions!$B$198)/Assumptions!$B$7+Assumptions!$B$206,0)</f>
        <v/>
      </c>
      <c r="X241" s="63">
        <f>IF(X2=1,(Assumptions!$B$196+Assumptions!$B$198)/Assumptions!$B$7+Assumptions!$B$206,0)</f>
        <v/>
      </c>
      <c r="Y241" s="63">
        <f>IF(Y2=1,(Assumptions!$B$196+Assumptions!$B$198)/Assumptions!$B$7+Assumptions!$B$206,0)</f>
        <v/>
      </c>
      <c r="Z241" s="63">
        <f>IF(Z2=1,(Assumptions!$B$196+Assumptions!$B$198)/Assumptions!$B$7+Assumptions!$B$206,0)</f>
        <v/>
      </c>
      <c r="AA241" s="63">
        <f>IF(AA2=1,(Assumptions!$B$196+Assumptions!$B$198)/Assumptions!$B$7+Assumptions!$B$206,0)</f>
        <v/>
      </c>
      <c r="AB241" s="63">
        <f>IF(AB2=1,(Assumptions!$B$196+Assumptions!$B$198)/Assumptions!$B$7+Assumptions!$B$206,0)</f>
        <v/>
      </c>
      <c r="AC241" s="63">
        <f>IF(AC2=1,(Assumptions!$B$196+Assumptions!$B$198)/Assumptions!$B$7+Assumptions!$B$206,0)</f>
        <v/>
      </c>
      <c r="AD241" s="63">
        <f>IF(AD2=1,(Assumptions!$B$196+Assumptions!$B$198)/Assumptions!$B$7+Assumptions!$B$206,0)</f>
        <v/>
      </c>
      <c r="AE241" s="63">
        <f>IF(AE2=1,(Assumptions!$B$196+Assumptions!$B$198)/Assumptions!$B$7+Assumptions!$B$206,0)</f>
        <v/>
      </c>
    </row>
    <row r="242">
      <c r="A242" s="9" t="inlineStr">
        <is>
          <t>M1 ONLY: the VARA licence application, DMCC incorporation, and the pre-launch technology and smart contract audit. The VARA fee is spent at submission whether or not the licence is granted - the application is not processed until it is paid.</t>
        </is>
      </c>
    </row>
    <row r="243">
      <c r="A243" s="6" t="inlineStr">
        <is>
          <t>OPEX - Insurance (PI, D&amp;O, crime)</t>
        </is>
      </c>
      <c r="B243" s="23" t="inlineStr">
        <is>
          <t>USD</t>
        </is>
      </c>
      <c r="C243" s="63">
        <f>Assumptions!$B$203*C7/12</f>
        <v/>
      </c>
      <c r="D243" s="63">
        <f>Assumptions!$B$203*D7/12</f>
        <v/>
      </c>
      <c r="E243" s="63">
        <f>Assumptions!$B$203*E7/12</f>
        <v/>
      </c>
      <c r="F243" s="63">
        <f>Assumptions!$B$203*F7/12</f>
        <v/>
      </c>
      <c r="G243" s="63">
        <f>Assumptions!$B$203*G7/12</f>
        <v/>
      </c>
      <c r="H243" s="63">
        <f>Assumptions!$B$203*H7/12</f>
        <v/>
      </c>
      <c r="I243" s="63">
        <f>Assumptions!$B$203*I7/12</f>
        <v/>
      </c>
      <c r="J243" s="63">
        <f>Assumptions!$B$203*J7/12</f>
        <v/>
      </c>
      <c r="K243" s="63">
        <f>Assumptions!$B$203*K7/12</f>
        <v/>
      </c>
      <c r="L243" s="63">
        <f>Assumptions!$B$203*L7/12</f>
        <v/>
      </c>
      <c r="M243" s="63">
        <f>Assumptions!$B$203*M7/12</f>
        <v/>
      </c>
      <c r="N243" s="63">
        <f>Assumptions!$B$203*N7/12</f>
        <v/>
      </c>
      <c r="O243" s="63">
        <f>Assumptions!$B$203*O7/12</f>
        <v/>
      </c>
      <c r="P243" s="63">
        <f>Assumptions!$B$203*P7/12</f>
        <v/>
      </c>
      <c r="Q243" s="63">
        <f>Assumptions!$B$203*Q7/12</f>
        <v/>
      </c>
      <c r="R243" s="63">
        <f>Assumptions!$B$203*R7/12</f>
        <v/>
      </c>
      <c r="S243" s="63">
        <f>Assumptions!$B$203*S7/12</f>
        <v/>
      </c>
      <c r="T243" s="63">
        <f>Assumptions!$B$203*T7/12</f>
        <v/>
      </c>
      <c r="U243" s="63">
        <f>Assumptions!$B$203*U7/12</f>
        <v/>
      </c>
      <c r="V243" s="63">
        <f>Assumptions!$B$203*V7/12</f>
        <v/>
      </c>
      <c r="W243" s="63">
        <f>Assumptions!$B$203*W7/12</f>
        <v/>
      </c>
      <c r="X243" s="63">
        <f>Assumptions!$B$203*X7/12</f>
        <v/>
      </c>
      <c r="Y243" s="63">
        <f>Assumptions!$B$203*Y7/12</f>
        <v/>
      </c>
      <c r="Z243" s="63">
        <f>Assumptions!$B$203*Z7/12</f>
        <v/>
      </c>
      <c r="AA243" s="63">
        <f>Assumptions!$B$203*AA7/12</f>
        <v/>
      </c>
      <c r="AB243" s="63">
        <f>Assumptions!$B$203*AB7/12</f>
        <v/>
      </c>
      <c r="AC243" s="63">
        <f>Assumptions!$B$203*AC7/12</f>
        <v/>
      </c>
      <c r="AD243" s="63">
        <f>Assumptions!$B$203*AD7/12</f>
        <v/>
      </c>
      <c r="AE243" s="63">
        <f>Assumptions!$B$203*AE7/12</f>
        <v/>
      </c>
    </row>
    <row r="244">
      <c r="A244" s="9" t="inlineStr">
        <is>
          <t>MANDATORY under Company Rulebook VI.D, which names professional indemnity, directors' and officers', and CRIME COVER FOR VIRTUAL ASSETS IN HOT WALLETS. No minimum sum is prescribed - VARA judges adequacy at licensing. THE METAL IS NOT COVERED HERE: vault storage already includes insurance on the gold.</t>
        </is>
      </c>
    </row>
    <row r="245">
      <c r="A245" s="6" t="inlineStr">
        <is>
          <t>OPEX - Audit and reserve attestation</t>
        </is>
      </c>
      <c r="B245" s="23" t="inlineStr">
        <is>
          <t>USD</t>
        </is>
      </c>
      <c r="C245" s="63">
        <f>Assumptions!$B$204*C7/12</f>
        <v/>
      </c>
      <c r="D245" s="63">
        <f>Assumptions!$B$204*D7/12</f>
        <v/>
      </c>
      <c r="E245" s="63">
        <f>Assumptions!$B$204*E7/12</f>
        <v/>
      </c>
      <c r="F245" s="63">
        <f>Assumptions!$B$204*F7/12</f>
        <v/>
      </c>
      <c r="G245" s="63">
        <f>Assumptions!$B$204*G7/12</f>
        <v/>
      </c>
      <c r="H245" s="63">
        <f>Assumptions!$B$204*H7/12</f>
        <v/>
      </c>
      <c r="I245" s="63">
        <f>Assumptions!$B$204*I7/12</f>
        <v/>
      </c>
      <c r="J245" s="63">
        <f>Assumptions!$B$204*J7/12</f>
        <v/>
      </c>
      <c r="K245" s="63">
        <f>Assumptions!$B$204*K7/12</f>
        <v/>
      </c>
      <c r="L245" s="63">
        <f>Assumptions!$B$204*L7/12</f>
        <v/>
      </c>
      <c r="M245" s="63">
        <f>Assumptions!$B$204*M7/12</f>
        <v/>
      </c>
      <c r="N245" s="63">
        <f>Assumptions!$B$204*N7/12</f>
        <v/>
      </c>
      <c r="O245" s="63">
        <f>Assumptions!$B$204*O7/12</f>
        <v/>
      </c>
      <c r="P245" s="63">
        <f>Assumptions!$B$204*P7/12</f>
        <v/>
      </c>
      <c r="Q245" s="63">
        <f>Assumptions!$B$204*Q7/12</f>
        <v/>
      </c>
      <c r="R245" s="63">
        <f>Assumptions!$B$204*R7/12</f>
        <v/>
      </c>
      <c r="S245" s="63">
        <f>Assumptions!$B$204*S7/12</f>
        <v/>
      </c>
      <c r="T245" s="63">
        <f>Assumptions!$B$204*T7/12</f>
        <v/>
      </c>
      <c r="U245" s="63">
        <f>Assumptions!$B$204*U7/12</f>
        <v/>
      </c>
      <c r="V245" s="63">
        <f>Assumptions!$B$204*V7/12</f>
        <v/>
      </c>
      <c r="W245" s="63">
        <f>Assumptions!$B$204*W7/12</f>
        <v/>
      </c>
      <c r="X245" s="63">
        <f>Assumptions!$B$204*X7/12</f>
        <v/>
      </c>
      <c r="Y245" s="63">
        <f>Assumptions!$B$204*Y7/12</f>
        <v/>
      </c>
      <c r="Z245" s="63">
        <f>Assumptions!$B$204*Z7/12</f>
        <v/>
      </c>
      <c r="AA245" s="63">
        <f>Assumptions!$B$204*AA7/12</f>
        <v/>
      </c>
      <c r="AB245" s="63">
        <f>Assumptions!$B$204*AB7/12</f>
        <v/>
      </c>
      <c r="AC245" s="63">
        <f>Assumptions!$B$204*AC7/12</f>
        <v/>
      </c>
      <c r="AD245" s="63">
        <f>Assumptions!$B$204*AD7/12</f>
        <v/>
      </c>
      <c r="AE245" s="63">
        <f>Assumptions!$B$204*AE7/12</f>
        <v/>
      </c>
    </row>
    <row r="246">
      <c r="A246" s="9" t="inlineStr">
        <is>
          <t>A SIX-MONTHLY independent audit plus an ANNUAL financial-statement audit, both mandatory under Issuance Rulebook III.D, each followed by a Senior Management attestation to VARA. UNDER OPTION A the six-monthly engagement audits TOKEN SUPPLY, not a reserve pool - limb (b) of III.D.2.a applies only 'if applicable' and direct ownership has no Reserve Assets. THE FEE IS UNPRICED BY EVERY ISSUER, AUDITOR AND REGULATOR CHECKED - this is a placeholder.</t>
        </is>
      </c>
    </row>
    <row r="247">
      <c r="A247" s="6" t="inlineStr">
        <is>
          <t>OPEX - Technology audit and penetration testing</t>
        </is>
      </c>
      <c r="B247" s="23" t="inlineStr">
        <is>
          <t>USD</t>
        </is>
      </c>
      <c r="C247" s="63">
        <f>Assumptions!$B$205*C7/12</f>
        <v/>
      </c>
      <c r="D247" s="63">
        <f>Assumptions!$B$205*D7/12</f>
        <v/>
      </c>
      <c r="E247" s="63">
        <f>Assumptions!$B$205*E7/12</f>
        <v/>
      </c>
      <c r="F247" s="63">
        <f>Assumptions!$B$205*F7/12</f>
        <v/>
      </c>
      <c r="G247" s="63">
        <f>Assumptions!$B$205*G7/12</f>
        <v/>
      </c>
      <c r="H247" s="63">
        <f>Assumptions!$B$205*H7/12</f>
        <v/>
      </c>
      <c r="I247" s="63">
        <f>Assumptions!$B$205*I7/12</f>
        <v/>
      </c>
      <c r="J247" s="63">
        <f>Assumptions!$B$205*J7/12</f>
        <v/>
      </c>
      <c r="K247" s="63">
        <f>Assumptions!$B$205*K7/12</f>
        <v/>
      </c>
      <c r="L247" s="63">
        <f>Assumptions!$B$205*L7/12</f>
        <v/>
      </c>
      <c r="M247" s="63">
        <f>Assumptions!$B$205*M7/12</f>
        <v/>
      </c>
      <c r="N247" s="63">
        <f>Assumptions!$B$205*N7/12</f>
        <v/>
      </c>
      <c r="O247" s="63">
        <f>Assumptions!$B$205*O7/12</f>
        <v/>
      </c>
      <c r="P247" s="63">
        <f>Assumptions!$B$205*P7/12</f>
        <v/>
      </c>
      <c r="Q247" s="63">
        <f>Assumptions!$B$205*Q7/12</f>
        <v/>
      </c>
      <c r="R247" s="63">
        <f>Assumptions!$B$205*R7/12</f>
        <v/>
      </c>
      <c r="S247" s="63">
        <f>Assumptions!$B$205*S7/12</f>
        <v/>
      </c>
      <c r="T247" s="63">
        <f>Assumptions!$B$205*T7/12</f>
        <v/>
      </c>
      <c r="U247" s="63">
        <f>Assumptions!$B$205*U7/12</f>
        <v/>
      </c>
      <c r="V247" s="63">
        <f>Assumptions!$B$205*V7/12</f>
        <v/>
      </c>
      <c r="W247" s="63">
        <f>Assumptions!$B$205*W7/12</f>
        <v/>
      </c>
      <c r="X247" s="63">
        <f>Assumptions!$B$205*X7/12</f>
        <v/>
      </c>
      <c r="Y247" s="63">
        <f>Assumptions!$B$205*Y7/12</f>
        <v/>
      </c>
      <c r="Z247" s="63">
        <f>Assumptions!$B$205*Z7/12</f>
        <v/>
      </c>
      <c r="AA247" s="63">
        <f>Assumptions!$B$205*AA7/12</f>
        <v/>
      </c>
      <c r="AB247" s="63">
        <f>Assumptions!$B$205*AB7/12</f>
        <v/>
      </c>
      <c r="AC247" s="63">
        <f>Assumptions!$B$205*AC7/12</f>
        <v/>
      </c>
      <c r="AD247" s="63">
        <f>Assumptions!$B$205*AD7/12</f>
        <v/>
      </c>
      <c r="AE247" s="63">
        <f>Assumptions!$B$205*AE7/12</f>
        <v/>
      </c>
    </row>
    <row r="248">
      <c r="A248" s="9" t="inlineStr">
        <is>
          <t>ANNUAL AND RECURRING, not a launch one-off - Technology Rulebook E requires an independent third-party vulnerability assessment and penetration test at least annually AND before any new system, application or product goes live. THE PER-LAUNCH TRIGGER IS NOT MODELLED: it is a step cost tied to a product roadmap that does not exist yet, so a year with several launches costs more than this shows.</t>
        </is>
      </c>
    </row>
    <row r="249">
      <c r="A249" s="6" t="inlineStr">
        <is>
          <t>OPEX - Redemption handling (no fee may be charged)</t>
        </is>
      </c>
      <c r="B249" s="23" t="inlineStr">
        <is>
          <t>USD</t>
        </is>
      </c>
      <c r="C249" s="63">
        <f>C195*Assumptions!$B$43</f>
        <v/>
      </c>
      <c r="D249" s="63">
        <f>D195*Assumptions!$B$43</f>
        <v/>
      </c>
      <c r="E249" s="63">
        <f>E195*Assumptions!$B$43</f>
        <v/>
      </c>
      <c r="F249" s="63">
        <f>F195*Assumptions!$B$43</f>
        <v/>
      </c>
      <c r="G249" s="63">
        <f>G195*Assumptions!$B$43</f>
        <v/>
      </c>
      <c r="H249" s="63">
        <f>H195*Assumptions!$B$43</f>
        <v/>
      </c>
      <c r="I249" s="63">
        <f>I195*Assumptions!$B$43</f>
        <v/>
      </c>
      <c r="J249" s="63">
        <f>J195*Assumptions!$B$43</f>
        <v/>
      </c>
      <c r="K249" s="63">
        <f>K195*Assumptions!$B$43</f>
        <v/>
      </c>
      <c r="L249" s="63">
        <f>L195*Assumptions!$B$43</f>
        <v/>
      </c>
      <c r="M249" s="63">
        <f>M195*Assumptions!$B$43</f>
        <v/>
      </c>
      <c r="N249" s="63">
        <f>N195*Assumptions!$B$43</f>
        <v/>
      </c>
      <c r="O249" s="63">
        <f>O195*Assumptions!$B$43</f>
        <v/>
      </c>
      <c r="P249" s="63">
        <f>P195*Assumptions!$B$43</f>
        <v/>
      </c>
      <c r="Q249" s="63">
        <f>Q195*Assumptions!$B$43</f>
        <v/>
      </c>
      <c r="R249" s="63">
        <f>R195*Assumptions!$B$43</f>
        <v/>
      </c>
      <c r="S249" s="63">
        <f>S195*Assumptions!$B$43</f>
        <v/>
      </c>
      <c r="T249" s="63">
        <f>T195*Assumptions!$B$43</f>
        <v/>
      </c>
      <c r="U249" s="63">
        <f>U195*Assumptions!$B$43</f>
        <v/>
      </c>
      <c r="V249" s="63">
        <f>V195*Assumptions!$B$43</f>
        <v/>
      </c>
      <c r="W249" s="63">
        <f>W195*Assumptions!$B$43</f>
        <v/>
      </c>
      <c r="X249" s="63">
        <f>X195*Assumptions!$B$43</f>
        <v/>
      </c>
      <c r="Y249" s="63">
        <f>Y195*Assumptions!$B$43</f>
        <v/>
      </c>
      <c r="Z249" s="63">
        <f>Z195*Assumptions!$B$43</f>
        <v/>
      </c>
      <c r="AA249" s="63">
        <f>AA195*Assumptions!$B$43</f>
        <v/>
      </c>
      <c r="AB249" s="63">
        <f>AB195*Assumptions!$B$43</f>
        <v/>
      </c>
      <c r="AC249" s="63">
        <f>AC195*Assumptions!$B$43</f>
        <v/>
      </c>
      <c r="AD249" s="63">
        <f>AD195*Assumptions!$B$43</f>
        <v/>
      </c>
      <c r="AE249" s="63">
        <f>AE195*Assumptions!$B$43</f>
        <v/>
      </c>
    </row>
    <row r="250">
      <c r="A250" s="9" t="inlineStr">
        <is>
          <t>USD 3.20 per event: Sumsub AML RE-SCREENING at 1.85 plus operational handling at about 1.35. The outbound bank transfer fee was removed - that is the customer's to bear. NOT A DOUBLE COUNT WITH THE KYC LINE: that one charges new customers at onboarding, this one charges a different event. THE ASYMMETRY IS REGULATORY, NOT A CHOICE: Aurumix may pass through the cost of taking money IN (the rail, D31) but is forbidden from passing through the cost of paying it OUT. Immaterial at Base rates; it becomes material exactly in a redemption spike, which is when cash is scarcest.</t>
        </is>
      </c>
    </row>
    <row r="251">
      <c r="A251" s="6" t="inlineStr">
        <is>
          <t>OPEX - Technology build (Y1-Y2)</t>
        </is>
      </c>
      <c r="B251" s="23" t="inlineStr">
        <is>
          <t>USD</t>
        </is>
      </c>
      <c r="C251" s="63">
        <f>IF(C5=1,Assumptions!$B$222/12*C7,IF(C5=2,Assumptions!$B$223/12*C7,0))</f>
        <v/>
      </c>
      <c r="D251" s="63">
        <f>IF(D5=1,Assumptions!$B$222/12*D7,IF(D5=2,Assumptions!$B$223/12*D7,0))</f>
        <v/>
      </c>
      <c r="E251" s="63">
        <f>IF(E5=1,Assumptions!$B$222/12*E7,IF(E5=2,Assumptions!$B$223/12*E7,0))</f>
        <v/>
      </c>
      <c r="F251" s="63">
        <f>IF(F5=1,Assumptions!$B$222/12*F7,IF(F5=2,Assumptions!$B$223/12*F7,0))</f>
        <v/>
      </c>
      <c r="G251" s="63">
        <f>IF(G5=1,Assumptions!$B$222/12*G7,IF(G5=2,Assumptions!$B$223/12*G7,0))</f>
        <v/>
      </c>
      <c r="H251" s="63">
        <f>IF(H5=1,Assumptions!$B$222/12*H7,IF(H5=2,Assumptions!$B$223/12*H7,0))</f>
        <v/>
      </c>
      <c r="I251" s="63">
        <f>IF(I5=1,Assumptions!$B$222/12*I7,IF(I5=2,Assumptions!$B$223/12*I7,0))</f>
        <v/>
      </c>
      <c r="J251" s="63">
        <f>IF(J5=1,Assumptions!$B$222/12*J7,IF(J5=2,Assumptions!$B$223/12*J7,0))</f>
        <v/>
      </c>
      <c r="K251" s="63">
        <f>IF(K5=1,Assumptions!$B$222/12*K7,IF(K5=2,Assumptions!$B$223/12*K7,0))</f>
        <v/>
      </c>
      <c r="L251" s="63">
        <f>IF(L5=1,Assumptions!$B$222/12*L7,IF(L5=2,Assumptions!$B$223/12*L7,0))</f>
        <v/>
      </c>
      <c r="M251" s="63">
        <f>IF(M5=1,Assumptions!$B$222/12*M7,IF(M5=2,Assumptions!$B$223/12*M7,0))</f>
        <v/>
      </c>
      <c r="N251" s="63">
        <f>IF(N5=1,Assumptions!$B$222/12*N7,IF(N5=2,Assumptions!$B$223/12*N7,0))</f>
        <v/>
      </c>
      <c r="O251" s="63">
        <f>IF(O5=1,Assumptions!$B$222/12*O7,IF(O5=2,Assumptions!$B$223/12*O7,0))</f>
        <v/>
      </c>
      <c r="P251" s="63">
        <f>IF(P5=1,Assumptions!$B$222/12*P7,IF(P5=2,Assumptions!$B$223/12*P7,0))</f>
        <v/>
      </c>
      <c r="Q251" s="63">
        <f>IF(Q5=1,Assumptions!$B$222/12*Q7,IF(Q5=2,Assumptions!$B$223/12*Q7,0))</f>
        <v/>
      </c>
      <c r="R251" s="63">
        <f>IF(R5=1,Assumptions!$B$222/12*R7,IF(R5=2,Assumptions!$B$223/12*R7,0))</f>
        <v/>
      </c>
      <c r="S251" s="63">
        <f>IF(S5=1,Assumptions!$B$222/12*S7,IF(S5=2,Assumptions!$B$223/12*S7,0))</f>
        <v/>
      </c>
      <c r="T251" s="63">
        <f>IF(T5=1,Assumptions!$B$222/12*T7,IF(T5=2,Assumptions!$B$223/12*T7,0))</f>
        <v/>
      </c>
      <c r="U251" s="63">
        <f>IF(U5=1,Assumptions!$B$222/12*U7,IF(U5=2,Assumptions!$B$223/12*U7,0))</f>
        <v/>
      </c>
      <c r="V251" s="63">
        <f>IF(V5=1,Assumptions!$B$222/12*V7,IF(V5=2,Assumptions!$B$223/12*V7,0))</f>
        <v/>
      </c>
      <c r="W251" s="63">
        <f>IF(W5=1,Assumptions!$B$222/12*W7,IF(W5=2,Assumptions!$B$223/12*W7,0))</f>
        <v/>
      </c>
      <c r="X251" s="63">
        <f>IF(X5=1,Assumptions!$B$222/12*X7,IF(X5=2,Assumptions!$B$223/12*X7,0))</f>
        <v/>
      </c>
      <c r="Y251" s="63">
        <f>IF(Y5=1,Assumptions!$B$222/12*Y7,IF(Y5=2,Assumptions!$B$223/12*Y7,0))</f>
        <v/>
      </c>
      <c r="Z251" s="63">
        <f>IF(Z5=1,Assumptions!$B$222/12*Z7,IF(Z5=2,Assumptions!$B$223/12*Z7,0))</f>
        <v/>
      </c>
      <c r="AA251" s="63">
        <f>IF(AA5=1,Assumptions!$B$222/12*AA7,IF(AA5=2,Assumptions!$B$223/12*AA7,0))</f>
        <v/>
      </c>
      <c r="AB251" s="63">
        <f>IF(AB5=1,Assumptions!$B$222/12*AB7,IF(AB5=2,Assumptions!$B$223/12*AB7,0))</f>
        <v/>
      </c>
      <c r="AC251" s="63">
        <f>IF(AC5=1,Assumptions!$B$222/12*AC7,IF(AC5=2,Assumptions!$B$223/12*AC7,0))</f>
        <v/>
      </c>
      <c r="AD251" s="63">
        <f>IF(AD5=1,Assumptions!$B$222/12*AD7,IF(AD5=2,Assumptions!$B$223/12*AD7,0))</f>
        <v/>
      </c>
      <c r="AE251" s="63">
        <f>IF(AE5=1,Assumptions!$B$222/12*AE7,IF(AE5=2,Assumptions!$B$223/12*AE7,0))</f>
        <v/>
      </c>
    </row>
    <row r="252">
      <c r="A252" s="9" t="inlineStr">
        <is>
          <t>THE APP, LEDGER, WALLET, TOKEN CONTRACT AND EVERY INTEGRATION - card, KYC, payment rail, custody. Y2 carries the card and credit layer, which activates at period 13, so it is a second product going live rather than a tidy-up. THE SMART CONTRACT AUDIT IS IN THE YEAR 1 ONE-OFF LINE, not here.</t>
        </is>
      </c>
    </row>
    <row r="253">
      <c r="A253" s="6" t="inlineStr">
        <is>
          <t>OPEX - Technology maintenance (Y3 onward)</t>
        </is>
      </c>
      <c r="B253" s="23" t="inlineStr">
        <is>
          <t>USD</t>
        </is>
      </c>
      <c r="C253" s="63">
        <f>IF(C5&gt;=3,Assumptions!$B$224/12*C7,0)</f>
        <v/>
      </c>
      <c r="D253" s="63">
        <f>IF(D5&gt;=3,Assumptions!$B$224/12*D7,0)</f>
        <v/>
      </c>
      <c r="E253" s="63">
        <f>IF(E5&gt;=3,Assumptions!$B$224/12*E7,0)</f>
        <v/>
      </c>
      <c r="F253" s="63">
        <f>IF(F5&gt;=3,Assumptions!$B$224/12*F7,0)</f>
        <v/>
      </c>
      <c r="G253" s="63">
        <f>IF(G5&gt;=3,Assumptions!$B$224/12*G7,0)</f>
        <v/>
      </c>
      <c r="H253" s="63">
        <f>IF(H5&gt;=3,Assumptions!$B$224/12*H7,0)</f>
        <v/>
      </c>
      <c r="I253" s="63">
        <f>IF(I5&gt;=3,Assumptions!$B$224/12*I7,0)</f>
        <v/>
      </c>
      <c r="J253" s="63">
        <f>IF(J5&gt;=3,Assumptions!$B$224/12*J7,0)</f>
        <v/>
      </c>
      <c r="K253" s="63">
        <f>IF(K5&gt;=3,Assumptions!$B$224/12*K7,0)</f>
        <v/>
      </c>
      <c r="L253" s="63">
        <f>IF(L5&gt;=3,Assumptions!$B$224/12*L7,0)</f>
        <v/>
      </c>
      <c r="M253" s="63">
        <f>IF(M5&gt;=3,Assumptions!$B$224/12*M7,0)</f>
        <v/>
      </c>
      <c r="N253" s="63">
        <f>IF(N5&gt;=3,Assumptions!$B$224/12*N7,0)</f>
        <v/>
      </c>
      <c r="O253" s="63">
        <f>IF(O5&gt;=3,Assumptions!$B$224/12*O7,0)</f>
        <v/>
      </c>
      <c r="P253" s="63">
        <f>IF(P5&gt;=3,Assumptions!$B$224/12*P7,0)</f>
        <v/>
      </c>
      <c r="Q253" s="63">
        <f>IF(Q5&gt;=3,Assumptions!$B$224/12*Q7,0)</f>
        <v/>
      </c>
      <c r="R253" s="63">
        <f>IF(R5&gt;=3,Assumptions!$B$224/12*R7,0)</f>
        <v/>
      </c>
      <c r="S253" s="63">
        <f>IF(S5&gt;=3,Assumptions!$B$224/12*S7,0)</f>
        <v/>
      </c>
      <c r="T253" s="63">
        <f>IF(T5&gt;=3,Assumptions!$B$224/12*T7,0)</f>
        <v/>
      </c>
      <c r="U253" s="63">
        <f>IF(U5&gt;=3,Assumptions!$B$224/12*U7,0)</f>
        <v/>
      </c>
      <c r="V253" s="63">
        <f>IF(V5&gt;=3,Assumptions!$B$224/12*V7,0)</f>
        <v/>
      </c>
      <c r="W253" s="63">
        <f>IF(W5&gt;=3,Assumptions!$B$224/12*W7,0)</f>
        <v/>
      </c>
      <c r="X253" s="63">
        <f>IF(X5&gt;=3,Assumptions!$B$224/12*X7,0)</f>
        <v/>
      </c>
      <c r="Y253" s="63">
        <f>IF(Y5&gt;=3,Assumptions!$B$224/12*Y7,0)</f>
        <v/>
      </c>
      <c r="Z253" s="63">
        <f>IF(Z5&gt;=3,Assumptions!$B$224/12*Z7,0)</f>
        <v/>
      </c>
      <c r="AA253" s="63">
        <f>IF(AA5&gt;=3,Assumptions!$B$224/12*AA7,0)</f>
        <v/>
      </c>
      <c r="AB253" s="63">
        <f>IF(AB5&gt;=3,Assumptions!$B$224/12*AB7,0)</f>
        <v/>
      </c>
      <c r="AC253" s="63">
        <f>IF(AC5&gt;=3,Assumptions!$B$224/12*AC7,0)</f>
        <v/>
      </c>
      <c r="AD253" s="63">
        <f>IF(AD5&gt;=3,Assumptions!$B$224/12*AD7,0)</f>
        <v/>
      </c>
      <c r="AE253" s="63">
        <f>IF(AE5&gt;=3,Assumptions!$B$224/12*AE7,0)</f>
        <v/>
      </c>
    </row>
    <row r="254">
      <c r="A254" s="9" t="inlineStr">
        <is>
          <t>FLAT FROM Y3, WHICH UNDERSTATES THE BACK YEARS - the book grows from about 4,000 paying customers to over 70,000 across that span while this line does not move. ON-CHAIN MINTING IS NOT IN HERE AND IS NOT ZERO: about 855,000 mint events a year at Y7. On an L2 that is roughly USD 8,500/yr; on Ethereum mainnet it is about USD 1.7m/yr. NOBODY HAS RECORDED WHICH CHAIN AURUMIX ISSUES ON, so it is left out rather than guessed.</t>
        </is>
      </c>
    </row>
    <row r="255">
      <c r="A255" s="3" t="inlineStr">
        <is>
          <t>TOTAL OPERATING EXPENSES</t>
        </is>
      </c>
      <c r="B255" s="23" t="inlineStr">
        <is>
          <t>USD</t>
        </is>
      </c>
      <c r="C255" s="63">
        <f>C233+C236+C238+C239+C241+C243+C245+C247+C249+C251+C253</f>
        <v/>
      </c>
      <c r="D255" s="63">
        <f>D233+D236+D238+D239+D241+D243+D245+D247+D249+D251+D253</f>
        <v/>
      </c>
      <c r="E255" s="63">
        <f>E233+E236+E238+E239+E241+E243+E245+E247+E249+E251+E253</f>
        <v/>
      </c>
      <c r="F255" s="63">
        <f>F233+F236+F238+F239+F241+F243+F245+F247+F249+F251+F253</f>
        <v/>
      </c>
      <c r="G255" s="63">
        <f>G233+G236+G238+G239+G241+G243+G245+G247+G249+G251+G253</f>
        <v/>
      </c>
      <c r="H255" s="63">
        <f>H233+H236+H238+H239+H241+H243+H245+H247+H249+H251+H253</f>
        <v/>
      </c>
      <c r="I255" s="63">
        <f>I233+I236+I238+I239+I241+I243+I245+I247+I249+I251+I253</f>
        <v/>
      </c>
      <c r="J255" s="63">
        <f>J233+J236+J238+J239+J241+J243+J245+J247+J249+J251+J253</f>
        <v/>
      </c>
      <c r="K255" s="63">
        <f>K233+K236+K238+K239+K241+K243+K245+K247+K249+K251+K253</f>
        <v/>
      </c>
      <c r="L255" s="63">
        <f>L233+L236+L238+L239+L241+L243+L245+L247+L249+L251+L253</f>
        <v/>
      </c>
      <c r="M255" s="63">
        <f>M233+M236+M238+M239+M241+M243+M245+M247+M249+M251+M253</f>
        <v/>
      </c>
      <c r="N255" s="63">
        <f>N233+N236+N238+N239+N241+N243+N245+N247+N249+N251+N253</f>
        <v/>
      </c>
      <c r="O255" s="63">
        <f>O233+O236+O238+O239+O241+O243+O245+O247+O249+O251+O253</f>
        <v/>
      </c>
      <c r="P255" s="63">
        <f>P233+P236+P238+P239+P241+P243+P245+P247+P249+P251+P253</f>
        <v/>
      </c>
      <c r="Q255" s="63">
        <f>Q233+Q236+Q238+Q239+Q241+Q243+Q245+Q247+Q249+Q251+Q253</f>
        <v/>
      </c>
      <c r="R255" s="63">
        <f>R233+R236+R238+R239+R241+R243+R245+R247+R249+R251+R253</f>
        <v/>
      </c>
      <c r="S255" s="63">
        <f>S233+S236+S238+S239+S241+S243+S245+S247+S249+S251+S253</f>
        <v/>
      </c>
      <c r="T255" s="63">
        <f>T233+T236+T238+T239+T241+T243+T245+T247+T249+T251+T253</f>
        <v/>
      </c>
      <c r="U255" s="63">
        <f>U233+U236+U238+U239+U241+U243+U245+U247+U249+U251+U253</f>
        <v/>
      </c>
      <c r="V255" s="63">
        <f>V233+V236+V238+V239+V241+V243+V245+V247+V249+V251+V253</f>
        <v/>
      </c>
      <c r="W255" s="63">
        <f>W233+W236+W238+W239+W241+W243+W245+W247+W249+W251+W253</f>
        <v/>
      </c>
      <c r="X255" s="63">
        <f>X233+X236+X238+X239+X241+X243+X245+X247+X249+X251+X253</f>
        <v/>
      </c>
      <c r="Y255" s="63">
        <f>Y233+Y236+Y238+Y239+Y241+Y243+Y245+Y247+Y249+Y251+Y253</f>
        <v/>
      </c>
      <c r="Z255" s="63">
        <f>Z233+Z236+Z238+Z239+Z241+Z243+Z245+Z247+Z249+Z251+Z253</f>
        <v/>
      </c>
      <c r="AA255" s="63">
        <f>AA233+AA236+AA238+AA239+AA241+AA243+AA245+AA247+AA249+AA251+AA253</f>
        <v/>
      </c>
      <c r="AB255" s="63">
        <f>AB233+AB236+AB238+AB239+AB241+AB243+AB245+AB247+AB249+AB251+AB253</f>
        <v/>
      </c>
      <c r="AC255" s="63">
        <f>AC233+AC236+AC238+AC239+AC241+AC243+AC245+AC247+AC249+AC251+AC253</f>
        <v/>
      </c>
      <c r="AD255" s="63">
        <f>AD233+AD236+AD238+AD239+AD241+AD243+AD245+AD247+AD249+AD251+AD253</f>
        <v/>
      </c>
      <c r="AE255" s="63">
        <f>AE233+AE236+AE238+AE239+AE241+AE243+AE245+AE247+AE249+AE251+AE253</f>
        <v/>
      </c>
    </row>
    <row r="258">
      <c r="A258" s="51" t="inlineStr">
        <is>
          <t>ICS BENEFIT COSTS - discounts given away, out of streams that already exist</t>
        </is>
      </c>
      <c r="B258" s="52" t="n"/>
      <c r="C258" s="52" t="n"/>
      <c r="D258" s="52" t="n"/>
      <c r="E258" s="52" t="n"/>
      <c r="F258" s="52" t="n"/>
      <c r="G258" s="52" t="n"/>
      <c r="H258" s="52" t="n"/>
      <c r="I258" s="52" t="n"/>
      <c r="J258" s="52" t="n"/>
      <c r="K258" s="52" t="n"/>
      <c r="L258" s="52" t="n"/>
      <c r="M258" s="52" t="n"/>
      <c r="N258" s="52" t="n"/>
      <c r="O258" s="52" t="n"/>
      <c r="P258" s="52" t="n"/>
      <c r="Q258" s="52" t="n"/>
      <c r="R258" s="52" t="n"/>
      <c r="S258" s="52" t="n"/>
      <c r="T258" s="52" t="n"/>
      <c r="U258" s="52" t="n"/>
      <c r="V258" s="52" t="n"/>
      <c r="W258" s="52" t="n"/>
      <c r="X258" s="52" t="n"/>
      <c r="Y258" s="52" t="n"/>
      <c r="Z258" s="52" t="n"/>
      <c r="AA258" s="52" t="n"/>
      <c r="AB258" s="52" t="n"/>
      <c r="AC258" s="52" t="n"/>
      <c r="AD258" s="52" t="n"/>
      <c r="AE258" s="52" t="n"/>
    </row>
    <row r="259">
      <c r="A259" s="6" t="inlineStr">
        <is>
          <t xml:space="preserve">  Qualifying share of the book (memo - ramps to 55%)</t>
        </is>
      </c>
      <c r="B259" s="23" t="inlineStr">
        <is>
          <t>% of accounts</t>
        </is>
      </c>
      <c r="C259" s="62">
        <f>IF(C159+C160=0,0,C168/(C159+C160))</f>
        <v/>
      </c>
      <c r="D259" s="62">
        <f>IF(D159+D160=0,0,D168/(D159+D160))</f>
        <v/>
      </c>
      <c r="E259" s="62">
        <f>IF(E159+E160=0,0,E168/(E159+E160))</f>
        <v/>
      </c>
      <c r="F259" s="62">
        <f>IF(F159+F160=0,0,F168/(F159+F160))</f>
        <v/>
      </c>
      <c r="G259" s="62">
        <f>IF(G159+G160=0,0,G168/(G159+G160))</f>
        <v/>
      </c>
      <c r="H259" s="62">
        <f>IF(H159+H160=0,0,H168/(H159+H160))</f>
        <v/>
      </c>
      <c r="I259" s="62">
        <f>IF(I159+I160=0,0,I168/(I159+I160))</f>
        <v/>
      </c>
      <c r="J259" s="62">
        <f>IF(J159+J160=0,0,J168/(J159+J160))</f>
        <v/>
      </c>
      <c r="K259" s="62">
        <f>IF(K159+K160=0,0,K168/(K159+K160))</f>
        <v/>
      </c>
      <c r="L259" s="62">
        <f>IF(L159+L160=0,0,L168/(L159+L160))</f>
        <v/>
      </c>
      <c r="M259" s="62">
        <f>IF(M159+M160=0,0,M168/(M159+M160))</f>
        <v/>
      </c>
      <c r="N259" s="62">
        <f>IF(N159+N160=0,0,N168/(N159+N160))</f>
        <v/>
      </c>
      <c r="O259" s="62">
        <f>IF(O159+O160=0,0,O168/(O159+O160))</f>
        <v/>
      </c>
      <c r="P259" s="62">
        <f>IF(P159+P160=0,0,P168/(P159+P160))</f>
        <v/>
      </c>
      <c r="Q259" s="62">
        <f>IF(Q159+Q160=0,0,Q168/(Q159+Q160))</f>
        <v/>
      </c>
      <c r="R259" s="62">
        <f>IF(R159+R160=0,0,R168/(R159+R160))</f>
        <v/>
      </c>
      <c r="S259" s="62">
        <f>IF(S159+S160=0,0,S168/(S159+S160))</f>
        <v/>
      </c>
      <c r="T259" s="62">
        <f>IF(T159+T160=0,0,T168/(T159+T160))</f>
        <v/>
      </c>
      <c r="U259" s="62">
        <f>IF(U159+U160=0,0,U168/(U159+U160))</f>
        <v/>
      </c>
      <c r="V259" s="62">
        <f>IF(V159+V160=0,0,V168/(V159+V160))</f>
        <v/>
      </c>
      <c r="W259" s="62">
        <f>IF(W159+W160=0,0,W168/(W159+W160))</f>
        <v/>
      </c>
      <c r="X259" s="62">
        <f>IF(X159+X160=0,0,X168/(X159+X160))</f>
        <v/>
      </c>
      <c r="Y259" s="62">
        <f>IF(Y159+Y160=0,0,Y168/(Y159+Y160))</f>
        <v/>
      </c>
      <c r="Z259" s="62">
        <f>IF(Z159+Z160=0,0,Z168/(Z159+Z160))</f>
        <v/>
      </c>
      <c r="AA259" s="62">
        <f>IF(AA159+AA160=0,0,AA168/(AA159+AA160))</f>
        <v/>
      </c>
      <c r="AB259" s="62">
        <f>IF(AB159+AB160=0,0,AB168/(AB159+AB160))</f>
        <v/>
      </c>
      <c r="AC259" s="62">
        <f>IF(AC159+AC160=0,0,AC168/(AC159+AC160))</f>
        <v/>
      </c>
      <c r="AD259" s="62">
        <f>IF(AD159+AD160=0,0,AD168/(AD159+AD160))</f>
        <v/>
      </c>
      <c r="AE259" s="62">
        <f>IF(AE159+AE160=0,0,AE168/(AE159+AE160))</f>
        <v/>
      </c>
    </row>
    <row r="260">
      <c r="A260" s="6" t="inlineStr">
        <is>
          <t>BENEFIT - Entry fee discount (SIP only)</t>
        </is>
      </c>
      <c r="B260" s="23" t="inlineStr">
        <is>
          <t>USD</t>
        </is>
      </c>
      <c r="C260" s="63">
        <f>C189*C259*Assumptions!$B$207</f>
        <v/>
      </c>
      <c r="D260" s="63">
        <f>D189*D259*Assumptions!$B$207</f>
        <v/>
      </c>
      <c r="E260" s="63">
        <f>E189*E259*Assumptions!$B$207</f>
        <v/>
      </c>
      <c r="F260" s="63">
        <f>F189*F259*Assumptions!$B$207</f>
        <v/>
      </c>
      <c r="G260" s="63">
        <f>G189*G259*Assumptions!$B$207</f>
        <v/>
      </c>
      <c r="H260" s="63">
        <f>H189*H259*Assumptions!$B$207</f>
        <v/>
      </c>
      <c r="I260" s="63">
        <f>I189*I259*Assumptions!$B$207</f>
        <v/>
      </c>
      <c r="J260" s="63">
        <f>J189*J259*Assumptions!$B$207</f>
        <v/>
      </c>
      <c r="K260" s="63">
        <f>K189*K259*Assumptions!$B$207</f>
        <v/>
      </c>
      <c r="L260" s="63">
        <f>L189*L259*Assumptions!$B$207</f>
        <v/>
      </c>
      <c r="M260" s="63">
        <f>M189*M259*Assumptions!$B$207</f>
        <v/>
      </c>
      <c r="N260" s="63">
        <f>N189*N259*Assumptions!$B$207</f>
        <v/>
      </c>
      <c r="O260" s="63">
        <f>O189*O259*Assumptions!$B$207</f>
        <v/>
      </c>
      <c r="P260" s="63">
        <f>P189*P259*Assumptions!$B$207</f>
        <v/>
      </c>
      <c r="Q260" s="63">
        <f>Q189*Q259*Assumptions!$B$207</f>
        <v/>
      </c>
      <c r="R260" s="63">
        <f>R189*R259*Assumptions!$B$207</f>
        <v/>
      </c>
      <c r="S260" s="63">
        <f>S189*S259*Assumptions!$B$207</f>
        <v/>
      </c>
      <c r="T260" s="63">
        <f>T189*T259*Assumptions!$B$207</f>
        <v/>
      </c>
      <c r="U260" s="63">
        <f>U189*U259*Assumptions!$B$207</f>
        <v/>
      </c>
      <c r="V260" s="63">
        <f>V189*V259*Assumptions!$B$207</f>
        <v/>
      </c>
      <c r="W260" s="63">
        <f>W189*W259*Assumptions!$B$207</f>
        <v/>
      </c>
      <c r="X260" s="63">
        <f>X189*X259*Assumptions!$B$207</f>
        <v/>
      </c>
      <c r="Y260" s="63">
        <f>Y189*Y259*Assumptions!$B$207</f>
        <v/>
      </c>
      <c r="Z260" s="63">
        <f>Z189*Z259*Assumptions!$B$207</f>
        <v/>
      </c>
      <c r="AA260" s="63">
        <f>AA189*AA259*Assumptions!$B$207</f>
        <v/>
      </c>
      <c r="AB260" s="63">
        <f>AB189*AB259*Assumptions!$B$207</f>
        <v/>
      </c>
      <c r="AC260" s="63">
        <f>AC189*AC259*Assumptions!$B$207</f>
        <v/>
      </c>
      <c r="AD260" s="63">
        <f>AD189*AD259*Assumptions!$B$207</f>
        <v/>
      </c>
      <c r="AE260" s="63">
        <f>AE189*AE259*Assumptions!$B$207</f>
        <v/>
      </c>
    </row>
    <row r="261">
      <c r="A261" s="9" t="inlineStr">
        <is>
          <t>STREAM 1a ONLY. Spot earns no ICS, so Stream 1b carries no discount and must never be added here. A BLENDED RATE, not a tier ladder: the model has no tier distribution, and inventing one would put a fabricated mix under every benefit figure.</t>
        </is>
      </c>
    </row>
    <row r="262">
      <c r="A262" s="6" t="inlineStr">
        <is>
          <t>BENEFIT - Card fee discounts (FX, ATM, issuance)</t>
        </is>
      </c>
      <c r="B262" s="23" t="inlineStr">
        <is>
          <t>USD</t>
        </is>
      </c>
      <c r="C262" s="63">
        <f>C193*C259*Assumptions!$B$208</f>
        <v/>
      </c>
      <c r="D262" s="63">
        <f>D193*D259*Assumptions!$B$208</f>
        <v/>
      </c>
      <c r="E262" s="63">
        <f>E193*E259*Assumptions!$B$208</f>
        <v/>
      </c>
      <c r="F262" s="63">
        <f>F193*F259*Assumptions!$B$208</f>
        <v/>
      </c>
      <c r="G262" s="63">
        <f>G193*G259*Assumptions!$B$208</f>
        <v/>
      </c>
      <c r="H262" s="63">
        <f>H193*H259*Assumptions!$B$208</f>
        <v/>
      </c>
      <c r="I262" s="63">
        <f>I193*I259*Assumptions!$B$208</f>
        <v/>
      </c>
      <c r="J262" s="63">
        <f>J193*J259*Assumptions!$B$208</f>
        <v/>
      </c>
      <c r="K262" s="63">
        <f>K193*K259*Assumptions!$B$208</f>
        <v/>
      </c>
      <c r="L262" s="63">
        <f>L193*L259*Assumptions!$B$208</f>
        <v/>
      </c>
      <c r="M262" s="63">
        <f>M193*M259*Assumptions!$B$208</f>
        <v/>
      </c>
      <c r="N262" s="63">
        <f>N193*N259*Assumptions!$B$208</f>
        <v/>
      </c>
      <c r="O262" s="63">
        <f>O193*O259*Assumptions!$B$208</f>
        <v/>
      </c>
      <c r="P262" s="63">
        <f>P193*P259*Assumptions!$B$208</f>
        <v/>
      </c>
      <c r="Q262" s="63">
        <f>Q193*Q259*Assumptions!$B$208</f>
        <v/>
      </c>
      <c r="R262" s="63">
        <f>R193*R259*Assumptions!$B$208</f>
        <v/>
      </c>
      <c r="S262" s="63">
        <f>S193*S259*Assumptions!$B$208</f>
        <v/>
      </c>
      <c r="T262" s="63">
        <f>T193*T259*Assumptions!$B$208</f>
        <v/>
      </c>
      <c r="U262" s="63">
        <f>U193*U259*Assumptions!$B$208</f>
        <v/>
      </c>
      <c r="V262" s="63">
        <f>V193*V259*Assumptions!$B$208</f>
        <v/>
      </c>
      <c r="W262" s="63">
        <f>W193*W259*Assumptions!$B$208</f>
        <v/>
      </c>
      <c r="X262" s="63">
        <f>X193*X259*Assumptions!$B$208</f>
        <v/>
      </c>
      <c r="Y262" s="63">
        <f>Y193*Y259*Assumptions!$B$208</f>
        <v/>
      </c>
      <c r="Z262" s="63">
        <f>Z193*Z259*Assumptions!$B$208</f>
        <v/>
      </c>
      <c r="AA262" s="63">
        <f>AA193*AA259*Assumptions!$B$208</f>
        <v/>
      </c>
      <c r="AB262" s="63">
        <f>AB193*AB259*Assumptions!$B$208</f>
        <v/>
      </c>
      <c r="AC262" s="63">
        <f>AC193*AC259*Assumptions!$B$208</f>
        <v/>
      </c>
      <c r="AD262" s="63">
        <f>AD193*AD259*Assumptions!$B$208</f>
        <v/>
      </c>
      <c r="AE262" s="63">
        <f>AE193*AE259*Assumptions!$B$208</f>
        <v/>
      </c>
    </row>
    <row r="263">
      <c r="A263" s="6" t="inlineStr">
        <is>
          <t>BENEFIT - Gold rebate</t>
        </is>
      </c>
      <c r="B263" s="23" t="inlineStr">
        <is>
          <t>USD</t>
        </is>
      </c>
      <c r="C263" s="63">
        <f>(C191+C193)*C259*Assumptions!$B$209</f>
        <v/>
      </c>
      <c r="D263" s="63">
        <f>(D191+D193)*D259*Assumptions!$B$209</f>
        <v/>
      </c>
      <c r="E263" s="63">
        <f>(E191+E193)*E259*Assumptions!$B$209</f>
        <v/>
      </c>
      <c r="F263" s="63">
        <f>(F191+F193)*F259*Assumptions!$B$209</f>
        <v/>
      </c>
      <c r="G263" s="63">
        <f>(G191+G193)*G259*Assumptions!$B$209</f>
        <v/>
      </c>
      <c r="H263" s="63">
        <f>(H191+H193)*H259*Assumptions!$B$209</f>
        <v/>
      </c>
      <c r="I263" s="63">
        <f>(I191+I193)*I259*Assumptions!$B$209</f>
        <v/>
      </c>
      <c r="J263" s="63">
        <f>(J191+J193)*J259*Assumptions!$B$209</f>
        <v/>
      </c>
      <c r="K263" s="63">
        <f>(K191+K193)*K259*Assumptions!$B$209</f>
        <v/>
      </c>
      <c r="L263" s="63">
        <f>(L191+L193)*L259*Assumptions!$B$209</f>
        <v/>
      </c>
      <c r="M263" s="63">
        <f>(M191+M193)*M259*Assumptions!$B$209</f>
        <v/>
      </c>
      <c r="N263" s="63">
        <f>(N191+N193)*N259*Assumptions!$B$209</f>
        <v/>
      </c>
      <c r="O263" s="63">
        <f>(O191+O193)*O259*Assumptions!$B$209</f>
        <v/>
      </c>
      <c r="P263" s="63">
        <f>(P191+P193)*P259*Assumptions!$B$209</f>
        <v/>
      </c>
      <c r="Q263" s="63">
        <f>(Q191+Q193)*Q259*Assumptions!$B$209</f>
        <v/>
      </c>
      <c r="R263" s="63">
        <f>(R191+R193)*R259*Assumptions!$B$209</f>
        <v/>
      </c>
      <c r="S263" s="63">
        <f>(S191+S193)*S259*Assumptions!$B$209</f>
        <v/>
      </c>
      <c r="T263" s="63">
        <f>(T191+T193)*T259*Assumptions!$B$209</f>
        <v/>
      </c>
      <c r="U263" s="63">
        <f>(U191+U193)*U259*Assumptions!$B$209</f>
        <v/>
      </c>
      <c r="V263" s="63">
        <f>(V191+V193)*V259*Assumptions!$B$209</f>
        <v/>
      </c>
      <c r="W263" s="63">
        <f>(W191+W193)*W259*Assumptions!$B$209</f>
        <v/>
      </c>
      <c r="X263" s="63">
        <f>(X191+X193)*X259*Assumptions!$B$209</f>
        <v/>
      </c>
      <c r="Y263" s="63">
        <f>(Y191+Y193)*Y259*Assumptions!$B$209</f>
        <v/>
      </c>
      <c r="Z263" s="63">
        <f>(Z191+Z193)*Z259*Assumptions!$B$209</f>
        <v/>
      </c>
      <c r="AA263" s="63">
        <f>(AA191+AA193)*AA259*Assumptions!$B$209</f>
        <v/>
      </c>
      <c r="AB263" s="63">
        <f>(AB191+AB193)*AB259*Assumptions!$B$209</f>
        <v/>
      </c>
      <c r="AC263" s="63">
        <f>(AC191+AC193)*AC259*Assumptions!$B$209</f>
        <v/>
      </c>
      <c r="AD263" s="63">
        <f>(AD191+AD193)*AD259*Assumptions!$B$209</f>
        <v/>
      </c>
      <c r="AE263" s="63">
        <f>(AE191+AE193)*AE259*Assumptions!$B$209</f>
        <v/>
      </c>
    </row>
    <row r="264">
      <c r="A264" s="9" t="inlineStr">
        <is>
          <t>A SHARE OF ALL CARD REVENUE - interchange PLUS cardholder fees - which keeps the rebate inside its own funding line by construction. Interchange alone was the wrong base: it is the smaller half, and it is already net of the partner's ~55% share, so it measures what is LEFT rather than what the customer GENERATED. Sanity-check the rate against card spend, not against this line: 5% here is 0.35% of spend, against a corpus ladder of 0.15 / 0.45 / 0.75% by tier.</t>
        </is>
      </c>
    </row>
    <row r="265">
      <c r="A265" s="6" t="inlineStr">
        <is>
          <t xml:space="preserve">  ...as % of card spend (memo - check against the 0.15/0.45/0.75 ladder)</t>
        </is>
      </c>
      <c r="B265" s="23" t="inlineStr">
        <is>
          <t>%</t>
        </is>
      </c>
      <c r="C265" s="62">
        <f>IF(C171=0,0,C263/C171)</f>
        <v/>
      </c>
      <c r="D265" s="62">
        <f>IF(D171=0,0,D263/D171)</f>
        <v/>
      </c>
      <c r="E265" s="62">
        <f>IF(E171=0,0,E263/E171)</f>
        <v/>
      </c>
      <c r="F265" s="62">
        <f>IF(F171=0,0,F263/F171)</f>
        <v/>
      </c>
      <c r="G265" s="62">
        <f>IF(G171=0,0,G263/G171)</f>
        <v/>
      </c>
      <c r="H265" s="62">
        <f>IF(H171=0,0,H263/H171)</f>
        <v/>
      </c>
      <c r="I265" s="62">
        <f>IF(I171=0,0,I263/I171)</f>
        <v/>
      </c>
      <c r="J265" s="62">
        <f>IF(J171=0,0,J263/J171)</f>
        <v/>
      </c>
      <c r="K265" s="62">
        <f>IF(K171=0,0,K263/K171)</f>
        <v/>
      </c>
      <c r="L265" s="62">
        <f>IF(L171=0,0,L263/L171)</f>
        <v/>
      </c>
      <c r="M265" s="62">
        <f>IF(M171=0,0,M263/M171)</f>
        <v/>
      </c>
      <c r="N265" s="62">
        <f>IF(N171=0,0,N263/N171)</f>
        <v/>
      </c>
      <c r="O265" s="62">
        <f>IF(O171=0,0,O263/O171)</f>
        <v/>
      </c>
      <c r="P265" s="62">
        <f>IF(P171=0,0,P263/P171)</f>
        <v/>
      </c>
      <c r="Q265" s="62">
        <f>IF(Q171=0,0,Q263/Q171)</f>
        <v/>
      </c>
      <c r="R265" s="62">
        <f>IF(R171=0,0,R263/R171)</f>
        <v/>
      </c>
      <c r="S265" s="62">
        <f>IF(S171=0,0,S263/S171)</f>
        <v/>
      </c>
      <c r="T265" s="62">
        <f>IF(T171=0,0,T263/T171)</f>
        <v/>
      </c>
      <c r="U265" s="62">
        <f>IF(U171=0,0,U263/U171)</f>
        <v/>
      </c>
      <c r="V265" s="62">
        <f>IF(V171=0,0,V263/V171)</f>
        <v/>
      </c>
      <c r="W265" s="62">
        <f>IF(W171=0,0,W263/W171)</f>
        <v/>
      </c>
      <c r="X265" s="62">
        <f>IF(X171=0,0,X263/X171)</f>
        <v/>
      </c>
      <c r="Y265" s="62">
        <f>IF(Y171=0,0,Y263/Y171)</f>
        <v/>
      </c>
      <c r="Z265" s="62">
        <f>IF(Z171=0,0,Z263/Z171)</f>
        <v/>
      </c>
      <c r="AA265" s="62">
        <f>IF(AA171=0,0,AA263/AA171)</f>
        <v/>
      </c>
      <c r="AB265" s="62">
        <f>IF(AB171=0,0,AB263/AB171)</f>
        <v/>
      </c>
      <c r="AC265" s="62">
        <f>IF(AC171=0,0,AC263/AC171)</f>
        <v/>
      </c>
      <c r="AD265" s="62">
        <f>IF(AD171=0,0,AD263/AD171)</f>
        <v/>
      </c>
      <c r="AE265" s="62">
        <f>IF(AE171=0,0,AE263/AE171)</f>
        <v/>
      </c>
    </row>
    <row r="266">
      <c r="A266" s="6" t="inlineStr">
        <is>
          <t>BENEFIT - Family wallet and will discount</t>
        </is>
      </c>
      <c r="B266" s="23" t="inlineStr">
        <is>
          <t>USD</t>
        </is>
      </c>
      <c r="C266" s="63">
        <f>C192*C259*Assumptions!$B$210</f>
        <v/>
      </c>
      <c r="D266" s="63">
        <f>D192*D259*Assumptions!$B$210</f>
        <v/>
      </c>
      <c r="E266" s="63">
        <f>E192*E259*Assumptions!$B$210</f>
        <v/>
      </c>
      <c r="F266" s="63">
        <f>F192*F259*Assumptions!$B$210</f>
        <v/>
      </c>
      <c r="G266" s="63">
        <f>G192*G259*Assumptions!$B$210</f>
        <v/>
      </c>
      <c r="H266" s="63">
        <f>H192*H259*Assumptions!$B$210</f>
        <v/>
      </c>
      <c r="I266" s="63">
        <f>I192*I259*Assumptions!$B$210</f>
        <v/>
      </c>
      <c r="J266" s="63">
        <f>J192*J259*Assumptions!$B$210</f>
        <v/>
      </c>
      <c r="K266" s="63">
        <f>K192*K259*Assumptions!$B$210</f>
        <v/>
      </c>
      <c r="L266" s="63">
        <f>L192*L259*Assumptions!$B$210</f>
        <v/>
      </c>
      <c r="M266" s="63">
        <f>M192*M259*Assumptions!$B$210</f>
        <v/>
      </c>
      <c r="N266" s="63">
        <f>N192*N259*Assumptions!$B$210</f>
        <v/>
      </c>
      <c r="O266" s="63">
        <f>O192*O259*Assumptions!$B$210</f>
        <v/>
      </c>
      <c r="P266" s="63">
        <f>P192*P259*Assumptions!$B$210</f>
        <v/>
      </c>
      <c r="Q266" s="63">
        <f>Q192*Q259*Assumptions!$B$210</f>
        <v/>
      </c>
      <c r="R266" s="63">
        <f>R192*R259*Assumptions!$B$210</f>
        <v/>
      </c>
      <c r="S266" s="63">
        <f>S192*S259*Assumptions!$B$210</f>
        <v/>
      </c>
      <c r="T266" s="63">
        <f>T192*T259*Assumptions!$B$210</f>
        <v/>
      </c>
      <c r="U266" s="63">
        <f>U192*U259*Assumptions!$B$210</f>
        <v/>
      </c>
      <c r="V266" s="63">
        <f>V192*V259*Assumptions!$B$210</f>
        <v/>
      </c>
      <c r="W266" s="63">
        <f>W192*W259*Assumptions!$B$210</f>
        <v/>
      </c>
      <c r="X266" s="63">
        <f>X192*X259*Assumptions!$B$210</f>
        <v/>
      </c>
      <c r="Y266" s="63">
        <f>Y192*Y259*Assumptions!$B$210</f>
        <v/>
      </c>
      <c r="Z266" s="63">
        <f>Z192*Z259*Assumptions!$B$210</f>
        <v/>
      </c>
      <c r="AA266" s="63">
        <f>AA192*AA259*Assumptions!$B$210</f>
        <v/>
      </c>
      <c r="AB266" s="63">
        <f>AB192*AB259*Assumptions!$B$210</f>
        <v/>
      </c>
      <c r="AC266" s="63">
        <f>AC192*AC259*Assumptions!$B$210</f>
        <v/>
      </c>
      <c r="AD266" s="63">
        <f>AD192*AD259*Assumptions!$B$210</f>
        <v/>
      </c>
      <c r="AE266" s="63">
        <f>AE192*AE259*Assumptions!$B$210</f>
        <v/>
      </c>
    </row>
    <row r="267">
      <c r="A267" s="3" t="inlineStr">
        <is>
          <t>TOTAL ICS BENEFIT COSTS</t>
        </is>
      </c>
      <c r="B267" s="23" t="inlineStr">
        <is>
          <t>USD</t>
        </is>
      </c>
      <c r="C267" s="63">
        <f>C260+C262+C263+C266</f>
        <v/>
      </c>
      <c r="D267" s="63">
        <f>D260+D262+D263+D266</f>
        <v/>
      </c>
      <c r="E267" s="63">
        <f>E260+E262+E263+E266</f>
        <v/>
      </c>
      <c r="F267" s="63">
        <f>F260+F262+F263+F266</f>
        <v/>
      </c>
      <c r="G267" s="63">
        <f>G260+G262+G263+G266</f>
        <v/>
      </c>
      <c r="H267" s="63">
        <f>H260+H262+H263+H266</f>
        <v/>
      </c>
      <c r="I267" s="63">
        <f>I260+I262+I263+I266</f>
        <v/>
      </c>
      <c r="J267" s="63">
        <f>J260+J262+J263+J266</f>
        <v/>
      </c>
      <c r="K267" s="63">
        <f>K260+K262+K263+K266</f>
        <v/>
      </c>
      <c r="L267" s="63">
        <f>L260+L262+L263+L266</f>
        <v/>
      </c>
      <c r="M267" s="63">
        <f>M260+M262+M263+M266</f>
        <v/>
      </c>
      <c r="N267" s="63">
        <f>N260+N262+N263+N266</f>
        <v/>
      </c>
      <c r="O267" s="63">
        <f>O260+O262+O263+O266</f>
        <v/>
      </c>
      <c r="P267" s="63">
        <f>P260+P262+P263+P266</f>
        <v/>
      </c>
      <c r="Q267" s="63">
        <f>Q260+Q262+Q263+Q266</f>
        <v/>
      </c>
      <c r="R267" s="63">
        <f>R260+R262+R263+R266</f>
        <v/>
      </c>
      <c r="S267" s="63">
        <f>S260+S262+S263+S266</f>
        <v/>
      </c>
      <c r="T267" s="63">
        <f>T260+T262+T263+T266</f>
        <v/>
      </c>
      <c r="U267" s="63">
        <f>U260+U262+U263+U266</f>
        <v/>
      </c>
      <c r="V267" s="63">
        <f>V260+V262+V263+V266</f>
        <v/>
      </c>
      <c r="W267" s="63">
        <f>W260+W262+W263+W266</f>
        <v/>
      </c>
      <c r="X267" s="63">
        <f>X260+X262+X263+X266</f>
        <v/>
      </c>
      <c r="Y267" s="63">
        <f>Y260+Y262+Y263+Y266</f>
        <v/>
      </c>
      <c r="Z267" s="63">
        <f>Z260+Z262+Z263+Z266</f>
        <v/>
      </c>
      <c r="AA267" s="63">
        <f>AA260+AA262+AA263+AA266</f>
        <v/>
      </c>
      <c r="AB267" s="63">
        <f>AB260+AB262+AB263+AB266</f>
        <v/>
      </c>
      <c r="AC267" s="63">
        <f>AC260+AC262+AC263+AC266</f>
        <v/>
      </c>
      <c r="AD267" s="63">
        <f>AD260+AD262+AD263+AD266</f>
        <v/>
      </c>
      <c r="AE267" s="63">
        <f>AE260+AE262+AE263+AE266</f>
        <v/>
      </c>
    </row>
    <row r="268">
      <c r="A268" s="9" t="inlineStr">
        <is>
          <t>CONTRA-REVENUE, NOT CASH. Every line here is revenue given away rather than money paid out, and the streams above are reported GROSS so the giveaway stays visible. Netting them into the streams would hide the single largest lever the client controls on the benefit ladder.</t>
        </is>
      </c>
    </row>
    <row r="271">
      <c r="A271" s="51" t="inlineStr">
        <is>
          <t>ACQUISITION COSTS - what it costs to put a customer on the book</t>
        </is>
      </c>
      <c r="B271" s="52" t="n"/>
      <c r="C271" s="52" t="n"/>
      <c r="D271" s="52" t="n"/>
      <c r="E271" s="52" t="n"/>
      <c r="F271" s="52" t="n"/>
      <c r="G271" s="52" t="n"/>
      <c r="H271" s="52" t="n"/>
      <c r="I271" s="52" t="n"/>
      <c r="J271" s="52" t="n"/>
      <c r="K271" s="52" t="n"/>
      <c r="L271" s="52" t="n"/>
      <c r="M271" s="52" t="n"/>
      <c r="N271" s="52" t="n"/>
      <c r="O271" s="52" t="n"/>
      <c r="P271" s="52" t="n"/>
      <c r="Q271" s="52" t="n"/>
      <c r="R271" s="52" t="n"/>
      <c r="S271" s="52" t="n"/>
      <c r="T271" s="52" t="n"/>
      <c r="U271" s="52" t="n"/>
      <c r="V271" s="52" t="n"/>
      <c r="W271" s="52" t="n"/>
      <c r="X271" s="52" t="n"/>
      <c r="Y271" s="52" t="n"/>
      <c r="Z271" s="52" t="n"/>
      <c r="AA271" s="52" t="n"/>
      <c r="AB271" s="52" t="n"/>
      <c r="AC271" s="52" t="n"/>
      <c r="AD271" s="52" t="n"/>
      <c r="AE271" s="52" t="n"/>
    </row>
    <row r="272">
      <c r="A272" s="6" t="inlineStr">
        <is>
          <t>ACQ - Marketing spend</t>
        </is>
      </c>
      <c r="B272" s="23" t="inlineStr">
        <is>
          <t>USD</t>
        </is>
      </c>
      <c r="C272" s="63">
        <f>INDEX(Assumptions!$B$114:$B$120,C5)/12*C7</f>
        <v/>
      </c>
      <c r="D272" s="63">
        <f>INDEX(Assumptions!$B$114:$B$120,D5)/12*D7</f>
        <v/>
      </c>
      <c r="E272" s="63">
        <f>INDEX(Assumptions!$B$114:$B$120,E5)/12*E7</f>
        <v/>
      </c>
      <c r="F272" s="63">
        <f>INDEX(Assumptions!$B$114:$B$120,F5)/12*F7</f>
        <v/>
      </c>
      <c r="G272" s="63">
        <f>INDEX(Assumptions!$B$114:$B$120,G5)/12*G7</f>
        <v/>
      </c>
      <c r="H272" s="63">
        <f>INDEX(Assumptions!$B$114:$B$120,H5)/12*H7</f>
        <v/>
      </c>
      <c r="I272" s="63">
        <f>INDEX(Assumptions!$B$114:$B$120,I5)/12*I7</f>
        <v/>
      </c>
      <c r="J272" s="63">
        <f>INDEX(Assumptions!$B$114:$B$120,J5)/12*J7</f>
        <v/>
      </c>
      <c r="K272" s="63">
        <f>INDEX(Assumptions!$B$114:$B$120,K5)/12*K7</f>
        <v/>
      </c>
      <c r="L272" s="63">
        <f>INDEX(Assumptions!$B$114:$B$120,L5)/12*L7</f>
        <v/>
      </c>
      <c r="M272" s="63">
        <f>INDEX(Assumptions!$B$114:$B$120,M5)/12*M7</f>
        <v/>
      </c>
      <c r="N272" s="63">
        <f>INDEX(Assumptions!$B$114:$B$120,N5)/12*N7</f>
        <v/>
      </c>
      <c r="O272" s="63">
        <f>INDEX(Assumptions!$B$114:$B$120,O5)/12*O7</f>
        <v/>
      </c>
      <c r="P272" s="63">
        <f>INDEX(Assumptions!$B$114:$B$120,P5)/12*P7</f>
        <v/>
      </c>
      <c r="Q272" s="63">
        <f>INDEX(Assumptions!$B$114:$B$120,Q5)/12*Q7</f>
        <v/>
      </c>
      <c r="R272" s="63">
        <f>INDEX(Assumptions!$B$114:$B$120,R5)/12*R7</f>
        <v/>
      </c>
      <c r="S272" s="63">
        <f>INDEX(Assumptions!$B$114:$B$120,S5)/12*S7</f>
        <v/>
      </c>
      <c r="T272" s="63">
        <f>INDEX(Assumptions!$B$114:$B$120,T5)/12*T7</f>
        <v/>
      </c>
      <c r="U272" s="63">
        <f>INDEX(Assumptions!$B$114:$B$120,U5)/12*U7</f>
        <v/>
      </c>
      <c r="V272" s="63">
        <f>INDEX(Assumptions!$B$114:$B$120,V5)/12*V7</f>
        <v/>
      </c>
      <c r="W272" s="63">
        <f>INDEX(Assumptions!$B$114:$B$120,W5)/12*W7</f>
        <v/>
      </c>
      <c r="X272" s="63">
        <f>INDEX(Assumptions!$B$114:$B$120,X5)/12*X7</f>
        <v/>
      </c>
      <c r="Y272" s="63">
        <f>INDEX(Assumptions!$B$114:$B$120,Y5)/12*Y7</f>
        <v/>
      </c>
      <c r="Z272" s="63">
        <f>INDEX(Assumptions!$B$114:$B$120,Z5)/12*Z7</f>
        <v/>
      </c>
      <c r="AA272" s="63">
        <f>INDEX(Assumptions!$B$114:$B$120,AA5)/12*AA7</f>
        <v/>
      </c>
      <c r="AB272" s="63">
        <f>INDEX(Assumptions!$B$114:$B$120,AB5)/12*AB7</f>
        <v/>
      </c>
      <c r="AC272" s="63">
        <f>INDEX(Assumptions!$B$114:$B$120,AC5)/12*AC7</f>
        <v/>
      </c>
      <c r="AD272" s="63">
        <f>INDEX(Assumptions!$B$114:$B$120,AD5)/12*AD7</f>
        <v/>
      </c>
      <c r="AE272" s="63">
        <f>INDEX(Assumptions!$B$114:$B$120,AE5)/12*AE7</f>
        <v/>
      </c>
    </row>
    <row r="273">
      <c r="A273" s="9" t="inlineStr">
        <is>
          <t>A DECISION VARIABLE, not an output. It is the input that drives the direct channel, so it is booked here ONCE and never in opex. THE REVENUE-ONLY MODEL FLATTERED THIS BADLY: raising the budget 50% on 2026-08-21 appeared as +28.5% customers with no offsetting entry anywhere. This row is that offsetting entry.</t>
        </is>
      </c>
    </row>
    <row r="274">
      <c r="A274" s="6" t="inlineStr">
        <is>
          <t xml:space="preserve">  Agent-driven acquisitions this period</t>
        </is>
      </c>
      <c r="B274" s="23" t="inlineStr">
        <is>
          <t>accounts</t>
        </is>
      </c>
      <c r="C274" s="60">
        <f>C28+C71+C114</f>
        <v/>
      </c>
      <c r="D274" s="60">
        <f>D28+D71+D114</f>
        <v/>
      </c>
      <c r="E274" s="60">
        <f>E28+E71+E114</f>
        <v/>
      </c>
      <c r="F274" s="60">
        <f>F28+F71+F114</f>
        <v/>
      </c>
      <c r="G274" s="60">
        <f>G28+G71+G114</f>
        <v/>
      </c>
      <c r="H274" s="60">
        <f>H28+H71+H114</f>
        <v/>
      </c>
      <c r="I274" s="60">
        <f>I28+I71+I114</f>
        <v/>
      </c>
      <c r="J274" s="60">
        <f>J28+J71+J114</f>
        <v/>
      </c>
      <c r="K274" s="60">
        <f>K28+K71+K114</f>
        <v/>
      </c>
      <c r="L274" s="60">
        <f>L28+L71+L114</f>
        <v/>
      </c>
      <c r="M274" s="60">
        <f>M28+M71+M114</f>
        <v/>
      </c>
      <c r="N274" s="60">
        <f>N28+N71+N114</f>
        <v/>
      </c>
      <c r="O274" s="60">
        <f>O28+O71+O114</f>
        <v/>
      </c>
      <c r="P274" s="60">
        <f>P28+P71+P114</f>
        <v/>
      </c>
      <c r="Q274" s="60">
        <f>Q28+Q71+Q114</f>
        <v/>
      </c>
      <c r="R274" s="60">
        <f>R28+R71+R114</f>
        <v/>
      </c>
      <c r="S274" s="60">
        <f>S28+S71+S114</f>
        <v/>
      </c>
      <c r="T274" s="60">
        <f>T28+T71+T114</f>
        <v/>
      </c>
      <c r="U274" s="60">
        <f>U28+U71+U114</f>
        <v/>
      </c>
      <c r="V274" s="60">
        <f>V28+V71+V114</f>
        <v/>
      </c>
      <c r="W274" s="60">
        <f>W28+W71+W114</f>
        <v/>
      </c>
      <c r="X274" s="60">
        <f>X28+X71+X114</f>
        <v/>
      </c>
      <c r="Y274" s="60">
        <f>Y28+Y71+Y114</f>
        <v/>
      </c>
      <c r="Z274" s="60">
        <f>Z28+Z71+Z114</f>
        <v/>
      </c>
      <c r="AA274" s="60">
        <f>AA28+AA71+AA114</f>
        <v/>
      </c>
      <c r="AB274" s="60">
        <f>AB28+AB71+AB114</f>
        <v/>
      </c>
      <c r="AC274" s="60">
        <f>AC28+AC71+AC114</f>
        <v/>
      </c>
      <c r="AD274" s="60">
        <f>AD28+AD71+AD114</f>
        <v/>
      </c>
      <c r="AE274" s="60">
        <f>AE28+AE71+AE114</f>
        <v/>
      </c>
    </row>
    <row r="275">
      <c r="A275" s="6" t="inlineStr">
        <is>
          <t xml:space="preserve">  Cumulative agent-driven acquisitions</t>
        </is>
      </c>
      <c r="B275" s="23" t="inlineStr">
        <is>
          <t>accounts</t>
        </is>
      </c>
      <c r="C275" s="50">
        <f>C274</f>
        <v/>
      </c>
      <c r="D275" s="50">
        <f>C275+D274</f>
        <v/>
      </c>
      <c r="E275" s="50">
        <f>D275+E274</f>
        <v/>
      </c>
      <c r="F275" s="50">
        <f>E275+F274</f>
        <v/>
      </c>
      <c r="G275" s="50">
        <f>F275+G274</f>
        <v/>
      </c>
      <c r="H275" s="50">
        <f>G275+H274</f>
        <v/>
      </c>
      <c r="I275" s="50">
        <f>H275+I274</f>
        <v/>
      </c>
      <c r="J275" s="50">
        <f>I275+J274</f>
        <v/>
      </c>
      <c r="K275" s="50">
        <f>J275+K274</f>
        <v/>
      </c>
      <c r="L275" s="50">
        <f>K275+L274</f>
        <v/>
      </c>
      <c r="M275" s="50">
        <f>L275+M274</f>
        <v/>
      </c>
      <c r="N275" s="50">
        <f>M275+N274</f>
        <v/>
      </c>
      <c r="O275" s="50">
        <f>N275+O274</f>
        <v/>
      </c>
      <c r="P275" s="50">
        <f>O275+P274</f>
        <v/>
      </c>
      <c r="Q275" s="50">
        <f>P275+Q274</f>
        <v/>
      </c>
      <c r="R275" s="50">
        <f>Q275+R274</f>
        <v/>
      </c>
      <c r="S275" s="50">
        <f>R275+S274</f>
        <v/>
      </c>
      <c r="T275" s="50">
        <f>S275+T274</f>
        <v/>
      </c>
      <c r="U275" s="50">
        <f>T275+U274</f>
        <v/>
      </c>
      <c r="V275" s="50">
        <f>U275+V274</f>
        <v/>
      </c>
      <c r="W275" s="50">
        <f>V275+W274</f>
        <v/>
      </c>
      <c r="X275" s="50">
        <f>W275+X274</f>
        <v/>
      </c>
      <c r="Y275" s="50">
        <f>X275+Y274</f>
        <v/>
      </c>
      <c r="Z275" s="50">
        <f>Y275+Z274</f>
        <v/>
      </c>
      <c r="AA275" s="50">
        <f>Z275+AA274</f>
        <v/>
      </c>
      <c r="AB275" s="50">
        <f>AA275+AB274</f>
        <v/>
      </c>
      <c r="AC275" s="50">
        <f>AB275+AC274</f>
        <v/>
      </c>
      <c r="AD275" s="50">
        <f>AC275+AD274</f>
        <v/>
      </c>
      <c r="AE275" s="50">
        <f>AD275+AE274</f>
        <v/>
      </c>
    </row>
    <row r="276">
      <c r="A276" s="6" t="inlineStr">
        <is>
          <t xml:space="preserve">  Agent-acquired share of the book (memo)</t>
        </is>
      </c>
      <c r="B276" s="23" t="inlineStr">
        <is>
          <t>% of accounts</t>
        </is>
      </c>
      <c r="C276" s="62">
        <f>IF(C161=0,0,C275/C161)</f>
        <v/>
      </c>
      <c r="D276" s="62">
        <f>IF(D161=0,0,D275/D161)</f>
        <v/>
      </c>
      <c r="E276" s="62">
        <f>IF(E161=0,0,E275/E161)</f>
        <v/>
      </c>
      <c r="F276" s="62">
        <f>IF(F161=0,0,F275/F161)</f>
        <v/>
      </c>
      <c r="G276" s="62">
        <f>IF(G161=0,0,G275/G161)</f>
        <v/>
      </c>
      <c r="H276" s="62">
        <f>IF(H161=0,0,H275/H161)</f>
        <v/>
      </c>
      <c r="I276" s="62">
        <f>IF(I161=0,0,I275/I161)</f>
        <v/>
      </c>
      <c r="J276" s="62">
        <f>IF(J161=0,0,J275/J161)</f>
        <v/>
      </c>
      <c r="K276" s="62">
        <f>IF(K161=0,0,K275/K161)</f>
        <v/>
      </c>
      <c r="L276" s="62">
        <f>IF(L161=0,0,L275/L161)</f>
        <v/>
      </c>
      <c r="M276" s="62">
        <f>IF(M161=0,0,M275/M161)</f>
        <v/>
      </c>
      <c r="N276" s="62">
        <f>IF(N161=0,0,N275/N161)</f>
        <v/>
      </c>
      <c r="O276" s="62">
        <f>IF(O161=0,0,O275/O161)</f>
        <v/>
      </c>
      <c r="P276" s="62">
        <f>IF(P161=0,0,P275/P161)</f>
        <v/>
      </c>
      <c r="Q276" s="62">
        <f>IF(Q161=0,0,Q275/Q161)</f>
        <v/>
      </c>
      <c r="R276" s="62">
        <f>IF(R161=0,0,R275/R161)</f>
        <v/>
      </c>
      <c r="S276" s="62">
        <f>IF(S161=0,0,S275/S161)</f>
        <v/>
      </c>
      <c r="T276" s="62">
        <f>IF(T161=0,0,T275/T161)</f>
        <v/>
      </c>
      <c r="U276" s="62">
        <f>IF(U161=0,0,U275/U161)</f>
        <v/>
      </c>
      <c r="V276" s="62">
        <f>IF(V161=0,0,V275/V161)</f>
        <v/>
      </c>
      <c r="W276" s="62">
        <f>IF(W161=0,0,W275/W161)</f>
        <v/>
      </c>
      <c r="X276" s="62">
        <f>IF(X161=0,0,X275/X161)</f>
        <v/>
      </c>
      <c r="Y276" s="62">
        <f>IF(Y161=0,0,Y275/Y161)</f>
        <v/>
      </c>
      <c r="Z276" s="62">
        <f>IF(Z161=0,0,Z275/Z161)</f>
        <v/>
      </c>
      <c r="AA276" s="62">
        <f>IF(AA161=0,0,AA275/AA161)</f>
        <v/>
      </c>
      <c r="AB276" s="62">
        <f>IF(AB161=0,0,AB275/AB161)</f>
        <v/>
      </c>
      <c r="AC276" s="62">
        <f>IF(AC161=0,0,AC275/AC161)</f>
        <v/>
      </c>
      <c r="AD276" s="62">
        <f>IF(AD161=0,0,AD275/AD161)</f>
        <v/>
      </c>
      <c r="AE276" s="62">
        <f>IF(AE161=0,0,AE275/AE161)</f>
        <v/>
      </c>
    </row>
    <row r="277">
      <c r="A277" s="6" t="inlineStr">
        <is>
          <t>ACQ - Agent commission</t>
        </is>
      </c>
      <c r="B277" s="23" t="inlineStr">
        <is>
          <t>USD</t>
        </is>
      </c>
      <c r="C277" s="63">
        <f>(C189+C190)*C276*Assumptions!$B$211</f>
        <v/>
      </c>
      <c r="D277" s="63">
        <f>(D189+D190)*D276*Assumptions!$B$211</f>
        <v/>
      </c>
      <c r="E277" s="63">
        <f>(E189+E190)*E276*Assumptions!$B$211</f>
        <v/>
      </c>
      <c r="F277" s="63">
        <f>(F189+F190)*F276*Assumptions!$B$211</f>
        <v/>
      </c>
      <c r="G277" s="63">
        <f>(G189+G190)*G276*Assumptions!$B$211</f>
        <v/>
      </c>
      <c r="H277" s="63">
        <f>(H189+H190)*H276*Assumptions!$B$211</f>
        <v/>
      </c>
      <c r="I277" s="63">
        <f>(I189+I190)*I276*Assumptions!$B$211</f>
        <v/>
      </c>
      <c r="J277" s="63">
        <f>(J189+J190)*J276*Assumptions!$B$211</f>
        <v/>
      </c>
      <c r="K277" s="63">
        <f>(K189+K190)*K276*Assumptions!$B$211</f>
        <v/>
      </c>
      <c r="L277" s="63">
        <f>(L189+L190)*L276*Assumptions!$B$211</f>
        <v/>
      </c>
      <c r="M277" s="63">
        <f>(M189+M190)*M276*Assumptions!$B$211</f>
        <v/>
      </c>
      <c r="N277" s="63">
        <f>(N189+N190)*N276*Assumptions!$B$211</f>
        <v/>
      </c>
      <c r="O277" s="63">
        <f>(O189+O190)*O276*Assumptions!$B$211</f>
        <v/>
      </c>
      <c r="P277" s="63">
        <f>(P189+P190)*P276*Assumptions!$B$211</f>
        <v/>
      </c>
      <c r="Q277" s="63">
        <f>(Q189+Q190)*Q276*Assumptions!$B$211</f>
        <v/>
      </c>
      <c r="R277" s="63">
        <f>(R189+R190)*R276*Assumptions!$B$211</f>
        <v/>
      </c>
      <c r="S277" s="63">
        <f>(S189+S190)*S276*Assumptions!$B$211</f>
        <v/>
      </c>
      <c r="T277" s="63">
        <f>(T189+T190)*T276*Assumptions!$B$211</f>
        <v/>
      </c>
      <c r="U277" s="63">
        <f>(U189+U190)*U276*Assumptions!$B$211</f>
        <v/>
      </c>
      <c r="V277" s="63">
        <f>(V189+V190)*V276*Assumptions!$B$211</f>
        <v/>
      </c>
      <c r="W277" s="63">
        <f>(W189+W190)*W276*Assumptions!$B$211</f>
        <v/>
      </c>
      <c r="X277" s="63">
        <f>(X189+X190)*X276*Assumptions!$B$211</f>
        <v/>
      </c>
      <c r="Y277" s="63">
        <f>(Y189+Y190)*Y276*Assumptions!$B$211</f>
        <v/>
      </c>
      <c r="Z277" s="63">
        <f>(Z189+Z190)*Z276*Assumptions!$B$211</f>
        <v/>
      </c>
      <c r="AA277" s="63">
        <f>(AA189+AA190)*AA276*Assumptions!$B$211</f>
        <v/>
      </c>
      <c r="AB277" s="63">
        <f>(AB189+AB190)*AB276*Assumptions!$B$211</f>
        <v/>
      </c>
      <c r="AC277" s="63">
        <f>(AC189+AC190)*AC276*Assumptions!$B$211</f>
        <v/>
      </c>
      <c r="AD277" s="63">
        <f>(AD189+AD190)*AD276*Assumptions!$B$211</f>
        <v/>
      </c>
      <c r="AE277" s="63">
        <f>(AE189+AE190)*AE276*Assumptions!$B$211</f>
        <v/>
      </c>
    </row>
    <row r="278">
      <c r="A278" s="9" t="inlineStr">
        <is>
          <t>10% of the entry fee, ONGOING - renewal commission for as long as the customer keeps paying, not a one-off at acquisition. Applied to the agent-acquired SHARE of entry-fee revenue, approximated from cumulative acquisitions by channel because the model does not cohort customers by channel. THE UPLINE OVERRIDE IS NOT MODELLED: the network is three tiers, and whether 10% is the total across all levels or just the first is unresolved - the difference is one commission or three.</t>
        </is>
      </c>
    </row>
    <row r="279">
      <c r="A279" s="6" t="inlineStr">
        <is>
          <t xml:space="preserve">  Referral-driven acquisitions this period</t>
        </is>
      </c>
      <c r="B279" s="23" t="inlineStr">
        <is>
          <t>accounts</t>
        </is>
      </c>
      <c r="C279" s="60">
        <f>C27+C70+C113</f>
        <v/>
      </c>
      <c r="D279" s="60">
        <f>D27+D70+D113</f>
        <v/>
      </c>
      <c r="E279" s="60">
        <f>E27+E70+E113</f>
        <v/>
      </c>
      <c r="F279" s="60">
        <f>F27+F70+F113</f>
        <v/>
      </c>
      <c r="G279" s="60">
        <f>G27+G70+G113</f>
        <v/>
      </c>
      <c r="H279" s="60">
        <f>H27+H70+H113</f>
        <v/>
      </c>
      <c r="I279" s="60">
        <f>I27+I70+I113</f>
        <v/>
      </c>
      <c r="J279" s="60">
        <f>J27+J70+J113</f>
        <v/>
      </c>
      <c r="K279" s="60">
        <f>K27+K70+K113</f>
        <v/>
      </c>
      <c r="L279" s="60">
        <f>L27+L70+L113</f>
        <v/>
      </c>
      <c r="M279" s="60">
        <f>M27+M70+M113</f>
        <v/>
      </c>
      <c r="N279" s="60">
        <f>N27+N70+N113</f>
        <v/>
      </c>
      <c r="O279" s="60">
        <f>O27+O70+O113</f>
        <v/>
      </c>
      <c r="P279" s="60">
        <f>P27+P70+P113</f>
        <v/>
      </c>
      <c r="Q279" s="60">
        <f>Q27+Q70+Q113</f>
        <v/>
      </c>
      <c r="R279" s="60">
        <f>R27+R70+R113</f>
        <v/>
      </c>
      <c r="S279" s="60">
        <f>S27+S70+S113</f>
        <v/>
      </c>
      <c r="T279" s="60">
        <f>T27+T70+T113</f>
        <v/>
      </c>
      <c r="U279" s="60">
        <f>U27+U70+U113</f>
        <v/>
      </c>
      <c r="V279" s="60">
        <f>V27+V70+V113</f>
        <v/>
      </c>
      <c r="W279" s="60">
        <f>W27+W70+W113</f>
        <v/>
      </c>
      <c r="X279" s="60">
        <f>X27+X70+X113</f>
        <v/>
      </c>
      <c r="Y279" s="60">
        <f>Y27+Y70+Y113</f>
        <v/>
      </c>
      <c r="Z279" s="60">
        <f>Z27+Z70+Z113</f>
        <v/>
      </c>
      <c r="AA279" s="60">
        <f>AA27+AA70+AA113</f>
        <v/>
      </c>
      <c r="AB279" s="60">
        <f>AB27+AB70+AB113</f>
        <v/>
      </c>
      <c r="AC279" s="60">
        <f>AC27+AC70+AC113</f>
        <v/>
      </c>
      <c r="AD279" s="60">
        <f>AD27+AD70+AD113</f>
        <v/>
      </c>
      <c r="AE279" s="60">
        <f>AE27+AE70+AE113</f>
        <v/>
      </c>
    </row>
    <row r="280">
      <c r="A280" s="6" t="inlineStr">
        <is>
          <t>ACQ - Referral rewards</t>
        </is>
      </c>
      <c r="B280" s="23" t="inlineStr">
        <is>
          <t>USD</t>
        </is>
      </c>
      <c r="C280" s="63">
        <f>(C27*Assumptions!$B$190+C70*Assumptions!$B$191+C113*Assumptions!$B$192)*6*Assumptions!$B$8*Assumptions!$B$212</f>
        <v/>
      </c>
      <c r="D280" s="63">
        <f>(D27*Assumptions!$B$190+D70*Assumptions!$B$191+D113*Assumptions!$B$192)*6*Assumptions!$B$8*Assumptions!$B$212</f>
        <v/>
      </c>
      <c r="E280" s="63">
        <f>(E27*Assumptions!$B$190+E70*Assumptions!$B$191+E113*Assumptions!$B$192)*6*Assumptions!$B$8*Assumptions!$B$212</f>
        <v/>
      </c>
      <c r="F280" s="63">
        <f>(F27*Assumptions!$B$190+F70*Assumptions!$B$191+F113*Assumptions!$B$192)*6*Assumptions!$B$8*Assumptions!$B$212</f>
        <v/>
      </c>
      <c r="G280" s="63">
        <f>(G27*Assumptions!$B$190+G70*Assumptions!$B$191+G113*Assumptions!$B$192)*6*Assumptions!$B$8*Assumptions!$B$212</f>
        <v/>
      </c>
      <c r="H280" s="63">
        <f>(H27*Assumptions!$B$190+H70*Assumptions!$B$191+H113*Assumptions!$B$192)*6*Assumptions!$B$8*Assumptions!$B$212</f>
        <v/>
      </c>
      <c r="I280" s="63">
        <f>(I27*Assumptions!$B$190+I70*Assumptions!$B$191+I113*Assumptions!$B$192)*6*Assumptions!$B$8*Assumptions!$B$212</f>
        <v/>
      </c>
      <c r="J280" s="63">
        <f>(J27*Assumptions!$B$190+J70*Assumptions!$B$191+J113*Assumptions!$B$192)*6*Assumptions!$B$8*Assumptions!$B$212</f>
        <v/>
      </c>
      <c r="K280" s="63">
        <f>(K27*Assumptions!$B$190+K70*Assumptions!$B$191+K113*Assumptions!$B$192)*6*Assumptions!$B$8*Assumptions!$B$212</f>
        <v/>
      </c>
      <c r="L280" s="63">
        <f>(L27*Assumptions!$B$190+L70*Assumptions!$B$191+L113*Assumptions!$B$192)*6*Assumptions!$B$8*Assumptions!$B$212</f>
        <v/>
      </c>
      <c r="M280" s="63">
        <f>(M27*Assumptions!$B$190+M70*Assumptions!$B$191+M113*Assumptions!$B$192)*6*Assumptions!$B$8*Assumptions!$B$212</f>
        <v/>
      </c>
      <c r="N280" s="63">
        <f>(N27*Assumptions!$B$190+N70*Assumptions!$B$191+N113*Assumptions!$B$192)*6*Assumptions!$B$8*Assumptions!$B$212</f>
        <v/>
      </c>
      <c r="O280" s="63">
        <f>(O27*Assumptions!$B$190+O70*Assumptions!$B$191+O113*Assumptions!$B$192)*6*Assumptions!$B$8*Assumptions!$B$212</f>
        <v/>
      </c>
      <c r="P280" s="63">
        <f>(P27*Assumptions!$B$190+P70*Assumptions!$B$191+P113*Assumptions!$B$192)*6*Assumptions!$B$8*Assumptions!$B$212</f>
        <v/>
      </c>
      <c r="Q280" s="63">
        <f>(Q27*Assumptions!$B$190+Q70*Assumptions!$B$191+Q113*Assumptions!$B$192)*6*Assumptions!$B$8*Assumptions!$B$212</f>
        <v/>
      </c>
      <c r="R280" s="63">
        <f>(R27*Assumptions!$B$190+R70*Assumptions!$B$191+R113*Assumptions!$B$192)*6*Assumptions!$B$8*Assumptions!$B$212</f>
        <v/>
      </c>
      <c r="S280" s="63">
        <f>(S27*Assumptions!$B$190+S70*Assumptions!$B$191+S113*Assumptions!$B$192)*6*Assumptions!$B$8*Assumptions!$B$212</f>
        <v/>
      </c>
      <c r="T280" s="63">
        <f>(T27*Assumptions!$B$190+T70*Assumptions!$B$191+T113*Assumptions!$B$192)*6*Assumptions!$B$8*Assumptions!$B$212</f>
        <v/>
      </c>
      <c r="U280" s="63">
        <f>(U27*Assumptions!$B$190+U70*Assumptions!$B$191+U113*Assumptions!$B$192)*6*Assumptions!$B$8*Assumptions!$B$212</f>
        <v/>
      </c>
      <c r="V280" s="63">
        <f>(V27*Assumptions!$B$190+V70*Assumptions!$B$191+V113*Assumptions!$B$192)*6*Assumptions!$B$8*Assumptions!$B$212</f>
        <v/>
      </c>
      <c r="W280" s="63">
        <f>(W27*Assumptions!$B$190+W70*Assumptions!$B$191+W113*Assumptions!$B$192)*6*Assumptions!$B$8*Assumptions!$B$212</f>
        <v/>
      </c>
      <c r="X280" s="63">
        <f>(X27*Assumptions!$B$190+X70*Assumptions!$B$191+X113*Assumptions!$B$192)*6*Assumptions!$B$8*Assumptions!$B$212</f>
        <v/>
      </c>
      <c r="Y280" s="63">
        <f>(Y27*Assumptions!$B$190+Y70*Assumptions!$B$191+Y113*Assumptions!$B$192)*6*Assumptions!$B$8*Assumptions!$B$212</f>
        <v/>
      </c>
      <c r="Z280" s="63">
        <f>(Z27*Assumptions!$B$190+Z70*Assumptions!$B$191+Z113*Assumptions!$B$192)*6*Assumptions!$B$8*Assumptions!$B$212</f>
        <v/>
      </c>
      <c r="AA280" s="63">
        <f>(AA27*Assumptions!$B$190+AA70*Assumptions!$B$191+AA113*Assumptions!$B$192)*6*Assumptions!$B$8*Assumptions!$B$212</f>
        <v/>
      </c>
      <c r="AB280" s="63">
        <f>(AB27*Assumptions!$B$190+AB70*Assumptions!$B$191+AB113*Assumptions!$B$192)*6*Assumptions!$B$8*Assumptions!$B$212</f>
        <v/>
      </c>
      <c r="AC280" s="63">
        <f>(AC27*Assumptions!$B$190+AC70*Assumptions!$B$191+AC113*Assumptions!$B$192)*6*Assumptions!$B$8*Assumptions!$B$212</f>
        <v/>
      </c>
      <c r="AD280" s="63">
        <f>(AD27*Assumptions!$B$190+AD70*Assumptions!$B$191+AD113*Assumptions!$B$192)*6*Assumptions!$B$8*Assumptions!$B$212</f>
        <v/>
      </c>
      <c r="AE280" s="63">
        <f>(AE27*Assumptions!$B$190+AE70*Assumptions!$B$191+AE113*Assumptions!$B$192)*6*Assumptions!$B$8*Assumptions!$B$212</f>
        <v/>
      </c>
    </row>
    <row r="281">
      <c r="A281" s="9" t="inlineStr">
        <is>
          <t>30% of the entry fee the referee pays over SIX qualifying contributions, credited in grams. Priced per region because tickets differ and the reward is a share of the referee's own fee. BOOKED AT ACQUISITION, PAID AT THE GATE: the real payment lands six contributions later, so no earlier than about month 19. Annual totals barely move; the monthly cash profile does.</t>
        </is>
      </c>
    </row>
    <row r="282">
      <c r="A282" s="3" t="inlineStr">
        <is>
          <t>TOTAL ACQUISITION COSTS</t>
        </is>
      </c>
      <c r="B282" s="23" t="inlineStr">
        <is>
          <t>USD</t>
        </is>
      </c>
      <c r="C282" s="63">
        <f>C272+C277+C280</f>
        <v/>
      </c>
      <c r="D282" s="63">
        <f>D272+D277+D280</f>
        <v/>
      </c>
      <c r="E282" s="63">
        <f>E272+E277+E280</f>
        <v/>
      </c>
      <c r="F282" s="63">
        <f>F272+F277+F280</f>
        <v/>
      </c>
      <c r="G282" s="63">
        <f>G272+G277+G280</f>
        <v/>
      </c>
      <c r="H282" s="63">
        <f>H272+H277+H280</f>
        <v/>
      </c>
      <c r="I282" s="63">
        <f>I272+I277+I280</f>
        <v/>
      </c>
      <c r="J282" s="63">
        <f>J272+J277+J280</f>
        <v/>
      </c>
      <c r="K282" s="63">
        <f>K272+K277+K280</f>
        <v/>
      </c>
      <c r="L282" s="63">
        <f>L272+L277+L280</f>
        <v/>
      </c>
      <c r="M282" s="63">
        <f>M272+M277+M280</f>
        <v/>
      </c>
      <c r="N282" s="63">
        <f>N272+N277+N280</f>
        <v/>
      </c>
      <c r="O282" s="63">
        <f>O272+O277+O280</f>
        <v/>
      </c>
      <c r="P282" s="63">
        <f>P272+P277+P280</f>
        <v/>
      </c>
      <c r="Q282" s="63">
        <f>Q272+Q277+Q280</f>
        <v/>
      </c>
      <c r="R282" s="63">
        <f>R272+R277+R280</f>
        <v/>
      </c>
      <c r="S282" s="63">
        <f>S272+S277+S280</f>
        <v/>
      </c>
      <c r="T282" s="63">
        <f>T272+T277+T280</f>
        <v/>
      </c>
      <c r="U282" s="63">
        <f>U272+U277+U280</f>
        <v/>
      </c>
      <c r="V282" s="63">
        <f>V272+V277+V280</f>
        <v/>
      </c>
      <c r="W282" s="63">
        <f>W272+W277+W280</f>
        <v/>
      </c>
      <c r="X282" s="63">
        <f>X272+X277+X280</f>
        <v/>
      </c>
      <c r="Y282" s="63">
        <f>Y272+Y277+Y280</f>
        <v/>
      </c>
      <c r="Z282" s="63">
        <f>Z272+Z277+Z280</f>
        <v/>
      </c>
      <c r="AA282" s="63">
        <f>AA272+AA277+AA280</f>
        <v/>
      </c>
      <c r="AB282" s="63">
        <f>AB272+AB277+AB280</f>
        <v/>
      </c>
      <c r="AC282" s="63">
        <f>AC272+AC277+AC280</f>
        <v/>
      </c>
      <c r="AD282" s="63">
        <f>AD272+AD277+AD280</f>
        <v/>
      </c>
      <c r="AE282" s="63">
        <f>AE272+AE277+AE280</f>
        <v/>
      </c>
    </row>
    <row r="283">
      <c r="A283" s="6" t="inlineStr">
        <is>
          <t xml:space="preserve">  Blended cost per new customer (memo)</t>
        </is>
      </c>
      <c r="B283" s="23" t="inlineStr">
        <is>
          <t>USD</t>
        </is>
      </c>
      <c r="C283" s="59">
        <f>IF(C162=0,0,C282/C162)</f>
        <v/>
      </c>
      <c r="D283" s="59">
        <f>IF(D162=0,0,D282/D162)</f>
        <v/>
      </c>
      <c r="E283" s="59">
        <f>IF(E162=0,0,E282/E162)</f>
        <v/>
      </c>
      <c r="F283" s="59">
        <f>IF(F162=0,0,F282/F162)</f>
        <v/>
      </c>
      <c r="G283" s="59">
        <f>IF(G162=0,0,G282/G162)</f>
        <v/>
      </c>
      <c r="H283" s="59">
        <f>IF(H162=0,0,H282/H162)</f>
        <v/>
      </c>
      <c r="I283" s="59">
        <f>IF(I162=0,0,I282/I162)</f>
        <v/>
      </c>
      <c r="J283" s="59">
        <f>IF(J162=0,0,J282/J162)</f>
        <v/>
      </c>
      <c r="K283" s="59">
        <f>IF(K162=0,0,K282/K162)</f>
        <v/>
      </c>
      <c r="L283" s="59">
        <f>IF(L162=0,0,L282/L162)</f>
        <v/>
      </c>
      <c r="M283" s="59">
        <f>IF(M162=0,0,M282/M162)</f>
        <v/>
      </c>
      <c r="N283" s="59">
        <f>IF(N162=0,0,N282/N162)</f>
        <v/>
      </c>
      <c r="O283" s="59">
        <f>IF(O162=0,0,O282/O162)</f>
        <v/>
      </c>
      <c r="P283" s="59">
        <f>IF(P162=0,0,P282/P162)</f>
        <v/>
      </c>
      <c r="Q283" s="59">
        <f>IF(Q162=0,0,Q282/Q162)</f>
        <v/>
      </c>
      <c r="R283" s="59">
        <f>IF(R162=0,0,R282/R162)</f>
        <v/>
      </c>
      <c r="S283" s="59">
        <f>IF(S162=0,0,S282/S162)</f>
        <v/>
      </c>
      <c r="T283" s="59">
        <f>IF(T162=0,0,T282/T162)</f>
        <v/>
      </c>
      <c r="U283" s="59">
        <f>IF(U162=0,0,U282/U162)</f>
        <v/>
      </c>
      <c r="V283" s="59">
        <f>IF(V162=0,0,V282/V162)</f>
        <v/>
      </c>
      <c r="W283" s="59">
        <f>IF(W162=0,0,W282/W162)</f>
        <v/>
      </c>
      <c r="X283" s="59">
        <f>IF(X162=0,0,X282/X162)</f>
        <v/>
      </c>
      <c r="Y283" s="59">
        <f>IF(Y162=0,0,Y282/Y162)</f>
        <v/>
      </c>
      <c r="Z283" s="59">
        <f>IF(Z162=0,0,Z282/Z162)</f>
        <v/>
      </c>
      <c r="AA283" s="59">
        <f>IF(AA162=0,0,AA282/AA162)</f>
        <v/>
      </c>
      <c r="AB283" s="59">
        <f>IF(AB162=0,0,AB282/AB162)</f>
        <v/>
      </c>
      <c r="AC283" s="59">
        <f>IF(AC162=0,0,AC282/AC162)</f>
        <v/>
      </c>
      <c r="AD283" s="59">
        <f>IF(AD162=0,0,AD282/AD162)</f>
        <v/>
      </c>
      <c r="AE283" s="59">
        <f>IF(AE162=0,0,AE282/AE162)</f>
        <v/>
      </c>
    </row>
    <row r="284">
      <c r="A284" s="9" t="inlineStr">
        <is>
          <t>TOTAL acquisition cost over ALL new customers, including the organic ones nobody paid for. It is therefore BELOW the paid CAC by construction, and it is the number that matters for unit economics - the marketing CAC prices only the channel it buys.</t>
        </is>
      </c>
    </row>
    <row r="287">
      <c r="A287" s="51" t="inlineStr">
        <is>
          <t>CARD PROGRAMME COSTS - what the card costs to run, kept next to what it earns</t>
        </is>
      </c>
      <c r="B287" s="52" t="n"/>
      <c r="C287" s="52" t="n"/>
      <c r="D287" s="52" t="n"/>
      <c r="E287" s="52" t="n"/>
      <c r="F287" s="52" t="n"/>
      <c r="G287" s="52" t="n"/>
      <c r="H287" s="52" t="n"/>
      <c r="I287" s="52" t="n"/>
      <c r="J287" s="52" t="n"/>
      <c r="K287" s="52" t="n"/>
      <c r="L287" s="52" t="n"/>
      <c r="M287" s="52" t="n"/>
      <c r="N287" s="52" t="n"/>
      <c r="O287" s="52" t="n"/>
      <c r="P287" s="52" t="n"/>
      <c r="Q287" s="52" t="n"/>
      <c r="R287" s="52" t="n"/>
      <c r="S287" s="52" t="n"/>
      <c r="T287" s="52" t="n"/>
      <c r="U287" s="52" t="n"/>
      <c r="V287" s="52" t="n"/>
      <c r="W287" s="52" t="n"/>
      <c r="X287" s="52" t="n"/>
      <c r="Y287" s="52" t="n"/>
      <c r="Z287" s="52" t="n"/>
      <c r="AA287" s="52" t="n"/>
      <c r="AB287" s="52" t="n"/>
      <c r="AC287" s="52" t="n"/>
      <c r="AD287" s="52" t="n"/>
      <c r="AE287" s="52" t="n"/>
    </row>
    <row r="288">
      <c r="A288" s="6" t="inlineStr">
        <is>
          <t xml:space="preserve">  Cards newly issued this period</t>
        </is>
      </c>
      <c r="B288" s="23" t="inlineStr">
        <is>
          <t>cards</t>
        </is>
      </c>
      <c r="C288" s="60">
        <f>C48+C91+C134</f>
        <v/>
      </c>
      <c r="D288" s="60">
        <f>D48+D91+D134</f>
        <v/>
      </c>
      <c r="E288" s="60">
        <f>E48+E91+E134</f>
        <v/>
      </c>
      <c r="F288" s="60">
        <f>F48+F91+F134</f>
        <v/>
      </c>
      <c r="G288" s="60">
        <f>G48+G91+G134</f>
        <v/>
      </c>
      <c r="H288" s="60">
        <f>H48+H91+H134</f>
        <v/>
      </c>
      <c r="I288" s="60">
        <f>I48+I91+I134</f>
        <v/>
      </c>
      <c r="J288" s="60">
        <f>J48+J91+J134</f>
        <v/>
      </c>
      <c r="K288" s="60">
        <f>K48+K91+K134</f>
        <v/>
      </c>
      <c r="L288" s="60">
        <f>L48+L91+L134</f>
        <v/>
      </c>
      <c r="M288" s="60">
        <f>M48+M91+M134</f>
        <v/>
      </c>
      <c r="N288" s="60">
        <f>N48+N91+N134</f>
        <v/>
      </c>
      <c r="O288" s="60">
        <f>O48+O91+O134</f>
        <v/>
      </c>
      <c r="P288" s="60">
        <f>P48+P91+P134</f>
        <v/>
      </c>
      <c r="Q288" s="60">
        <f>Q48+Q91+Q134</f>
        <v/>
      </c>
      <c r="R288" s="60">
        <f>R48+R91+R134</f>
        <v/>
      </c>
      <c r="S288" s="60">
        <f>S48+S91+S134</f>
        <v/>
      </c>
      <c r="T288" s="60">
        <f>T48+T91+T134</f>
        <v/>
      </c>
      <c r="U288" s="60">
        <f>U48+U91+U134</f>
        <v/>
      </c>
      <c r="V288" s="60">
        <f>V48+V91+V134</f>
        <v/>
      </c>
      <c r="W288" s="60">
        <f>W48+W91+W134</f>
        <v/>
      </c>
      <c r="X288" s="60">
        <f>X48+X91+X134</f>
        <v/>
      </c>
      <c r="Y288" s="60">
        <f>Y48+Y91+Y134</f>
        <v/>
      </c>
      <c r="Z288" s="60">
        <f>Z48+Z91+Z134</f>
        <v/>
      </c>
      <c r="AA288" s="60">
        <f>AA48+AA91+AA134</f>
        <v/>
      </c>
      <c r="AB288" s="60">
        <f>AB48+AB91+AB134</f>
        <v/>
      </c>
      <c r="AC288" s="60">
        <f>AC48+AC91+AC134</f>
        <v/>
      </c>
      <c r="AD288" s="60">
        <f>AD48+AD91+AD134</f>
        <v/>
      </c>
      <c r="AE288" s="60">
        <f>AE48+AE91+AE134</f>
        <v/>
      </c>
    </row>
    <row r="289">
      <c r="A289" s="6" t="inlineStr">
        <is>
          <t>CARD - NymCard platform and scheme fees</t>
        </is>
      </c>
      <c r="B289" s="23" t="inlineStr">
        <is>
          <t>USD</t>
        </is>
      </c>
      <c r="C289" s="63">
        <f>IF(C2&gt;=Assumptions!$B$51,Assumptions!$B$213*C7/12,0)</f>
        <v/>
      </c>
      <c r="D289" s="63">
        <f>IF(D2&gt;=Assumptions!$B$51,Assumptions!$B$213*D7/12,0)</f>
        <v/>
      </c>
      <c r="E289" s="63">
        <f>IF(E2&gt;=Assumptions!$B$51,Assumptions!$B$213*E7/12,0)</f>
        <v/>
      </c>
      <c r="F289" s="63">
        <f>IF(F2&gt;=Assumptions!$B$51,Assumptions!$B$213*F7/12,0)</f>
        <v/>
      </c>
      <c r="G289" s="63">
        <f>IF(G2&gt;=Assumptions!$B$51,Assumptions!$B$213*G7/12,0)</f>
        <v/>
      </c>
      <c r="H289" s="63">
        <f>IF(H2&gt;=Assumptions!$B$51,Assumptions!$B$213*H7/12,0)</f>
        <v/>
      </c>
      <c r="I289" s="63">
        <f>IF(I2&gt;=Assumptions!$B$51,Assumptions!$B$213*I7/12,0)</f>
        <v/>
      </c>
      <c r="J289" s="63">
        <f>IF(J2&gt;=Assumptions!$B$51,Assumptions!$B$213*J7/12,0)</f>
        <v/>
      </c>
      <c r="K289" s="63">
        <f>IF(K2&gt;=Assumptions!$B$51,Assumptions!$B$213*K7/12,0)</f>
        <v/>
      </c>
      <c r="L289" s="63">
        <f>IF(L2&gt;=Assumptions!$B$51,Assumptions!$B$213*L7/12,0)</f>
        <v/>
      </c>
      <c r="M289" s="63">
        <f>IF(M2&gt;=Assumptions!$B$51,Assumptions!$B$213*M7/12,0)</f>
        <v/>
      </c>
      <c r="N289" s="63">
        <f>IF(N2&gt;=Assumptions!$B$51,Assumptions!$B$213*N7/12,0)</f>
        <v/>
      </c>
      <c r="O289" s="63">
        <f>IF(O2&gt;=Assumptions!$B$51,Assumptions!$B$213*O7/12,0)</f>
        <v/>
      </c>
      <c r="P289" s="63">
        <f>IF(P2&gt;=Assumptions!$B$51,Assumptions!$B$213*P7/12,0)</f>
        <v/>
      </c>
      <c r="Q289" s="63">
        <f>IF(Q2&gt;=Assumptions!$B$51,Assumptions!$B$213*Q7/12,0)</f>
        <v/>
      </c>
      <c r="R289" s="63">
        <f>IF(R2&gt;=Assumptions!$B$51,Assumptions!$B$213*R7/12,0)</f>
        <v/>
      </c>
      <c r="S289" s="63">
        <f>IF(S2&gt;=Assumptions!$B$51,Assumptions!$B$213*S7/12,0)</f>
        <v/>
      </c>
      <c r="T289" s="63">
        <f>IF(T2&gt;=Assumptions!$B$51,Assumptions!$B$213*T7/12,0)</f>
        <v/>
      </c>
      <c r="U289" s="63">
        <f>IF(U2&gt;=Assumptions!$B$51,Assumptions!$B$213*U7/12,0)</f>
        <v/>
      </c>
      <c r="V289" s="63">
        <f>IF(V2&gt;=Assumptions!$B$51,Assumptions!$B$213*V7/12,0)</f>
        <v/>
      </c>
      <c r="W289" s="63">
        <f>IF(W2&gt;=Assumptions!$B$51,Assumptions!$B$213*W7/12,0)</f>
        <v/>
      </c>
      <c r="X289" s="63">
        <f>IF(X2&gt;=Assumptions!$B$51,Assumptions!$B$213*X7/12,0)</f>
        <v/>
      </c>
      <c r="Y289" s="63">
        <f>IF(Y2&gt;=Assumptions!$B$51,Assumptions!$B$213*Y7/12,0)</f>
        <v/>
      </c>
      <c r="Z289" s="63">
        <f>IF(Z2&gt;=Assumptions!$B$51,Assumptions!$B$213*Z7/12,0)</f>
        <v/>
      </c>
      <c r="AA289" s="63">
        <f>IF(AA2&gt;=Assumptions!$B$51,Assumptions!$B$213*AA7/12,0)</f>
        <v/>
      </c>
      <c r="AB289" s="63">
        <f>IF(AB2&gt;=Assumptions!$B$51,Assumptions!$B$213*AB7/12,0)</f>
        <v/>
      </c>
      <c r="AC289" s="63">
        <f>IF(AC2&gt;=Assumptions!$B$51,Assumptions!$B$213*AC7/12,0)</f>
        <v/>
      </c>
      <c r="AD289" s="63">
        <f>IF(AD2&gt;=Assumptions!$B$51,Assumptions!$B$213*AD7/12,0)</f>
        <v/>
      </c>
      <c r="AE289" s="63">
        <f>IF(AE2&gt;=Assumptions!$B$51,Assumptions!$B$213*AE7/12,0)</f>
        <v/>
      </c>
    </row>
    <row r="290">
      <c r="A290" s="9" t="inlineStr">
        <is>
          <t>NO BIN SPONSORSHIP FEE IN HERE. NymCard is a principal member of both Visa and Mastercard, so it sponsors the BIN under its OWN membership - there is no bank to pay for it, and the line fell from USD 120,000/yr to USD 30,000 when that component came out. What remains is the platform fee and scheme assessments, which no provider waives. A BANK IS STILL NEEDED FOR THE CREDIT: lending is a different regime and a payment services licence does not reach it. BENCHMARKED, NOT QUOTED - NymCard publishes no pricing.</t>
        </is>
      </c>
    </row>
    <row r="291">
      <c r="A291" s="6" t="inlineStr">
        <is>
          <t>CARD - Programme setup (one-off at launch)</t>
        </is>
      </c>
      <c r="B291" s="23" t="inlineStr">
        <is>
          <t>USD</t>
        </is>
      </c>
      <c r="C291" s="63">
        <f>IF(C2=Assumptions!$B$51,Assumptions!$B$214,0)</f>
        <v/>
      </c>
      <c r="D291" s="63">
        <f>IF(D2=Assumptions!$B$51,Assumptions!$B$214,0)</f>
        <v/>
      </c>
      <c r="E291" s="63">
        <f>IF(E2=Assumptions!$B$51,Assumptions!$B$214,0)</f>
        <v/>
      </c>
      <c r="F291" s="63">
        <f>IF(F2=Assumptions!$B$51,Assumptions!$B$214,0)</f>
        <v/>
      </c>
      <c r="G291" s="63">
        <f>IF(G2=Assumptions!$B$51,Assumptions!$B$214,0)</f>
        <v/>
      </c>
      <c r="H291" s="63">
        <f>IF(H2=Assumptions!$B$51,Assumptions!$B$214,0)</f>
        <v/>
      </c>
      <c r="I291" s="63">
        <f>IF(I2=Assumptions!$B$51,Assumptions!$B$214,0)</f>
        <v/>
      </c>
      <c r="J291" s="63">
        <f>IF(J2=Assumptions!$B$51,Assumptions!$B$214,0)</f>
        <v/>
      </c>
      <c r="K291" s="63">
        <f>IF(K2=Assumptions!$B$51,Assumptions!$B$214,0)</f>
        <v/>
      </c>
      <c r="L291" s="63">
        <f>IF(L2=Assumptions!$B$51,Assumptions!$B$214,0)</f>
        <v/>
      </c>
      <c r="M291" s="63">
        <f>IF(M2=Assumptions!$B$51,Assumptions!$B$214,0)</f>
        <v/>
      </c>
      <c r="N291" s="63">
        <f>IF(N2=Assumptions!$B$51,Assumptions!$B$214,0)</f>
        <v/>
      </c>
      <c r="O291" s="63">
        <f>IF(O2=Assumptions!$B$51,Assumptions!$B$214,0)</f>
        <v/>
      </c>
      <c r="P291" s="63">
        <f>IF(P2=Assumptions!$B$51,Assumptions!$B$214,0)</f>
        <v/>
      </c>
      <c r="Q291" s="63">
        <f>IF(Q2=Assumptions!$B$51,Assumptions!$B$214,0)</f>
        <v/>
      </c>
      <c r="R291" s="63">
        <f>IF(R2=Assumptions!$B$51,Assumptions!$B$214,0)</f>
        <v/>
      </c>
      <c r="S291" s="63">
        <f>IF(S2=Assumptions!$B$51,Assumptions!$B$214,0)</f>
        <v/>
      </c>
      <c r="T291" s="63">
        <f>IF(T2=Assumptions!$B$51,Assumptions!$B$214,0)</f>
        <v/>
      </c>
      <c r="U291" s="63">
        <f>IF(U2=Assumptions!$B$51,Assumptions!$B$214,0)</f>
        <v/>
      </c>
      <c r="V291" s="63">
        <f>IF(V2=Assumptions!$B$51,Assumptions!$B$214,0)</f>
        <v/>
      </c>
      <c r="W291" s="63">
        <f>IF(W2=Assumptions!$B$51,Assumptions!$B$214,0)</f>
        <v/>
      </c>
      <c r="X291" s="63">
        <f>IF(X2=Assumptions!$B$51,Assumptions!$B$214,0)</f>
        <v/>
      </c>
      <c r="Y291" s="63">
        <f>IF(Y2=Assumptions!$B$51,Assumptions!$B$214,0)</f>
        <v/>
      </c>
      <c r="Z291" s="63">
        <f>IF(Z2=Assumptions!$B$51,Assumptions!$B$214,0)</f>
        <v/>
      </c>
      <c r="AA291" s="63">
        <f>IF(AA2=Assumptions!$B$51,Assumptions!$B$214,0)</f>
        <v/>
      </c>
      <c r="AB291" s="63">
        <f>IF(AB2=Assumptions!$B$51,Assumptions!$B$214,0)</f>
        <v/>
      </c>
      <c r="AC291" s="63">
        <f>IF(AC2=Assumptions!$B$51,Assumptions!$B$214,0)</f>
        <v/>
      </c>
      <c r="AD291" s="63">
        <f>IF(AD2=Assumptions!$B$51,Assumptions!$B$214,0)</f>
        <v/>
      </c>
      <c r="AE291" s="63">
        <f>IF(AE2=Assumptions!$B$51,Assumptions!$B$214,0)</f>
        <v/>
      </c>
    </row>
    <row r="292">
      <c r="A292" s="6" t="inlineStr">
        <is>
          <t>CARD - Card production and delivery</t>
        </is>
      </c>
      <c r="B292" s="23" t="inlineStr">
        <is>
          <t>USD</t>
        </is>
      </c>
      <c r="C292" s="63">
        <f>C288*Assumptions!$B$215</f>
        <v/>
      </c>
      <c r="D292" s="63">
        <f>D288*Assumptions!$B$215</f>
        <v/>
      </c>
      <c r="E292" s="63">
        <f>E288*Assumptions!$B$215</f>
        <v/>
      </c>
      <c r="F292" s="63">
        <f>F288*Assumptions!$B$215</f>
        <v/>
      </c>
      <c r="G292" s="63">
        <f>G288*Assumptions!$B$215</f>
        <v/>
      </c>
      <c r="H292" s="63">
        <f>H288*Assumptions!$B$215</f>
        <v/>
      </c>
      <c r="I292" s="63">
        <f>I288*Assumptions!$B$215</f>
        <v/>
      </c>
      <c r="J292" s="63">
        <f>J288*Assumptions!$B$215</f>
        <v/>
      </c>
      <c r="K292" s="63">
        <f>K288*Assumptions!$B$215</f>
        <v/>
      </c>
      <c r="L292" s="63">
        <f>L288*Assumptions!$B$215</f>
        <v/>
      </c>
      <c r="M292" s="63">
        <f>M288*Assumptions!$B$215</f>
        <v/>
      </c>
      <c r="N292" s="63">
        <f>N288*Assumptions!$B$215</f>
        <v/>
      </c>
      <c r="O292" s="63">
        <f>O288*Assumptions!$B$215</f>
        <v/>
      </c>
      <c r="P292" s="63">
        <f>P288*Assumptions!$B$215</f>
        <v/>
      </c>
      <c r="Q292" s="63">
        <f>Q288*Assumptions!$B$215</f>
        <v/>
      </c>
      <c r="R292" s="63">
        <f>R288*Assumptions!$B$215</f>
        <v/>
      </c>
      <c r="S292" s="63">
        <f>S288*Assumptions!$B$215</f>
        <v/>
      </c>
      <c r="T292" s="63">
        <f>T288*Assumptions!$B$215</f>
        <v/>
      </c>
      <c r="U292" s="63">
        <f>U288*Assumptions!$B$215</f>
        <v/>
      </c>
      <c r="V292" s="63">
        <f>V288*Assumptions!$B$215</f>
        <v/>
      </c>
      <c r="W292" s="63">
        <f>W288*Assumptions!$B$215</f>
        <v/>
      </c>
      <c r="X292" s="63">
        <f>X288*Assumptions!$B$215</f>
        <v/>
      </c>
      <c r="Y292" s="63">
        <f>Y288*Assumptions!$B$215</f>
        <v/>
      </c>
      <c r="Z292" s="63">
        <f>Z288*Assumptions!$B$215</f>
        <v/>
      </c>
      <c r="AA292" s="63">
        <f>AA288*Assumptions!$B$215</f>
        <v/>
      </c>
      <c r="AB292" s="63">
        <f>AB288*Assumptions!$B$215</f>
        <v/>
      </c>
      <c r="AC292" s="63">
        <f>AC288*Assumptions!$B$215</f>
        <v/>
      </c>
      <c r="AD292" s="63">
        <f>AD288*Assumptions!$B$215</f>
        <v/>
      </c>
      <c r="AE292" s="63">
        <f>AE288*Assumptions!$B$215</f>
        <v/>
      </c>
    </row>
    <row r="293">
      <c r="A293" s="6" t="inlineStr">
        <is>
          <t>CARD - Authorisation and switching</t>
        </is>
      </c>
      <c r="B293" s="23" t="inlineStr">
        <is>
          <t>USD</t>
        </is>
      </c>
      <c r="C293" s="63">
        <f>C196*Assumptions!$B$216</f>
        <v/>
      </c>
      <c r="D293" s="63">
        <f>D196*Assumptions!$B$216</f>
        <v/>
      </c>
      <c r="E293" s="63">
        <f>E196*Assumptions!$B$216</f>
        <v/>
      </c>
      <c r="F293" s="63">
        <f>F196*Assumptions!$B$216</f>
        <v/>
      </c>
      <c r="G293" s="63">
        <f>G196*Assumptions!$B$216</f>
        <v/>
      </c>
      <c r="H293" s="63">
        <f>H196*Assumptions!$B$216</f>
        <v/>
      </c>
      <c r="I293" s="63">
        <f>I196*Assumptions!$B$216</f>
        <v/>
      </c>
      <c r="J293" s="63">
        <f>J196*Assumptions!$B$216</f>
        <v/>
      </c>
      <c r="K293" s="63">
        <f>K196*Assumptions!$B$216</f>
        <v/>
      </c>
      <c r="L293" s="63">
        <f>L196*Assumptions!$B$216</f>
        <v/>
      </c>
      <c r="M293" s="63">
        <f>M196*Assumptions!$B$216</f>
        <v/>
      </c>
      <c r="N293" s="63">
        <f>N196*Assumptions!$B$216</f>
        <v/>
      </c>
      <c r="O293" s="63">
        <f>O196*Assumptions!$B$216</f>
        <v/>
      </c>
      <c r="P293" s="63">
        <f>P196*Assumptions!$B$216</f>
        <v/>
      </c>
      <c r="Q293" s="63">
        <f>Q196*Assumptions!$B$216</f>
        <v/>
      </c>
      <c r="R293" s="63">
        <f>R196*Assumptions!$B$216</f>
        <v/>
      </c>
      <c r="S293" s="63">
        <f>S196*Assumptions!$B$216</f>
        <v/>
      </c>
      <c r="T293" s="63">
        <f>T196*Assumptions!$B$216</f>
        <v/>
      </c>
      <c r="U293" s="63">
        <f>U196*Assumptions!$B$216</f>
        <v/>
      </c>
      <c r="V293" s="63">
        <f>V196*Assumptions!$B$216</f>
        <v/>
      </c>
      <c r="W293" s="63">
        <f>W196*Assumptions!$B$216</f>
        <v/>
      </c>
      <c r="X293" s="63">
        <f>X196*Assumptions!$B$216</f>
        <v/>
      </c>
      <c r="Y293" s="63">
        <f>Y196*Assumptions!$B$216</f>
        <v/>
      </c>
      <c r="Z293" s="63">
        <f>Z196*Assumptions!$B$216</f>
        <v/>
      </c>
      <c r="AA293" s="63">
        <f>AA196*Assumptions!$B$216</f>
        <v/>
      </c>
      <c r="AB293" s="63">
        <f>AB196*Assumptions!$B$216</f>
        <v/>
      </c>
      <c r="AC293" s="63">
        <f>AC196*Assumptions!$B$216</f>
        <v/>
      </c>
      <c r="AD293" s="63">
        <f>AD196*Assumptions!$B$216</f>
        <v/>
      </c>
      <c r="AE293" s="63">
        <f>AE196*Assumptions!$B$216</f>
        <v/>
      </c>
    </row>
    <row r="294">
      <c r="A294" s="6" t="inlineStr">
        <is>
          <t>CARD - Fraud and chargebacks</t>
        </is>
      </c>
      <c r="B294" s="23" t="inlineStr">
        <is>
          <t>USD</t>
        </is>
      </c>
      <c r="C294" s="63">
        <f>C171*Assumptions!$B$217</f>
        <v/>
      </c>
      <c r="D294" s="63">
        <f>D171*Assumptions!$B$217</f>
        <v/>
      </c>
      <c r="E294" s="63">
        <f>E171*Assumptions!$B$217</f>
        <v/>
      </c>
      <c r="F294" s="63">
        <f>F171*Assumptions!$B$217</f>
        <v/>
      </c>
      <c r="G294" s="63">
        <f>G171*Assumptions!$B$217</f>
        <v/>
      </c>
      <c r="H294" s="63">
        <f>H171*Assumptions!$B$217</f>
        <v/>
      </c>
      <c r="I294" s="63">
        <f>I171*Assumptions!$B$217</f>
        <v/>
      </c>
      <c r="J294" s="63">
        <f>J171*Assumptions!$B$217</f>
        <v/>
      </c>
      <c r="K294" s="63">
        <f>K171*Assumptions!$B$217</f>
        <v/>
      </c>
      <c r="L294" s="63">
        <f>L171*Assumptions!$B$217</f>
        <v/>
      </c>
      <c r="M294" s="63">
        <f>M171*Assumptions!$B$217</f>
        <v/>
      </c>
      <c r="N294" s="63">
        <f>N171*Assumptions!$B$217</f>
        <v/>
      </c>
      <c r="O294" s="63">
        <f>O171*Assumptions!$B$217</f>
        <v/>
      </c>
      <c r="P294" s="63">
        <f>P171*Assumptions!$B$217</f>
        <v/>
      </c>
      <c r="Q294" s="63">
        <f>Q171*Assumptions!$B$217</f>
        <v/>
      </c>
      <c r="R294" s="63">
        <f>R171*Assumptions!$B$217</f>
        <v/>
      </c>
      <c r="S294" s="63">
        <f>S171*Assumptions!$B$217</f>
        <v/>
      </c>
      <c r="T294" s="63">
        <f>T171*Assumptions!$B$217</f>
        <v/>
      </c>
      <c r="U294" s="63">
        <f>U171*Assumptions!$B$217</f>
        <v/>
      </c>
      <c r="V294" s="63">
        <f>V171*Assumptions!$B$217</f>
        <v/>
      </c>
      <c r="W294" s="63">
        <f>W171*Assumptions!$B$217</f>
        <v/>
      </c>
      <c r="X294" s="63">
        <f>X171*Assumptions!$B$217</f>
        <v/>
      </c>
      <c r="Y294" s="63">
        <f>Y171*Assumptions!$B$217</f>
        <v/>
      </c>
      <c r="Z294" s="63">
        <f>Z171*Assumptions!$B$217</f>
        <v/>
      </c>
      <c r="AA294" s="63">
        <f>AA171*Assumptions!$B$217</f>
        <v/>
      </c>
      <c r="AB294" s="63">
        <f>AB171*Assumptions!$B$217</f>
        <v/>
      </c>
      <c r="AC294" s="63">
        <f>AC171*Assumptions!$B$217</f>
        <v/>
      </c>
      <c r="AD294" s="63">
        <f>AD171*Assumptions!$B$217</f>
        <v/>
      </c>
      <c r="AE294" s="63">
        <f>AE171*Assumptions!$B$217</f>
        <v/>
      </c>
    </row>
    <row r="295">
      <c r="A295" s="6" t="inlineStr">
        <is>
          <t xml:space="preserve">  Cross-border card spend (non-UAE in full, plus UAE spend abroad)</t>
        </is>
      </c>
      <c r="B295" s="23" t="inlineStr">
        <is>
          <t>USD</t>
        </is>
      </c>
      <c r="C295" s="61">
        <f>C96+C139+C53*Assumptions!$B$219</f>
        <v/>
      </c>
      <c r="D295" s="61">
        <f>D96+D139+D53*Assumptions!$B$219</f>
        <v/>
      </c>
      <c r="E295" s="61">
        <f>E96+E139+E53*Assumptions!$B$219</f>
        <v/>
      </c>
      <c r="F295" s="61">
        <f>F96+F139+F53*Assumptions!$B$219</f>
        <v/>
      </c>
      <c r="G295" s="61">
        <f>G96+G139+G53*Assumptions!$B$219</f>
        <v/>
      </c>
      <c r="H295" s="61">
        <f>H96+H139+H53*Assumptions!$B$219</f>
        <v/>
      </c>
      <c r="I295" s="61">
        <f>I96+I139+I53*Assumptions!$B$219</f>
        <v/>
      </c>
      <c r="J295" s="61">
        <f>J96+J139+J53*Assumptions!$B$219</f>
        <v/>
      </c>
      <c r="K295" s="61">
        <f>K96+K139+K53*Assumptions!$B$219</f>
        <v/>
      </c>
      <c r="L295" s="61">
        <f>L96+L139+L53*Assumptions!$B$219</f>
        <v/>
      </c>
      <c r="M295" s="61">
        <f>M96+M139+M53*Assumptions!$B$219</f>
        <v/>
      </c>
      <c r="N295" s="61">
        <f>N96+N139+N53*Assumptions!$B$219</f>
        <v/>
      </c>
      <c r="O295" s="61">
        <f>O96+O139+O53*Assumptions!$B$219</f>
        <v/>
      </c>
      <c r="P295" s="61">
        <f>P96+P139+P53*Assumptions!$B$219</f>
        <v/>
      </c>
      <c r="Q295" s="61">
        <f>Q96+Q139+Q53*Assumptions!$B$219</f>
        <v/>
      </c>
      <c r="R295" s="61">
        <f>R96+R139+R53*Assumptions!$B$219</f>
        <v/>
      </c>
      <c r="S295" s="61">
        <f>S96+S139+S53*Assumptions!$B$219</f>
        <v/>
      </c>
      <c r="T295" s="61">
        <f>T96+T139+T53*Assumptions!$B$219</f>
        <v/>
      </c>
      <c r="U295" s="61">
        <f>U96+U139+U53*Assumptions!$B$219</f>
        <v/>
      </c>
      <c r="V295" s="61">
        <f>V96+V139+V53*Assumptions!$B$219</f>
        <v/>
      </c>
      <c r="W295" s="61">
        <f>W96+W139+W53*Assumptions!$B$219</f>
        <v/>
      </c>
      <c r="X295" s="61">
        <f>X96+X139+X53*Assumptions!$B$219</f>
        <v/>
      </c>
      <c r="Y295" s="61">
        <f>Y96+Y139+Y53*Assumptions!$B$219</f>
        <v/>
      </c>
      <c r="Z295" s="61">
        <f>Z96+Z139+Z53*Assumptions!$B$219</f>
        <v/>
      </c>
      <c r="AA295" s="61">
        <f>AA96+AA139+AA53*Assumptions!$B$219</f>
        <v/>
      </c>
      <c r="AB295" s="61">
        <f>AB96+AB139+AB53*Assumptions!$B$219</f>
        <v/>
      </c>
      <c r="AC295" s="61">
        <f>AC96+AC139+AC53*Assumptions!$B$219</f>
        <v/>
      </c>
      <c r="AD295" s="61">
        <f>AD96+AD139+AD53*Assumptions!$B$219</f>
        <v/>
      </c>
      <c r="AE295" s="61">
        <f>AE96+AE139+AE53*Assumptions!$B$219</f>
        <v/>
      </c>
    </row>
    <row r="296">
      <c r="A296" s="6" t="inlineStr">
        <is>
          <t>CARD - Cross-border scheme assessment</t>
        </is>
      </c>
      <c r="B296" s="23" t="inlineStr">
        <is>
          <t>USD</t>
        </is>
      </c>
      <c r="C296" s="63">
        <f>C295*Assumptions!$B$218</f>
        <v/>
      </c>
      <c r="D296" s="63">
        <f>D295*Assumptions!$B$218</f>
        <v/>
      </c>
      <c r="E296" s="63">
        <f>E295*Assumptions!$B$218</f>
        <v/>
      </c>
      <c r="F296" s="63">
        <f>F295*Assumptions!$B$218</f>
        <v/>
      </c>
      <c r="G296" s="63">
        <f>G295*Assumptions!$B$218</f>
        <v/>
      </c>
      <c r="H296" s="63">
        <f>H295*Assumptions!$B$218</f>
        <v/>
      </c>
      <c r="I296" s="63">
        <f>I295*Assumptions!$B$218</f>
        <v/>
      </c>
      <c r="J296" s="63">
        <f>J295*Assumptions!$B$218</f>
        <v/>
      </c>
      <c r="K296" s="63">
        <f>K295*Assumptions!$B$218</f>
        <v/>
      </c>
      <c r="L296" s="63">
        <f>L295*Assumptions!$B$218</f>
        <v/>
      </c>
      <c r="M296" s="63">
        <f>M295*Assumptions!$B$218</f>
        <v/>
      </c>
      <c r="N296" s="63">
        <f>N295*Assumptions!$B$218</f>
        <v/>
      </c>
      <c r="O296" s="63">
        <f>O295*Assumptions!$B$218</f>
        <v/>
      </c>
      <c r="P296" s="63">
        <f>P295*Assumptions!$B$218</f>
        <v/>
      </c>
      <c r="Q296" s="63">
        <f>Q295*Assumptions!$B$218</f>
        <v/>
      </c>
      <c r="R296" s="63">
        <f>R295*Assumptions!$B$218</f>
        <v/>
      </c>
      <c r="S296" s="63">
        <f>S295*Assumptions!$B$218</f>
        <v/>
      </c>
      <c r="T296" s="63">
        <f>T295*Assumptions!$B$218</f>
        <v/>
      </c>
      <c r="U296" s="63">
        <f>U295*Assumptions!$B$218</f>
        <v/>
      </c>
      <c r="V296" s="63">
        <f>V295*Assumptions!$B$218</f>
        <v/>
      </c>
      <c r="W296" s="63">
        <f>W295*Assumptions!$B$218</f>
        <v/>
      </c>
      <c r="X296" s="63">
        <f>X295*Assumptions!$B$218</f>
        <v/>
      </c>
      <c r="Y296" s="63">
        <f>Y295*Assumptions!$B$218</f>
        <v/>
      </c>
      <c r="Z296" s="63">
        <f>Z295*Assumptions!$B$218</f>
        <v/>
      </c>
      <c r="AA296" s="63">
        <f>AA295*Assumptions!$B$218</f>
        <v/>
      </c>
      <c r="AB296" s="63">
        <f>AB295*Assumptions!$B$218</f>
        <v/>
      </c>
      <c r="AC296" s="63">
        <f>AC295*Assumptions!$B$218</f>
        <v/>
      </c>
      <c r="AD296" s="63">
        <f>AD295*Assumptions!$B$218</f>
        <v/>
      </c>
      <c r="AE296" s="63">
        <f>AE295*Assumptions!$B$218</f>
        <v/>
      </c>
    </row>
    <row r="297">
      <c r="A297" s="9" t="inlineStr">
        <is>
          <t>VISA ISA / MASTERCARD CROSS-BORDER ASSESSMENT, charged to the ISSUER whenever merchant country differs from issuer country. ABOUT 63% OF CARD SPEND QUALIFIES, and almost none of that is an assumption: a UAE-issued card spent in India is cross-border on every tap, and India is half the card book. THE RATE EXCEEDS AURUMIX'S INTERCHANGE SHARE - 1.40% against 0.72% of spend retained - so cross-border interchange does not cover its own scheme fee. The FX margin in stream 4 is what closes the gap, which means that line is largely COST RECOVERY rather than margin.</t>
        </is>
      </c>
    </row>
    <row r="298">
      <c r="A298" s="3" t="inlineStr">
        <is>
          <t>TOTAL CARD PROGRAMME COSTS</t>
        </is>
      </c>
      <c r="B298" s="23" t="inlineStr">
        <is>
          <t>USD</t>
        </is>
      </c>
      <c r="C298" s="63">
        <f>C289+C291+C292+C293+C294+C296</f>
        <v/>
      </c>
      <c r="D298" s="63">
        <f>D289+D291+D292+D293+D294+D296</f>
        <v/>
      </c>
      <c r="E298" s="63">
        <f>E289+E291+E292+E293+E294+E296</f>
        <v/>
      </c>
      <c r="F298" s="63">
        <f>F289+F291+F292+F293+F294+F296</f>
        <v/>
      </c>
      <c r="G298" s="63">
        <f>G289+G291+G292+G293+G294+G296</f>
        <v/>
      </c>
      <c r="H298" s="63">
        <f>H289+H291+H292+H293+H294+H296</f>
        <v/>
      </c>
      <c r="I298" s="63">
        <f>I289+I291+I292+I293+I294+I296</f>
        <v/>
      </c>
      <c r="J298" s="63">
        <f>J289+J291+J292+J293+J294+J296</f>
        <v/>
      </c>
      <c r="K298" s="63">
        <f>K289+K291+K292+K293+K294+K296</f>
        <v/>
      </c>
      <c r="L298" s="63">
        <f>L289+L291+L292+L293+L294+L296</f>
        <v/>
      </c>
      <c r="M298" s="63">
        <f>M289+M291+M292+M293+M294+M296</f>
        <v/>
      </c>
      <c r="N298" s="63">
        <f>N289+N291+N292+N293+N294+N296</f>
        <v/>
      </c>
      <c r="O298" s="63">
        <f>O289+O291+O292+O293+O294+O296</f>
        <v/>
      </c>
      <c r="P298" s="63">
        <f>P289+P291+P292+P293+P294+P296</f>
        <v/>
      </c>
      <c r="Q298" s="63">
        <f>Q289+Q291+Q292+Q293+Q294+Q296</f>
        <v/>
      </c>
      <c r="R298" s="63">
        <f>R289+R291+R292+R293+R294+R296</f>
        <v/>
      </c>
      <c r="S298" s="63">
        <f>S289+S291+S292+S293+S294+S296</f>
        <v/>
      </c>
      <c r="T298" s="63">
        <f>T289+T291+T292+T293+T294+T296</f>
        <v/>
      </c>
      <c r="U298" s="63">
        <f>U289+U291+U292+U293+U294+U296</f>
        <v/>
      </c>
      <c r="V298" s="63">
        <f>V289+V291+V292+V293+V294+V296</f>
        <v/>
      </c>
      <c r="W298" s="63">
        <f>W289+W291+W292+W293+W294+W296</f>
        <v/>
      </c>
      <c r="X298" s="63">
        <f>X289+X291+X292+X293+X294+X296</f>
        <v/>
      </c>
      <c r="Y298" s="63">
        <f>Y289+Y291+Y292+Y293+Y294+Y296</f>
        <v/>
      </c>
      <c r="Z298" s="63">
        <f>Z289+Z291+Z292+Z293+Z294+Z296</f>
        <v/>
      </c>
      <c r="AA298" s="63">
        <f>AA289+AA291+AA292+AA293+AA294+AA296</f>
        <v/>
      </c>
      <c r="AB298" s="63">
        <f>AB289+AB291+AB292+AB293+AB294+AB296</f>
        <v/>
      </c>
      <c r="AC298" s="63">
        <f>AC289+AC291+AC292+AC293+AC294+AC296</f>
        <v/>
      </c>
      <c r="AD298" s="63">
        <f>AD289+AD291+AD292+AD293+AD294+AD296</f>
        <v/>
      </c>
      <c r="AE298" s="63">
        <f>AE289+AE291+AE292+AE293+AE294+AE296</f>
        <v/>
      </c>
    </row>
    <row r="299">
      <c r="A299" s="6" t="inlineStr">
        <is>
          <t xml:space="preserve">  Card cost as % of card revenue (above 100% = the card is not paying for itself)</t>
        </is>
      </c>
      <c r="B299" s="23" t="inlineStr">
        <is>
          <t>%</t>
        </is>
      </c>
      <c r="C299" s="70">
        <f>IF(C191+C193=0,0,C298/(C191+C193))</f>
        <v/>
      </c>
      <c r="D299" s="70">
        <f>IF(D191+D193=0,0,D298/(D191+D193))</f>
        <v/>
      </c>
      <c r="E299" s="70">
        <f>IF(E191+E193=0,0,E298/(E191+E193))</f>
        <v/>
      </c>
      <c r="F299" s="70">
        <f>IF(F191+F193=0,0,F298/(F191+F193))</f>
        <v/>
      </c>
      <c r="G299" s="70">
        <f>IF(G191+G193=0,0,G298/(G191+G193))</f>
        <v/>
      </c>
      <c r="H299" s="70">
        <f>IF(H191+H193=0,0,H298/(H191+H193))</f>
        <v/>
      </c>
      <c r="I299" s="70">
        <f>IF(I191+I193=0,0,I298/(I191+I193))</f>
        <v/>
      </c>
      <c r="J299" s="70">
        <f>IF(J191+J193=0,0,J298/(J191+J193))</f>
        <v/>
      </c>
      <c r="K299" s="70">
        <f>IF(K191+K193=0,0,K298/(K191+K193))</f>
        <v/>
      </c>
      <c r="L299" s="70">
        <f>IF(L191+L193=0,0,L298/(L191+L193))</f>
        <v/>
      </c>
      <c r="M299" s="70">
        <f>IF(M191+M193=0,0,M298/(M191+M193))</f>
        <v/>
      </c>
      <c r="N299" s="70">
        <f>IF(N191+N193=0,0,N298/(N191+N193))</f>
        <v/>
      </c>
      <c r="O299" s="70">
        <f>IF(O191+O193=0,0,O298/(O191+O193))</f>
        <v/>
      </c>
      <c r="P299" s="70">
        <f>IF(P191+P193=0,0,P298/(P191+P193))</f>
        <v/>
      </c>
      <c r="Q299" s="70">
        <f>IF(Q191+Q193=0,0,Q298/(Q191+Q193))</f>
        <v/>
      </c>
      <c r="R299" s="70">
        <f>IF(R191+R193=0,0,R298/(R191+R193))</f>
        <v/>
      </c>
      <c r="S299" s="70">
        <f>IF(S191+S193=0,0,S298/(S191+S193))</f>
        <v/>
      </c>
      <c r="T299" s="70">
        <f>IF(T191+T193=0,0,T298/(T191+T193))</f>
        <v/>
      </c>
      <c r="U299" s="70">
        <f>IF(U191+U193=0,0,U298/(U191+U193))</f>
        <v/>
      </c>
      <c r="V299" s="70">
        <f>IF(V191+V193=0,0,V298/(V191+V193))</f>
        <v/>
      </c>
      <c r="W299" s="70">
        <f>IF(W191+W193=0,0,W298/(W191+W193))</f>
        <v/>
      </c>
      <c r="X299" s="70">
        <f>IF(X191+X193=0,0,X298/(X191+X193))</f>
        <v/>
      </c>
      <c r="Y299" s="70">
        <f>IF(Y191+Y193=0,0,Y298/(Y191+Y193))</f>
        <v/>
      </c>
      <c r="Z299" s="70">
        <f>IF(Z191+Z193=0,0,Z298/(Z191+Z193))</f>
        <v/>
      </c>
      <c r="AA299" s="70">
        <f>IF(AA191+AA193=0,0,AA298/(AA191+AA193))</f>
        <v/>
      </c>
      <c r="AB299" s="70">
        <f>IF(AB191+AB193=0,0,AB298/(AB191+AB193))</f>
        <v/>
      </c>
      <c r="AC299" s="70">
        <f>IF(AC191+AC193=0,0,AC298/(AC191+AC193))</f>
        <v/>
      </c>
      <c r="AD299" s="70">
        <f>IF(AD191+AD193=0,0,AD298/(AD191+AD193))</f>
        <v/>
      </c>
      <c r="AE299" s="70">
        <f>IF(AE191+AE193=0,0,AE298/(AE191+AE193))</f>
        <v/>
      </c>
    </row>
    <row r="300">
      <c r="A300" s="9" t="inlineStr">
        <is>
          <t>CARD REVENUE IS STREAM 2 PLUS STREAM 4 - interchange and cardholder fees. It EXCLUDES stream 5, because credit revenue is a separate partner arrangement and would flatter this ratio. Expect well above 100% at launch: the fixed fee lands in full from month 13 while the card book is nearly empty, which is exactly the 12-18 months of losses the brief describes.</t>
        </is>
      </c>
    </row>
    <row r="301">
      <c r="A301" s="6" t="inlineStr">
        <is>
          <t xml:space="preserve">  Sub-total - costs actually modelled</t>
        </is>
      </c>
      <c r="B301" s="23" t="inlineStr">
        <is>
          <t>USD</t>
        </is>
      </c>
      <c r="C301" s="63">
        <f>C228+C255+C267+C282+C298</f>
        <v/>
      </c>
      <c r="D301" s="63">
        <f>D228+D255+D267+D282+D298</f>
        <v/>
      </c>
      <c r="E301" s="63">
        <f>E228+E255+E267+E282+E298</f>
        <v/>
      </c>
      <c r="F301" s="63">
        <f>F228+F255+F267+F282+F298</f>
        <v/>
      </c>
      <c r="G301" s="63">
        <f>G228+G255+G267+G282+G298</f>
        <v/>
      </c>
      <c r="H301" s="63">
        <f>H228+H255+H267+H282+H298</f>
        <v/>
      </c>
      <c r="I301" s="63">
        <f>I228+I255+I267+I282+I298</f>
        <v/>
      </c>
      <c r="J301" s="63">
        <f>J228+J255+J267+J282+J298</f>
        <v/>
      </c>
      <c r="K301" s="63">
        <f>K228+K255+K267+K282+K298</f>
        <v/>
      </c>
      <c r="L301" s="63">
        <f>L228+L255+L267+L282+L298</f>
        <v/>
      </c>
      <c r="M301" s="63">
        <f>M228+M255+M267+M282+M298</f>
        <v/>
      </c>
      <c r="N301" s="63">
        <f>N228+N255+N267+N282+N298</f>
        <v/>
      </c>
      <c r="O301" s="63">
        <f>O228+O255+O267+O282+O298</f>
        <v/>
      </c>
      <c r="P301" s="63">
        <f>P228+P255+P267+P282+P298</f>
        <v/>
      </c>
      <c r="Q301" s="63">
        <f>Q228+Q255+Q267+Q282+Q298</f>
        <v/>
      </c>
      <c r="R301" s="63">
        <f>R228+R255+R267+R282+R298</f>
        <v/>
      </c>
      <c r="S301" s="63">
        <f>S228+S255+S267+S282+S298</f>
        <v/>
      </c>
      <c r="T301" s="63">
        <f>T228+T255+T267+T282+T298</f>
        <v/>
      </c>
      <c r="U301" s="63">
        <f>U228+U255+U267+U282+U298</f>
        <v/>
      </c>
      <c r="V301" s="63">
        <f>V228+V255+V267+V282+V298</f>
        <v/>
      </c>
      <c r="W301" s="63">
        <f>W228+W255+W267+W282+W298</f>
        <v/>
      </c>
      <c r="X301" s="63">
        <f>X228+X255+X267+X282+X298</f>
        <v/>
      </c>
      <c r="Y301" s="63">
        <f>Y228+Y255+Y267+Y282+Y298</f>
        <v/>
      </c>
      <c r="Z301" s="63">
        <f>Z228+Z255+Z267+Z282+Z298</f>
        <v/>
      </c>
      <c r="AA301" s="63">
        <f>AA228+AA255+AA267+AA282+AA298</f>
        <v/>
      </c>
      <c r="AB301" s="63">
        <f>AB228+AB255+AB267+AB282+AB298</f>
        <v/>
      </c>
      <c r="AC301" s="63">
        <f>AC228+AC255+AC267+AC282+AC298</f>
        <v/>
      </c>
      <c r="AD301" s="63">
        <f>AD228+AD255+AD267+AD282+AD298</f>
        <v/>
      </c>
      <c r="AE301" s="63">
        <f>AE228+AE255+AE267+AE282+AE298</f>
        <v/>
      </c>
    </row>
    <row r="302">
      <c r="A302" s="6" t="inlineStr">
        <is>
          <t xml:space="preserve">  Contingency for cost families not yet built</t>
        </is>
      </c>
      <c r="B302" s="23" t="inlineStr">
        <is>
          <t>USD</t>
        </is>
      </c>
      <c r="C302" s="63">
        <f>C301*Assumptions!$B$225</f>
        <v/>
      </c>
      <c r="D302" s="63">
        <f>D301*Assumptions!$B$225</f>
        <v/>
      </c>
      <c r="E302" s="63">
        <f>E301*Assumptions!$B$225</f>
        <v/>
      </c>
      <c r="F302" s="63">
        <f>F301*Assumptions!$B$225</f>
        <v/>
      </c>
      <c r="G302" s="63">
        <f>G301*Assumptions!$B$225</f>
        <v/>
      </c>
      <c r="H302" s="63">
        <f>H301*Assumptions!$B$225</f>
        <v/>
      </c>
      <c r="I302" s="63">
        <f>I301*Assumptions!$B$225</f>
        <v/>
      </c>
      <c r="J302" s="63">
        <f>J301*Assumptions!$B$225</f>
        <v/>
      </c>
      <c r="K302" s="63">
        <f>K301*Assumptions!$B$225</f>
        <v/>
      </c>
      <c r="L302" s="63">
        <f>L301*Assumptions!$B$225</f>
        <v/>
      </c>
      <c r="M302" s="63">
        <f>M301*Assumptions!$B$225</f>
        <v/>
      </c>
      <c r="N302" s="63">
        <f>N301*Assumptions!$B$225</f>
        <v/>
      </c>
      <c r="O302" s="63">
        <f>O301*Assumptions!$B$225</f>
        <v/>
      </c>
      <c r="P302" s="63">
        <f>P301*Assumptions!$B$225</f>
        <v/>
      </c>
      <c r="Q302" s="63">
        <f>Q301*Assumptions!$B$225</f>
        <v/>
      </c>
      <c r="R302" s="63">
        <f>R301*Assumptions!$B$225</f>
        <v/>
      </c>
      <c r="S302" s="63">
        <f>S301*Assumptions!$B$225</f>
        <v/>
      </c>
      <c r="T302" s="63">
        <f>T301*Assumptions!$B$225</f>
        <v/>
      </c>
      <c r="U302" s="63">
        <f>U301*Assumptions!$B$225</f>
        <v/>
      </c>
      <c r="V302" s="63">
        <f>V301*Assumptions!$B$225</f>
        <v/>
      </c>
      <c r="W302" s="63">
        <f>W301*Assumptions!$B$225</f>
        <v/>
      </c>
      <c r="X302" s="63">
        <f>X301*Assumptions!$B$225</f>
        <v/>
      </c>
      <c r="Y302" s="63">
        <f>Y301*Assumptions!$B$225</f>
        <v/>
      </c>
      <c r="Z302" s="63">
        <f>Z301*Assumptions!$B$225</f>
        <v/>
      </c>
      <c r="AA302" s="63">
        <f>AA301*Assumptions!$B$225</f>
        <v/>
      </c>
      <c r="AB302" s="63">
        <f>AB301*Assumptions!$B$225</f>
        <v/>
      </c>
      <c r="AC302" s="63">
        <f>AC301*Assumptions!$B$225</f>
        <v/>
      </c>
      <c r="AD302" s="63">
        <f>AD301*Assumptions!$B$225</f>
        <v/>
      </c>
      <c r="AE302" s="63">
        <f>AE301*Assumptions!$B$225</f>
        <v/>
      </c>
    </row>
    <row r="303">
      <c r="A303" s="9" t="inlineStr">
        <is>
          <t>A PLACEHOLDER FOR HEADCOUNT, LEGAL AND TRUST, SECURITY, CORPORATE, TAX AND THE ON-CHAIN MINTING COST - AND IT DOES NOT COVER THEM. Headcount alone is anchored in the brief at roughly USD 588,000 in Year 1, about 78% of the whole cost base as built; 15% of that base is about USD 112,000. THE CONTINGENCY IS WORTH A FIFTH OF ONE OF THE SIX MISSING BLOCKS. Every profit figure below is an upper bound.</t>
        </is>
      </c>
    </row>
    <row r="304">
      <c r="A304" s="3" t="inlineStr">
        <is>
          <t>TOTAL COST BASE (modelled + contingency)</t>
        </is>
      </c>
      <c r="B304" s="23" t="inlineStr">
        <is>
          <t>USD</t>
        </is>
      </c>
      <c r="C304" s="63">
        <f>C301+C302</f>
        <v/>
      </c>
      <c r="D304" s="63">
        <f>D301+D302</f>
        <v/>
      </c>
      <c r="E304" s="63">
        <f>E301+E302</f>
        <v/>
      </c>
      <c r="F304" s="63">
        <f>F301+F302</f>
        <v/>
      </c>
      <c r="G304" s="63">
        <f>G301+G302</f>
        <v/>
      </c>
      <c r="H304" s="63">
        <f>H301+H302</f>
        <v/>
      </c>
      <c r="I304" s="63">
        <f>I301+I302</f>
        <v/>
      </c>
      <c r="J304" s="63">
        <f>J301+J302</f>
        <v/>
      </c>
      <c r="K304" s="63">
        <f>K301+K302</f>
        <v/>
      </c>
      <c r="L304" s="63">
        <f>L301+L302</f>
        <v/>
      </c>
      <c r="M304" s="63">
        <f>M301+M302</f>
        <v/>
      </c>
      <c r="N304" s="63">
        <f>N301+N302</f>
        <v/>
      </c>
      <c r="O304" s="63">
        <f>O301+O302</f>
        <v/>
      </c>
      <c r="P304" s="63">
        <f>P301+P302</f>
        <v/>
      </c>
      <c r="Q304" s="63">
        <f>Q301+Q302</f>
        <v/>
      </c>
      <c r="R304" s="63">
        <f>R301+R302</f>
        <v/>
      </c>
      <c r="S304" s="63">
        <f>S301+S302</f>
        <v/>
      </c>
      <c r="T304" s="63">
        <f>T301+T302</f>
        <v/>
      </c>
      <c r="U304" s="63">
        <f>U301+U302</f>
        <v/>
      </c>
      <c r="V304" s="63">
        <f>V301+V302</f>
        <v/>
      </c>
      <c r="W304" s="63">
        <f>W301+W302</f>
        <v/>
      </c>
      <c r="X304" s="63">
        <f>X301+X302</f>
        <v/>
      </c>
      <c r="Y304" s="63">
        <f>Y301+Y302</f>
        <v/>
      </c>
      <c r="Z304" s="63">
        <f>Z301+Z302</f>
        <v/>
      </c>
      <c r="AA304" s="63">
        <f>AA301+AA302</f>
        <v/>
      </c>
      <c r="AB304" s="63">
        <f>AB301+AB302</f>
        <v/>
      </c>
      <c r="AC304" s="63">
        <f>AC301+AC302</f>
        <v/>
      </c>
      <c r="AD304" s="63">
        <f>AD301+AD302</f>
        <v/>
      </c>
      <c r="AE304" s="63">
        <f>AE301+AE302</f>
        <v/>
      </c>
    </row>
    <row r="305">
      <c r="A305" s="6" t="inlineStr">
        <is>
          <t>CHECK: cash for metal ties to grams delivered x the price paid (must be 0)</t>
        </is>
      </c>
      <c r="B305" s="23" t="inlineStr">
        <is>
          <t>delta</t>
        </is>
      </c>
      <c r="C305" s="66">
        <f>(C169+C170)*(1-Assumptions!$B$8)-C166*C20*(1+Assumptions!$B$9*(1-Assumptions!$B$229))</f>
        <v/>
      </c>
      <c r="D305" s="66">
        <f>(D169+D170)*(1-Assumptions!$B$8)-D166*D20*(1+Assumptions!$B$9*(1-Assumptions!$B$229))</f>
        <v/>
      </c>
      <c r="E305" s="66">
        <f>(E169+E170)*(1-Assumptions!$B$8)-E166*E20*(1+Assumptions!$B$9*(1-Assumptions!$B$229))</f>
        <v/>
      </c>
      <c r="F305" s="66">
        <f>(F169+F170)*(1-Assumptions!$B$8)-F166*F20*(1+Assumptions!$B$9*(1-Assumptions!$B$229))</f>
        <v/>
      </c>
      <c r="G305" s="66">
        <f>(G169+G170)*(1-Assumptions!$B$8)-G166*G20*(1+Assumptions!$B$9*(1-Assumptions!$B$229))</f>
        <v/>
      </c>
      <c r="H305" s="66">
        <f>(H169+H170)*(1-Assumptions!$B$8)-H166*H20*(1+Assumptions!$B$9*(1-Assumptions!$B$229))</f>
        <v/>
      </c>
      <c r="I305" s="66">
        <f>(I169+I170)*(1-Assumptions!$B$8)-I166*I20*(1+Assumptions!$B$9*(1-Assumptions!$B$229))</f>
        <v/>
      </c>
      <c r="J305" s="66">
        <f>(J169+J170)*(1-Assumptions!$B$8)-J166*J20*(1+Assumptions!$B$9*(1-Assumptions!$B$229))</f>
        <v/>
      </c>
      <c r="K305" s="66">
        <f>(K169+K170)*(1-Assumptions!$B$8)-K166*K20*(1+Assumptions!$B$9*(1-Assumptions!$B$229))</f>
        <v/>
      </c>
      <c r="L305" s="66">
        <f>(L169+L170)*(1-Assumptions!$B$8)-L166*L20*(1+Assumptions!$B$9*(1-Assumptions!$B$229))</f>
        <v/>
      </c>
      <c r="M305" s="66">
        <f>(M169+M170)*(1-Assumptions!$B$8)-M166*M20*(1+Assumptions!$B$9*(1-Assumptions!$B$229))</f>
        <v/>
      </c>
      <c r="N305" s="66">
        <f>(N169+N170)*(1-Assumptions!$B$8)-N166*N20*(1+Assumptions!$B$9*(1-Assumptions!$B$229))</f>
        <v/>
      </c>
      <c r="O305" s="66">
        <f>(O169+O170)*(1-Assumptions!$B$8)-O166*O20*(1+Assumptions!$B$9*(1-Assumptions!$B$229))</f>
        <v/>
      </c>
      <c r="P305" s="66">
        <f>(P169+P170)*(1-Assumptions!$B$8)-P166*P20*(1+Assumptions!$B$9*(1-Assumptions!$B$229))</f>
        <v/>
      </c>
      <c r="Q305" s="66">
        <f>(Q169+Q170)*(1-Assumptions!$B$8)-Q166*Q20*(1+Assumptions!$B$9*(1-Assumptions!$B$229))</f>
        <v/>
      </c>
      <c r="R305" s="66">
        <f>(R169+R170)*(1-Assumptions!$B$8)-R166*R20*(1+Assumptions!$B$9*(1-Assumptions!$B$229))</f>
        <v/>
      </c>
      <c r="S305" s="66">
        <f>(S169+S170)*(1-Assumptions!$B$8)-S166*S20*(1+Assumptions!$B$9*(1-Assumptions!$B$229))</f>
        <v/>
      </c>
      <c r="T305" s="66">
        <f>(T169+T170)*(1-Assumptions!$B$8)-T166*T20*(1+Assumptions!$B$9*(1-Assumptions!$B$229))</f>
        <v/>
      </c>
      <c r="U305" s="66">
        <f>(U169+U170)*(1-Assumptions!$B$8)-U166*U20*(1+Assumptions!$B$9*(1-Assumptions!$B$229))</f>
        <v/>
      </c>
      <c r="V305" s="66">
        <f>(V169+V170)*(1-Assumptions!$B$8)-V166*V20*(1+Assumptions!$B$9*(1-Assumptions!$B$229))</f>
        <v/>
      </c>
      <c r="W305" s="66">
        <f>(W169+W170)*(1-Assumptions!$B$8)-W166*W20*(1+Assumptions!$B$9*(1-Assumptions!$B$229))</f>
        <v/>
      </c>
      <c r="X305" s="66">
        <f>(X169+X170)*(1-Assumptions!$B$8)-X166*X20*(1+Assumptions!$B$9*(1-Assumptions!$B$229))</f>
        <v/>
      </c>
      <c r="Y305" s="66">
        <f>(Y169+Y170)*(1-Assumptions!$B$8)-Y166*Y20*(1+Assumptions!$B$9*(1-Assumptions!$B$229))</f>
        <v/>
      </c>
      <c r="Z305" s="66">
        <f>(Z169+Z170)*(1-Assumptions!$B$8)-Z166*Z20*(1+Assumptions!$B$9*(1-Assumptions!$B$229))</f>
        <v/>
      </c>
      <c r="AA305" s="66">
        <f>(AA169+AA170)*(1-Assumptions!$B$8)-AA166*AA20*(1+Assumptions!$B$9*(1-Assumptions!$B$229))</f>
        <v/>
      </c>
      <c r="AB305" s="66">
        <f>(AB169+AB170)*(1-Assumptions!$B$8)-AB166*AB20*(1+Assumptions!$B$9*(1-Assumptions!$B$229))</f>
        <v/>
      </c>
      <c r="AC305" s="66">
        <f>(AC169+AC170)*(1-Assumptions!$B$8)-AC166*AC20*(1+Assumptions!$B$9*(1-Assumptions!$B$229))</f>
        <v/>
      </c>
      <c r="AD305" s="66">
        <f>(AD169+AD170)*(1-Assumptions!$B$8)-AD166*AD20*(1+Assumptions!$B$9*(1-Assumptions!$B$229))</f>
        <v/>
      </c>
      <c r="AE305" s="66">
        <f>(AE169+AE170)*(1-Assumptions!$B$8)-AE166*AE20*(1+Assumptions!$B$9*(1-Assumptions!$B$229))</f>
        <v/>
      </c>
    </row>
    <row r="306">
      <c r="A306" s="9" t="inlineStr">
        <is>
          <t>THE ANTI-DOUBLE-COUNT ASSERTION. Either the customer's cash buys metal at spot+premium and the COGS line above is zero, or it buys metal at spot and the COGS line carries the premium. This row ties to zero under both settings and can only break if some future edit makes the premium bite twice - which is exactly the defect 29f98e0 was written to fix.</t>
        </is>
      </c>
    </row>
    <row r="308" ht="20" customHeight="1">
      <c r="A308" s="12" t="inlineStr">
        <is>
          <t>REGULATORY CAPITAL - locked, not spent. Subscribed equity, not an expense</t>
        </is>
      </c>
      <c r="B308" s="13" t="n"/>
      <c r="C308" s="13" t="n"/>
      <c r="D308" s="13" t="n"/>
      <c r="E308" s="13" t="n"/>
      <c r="F308" s="13" t="n"/>
      <c r="G308" s="13" t="n"/>
      <c r="H308" s="13" t="n"/>
      <c r="I308" s="13" t="n"/>
      <c r="J308" s="13" t="n"/>
      <c r="K308" s="13" t="n"/>
      <c r="L308" s="13" t="n"/>
      <c r="M308" s="13" t="n"/>
      <c r="N308" s="13" t="n"/>
      <c r="O308" s="13" t="n"/>
      <c r="P308" s="13" t="n"/>
      <c r="Q308" s="13" t="n"/>
      <c r="R308" s="13" t="n"/>
      <c r="S308" s="13" t="n"/>
      <c r="T308" s="13" t="n"/>
      <c r="U308" s="13" t="n"/>
      <c r="V308" s="13" t="n"/>
      <c r="W308" s="13" t="n"/>
      <c r="X308" s="13" t="n"/>
      <c r="Y308" s="13" t="n"/>
      <c r="Z308" s="13" t="n"/>
      <c r="AA308" s="13" t="n"/>
      <c r="AB308" s="13" t="n"/>
      <c r="AC308" s="13" t="n"/>
      <c r="AD308" s="13" t="n"/>
      <c r="AE308" s="13" t="n"/>
    </row>
    <row r="310">
      <c r="A310" s="51" t="inlineStr">
        <is>
          <t>PAID-UP CAPITAL AND LIQUIDITY - what VARA requires you to keep locked up</t>
        </is>
      </c>
      <c r="B310" s="52" t="n"/>
      <c r="C310" s="52" t="n"/>
      <c r="D310" s="52" t="n"/>
      <c r="E310" s="52" t="n"/>
      <c r="F310" s="52" t="n"/>
      <c r="G310" s="52" t="n"/>
      <c r="H310" s="52" t="n"/>
      <c r="I310" s="52" t="n"/>
      <c r="J310" s="52" t="n"/>
      <c r="K310" s="52" t="n"/>
      <c r="L310" s="52" t="n"/>
      <c r="M310" s="52" t="n"/>
      <c r="N310" s="52" t="n"/>
      <c r="O310" s="52" t="n"/>
      <c r="P310" s="52" t="n"/>
      <c r="Q310" s="52" t="n"/>
      <c r="R310" s="52" t="n"/>
      <c r="S310" s="52" t="n"/>
      <c r="T310" s="52" t="n"/>
      <c r="U310" s="52" t="n"/>
      <c r="V310" s="52" t="n"/>
      <c r="W310" s="52" t="n"/>
      <c r="X310" s="52" t="n"/>
      <c r="Y310" s="52" t="n"/>
      <c r="Z310" s="52" t="n"/>
      <c r="AA310" s="52" t="n"/>
      <c r="AB310" s="52" t="n"/>
      <c r="AC310" s="52" t="n"/>
      <c r="AD310" s="52" t="n"/>
      <c r="AE310" s="52" t="n"/>
    </row>
    <row r="311">
      <c r="A311" s="6" t="inlineStr">
        <is>
          <t xml:space="preserve">  Paid-up capital - Category 1 VA Issuance</t>
        </is>
      </c>
      <c r="B311" s="23" t="inlineStr">
        <is>
          <t>USD</t>
        </is>
      </c>
      <c r="C311" s="61">
        <f>Assumptions!$B$200/Assumptions!$B$7</f>
        <v/>
      </c>
      <c r="D311" s="61">
        <f>Assumptions!$B$200/Assumptions!$B$7</f>
        <v/>
      </c>
      <c r="E311" s="61">
        <f>Assumptions!$B$200/Assumptions!$B$7</f>
        <v/>
      </c>
      <c r="F311" s="61">
        <f>Assumptions!$B$200/Assumptions!$B$7</f>
        <v/>
      </c>
      <c r="G311" s="61">
        <f>Assumptions!$B$200/Assumptions!$B$7</f>
        <v/>
      </c>
      <c r="H311" s="61">
        <f>Assumptions!$B$200/Assumptions!$B$7</f>
        <v/>
      </c>
      <c r="I311" s="61">
        <f>Assumptions!$B$200/Assumptions!$B$7</f>
        <v/>
      </c>
      <c r="J311" s="61">
        <f>Assumptions!$B$200/Assumptions!$B$7</f>
        <v/>
      </c>
      <c r="K311" s="61">
        <f>Assumptions!$B$200/Assumptions!$B$7</f>
        <v/>
      </c>
      <c r="L311" s="61">
        <f>Assumptions!$B$200/Assumptions!$B$7</f>
        <v/>
      </c>
      <c r="M311" s="61">
        <f>Assumptions!$B$200/Assumptions!$B$7</f>
        <v/>
      </c>
      <c r="N311" s="61">
        <f>Assumptions!$B$200/Assumptions!$B$7</f>
        <v/>
      </c>
      <c r="O311" s="61">
        <f>Assumptions!$B$200/Assumptions!$B$7</f>
        <v/>
      </c>
      <c r="P311" s="61">
        <f>Assumptions!$B$200/Assumptions!$B$7</f>
        <v/>
      </c>
      <c r="Q311" s="61">
        <f>Assumptions!$B$200/Assumptions!$B$7</f>
        <v/>
      </c>
      <c r="R311" s="61">
        <f>Assumptions!$B$200/Assumptions!$B$7</f>
        <v/>
      </c>
      <c r="S311" s="61">
        <f>Assumptions!$B$200/Assumptions!$B$7</f>
        <v/>
      </c>
      <c r="T311" s="61">
        <f>Assumptions!$B$200/Assumptions!$B$7</f>
        <v/>
      </c>
      <c r="U311" s="61">
        <f>Assumptions!$B$200/Assumptions!$B$7</f>
        <v/>
      </c>
      <c r="V311" s="61">
        <f>Assumptions!$B$200/Assumptions!$B$7</f>
        <v/>
      </c>
      <c r="W311" s="61">
        <f>Assumptions!$B$200/Assumptions!$B$7</f>
        <v/>
      </c>
      <c r="X311" s="61">
        <f>Assumptions!$B$200/Assumptions!$B$7</f>
        <v/>
      </c>
      <c r="Y311" s="61">
        <f>Assumptions!$B$200/Assumptions!$B$7</f>
        <v/>
      </c>
      <c r="Z311" s="61">
        <f>Assumptions!$B$200/Assumptions!$B$7</f>
        <v/>
      </c>
      <c r="AA311" s="61">
        <f>Assumptions!$B$200/Assumptions!$B$7</f>
        <v/>
      </c>
      <c r="AB311" s="61">
        <f>Assumptions!$B$200/Assumptions!$B$7</f>
        <v/>
      </c>
      <c r="AC311" s="61">
        <f>Assumptions!$B$200/Assumptions!$B$7</f>
        <v/>
      </c>
      <c r="AD311" s="61">
        <f>Assumptions!$B$200/Assumptions!$B$7</f>
        <v/>
      </c>
      <c r="AE311" s="61">
        <f>Assumptions!$B$200/Assumptions!$B$7</f>
        <v/>
      </c>
    </row>
    <row r="312">
      <c r="A312" s="9" t="inlineStr">
        <is>
          <t>THE AED 1.5m FLOOR, NOT THE 2% ESCALATOR. Option A carries no Reserve Assets to take 2% of, so limb (b) of Rule G.1 is inapplicable and the floor governs. CHOOSING OPTION A REMOVES THE ESCALATOR, NOT THE FLOOR - worth stating plainly to the client, who may believe otherwise.</t>
        </is>
      </c>
    </row>
    <row r="313">
      <c r="A313" s="6" t="inlineStr">
        <is>
          <t xml:space="preserve">  Paid-up capital - licensed activities (Broker-Dealer)</t>
        </is>
      </c>
      <c r="B313" s="23" t="inlineStr">
        <is>
          <t>USD</t>
        </is>
      </c>
      <c r="C313" s="61">
        <f>Assumptions!$B$201/Assumptions!$B$7</f>
        <v/>
      </c>
      <c r="D313" s="61">
        <f>Assumptions!$B$201/Assumptions!$B$7</f>
        <v/>
      </c>
      <c r="E313" s="61">
        <f>Assumptions!$B$201/Assumptions!$B$7</f>
        <v/>
      </c>
      <c r="F313" s="61">
        <f>Assumptions!$B$201/Assumptions!$B$7</f>
        <v/>
      </c>
      <c r="G313" s="61">
        <f>Assumptions!$B$201/Assumptions!$B$7</f>
        <v/>
      </c>
      <c r="H313" s="61">
        <f>Assumptions!$B$201/Assumptions!$B$7</f>
        <v/>
      </c>
      <c r="I313" s="61">
        <f>Assumptions!$B$201/Assumptions!$B$7</f>
        <v/>
      </c>
      <c r="J313" s="61">
        <f>Assumptions!$B$201/Assumptions!$B$7</f>
        <v/>
      </c>
      <c r="K313" s="61">
        <f>Assumptions!$B$201/Assumptions!$B$7</f>
        <v/>
      </c>
      <c r="L313" s="61">
        <f>Assumptions!$B$201/Assumptions!$B$7</f>
        <v/>
      </c>
      <c r="M313" s="61">
        <f>Assumptions!$B$201/Assumptions!$B$7</f>
        <v/>
      </c>
      <c r="N313" s="61">
        <f>Assumptions!$B$201/Assumptions!$B$7</f>
        <v/>
      </c>
      <c r="O313" s="61">
        <f>Assumptions!$B$201/Assumptions!$B$7</f>
        <v/>
      </c>
      <c r="P313" s="61">
        <f>Assumptions!$B$201/Assumptions!$B$7</f>
        <v/>
      </c>
      <c r="Q313" s="61">
        <f>Assumptions!$B$201/Assumptions!$B$7</f>
        <v/>
      </c>
      <c r="R313" s="61">
        <f>Assumptions!$B$201/Assumptions!$B$7</f>
        <v/>
      </c>
      <c r="S313" s="61">
        <f>Assumptions!$B$201/Assumptions!$B$7</f>
        <v/>
      </c>
      <c r="T313" s="61">
        <f>Assumptions!$B$201/Assumptions!$B$7</f>
        <v/>
      </c>
      <c r="U313" s="61">
        <f>Assumptions!$B$201/Assumptions!$B$7</f>
        <v/>
      </c>
      <c r="V313" s="61">
        <f>Assumptions!$B$201/Assumptions!$B$7</f>
        <v/>
      </c>
      <c r="W313" s="61">
        <f>Assumptions!$B$201/Assumptions!$B$7</f>
        <v/>
      </c>
      <c r="X313" s="61">
        <f>Assumptions!$B$201/Assumptions!$B$7</f>
        <v/>
      </c>
      <c r="Y313" s="61">
        <f>Assumptions!$B$201/Assumptions!$B$7</f>
        <v/>
      </c>
      <c r="Z313" s="61">
        <f>Assumptions!$B$201/Assumptions!$B$7</f>
        <v/>
      </c>
      <c r="AA313" s="61">
        <f>Assumptions!$B$201/Assumptions!$B$7</f>
        <v/>
      </c>
      <c r="AB313" s="61">
        <f>Assumptions!$B$201/Assumptions!$B$7</f>
        <v/>
      </c>
      <c r="AC313" s="61">
        <f>Assumptions!$B$201/Assumptions!$B$7</f>
        <v/>
      </c>
      <c r="AD313" s="61">
        <f>Assumptions!$B$201/Assumptions!$B$7</f>
        <v/>
      </c>
      <c r="AE313" s="61">
        <f>Assumptions!$B$201/Assumptions!$B$7</f>
        <v/>
      </c>
    </row>
    <row r="314">
      <c r="A314" s="9" t="inlineStr">
        <is>
          <t>THE FIXED AED FLOOR ONLY. CUMULATIVE with the issuance requirement rather than an alternative to it - Part VI.A requires capital for EACH licensed activity. NOT YET APPLIED, AND DELIBERATELY: the rule is the HIGHER of the AED floor or 25% OF FIXED ANNUAL OVERHEADS (15% where custody is held). The overheads test is left out until the opex build is complete - with only storage, VARA, DMCC and KYC in the model, overheads are a fraction of the real figure and the test would read as comfortably passed when nobody has checked. REINSTATE IT ONCE HEADCOUNT AND THE REST OF OPEX LAND: at 25%, the test overtakes the AED 600,000 floor at roughly AED 2.4m of annual overheads, which a real cost base may well reach.</t>
        </is>
      </c>
    </row>
    <row r="315">
      <c r="A315" s="3" t="inlineStr">
        <is>
          <t>TOTAL PAID-UP CAPITAL REQUIRED</t>
        </is>
      </c>
      <c r="B315" s="23" t="inlineStr">
        <is>
          <t>USD</t>
        </is>
      </c>
      <c r="C315" s="63">
        <f>C311+C313</f>
        <v/>
      </c>
      <c r="D315" s="63">
        <f>D311+D313</f>
        <v/>
      </c>
      <c r="E315" s="63">
        <f>E311+E313</f>
        <v/>
      </c>
      <c r="F315" s="63">
        <f>F311+F313</f>
        <v/>
      </c>
      <c r="G315" s="63">
        <f>G311+G313</f>
        <v/>
      </c>
      <c r="H315" s="63">
        <f>H311+H313</f>
        <v/>
      </c>
      <c r="I315" s="63">
        <f>I311+I313</f>
        <v/>
      </c>
      <c r="J315" s="63">
        <f>J311+J313</f>
        <v/>
      </c>
      <c r="K315" s="63">
        <f>K311+K313</f>
        <v/>
      </c>
      <c r="L315" s="63">
        <f>L311+L313</f>
        <v/>
      </c>
      <c r="M315" s="63">
        <f>M311+M313</f>
        <v/>
      </c>
      <c r="N315" s="63">
        <f>N311+N313</f>
        <v/>
      </c>
      <c r="O315" s="63">
        <f>O311+O313</f>
        <v/>
      </c>
      <c r="P315" s="63">
        <f>P311+P313</f>
        <v/>
      </c>
      <c r="Q315" s="63">
        <f>Q311+Q313</f>
        <v/>
      </c>
      <c r="R315" s="63">
        <f>R311+R313</f>
        <v/>
      </c>
      <c r="S315" s="63">
        <f>S311+S313</f>
        <v/>
      </c>
      <c r="T315" s="63">
        <f>T311+T313</f>
        <v/>
      </c>
      <c r="U315" s="63">
        <f>U311+U313</f>
        <v/>
      </c>
      <c r="V315" s="63">
        <f>V311+V313</f>
        <v/>
      </c>
      <c r="W315" s="63">
        <f>W311+W313</f>
        <v/>
      </c>
      <c r="X315" s="63">
        <f>X311+X313</f>
        <v/>
      </c>
      <c r="Y315" s="63">
        <f>Y311+Y313</f>
        <v/>
      </c>
      <c r="Z315" s="63">
        <f>Z311+Z313</f>
        <v/>
      </c>
      <c r="AA315" s="63">
        <f>AA311+AA313</f>
        <v/>
      </c>
      <c r="AB315" s="63">
        <f>AB311+AB313</f>
        <v/>
      </c>
      <c r="AC315" s="63">
        <f>AC311+AC313</f>
        <v/>
      </c>
      <c r="AD315" s="63">
        <f>AD311+AD313</f>
        <v/>
      </c>
      <c r="AE315" s="63">
        <f>AE311+AE313</f>
        <v/>
      </c>
    </row>
    <row r="316">
      <c r="A316" s="6" t="inlineStr">
        <is>
          <t xml:space="preserve">  Net liquid assets required (PROVISIONAL - opex incomplete)</t>
        </is>
      </c>
      <c r="B316" s="23" t="inlineStr">
        <is>
          <t>USD</t>
        </is>
      </c>
      <c r="C316" s="61">
        <f>Assumptions!$B$202*(SUMIF($C$5:$AE$5,C5,$C$255:$AE$255)-SUMIF($C$5:$AE$5,C5,$C$241:$AE$241))/12</f>
        <v/>
      </c>
      <c r="D316" s="61">
        <f>Assumptions!$B$202*(SUMIF($C$5:$AE$5,D5,$C$255:$AE$255)-SUMIF($C$5:$AE$5,D5,$C$241:$AE$241))/12</f>
        <v/>
      </c>
      <c r="E316" s="61">
        <f>Assumptions!$B$202*(SUMIF($C$5:$AE$5,E5,$C$255:$AE$255)-SUMIF($C$5:$AE$5,E5,$C$241:$AE$241))/12</f>
        <v/>
      </c>
      <c r="F316" s="61">
        <f>Assumptions!$B$202*(SUMIF($C$5:$AE$5,F5,$C$255:$AE$255)-SUMIF($C$5:$AE$5,F5,$C$241:$AE$241))/12</f>
        <v/>
      </c>
      <c r="G316" s="61">
        <f>Assumptions!$B$202*(SUMIF($C$5:$AE$5,G5,$C$255:$AE$255)-SUMIF($C$5:$AE$5,G5,$C$241:$AE$241))/12</f>
        <v/>
      </c>
      <c r="H316" s="61">
        <f>Assumptions!$B$202*(SUMIF($C$5:$AE$5,H5,$C$255:$AE$255)-SUMIF($C$5:$AE$5,H5,$C$241:$AE$241))/12</f>
        <v/>
      </c>
      <c r="I316" s="61">
        <f>Assumptions!$B$202*(SUMIF($C$5:$AE$5,I5,$C$255:$AE$255)-SUMIF($C$5:$AE$5,I5,$C$241:$AE$241))/12</f>
        <v/>
      </c>
      <c r="J316" s="61">
        <f>Assumptions!$B$202*(SUMIF($C$5:$AE$5,J5,$C$255:$AE$255)-SUMIF($C$5:$AE$5,J5,$C$241:$AE$241))/12</f>
        <v/>
      </c>
      <c r="K316" s="61">
        <f>Assumptions!$B$202*(SUMIF($C$5:$AE$5,K5,$C$255:$AE$255)-SUMIF($C$5:$AE$5,K5,$C$241:$AE$241))/12</f>
        <v/>
      </c>
      <c r="L316" s="61">
        <f>Assumptions!$B$202*(SUMIF($C$5:$AE$5,L5,$C$255:$AE$255)-SUMIF($C$5:$AE$5,L5,$C$241:$AE$241))/12</f>
        <v/>
      </c>
      <c r="M316" s="61">
        <f>Assumptions!$B$202*(SUMIF($C$5:$AE$5,M5,$C$255:$AE$255)-SUMIF($C$5:$AE$5,M5,$C$241:$AE$241))/12</f>
        <v/>
      </c>
      <c r="N316" s="61">
        <f>Assumptions!$B$202*(SUMIF($C$5:$AE$5,N5,$C$255:$AE$255)-SUMIF($C$5:$AE$5,N5,$C$241:$AE$241))/12</f>
        <v/>
      </c>
      <c r="O316" s="61">
        <f>Assumptions!$B$202*(SUMIF($C$5:$AE$5,O5,$C$255:$AE$255)-SUMIF($C$5:$AE$5,O5,$C$241:$AE$241))/12</f>
        <v/>
      </c>
      <c r="P316" s="61">
        <f>Assumptions!$B$202*(SUMIF($C$5:$AE$5,P5,$C$255:$AE$255)-SUMIF($C$5:$AE$5,P5,$C$241:$AE$241))/12</f>
        <v/>
      </c>
      <c r="Q316" s="61">
        <f>Assumptions!$B$202*(SUMIF($C$5:$AE$5,Q5,$C$255:$AE$255)-SUMIF($C$5:$AE$5,Q5,$C$241:$AE$241))/12</f>
        <v/>
      </c>
      <c r="R316" s="61">
        <f>Assumptions!$B$202*(SUMIF($C$5:$AE$5,R5,$C$255:$AE$255)-SUMIF($C$5:$AE$5,R5,$C$241:$AE$241))/12</f>
        <v/>
      </c>
      <c r="S316" s="61">
        <f>Assumptions!$B$202*(SUMIF($C$5:$AE$5,S5,$C$255:$AE$255)-SUMIF($C$5:$AE$5,S5,$C$241:$AE$241))/12</f>
        <v/>
      </c>
      <c r="T316" s="61">
        <f>Assumptions!$B$202*(SUMIF($C$5:$AE$5,T5,$C$255:$AE$255)-SUMIF($C$5:$AE$5,T5,$C$241:$AE$241))/12</f>
        <v/>
      </c>
      <c r="U316" s="61">
        <f>Assumptions!$B$202*(SUMIF($C$5:$AE$5,U5,$C$255:$AE$255)-SUMIF($C$5:$AE$5,U5,$C$241:$AE$241))/12</f>
        <v/>
      </c>
      <c r="V316" s="61">
        <f>Assumptions!$B$202*(SUMIF($C$5:$AE$5,V5,$C$255:$AE$255)-SUMIF($C$5:$AE$5,V5,$C$241:$AE$241))/12</f>
        <v/>
      </c>
      <c r="W316" s="61">
        <f>Assumptions!$B$202*(SUMIF($C$5:$AE$5,W5,$C$255:$AE$255)-SUMIF($C$5:$AE$5,W5,$C$241:$AE$241))/12</f>
        <v/>
      </c>
      <c r="X316" s="61">
        <f>Assumptions!$B$202*(SUMIF($C$5:$AE$5,X5,$C$255:$AE$255)-SUMIF($C$5:$AE$5,X5,$C$241:$AE$241))/12</f>
        <v/>
      </c>
      <c r="Y316" s="61">
        <f>Assumptions!$B$202*(SUMIF($C$5:$AE$5,Y5,$C$255:$AE$255)-SUMIF($C$5:$AE$5,Y5,$C$241:$AE$241))/12</f>
        <v/>
      </c>
      <c r="Z316" s="61">
        <f>Assumptions!$B$202*(SUMIF($C$5:$AE$5,Z5,$C$255:$AE$255)-SUMIF($C$5:$AE$5,Z5,$C$241:$AE$241))/12</f>
        <v/>
      </c>
      <c r="AA316" s="61">
        <f>Assumptions!$B$202*(SUMIF($C$5:$AE$5,AA5,$C$255:$AE$255)-SUMIF($C$5:$AE$5,AA5,$C$241:$AE$241))/12</f>
        <v/>
      </c>
      <c r="AB316" s="61">
        <f>Assumptions!$B$202*(SUMIF($C$5:$AE$5,AB5,$C$255:$AE$255)-SUMIF($C$5:$AE$5,AB5,$C$241:$AE$241))/12</f>
        <v/>
      </c>
      <c r="AC316" s="61">
        <f>Assumptions!$B$202*(SUMIF($C$5:$AE$5,AC5,$C$255:$AE$255)-SUMIF($C$5:$AE$5,AC5,$C$241:$AE$241))/12</f>
        <v/>
      </c>
      <c r="AD316" s="61">
        <f>Assumptions!$B$202*(SUMIF($C$5:$AE$5,AD5,$C$255:$AE$255)-SUMIF($C$5:$AE$5,AD5,$C$241:$AE$241))/12</f>
        <v/>
      </c>
      <c r="AE316" s="61">
        <f>Assumptions!$B$202*(SUMIF($C$5:$AE$5,AE5,$C$255:$AE$255)-SUMIF($C$5:$AE$5,AE5,$C$241:$AE$241))/12</f>
        <v/>
      </c>
    </row>
    <row r="317">
      <c r="A317" s="9" t="inlineStr">
        <is>
          <t>1.2 x MONTHLY operating expenses, tested continuously. NOT ADDED to paid-up capital: the same cash can satisfy both, so summing them would overstate the funding need. PROVISIONAL AND UNDERSTATED. It reads off the opex total, and opex currently carries only storage, VARA, DMCC and KYC - headcount, insurance, audit, technology and the rest are still to come. THIS FIGURE WILL RISE, probably several-fold. It is kept visible rather than removed because the requirement itself is real and appears nowhere in the corpus; the number is not yet usable.</t>
        </is>
      </c>
    </row>
    <row r="318">
      <c r="A318" s="6" t="inlineStr">
        <is>
          <t>CHECK: paid-up capital covers the liquidity test (must be &gt;= 0)</t>
        </is>
      </c>
      <c r="B318" s="23" t="inlineStr">
        <is>
          <t>USD</t>
        </is>
      </c>
      <c r="C318" s="63">
        <f>C315-C316</f>
        <v/>
      </c>
      <c r="D318" s="63">
        <f>D315-D316</f>
        <v/>
      </c>
      <c r="E318" s="63">
        <f>E315-E316</f>
        <v/>
      </c>
      <c r="F318" s="63">
        <f>F315-F316</f>
        <v/>
      </c>
      <c r="G318" s="63">
        <f>G315-G316</f>
        <v/>
      </c>
      <c r="H318" s="63">
        <f>H315-H316</f>
        <v/>
      </c>
      <c r="I318" s="63">
        <f>I315-I316</f>
        <v/>
      </c>
      <c r="J318" s="63">
        <f>J315-J316</f>
        <v/>
      </c>
      <c r="K318" s="63">
        <f>K315-K316</f>
        <v/>
      </c>
      <c r="L318" s="63">
        <f>L315-L316</f>
        <v/>
      </c>
      <c r="M318" s="63">
        <f>M315-M316</f>
        <v/>
      </c>
      <c r="N318" s="63">
        <f>N315-N316</f>
        <v/>
      </c>
      <c r="O318" s="63">
        <f>O315-O316</f>
        <v/>
      </c>
      <c r="P318" s="63">
        <f>P315-P316</f>
        <v/>
      </c>
      <c r="Q318" s="63">
        <f>Q315-Q316</f>
        <v/>
      </c>
      <c r="R318" s="63">
        <f>R315-R316</f>
        <v/>
      </c>
      <c r="S318" s="63">
        <f>S315-S316</f>
        <v/>
      </c>
      <c r="T318" s="63">
        <f>T315-T316</f>
        <v/>
      </c>
      <c r="U318" s="63">
        <f>U315-U316</f>
        <v/>
      </c>
      <c r="V318" s="63">
        <f>V315-V316</f>
        <v/>
      </c>
      <c r="W318" s="63">
        <f>W315-W316</f>
        <v/>
      </c>
      <c r="X318" s="63">
        <f>X315-X316</f>
        <v/>
      </c>
      <c r="Y318" s="63">
        <f>Y315-Y316</f>
        <v/>
      </c>
      <c r="Z318" s="63">
        <f>Z315-Z316</f>
        <v/>
      </c>
      <c r="AA318" s="63">
        <f>AA315-AA316</f>
        <v/>
      </c>
      <c r="AB318" s="63">
        <f>AB315-AB316</f>
        <v/>
      </c>
      <c r="AC318" s="63">
        <f>AC315-AC316</f>
        <v/>
      </c>
      <c r="AD318" s="63">
        <f>AD315-AD316</f>
        <v/>
      </c>
      <c r="AE318" s="63">
        <f>AE315-AE316</f>
        <v/>
      </c>
    </row>
    <row r="319">
      <c r="A319" s="3" t="inlineStr">
        <is>
          <t>TOTAL CAPITAL TIED UP (float + paid-up capital + card prefunding)</t>
        </is>
      </c>
      <c r="B319" s="23" t="inlineStr">
        <is>
          <t>USD</t>
        </is>
      </c>
      <c r="C319" s="63">
        <f>C209+C315+C214</f>
        <v/>
      </c>
      <c r="D319" s="63">
        <f>D209+D315+D214</f>
        <v/>
      </c>
      <c r="E319" s="63">
        <f>E209+E315+E214</f>
        <v/>
      </c>
      <c r="F319" s="63">
        <f>F209+F315+F214</f>
        <v/>
      </c>
      <c r="G319" s="63">
        <f>G209+G315+G214</f>
        <v/>
      </c>
      <c r="H319" s="63">
        <f>H209+H315+H214</f>
        <v/>
      </c>
      <c r="I319" s="63">
        <f>I209+I315+I214</f>
        <v/>
      </c>
      <c r="J319" s="63">
        <f>J209+J315+J214</f>
        <v/>
      </c>
      <c r="K319" s="63">
        <f>K209+K315+K214</f>
        <v/>
      </c>
      <c r="L319" s="63">
        <f>L209+L315+L214</f>
        <v/>
      </c>
      <c r="M319" s="63">
        <f>M209+M315+M214</f>
        <v/>
      </c>
      <c r="N319" s="63">
        <f>N209+N315+N214</f>
        <v/>
      </c>
      <c r="O319" s="63">
        <f>O209+O315+O214</f>
        <v/>
      </c>
      <c r="P319" s="63">
        <f>P209+P315+P214</f>
        <v/>
      </c>
      <c r="Q319" s="63">
        <f>Q209+Q315+Q214</f>
        <v/>
      </c>
      <c r="R319" s="63">
        <f>R209+R315+R214</f>
        <v/>
      </c>
      <c r="S319" s="63">
        <f>S209+S315+S214</f>
        <v/>
      </c>
      <c r="T319" s="63">
        <f>T209+T315+T214</f>
        <v/>
      </c>
      <c r="U319" s="63">
        <f>U209+U315+U214</f>
        <v/>
      </c>
      <c r="V319" s="63">
        <f>V209+V315+V214</f>
        <v/>
      </c>
      <c r="W319" s="63">
        <f>W209+W315+W214</f>
        <v/>
      </c>
      <c r="X319" s="63">
        <f>X209+X315+X214</f>
        <v/>
      </c>
      <c r="Y319" s="63">
        <f>Y209+Y315+Y214</f>
        <v/>
      </c>
      <c r="Z319" s="63">
        <f>Z209+Z315+Z214</f>
        <v/>
      </c>
      <c r="AA319" s="63">
        <f>AA209+AA315+AA214</f>
        <v/>
      </c>
      <c r="AB319" s="63">
        <f>AB209+AB315+AB214</f>
        <v/>
      </c>
      <c r="AC319" s="63">
        <f>AC209+AC315+AC214</f>
        <v/>
      </c>
      <c r="AD319" s="63">
        <f>AD209+AD315+AD214</f>
        <v/>
      </c>
      <c r="AE319" s="63">
        <f>AE209+AE315+AE214</f>
        <v/>
      </c>
    </row>
    <row r="320">
      <c r="A320" s="9" t="inlineStr">
        <is>
          <t>THE FLOAT IS METAL YOU OWN AND CAN SELL; THE PAID-UP CAPITAL IS EQUITY YOU MUST KEEP SUBSCRIBED TO HOLD A LICENCE. Both are money unavailable to spend, which is why they are added - but they are NOT the same kind of money, and the difference matters on a wind-down.</t>
        </is>
      </c>
    </row>
    <row r="323" ht="20" customHeight="1">
      <c r="A323" s="12" t="inlineStr">
        <is>
          <t>NET PROFIT - revenue less every cost modelled</t>
        </is>
      </c>
      <c r="B323" s="13" t="n"/>
      <c r="C323" s="13" t="n"/>
      <c r="D323" s="13" t="n"/>
      <c r="E323" s="13" t="n"/>
      <c r="F323" s="13" t="n"/>
      <c r="G323" s="13" t="n"/>
      <c r="H323" s="13" t="n"/>
      <c r="I323" s="13" t="n"/>
      <c r="J323" s="13" t="n"/>
      <c r="K323" s="13" t="n"/>
      <c r="L323" s="13" t="n"/>
      <c r="M323" s="13" t="n"/>
      <c r="N323" s="13" t="n"/>
      <c r="O323" s="13" t="n"/>
      <c r="P323" s="13" t="n"/>
      <c r="Q323" s="13" t="n"/>
      <c r="R323" s="13" t="n"/>
      <c r="S323" s="13" t="n"/>
      <c r="T323" s="13" t="n"/>
      <c r="U323" s="13" t="n"/>
      <c r="V323" s="13" t="n"/>
      <c r="W323" s="13" t="n"/>
      <c r="X323" s="13" t="n"/>
      <c r="Y323" s="13" t="n"/>
      <c r="Z323" s="13" t="n"/>
      <c r="AA323" s="13" t="n"/>
      <c r="AB323" s="13" t="n"/>
      <c r="AC323" s="13" t="n"/>
      <c r="AD323" s="13" t="n"/>
      <c r="AE323" s="13" t="n"/>
    </row>
    <row r="325">
      <c r="A325" s="51" t="inlineStr">
        <is>
          <t>NET PROFIT - revenue less every cost modelled, plus contingency</t>
        </is>
      </c>
      <c r="B325" s="52" t="n"/>
      <c r="C325" s="52" t="n"/>
      <c r="D325" s="52" t="n"/>
      <c r="E325" s="52" t="n"/>
      <c r="F325" s="52" t="n"/>
      <c r="G325" s="52" t="n"/>
      <c r="H325" s="52" t="n"/>
      <c r="I325" s="52" t="n"/>
      <c r="J325" s="52" t="n"/>
      <c r="K325" s="52" t="n"/>
      <c r="L325" s="52" t="n"/>
      <c r="M325" s="52" t="n"/>
      <c r="N325" s="52" t="n"/>
      <c r="O325" s="52" t="n"/>
      <c r="P325" s="52" t="n"/>
      <c r="Q325" s="52" t="n"/>
      <c r="R325" s="52" t="n"/>
      <c r="S325" s="52" t="n"/>
      <c r="T325" s="52" t="n"/>
      <c r="U325" s="52" t="n"/>
      <c r="V325" s="52" t="n"/>
      <c r="W325" s="52" t="n"/>
      <c r="X325" s="52" t="n"/>
      <c r="Y325" s="52" t="n"/>
      <c r="Z325" s="52" t="n"/>
      <c r="AA325" s="52" t="n"/>
      <c r="AB325" s="52" t="n"/>
      <c r="AC325" s="52" t="n"/>
      <c r="AD325" s="52" t="n"/>
      <c r="AE325" s="52" t="n"/>
    </row>
    <row r="326">
      <c r="A326" s="3" t="inlineStr">
        <is>
          <t>NET PROFIT</t>
        </is>
      </c>
      <c r="B326" s="23" t="inlineStr">
        <is>
          <t>USD</t>
        </is>
      </c>
      <c r="C326" s="63">
        <f>C197-C304</f>
        <v/>
      </c>
      <c r="D326" s="63">
        <f>D197-D304</f>
        <v/>
      </c>
      <c r="E326" s="63">
        <f>E197-E304</f>
        <v/>
      </c>
      <c r="F326" s="63">
        <f>F197-F304</f>
        <v/>
      </c>
      <c r="G326" s="63">
        <f>G197-G304</f>
        <v/>
      </c>
      <c r="H326" s="63">
        <f>H197-H304</f>
        <v/>
      </c>
      <c r="I326" s="63">
        <f>I197-I304</f>
        <v/>
      </c>
      <c r="J326" s="63">
        <f>J197-J304</f>
        <v/>
      </c>
      <c r="K326" s="63">
        <f>K197-K304</f>
        <v/>
      </c>
      <c r="L326" s="63">
        <f>L197-L304</f>
        <v/>
      </c>
      <c r="M326" s="63">
        <f>M197-M304</f>
        <v/>
      </c>
      <c r="N326" s="63">
        <f>N197-N304</f>
        <v/>
      </c>
      <c r="O326" s="63">
        <f>O197-O304</f>
        <v/>
      </c>
      <c r="P326" s="63">
        <f>P197-P304</f>
        <v/>
      </c>
      <c r="Q326" s="63">
        <f>Q197-Q304</f>
        <v/>
      </c>
      <c r="R326" s="63">
        <f>R197-R304</f>
        <v/>
      </c>
      <c r="S326" s="63">
        <f>S197-S304</f>
        <v/>
      </c>
      <c r="T326" s="63">
        <f>T197-T304</f>
        <v/>
      </c>
      <c r="U326" s="63">
        <f>U197-U304</f>
        <v/>
      </c>
      <c r="V326" s="63">
        <f>V197-V304</f>
        <v/>
      </c>
      <c r="W326" s="63">
        <f>W197-W304</f>
        <v/>
      </c>
      <c r="X326" s="63">
        <f>X197-X304</f>
        <v/>
      </c>
      <c r="Y326" s="63">
        <f>Y197-Y304</f>
        <v/>
      </c>
      <c r="Z326" s="63">
        <f>Z197-Z304</f>
        <v/>
      </c>
      <c r="AA326" s="63">
        <f>AA197-AA304</f>
        <v/>
      </c>
      <c r="AB326" s="63">
        <f>AB197-AB304</f>
        <v/>
      </c>
      <c r="AC326" s="63">
        <f>AC197-AC304</f>
        <v/>
      </c>
      <c r="AD326" s="63">
        <f>AD197-AD304</f>
        <v/>
      </c>
      <c r="AE326" s="63">
        <f>AE197-AE304</f>
        <v/>
      </c>
    </row>
    <row r="327">
      <c r="A327" s="9" t="inlineStr">
        <is>
          <t>AN UPPER BOUND, NOT A FORECAST. Headcount, legal and trust, security, corporate, tax and the on-chain minting cost are all still absent, covered only by a 15% contingency that is worth a fraction of headcount alone. THE REAL NUMBER IS LOWER AND THE MODEL CANNOT YET SAY BY HOW MUCH.</t>
        </is>
      </c>
    </row>
    <row r="328">
      <c r="A328" s="6" t="inlineStr">
        <is>
          <t xml:space="preserve">  Net margin</t>
        </is>
      </c>
      <c r="B328" s="23" t="inlineStr">
        <is>
          <t>% of revenue</t>
        </is>
      </c>
      <c r="C328" s="57">
        <f>IF(C197=0,0,C326/C197)</f>
        <v/>
      </c>
      <c r="D328" s="57">
        <f>IF(D197=0,0,D326/D197)</f>
        <v/>
      </c>
      <c r="E328" s="57">
        <f>IF(E197=0,0,E326/E197)</f>
        <v/>
      </c>
      <c r="F328" s="57">
        <f>IF(F197=0,0,F326/F197)</f>
        <v/>
      </c>
      <c r="G328" s="57">
        <f>IF(G197=0,0,G326/G197)</f>
        <v/>
      </c>
      <c r="H328" s="57">
        <f>IF(H197=0,0,H326/H197)</f>
        <v/>
      </c>
      <c r="I328" s="57">
        <f>IF(I197=0,0,I326/I197)</f>
        <v/>
      </c>
      <c r="J328" s="57">
        <f>IF(J197=0,0,J326/J197)</f>
        <v/>
      </c>
      <c r="K328" s="57">
        <f>IF(K197=0,0,K326/K197)</f>
        <v/>
      </c>
      <c r="L328" s="57">
        <f>IF(L197=0,0,L326/L197)</f>
        <v/>
      </c>
      <c r="M328" s="57">
        <f>IF(M197=0,0,M326/M197)</f>
        <v/>
      </c>
      <c r="N328" s="57">
        <f>IF(N197=0,0,N326/N197)</f>
        <v/>
      </c>
      <c r="O328" s="57">
        <f>IF(O197=0,0,O326/O197)</f>
        <v/>
      </c>
      <c r="P328" s="57">
        <f>IF(P197=0,0,P326/P197)</f>
        <v/>
      </c>
      <c r="Q328" s="57">
        <f>IF(Q197=0,0,Q326/Q197)</f>
        <v/>
      </c>
      <c r="R328" s="57">
        <f>IF(R197=0,0,R326/R197)</f>
        <v/>
      </c>
      <c r="S328" s="57">
        <f>IF(S197=0,0,S326/S197)</f>
        <v/>
      </c>
      <c r="T328" s="57">
        <f>IF(T197=0,0,T326/T197)</f>
        <v/>
      </c>
      <c r="U328" s="57">
        <f>IF(U197=0,0,U326/U197)</f>
        <v/>
      </c>
      <c r="V328" s="57">
        <f>IF(V197=0,0,V326/V197)</f>
        <v/>
      </c>
      <c r="W328" s="57">
        <f>IF(W197=0,0,W326/W197)</f>
        <v/>
      </c>
      <c r="X328" s="57">
        <f>IF(X197=0,0,X326/X197)</f>
        <v/>
      </c>
      <c r="Y328" s="57">
        <f>IF(Y197=0,0,Y326/Y197)</f>
        <v/>
      </c>
      <c r="Z328" s="57">
        <f>IF(Z197=0,0,Z326/Z197)</f>
        <v/>
      </c>
      <c r="AA328" s="57">
        <f>IF(AA197=0,0,AA326/AA197)</f>
        <v/>
      </c>
      <c r="AB328" s="57">
        <f>IF(AB197=0,0,AB326/AB197)</f>
        <v/>
      </c>
      <c r="AC328" s="57">
        <f>IF(AC197=0,0,AC326/AC197)</f>
        <v/>
      </c>
      <c r="AD328" s="57">
        <f>IF(AD197=0,0,AD326/AD197)</f>
        <v/>
      </c>
      <c r="AE328" s="57">
        <f>IF(AE197=0,0,AE326/AE197)</f>
        <v/>
      </c>
    </row>
    <row r="329">
      <c r="A329" s="3" t="inlineStr">
        <is>
          <t>CUMULATIVE NET PROFIT</t>
        </is>
      </c>
      <c r="B329" s="23" t="inlineStr">
        <is>
          <t>USD</t>
        </is>
      </c>
      <c r="C329" s="63">
        <f>C326</f>
        <v/>
      </c>
      <c r="D329" s="63">
        <f>C329+D326</f>
        <v/>
      </c>
      <c r="E329" s="63">
        <f>D329+E326</f>
        <v/>
      </c>
      <c r="F329" s="63">
        <f>E329+F326</f>
        <v/>
      </c>
      <c r="G329" s="63">
        <f>F329+G326</f>
        <v/>
      </c>
      <c r="H329" s="63">
        <f>G329+H326</f>
        <v/>
      </c>
      <c r="I329" s="63">
        <f>H329+I326</f>
        <v/>
      </c>
      <c r="J329" s="63">
        <f>I329+J326</f>
        <v/>
      </c>
      <c r="K329" s="63">
        <f>J329+K326</f>
        <v/>
      </c>
      <c r="L329" s="63">
        <f>K329+L326</f>
        <v/>
      </c>
      <c r="M329" s="63">
        <f>L329+M326</f>
        <v/>
      </c>
      <c r="N329" s="63">
        <f>M329+N326</f>
        <v/>
      </c>
      <c r="O329" s="63">
        <f>N329+O326</f>
        <v/>
      </c>
      <c r="P329" s="63">
        <f>O329+P326</f>
        <v/>
      </c>
      <c r="Q329" s="63">
        <f>P329+Q326</f>
        <v/>
      </c>
      <c r="R329" s="63">
        <f>Q329+R326</f>
        <v/>
      </c>
      <c r="S329" s="63">
        <f>R329+S326</f>
        <v/>
      </c>
      <c r="T329" s="63">
        <f>S329+T326</f>
        <v/>
      </c>
      <c r="U329" s="63">
        <f>T329+U326</f>
        <v/>
      </c>
      <c r="V329" s="63">
        <f>U329+V326</f>
        <v/>
      </c>
      <c r="W329" s="63">
        <f>V329+W326</f>
        <v/>
      </c>
      <c r="X329" s="63">
        <f>W329+X326</f>
        <v/>
      </c>
      <c r="Y329" s="63">
        <f>X329+Y326</f>
        <v/>
      </c>
      <c r="Z329" s="63">
        <f>Y329+Z326</f>
        <v/>
      </c>
      <c r="AA329" s="63">
        <f>Z329+AA326</f>
        <v/>
      </c>
      <c r="AB329" s="63">
        <f>AA329+AB326</f>
        <v/>
      </c>
      <c r="AC329" s="63">
        <f>AB329+AC326</f>
        <v/>
      </c>
      <c r="AD329" s="63">
        <f>AC329+AD326</f>
        <v/>
      </c>
      <c r="AE329" s="63">
        <f>AD329+AE326</f>
        <v/>
      </c>
    </row>
    <row r="331">
      <c r="A331" s="51" t="inlineStr">
        <is>
          <t>UNIT ECONOMICS - payback, the acquisition treadmill and the funding need</t>
        </is>
      </c>
      <c r="B331" s="52" t="n"/>
      <c r="C331" s="52" t="n"/>
      <c r="D331" s="52" t="n"/>
      <c r="E331" s="52" t="n"/>
      <c r="F331" s="52" t="n"/>
      <c r="G331" s="52" t="n"/>
      <c r="H331" s="52" t="n"/>
      <c r="I331" s="52" t="n"/>
      <c r="J331" s="52" t="n"/>
      <c r="K331" s="52" t="n"/>
      <c r="L331" s="52" t="n"/>
      <c r="M331" s="52" t="n"/>
      <c r="N331" s="52" t="n"/>
      <c r="O331" s="52" t="n"/>
      <c r="P331" s="52" t="n"/>
      <c r="Q331" s="52" t="n"/>
      <c r="R331" s="52" t="n"/>
      <c r="S331" s="52" t="n"/>
      <c r="T331" s="52" t="n"/>
      <c r="U331" s="52" t="n"/>
      <c r="V331" s="52" t="n"/>
      <c r="W331" s="52" t="n"/>
      <c r="X331" s="52" t="n"/>
      <c r="Y331" s="52" t="n"/>
      <c r="Z331" s="52" t="n"/>
      <c r="AA331" s="52" t="n"/>
      <c r="AB331" s="52" t="n"/>
      <c r="AC331" s="52" t="n"/>
      <c r="AD331" s="52" t="n"/>
      <c r="AE331" s="52" t="n"/>
    </row>
    <row r="332">
      <c r="A332" s="6" t="inlineStr">
        <is>
          <t xml:space="preserve">  Customers lost to holders this period</t>
        </is>
      </c>
      <c r="B332" s="23" t="inlineStr">
        <is>
          <t>accounts</t>
        </is>
      </c>
      <c r="C332" s="50">
        <f>MAX(0,C162-C159)</f>
        <v/>
      </c>
      <c r="D332" s="50">
        <f>MAX(0,C159+D162-D159)</f>
        <v/>
      </c>
      <c r="E332" s="50">
        <f>MAX(0,D159+E162-E159)</f>
        <v/>
      </c>
      <c r="F332" s="50">
        <f>MAX(0,E159+F162-F159)</f>
        <v/>
      </c>
      <c r="G332" s="50">
        <f>MAX(0,F159+G162-G159)</f>
        <v/>
      </c>
      <c r="H332" s="50">
        <f>MAX(0,G159+H162-H159)</f>
        <v/>
      </c>
      <c r="I332" s="50">
        <f>MAX(0,H159+I162-I159)</f>
        <v/>
      </c>
      <c r="J332" s="50">
        <f>MAX(0,I159+J162-J159)</f>
        <v/>
      </c>
      <c r="K332" s="50">
        <f>MAX(0,J159+K162-K159)</f>
        <v/>
      </c>
      <c r="L332" s="50">
        <f>MAX(0,K159+L162-L159)</f>
        <v/>
      </c>
      <c r="M332" s="50">
        <f>MAX(0,L159+M162-M159)</f>
        <v/>
      </c>
      <c r="N332" s="50">
        <f>MAX(0,M159+N162-N159)</f>
        <v/>
      </c>
      <c r="O332" s="50">
        <f>MAX(0,N159+O162-O159)</f>
        <v/>
      </c>
      <c r="P332" s="50">
        <f>MAX(0,O159+P162-P159)</f>
        <v/>
      </c>
      <c r="Q332" s="50">
        <f>MAX(0,P159+Q162-Q159)</f>
        <v/>
      </c>
      <c r="R332" s="50">
        <f>MAX(0,Q159+R162-R159)</f>
        <v/>
      </c>
      <c r="S332" s="50">
        <f>MAX(0,R159+S162-S159)</f>
        <v/>
      </c>
      <c r="T332" s="50">
        <f>MAX(0,S159+T162-T159)</f>
        <v/>
      </c>
      <c r="U332" s="50">
        <f>MAX(0,T159+U162-U159)</f>
        <v/>
      </c>
      <c r="V332" s="50">
        <f>MAX(0,U159+V162-V159)</f>
        <v/>
      </c>
      <c r="W332" s="50">
        <f>MAX(0,V159+W162-W159)</f>
        <v/>
      </c>
      <c r="X332" s="50">
        <f>MAX(0,W159+X162-X159)</f>
        <v/>
      </c>
      <c r="Y332" s="50">
        <f>MAX(0,X159+Y162-Y159)</f>
        <v/>
      </c>
      <c r="Z332" s="50">
        <f>MAX(0,Y159+Z162-Z159)</f>
        <v/>
      </c>
      <c r="AA332" s="50">
        <f>MAX(0,Z159+AA162-AA159)</f>
        <v/>
      </c>
      <c r="AB332" s="50">
        <f>MAX(0,AA159+AB162-AB159)</f>
        <v/>
      </c>
      <c r="AC332" s="50">
        <f>MAX(0,AB159+AC162-AC159)</f>
        <v/>
      </c>
      <c r="AD332" s="50">
        <f>MAX(0,AC159+AD162-AD159)</f>
        <v/>
      </c>
      <c r="AE332" s="50">
        <f>MAX(0,AD159+AE162-AE159)</f>
        <v/>
      </c>
    </row>
    <row r="333">
      <c r="A333" s="9" t="inlineStr">
        <is>
          <t>OPENING BASE PLUS NEW LESS CLOSING BASE. Nobody counts leavers directly; they are what is left when the balance does not tie. THIS IS THE END OF A PAYING RELATIONSHIP, NOT OF THE CUSTOMER: a lapsed customer becomes a holder, keeps their gold and may still carry a card, so the tail is thin but it is not zero. Deliberately NOT converted into an average life here - see the section note above.</t>
        </is>
      </c>
    </row>
    <row r="334">
      <c r="A334" s="3" t="inlineStr">
        <is>
          <t>PROFIT BEFORE ACQUISITION COST</t>
        </is>
      </c>
      <c r="B334" s="23" t="inlineStr">
        <is>
          <t>USD</t>
        </is>
      </c>
      <c r="C334" s="63">
        <f>C197-C304+C282</f>
        <v/>
      </c>
      <c r="D334" s="63">
        <f>D197-D304+D282</f>
        <v/>
      </c>
      <c r="E334" s="63">
        <f>E197-E304+E282</f>
        <v/>
      </c>
      <c r="F334" s="63">
        <f>F197-F304+F282</f>
        <v/>
      </c>
      <c r="G334" s="63">
        <f>G197-G304+G282</f>
        <v/>
      </c>
      <c r="H334" s="63">
        <f>H197-H304+H282</f>
        <v/>
      </c>
      <c r="I334" s="63">
        <f>I197-I304+I282</f>
        <v/>
      </c>
      <c r="J334" s="63">
        <f>J197-J304+J282</f>
        <v/>
      </c>
      <c r="K334" s="63">
        <f>K197-K304+K282</f>
        <v/>
      </c>
      <c r="L334" s="63">
        <f>L197-L304+L282</f>
        <v/>
      </c>
      <c r="M334" s="63">
        <f>M197-M304+M282</f>
        <v/>
      </c>
      <c r="N334" s="63">
        <f>N197-N304+N282</f>
        <v/>
      </c>
      <c r="O334" s="63">
        <f>O197-O304+O282</f>
        <v/>
      </c>
      <c r="P334" s="63">
        <f>P197-P304+P282</f>
        <v/>
      </c>
      <c r="Q334" s="63">
        <f>Q197-Q304+Q282</f>
        <v/>
      </c>
      <c r="R334" s="63">
        <f>R197-R304+R282</f>
        <v/>
      </c>
      <c r="S334" s="63">
        <f>S197-S304+S282</f>
        <v/>
      </c>
      <c r="T334" s="63">
        <f>T197-T304+T282</f>
        <v/>
      </c>
      <c r="U334" s="63">
        <f>U197-U304+U282</f>
        <v/>
      </c>
      <c r="V334" s="63">
        <f>V197-V304+V282</f>
        <v/>
      </c>
      <c r="W334" s="63">
        <f>W197-W304+W282</f>
        <v/>
      </c>
      <c r="X334" s="63">
        <f>X197-X304+X282</f>
        <v/>
      </c>
      <c r="Y334" s="63">
        <f>Y197-Y304+Y282</f>
        <v/>
      </c>
      <c r="Z334" s="63">
        <f>Z197-Z304+Z282</f>
        <v/>
      </c>
      <c r="AA334" s="63">
        <f>AA197-AA304+AA282</f>
        <v/>
      </c>
      <c r="AB334" s="63">
        <f>AB197-AB304+AB282</f>
        <v/>
      </c>
      <c r="AC334" s="63">
        <f>AC197-AC304+AC282</f>
        <v/>
      </c>
      <c r="AD334" s="63">
        <f>AD197-AD304+AD282</f>
        <v/>
      </c>
      <c r="AE334" s="63">
        <f>AE197-AE304+AE282</f>
        <v/>
      </c>
    </row>
    <row r="335">
      <c r="A335" s="9" t="inlineStr">
        <is>
          <t>THE RIGHT NUMERATOR TO SET AGAINST CAC, because acquisition is the thing being paid for and must not sit on both sides. DELIBERATELY CONSERVATIVE: it still carries the FIXED cost base - licences, insurance, technology - so it understates what a marginal customer contributes and improves with scale by construction. A true marginal contribution would need a fixed/variable split this model does not carry, and inventing one would put a judgement call under the payback below.</t>
        </is>
      </c>
    </row>
    <row r="336">
      <c r="A336" s="6" t="inlineStr">
        <is>
          <t xml:space="preserve">  Contribution per paying customer (annualised)</t>
        </is>
      </c>
      <c r="B336" s="23" t="inlineStr">
        <is>
          <t>USD</t>
        </is>
      </c>
      <c r="C336" s="59">
        <f>IF(C159=0,0,C334/C159/C7*12)</f>
        <v/>
      </c>
      <c r="D336" s="59">
        <f>IF(D159=0,0,D334/D159/D7*12)</f>
        <v/>
      </c>
      <c r="E336" s="59">
        <f>IF(E159=0,0,E334/E159/E7*12)</f>
        <v/>
      </c>
      <c r="F336" s="59">
        <f>IF(F159=0,0,F334/F159/F7*12)</f>
        <v/>
      </c>
      <c r="G336" s="59">
        <f>IF(G159=0,0,G334/G159/G7*12)</f>
        <v/>
      </c>
      <c r="H336" s="59">
        <f>IF(H159=0,0,H334/H159/H7*12)</f>
        <v/>
      </c>
      <c r="I336" s="59">
        <f>IF(I159=0,0,I334/I159/I7*12)</f>
        <v/>
      </c>
      <c r="J336" s="59">
        <f>IF(J159=0,0,J334/J159/J7*12)</f>
        <v/>
      </c>
      <c r="K336" s="59">
        <f>IF(K159=0,0,K334/K159/K7*12)</f>
        <v/>
      </c>
      <c r="L336" s="59">
        <f>IF(L159=0,0,L334/L159/L7*12)</f>
        <v/>
      </c>
      <c r="M336" s="59">
        <f>IF(M159=0,0,M334/M159/M7*12)</f>
        <v/>
      </c>
      <c r="N336" s="59">
        <f>IF(N159=0,0,N334/N159/N7*12)</f>
        <v/>
      </c>
      <c r="O336" s="59">
        <f>IF(O159=0,0,O334/O159/O7*12)</f>
        <v/>
      </c>
      <c r="P336" s="59">
        <f>IF(P159=0,0,P334/P159/P7*12)</f>
        <v/>
      </c>
      <c r="Q336" s="59">
        <f>IF(Q159=0,0,Q334/Q159/Q7*12)</f>
        <v/>
      </c>
      <c r="R336" s="59">
        <f>IF(R159=0,0,R334/R159/R7*12)</f>
        <v/>
      </c>
      <c r="S336" s="59">
        <f>IF(S159=0,0,S334/S159/S7*12)</f>
        <v/>
      </c>
      <c r="T336" s="59">
        <f>IF(T159=0,0,T334/T159/T7*12)</f>
        <v/>
      </c>
      <c r="U336" s="59">
        <f>IF(U159=0,0,U334/U159/U7*12)</f>
        <v/>
      </c>
      <c r="V336" s="59">
        <f>IF(V159=0,0,V334/V159/V7*12)</f>
        <v/>
      </c>
      <c r="W336" s="59">
        <f>IF(W159=0,0,W334/W159/W7*12)</f>
        <v/>
      </c>
      <c r="X336" s="59">
        <f>IF(X159=0,0,X334/X159/X7*12)</f>
        <v/>
      </c>
      <c r="Y336" s="59">
        <f>IF(Y159=0,0,Y334/Y159/Y7*12)</f>
        <v/>
      </c>
      <c r="Z336" s="59">
        <f>IF(Z159=0,0,Z334/Z159/Z7*12)</f>
        <v/>
      </c>
      <c r="AA336" s="59">
        <f>IF(AA159=0,0,AA334/AA159/AA7*12)</f>
        <v/>
      </c>
      <c r="AB336" s="59">
        <f>IF(AB159=0,0,AB334/AB159/AB7*12)</f>
        <v/>
      </c>
      <c r="AC336" s="59">
        <f>IF(AC159=0,0,AC334/AC159/AC7*12)</f>
        <v/>
      </c>
      <c r="AD336" s="59">
        <f>IF(AD159=0,0,AD334/AD159/AD7*12)</f>
        <v/>
      </c>
      <c r="AE336" s="59">
        <f>IF(AE159=0,0,AE334/AE159/AE7*12)</f>
        <v/>
      </c>
    </row>
    <row r="337">
      <c r="A337" s="6" t="inlineStr">
        <is>
          <t xml:space="preserve">  Payback on contribution</t>
        </is>
      </c>
      <c r="B337" s="23" t="inlineStr">
        <is>
          <t>months</t>
        </is>
      </c>
      <c r="C337" s="60">
        <f>IF(C336&lt;=0,"",C283/(C336/12))</f>
        <v/>
      </c>
      <c r="D337" s="60">
        <f>IF(D336&lt;=0,"",D283/(D336/12))</f>
        <v/>
      </c>
      <c r="E337" s="60">
        <f>IF(E336&lt;=0,"",E283/(E336/12))</f>
        <v/>
      </c>
      <c r="F337" s="60">
        <f>IF(F336&lt;=0,"",F283/(F336/12))</f>
        <v/>
      </c>
      <c r="G337" s="60">
        <f>IF(G336&lt;=0,"",G283/(G336/12))</f>
        <v/>
      </c>
      <c r="H337" s="60">
        <f>IF(H336&lt;=0,"",H283/(H336/12))</f>
        <v/>
      </c>
      <c r="I337" s="60">
        <f>IF(I336&lt;=0,"",I283/(I336/12))</f>
        <v/>
      </c>
      <c r="J337" s="60">
        <f>IF(J336&lt;=0,"",J283/(J336/12))</f>
        <v/>
      </c>
      <c r="K337" s="60">
        <f>IF(K336&lt;=0,"",K283/(K336/12))</f>
        <v/>
      </c>
      <c r="L337" s="60">
        <f>IF(L336&lt;=0,"",L283/(L336/12))</f>
        <v/>
      </c>
      <c r="M337" s="60">
        <f>IF(M336&lt;=0,"",M283/(M336/12))</f>
        <v/>
      </c>
      <c r="N337" s="60">
        <f>IF(N336&lt;=0,"",N283/(N336/12))</f>
        <v/>
      </c>
      <c r="O337" s="60">
        <f>IF(O336&lt;=0,"",O283/(O336/12))</f>
        <v/>
      </c>
      <c r="P337" s="60">
        <f>IF(P336&lt;=0,"",P283/(P336/12))</f>
        <v/>
      </c>
      <c r="Q337" s="60">
        <f>IF(Q336&lt;=0,"",Q283/(Q336/12))</f>
        <v/>
      </c>
      <c r="R337" s="60">
        <f>IF(R336&lt;=0,"",R283/(R336/12))</f>
        <v/>
      </c>
      <c r="S337" s="60">
        <f>IF(S336&lt;=0,"",S283/(S336/12))</f>
        <v/>
      </c>
      <c r="T337" s="60">
        <f>IF(T336&lt;=0,"",T283/(T336/12))</f>
        <v/>
      </c>
      <c r="U337" s="60">
        <f>IF(U336&lt;=0,"",U283/(U336/12))</f>
        <v/>
      </c>
      <c r="V337" s="60">
        <f>IF(V336&lt;=0,"",V283/(V336/12))</f>
        <v/>
      </c>
      <c r="W337" s="60">
        <f>IF(W336&lt;=0,"",W283/(W336/12))</f>
        <v/>
      </c>
      <c r="X337" s="60">
        <f>IF(X336&lt;=0,"",X283/(X336/12))</f>
        <v/>
      </c>
      <c r="Y337" s="60">
        <f>IF(Y336&lt;=0,"",Y283/(Y336/12))</f>
        <v/>
      </c>
      <c r="Z337" s="60">
        <f>IF(Z336&lt;=0,"",Z283/(Z336/12))</f>
        <v/>
      </c>
      <c r="AA337" s="60">
        <f>IF(AA336&lt;=0,"",AA283/(AA336/12))</f>
        <v/>
      </c>
      <c r="AB337" s="60">
        <f>IF(AB336&lt;=0,"",AB283/(AB336/12))</f>
        <v/>
      </c>
      <c r="AC337" s="60">
        <f>IF(AC336&lt;=0,"",AC283/(AC336/12))</f>
        <v/>
      </c>
      <c r="AD337" s="60">
        <f>IF(AD336&lt;=0,"",AD283/(AD336/12))</f>
        <v/>
      </c>
      <c r="AE337" s="60">
        <f>IF(AE336&lt;=0,"",AE283/(AE336/12))</f>
        <v/>
      </c>
    </row>
    <row r="338">
      <c r="A338" s="9" t="inlineStr">
        <is>
          <t>CAC OVER MONTHLY CONTRIBUTION - IT NEEDS NO LIFE ESTIMATE, which is why it is here and an LTV:CAC ratio is not. AGAINST THE BLENDED COST PER NEW CUSTOMER, which includes the organic and referred arrivals nobody paid for, so it is the honest denominator for the book as a whole. Set against the UAE PAID CAC alone the payback is materially longer - the marketing CAC prices only the channel it buys. Blank where contribution is negative, which is the early years.</t>
        </is>
      </c>
    </row>
    <row r="339">
      <c r="A339" s="6" t="inlineStr">
        <is>
          <t>NEW CUSTOMERS ACQUIRED PER NET CUSTOMER ADDED</t>
        </is>
      </c>
      <c r="B339" s="23" t="inlineStr">
        <is>
          <t>accounts</t>
        </is>
      </c>
      <c r="C339" s="60">
        <f>""</f>
        <v/>
      </c>
      <c r="D339" s="60">
        <f>IF(D159-C159&lt;=0,"",D162/(D159-C159))</f>
        <v/>
      </c>
      <c r="E339" s="60">
        <f>IF(E159-D159&lt;=0,"",E162/(E159-D159))</f>
        <v/>
      </c>
      <c r="F339" s="60">
        <f>IF(F159-E159&lt;=0,"",F162/(F159-E159))</f>
        <v/>
      </c>
      <c r="G339" s="60">
        <f>IF(G159-F159&lt;=0,"",G162/(G159-F159))</f>
        <v/>
      </c>
      <c r="H339" s="60">
        <f>IF(H159-G159&lt;=0,"",H162/(H159-G159))</f>
        <v/>
      </c>
      <c r="I339" s="60">
        <f>IF(I159-H159&lt;=0,"",I162/(I159-H159))</f>
        <v/>
      </c>
      <c r="J339" s="60">
        <f>IF(J159-I159&lt;=0,"",J162/(J159-I159))</f>
        <v/>
      </c>
      <c r="K339" s="60">
        <f>IF(K159-J159&lt;=0,"",K162/(K159-J159))</f>
        <v/>
      </c>
      <c r="L339" s="60">
        <f>IF(L159-K159&lt;=0,"",L162/(L159-K159))</f>
        <v/>
      </c>
      <c r="M339" s="60">
        <f>IF(M159-L159&lt;=0,"",M162/(M159-L159))</f>
        <v/>
      </c>
      <c r="N339" s="60">
        <f>IF(N159-M159&lt;=0,"",N162/(N159-M159))</f>
        <v/>
      </c>
      <c r="O339" s="60">
        <f>IF(O159-N159&lt;=0,"",O162/(O159-N159))</f>
        <v/>
      </c>
      <c r="P339" s="60">
        <f>IF(P159-O159&lt;=0,"",P162/(P159-O159))</f>
        <v/>
      </c>
      <c r="Q339" s="60">
        <f>IF(Q159-P159&lt;=0,"",Q162/(Q159-P159))</f>
        <v/>
      </c>
      <c r="R339" s="60">
        <f>IF(R159-Q159&lt;=0,"",R162/(R159-Q159))</f>
        <v/>
      </c>
      <c r="S339" s="60">
        <f>IF(S159-R159&lt;=0,"",S162/(S159-R159))</f>
        <v/>
      </c>
      <c r="T339" s="60">
        <f>IF(T159-S159&lt;=0,"",T162/(T159-S159))</f>
        <v/>
      </c>
      <c r="U339" s="60">
        <f>IF(U159-T159&lt;=0,"",U162/(U159-T159))</f>
        <v/>
      </c>
      <c r="V339" s="60">
        <f>IF(V159-U159&lt;=0,"",V162/(V159-U159))</f>
        <v/>
      </c>
      <c r="W339" s="60">
        <f>IF(W159-V159&lt;=0,"",W162/(W159-V159))</f>
        <v/>
      </c>
      <c r="X339" s="60">
        <f>IF(X159-W159&lt;=0,"",X162/(X159-W159))</f>
        <v/>
      </c>
      <c r="Y339" s="60">
        <f>IF(Y159-X159&lt;=0,"",Y162/(Y159-X159))</f>
        <v/>
      </c>
      <c r="Z339" s="60">
        <f>IF(Z159-Y159&lt;=0,"",Z162/(Z159-Y159))</f>
        <v/>
      </c>
      <c r="AA339" s="60">
        <f>IF(AA159-Z159&lt;=0,"",AA162/(AA159-Z159))</f>
        <v/>
      </c>
      <c r="AB339" s="60">
        <f>IF(AB159-AA159&lt;=0,"",AB162/(AB159-AA159))</f>
        <v/>
      </c>
      <c r="AC339" s="60">
        <f>IF(AC159-AB159&lt;=0,"",AC162/(AC159-AB159))</f>
        <v/>
      </c>
      <c r="AD339" s="60">
        <f>IF(AD159-AC159&lt;=0,"",AD162/(AD159-AC159))</f>
        <v/>
      </c>
      <c r="AE339" s="60">
        <f>IF(AE159-AD159&lt;=0,"",AE162/(AE159-AD159))</f>
        <v/>
      </c>
    </row>
    <row r="340">
      <c r="A340" s="9" t="inlineStr">
        <is>
          <t>THE TREADMILL, AND THE SINGLE MOST IMPORTANT STRUCTURAL FACT IN THIS MODEL. Growth here is BOUGHT, not compounded: by Y7 the base grows by a small fraction of what is acquired and the rest leaks to holders. Blank where the base shrinks, which is a worse outcome than a large ratio, not a better one.</t>
        </is>
      </c>
    </row>
    <row r="341">
      <c r="A341" s="6" t="inlineStr">
        <is>
          <t xml:space="preserve">  Funding required to date (P&amp;L deficit + capital tied up)</t>
        </is>
      </c>
      <c r="B341" s="23" t="inlineStr">
        <is>
          <t>USD</t>
        </is>
      </c>
      <c r="C341" s="61">
        <f>MAX(0,-C329)+C319</f>
        <v/>
      </c>
      <c r="D341" s="61">
        <f>MAX(0,-D329)+D319</f>
        <v/>
      </c>
      <c r="E341" s="61">
        <f>MAX(0,-E329)+E319</f>
        <v/>
      </c>
      <c r="F341" s="61">
        <f>MAX(0,-F329)+F319</f>
        <v/>
      </c>
      <c r="G341" s="61">
        <f>MAX(0,-G329)+G319</f>
        <v/>
      </c>
      <c r="H341" s="61">
        <f>MAX(0,-H329)+H319</f>
        <v/>
      </c>
      <c r="I341" s="61">
        <f>MAX(0,-I329)+I319</f>
        <v/>
      </c>
      <c r="J341" s="61">
        <f>MAX(0,-J329)+J319</f>
        <v/>
      </c>
      <c r="K341" s="61">
        <f>MAX(0,-K329)+K319</f>
        <v/>
      </c>
      <c r="L341" s="61">
        <f>MAX(0,-L329)+L319</f>
        <v/>
      </c>
      <c r="M341" s="61">
        <f>MAX(0,-M329)+M319</f>
        <v/>
      </c>
      <c r="N341" s="61">
        <f>MAX(0,-N329)+N319</f>
        <v/>
      </c>
      <c r="O341" s="61">
        <f>MAX(0,-O329)+O319</f>
        <v/>
      </c>
      <c r="P341" s="61">
        <f>MAX(0,-P329)+P319</f>
        <v/>
      </c>
      <c r="Q341" s="61">
        <f>MAX(0,-Q329)+Q319</f>
        <v/>
      </c>
      <c r="R341" s="61">
        <f>MAX(0,-R329)+R319</f>
        <v/>
      </c>
      <c r="S341" s="61">
        <f>MAX(0,-S329)+S319</f>
        <v/>
      </c>
      <c r="T341" s="61">
        <f>MAX(0,-T329)+T319</f>
        <v/>
      </c>
      <c r="U341" s="61">
        <f>MAX(0,-U329)+U319</f>
        <v/>
      </c>
      <c r="V341" s="61">
        <f>MAX(0,-V329)+V319</f>
        <v/>
      </c>
      <c r="W341" s="61">
        <f>MAX(0,-W329)+W319</f>
        <v/>
      </c>
      <c r="X341" s="61">
        <f>MAX(0,-X329)+X319</f>
        <v/>
      </c>
      <c r="Y341" s="61">
        <f>MAX(0,-Y329)+Y319</f>
        <v/>
      </c>
      <c r="Z341" s="61">
        <f>MAX(0,-Z329)+Z319</f>
        <v/>
      </c>
      <c r="AA341" s="61">
        <f>MAX(0,-AA329)+AA319</f>
        <v/>
      </c>
      <c r="AB341" s="61">
        <f>MAX(0,-AB329)+AB319</f>
        <v/>
      </c>
      <c r="AC341" s="61">
        <f>MAX(0,-AC329)+AC319</f>
        <v/>
      </c>
      <c r="AD341" s="61">
        <f>MAX(0,-AD329)+AD319</f>
        <v/>
      </c>
      <c r="AE341" s="61">
        <f>MAX(0,-AE329)+AE319</f>
        <v/>
      </c>
    </row>
    <row r="342">
      <c r="A342" s="3" t="inlineStr">
        <is>
          <t>PEAK FUNDING NEED</t>
        </is>
      </c>
      <c r="B342" s="23" t="inlineStr">
        <is>
          <t>USD</t>
        </is>
      </c>
      <c r="C342" s="63">
        <f>C341</f>
        <v/>
      </c>
      <c r="D342" s="63">
        <f>MAX(C342,D341)</f>
        <v/>
      </c>
      <c r="E342" s="63">
        <f>MAX(D342,E341)</f>
        <v/>
      </c>
      <c r="F342" s="63">
        <f>MAX(E342,F341)</f>
        <v/>
      </c>
      <c r="G342" s="63">
        <f>MAX(F342,G341)</f>
        <v/>
      </c>
      <c r="H342" s="63">
        <f>MAX(G342,H341)</f>
        <v/>
      </c>
      <c r="I342" s="63">
        <f>MAX(H342,I341)</f>
        <v/>
      </c>
      <c r="J342" s="63">
        <f>MAX(I342,J341)</f>
        <v/>
      </c>
      <c r="K342" s="63">
        <f>MAX(J342,K341)</f>
        <v/>
      </c>
      <c r="L342" s="63">
        <f>MAX(K342,L341)</f>
        <v/>
      </c>
      <c r="M342" s="63">
        <f>MAX(L342,M341)</f>
        <v/>
      </c>
      <c r="N342" s="63">
        <f>MAX(M342,N341)</f>
        <v/>
      </c>
      <c r="O342" s="63">
        <f>MAX(N342,O341)</f>
        <v/>
      </c>
      <c r="P342" s="63">
        <f>MAX(O342,P341)</f>
        <v/>
      </c>
      <c r="Q342" s="63">
        <f>MAX(P342,Q341)</f>
        <v/>
      </c>
      <c r="R342" s="63">
        <f>MAX(Q342,R341)</f>
        <v/>
      </c>
      <c r="S342" s="63">
        <f>MAX(R342,S341)</f>
        <v/>
      </c>
      <c r="T342" s="63">
        <f>MAX(S342,T341)</f>
        <v/>
      </c>
      <c r="U342" s="63">
        <f>MAX(T342,U341)</f>
        <v/>
      </c>
      <c r="V342" s="63">
        <f>MAX(U342,V341)</f>
        <v/>
      </c>
      <c r="W342" s="63">
        <f>MAX(V342,W341)</f>
        <v/>
      </c>
      <c r="X342" s="63">
        <f>MAX(W342,X341)</f>
        <v/>
      </c>
      <c r="Y342" s="63">
        <f>MAX(X342,Y341)</f>
        <v/>
      </c>
      <c r="Z342" s="63">
        <f>MAX(Y342,Z341)</f>
        <v/>
      </c>
      <c r="AA342" s="63">
        <f>MAX(Z342,AA341)</f>
        <v/>
      </c>
      <c r="AB342" s="63">
        <f>MAX(AA342,AB341)</f>
        <v/>
      </c>
      <c r="AC342" s="63">
        <f>MAX(AB342,AC341)</f>
        <v/>
      </c>
      <c r="AD342" s="63">
        <f>MAX(AC342,AD341)</f>
        <v/>
      </c>
      <c r="AE342" s="63">
        <f>MAX(AD342,AE341)</f>
        <v/>
      </c>
    </row>
    <row r="343">
      <c r="A343" s="9" t="inlineStr">
        <is>
          <t>A RUNNING PEAK, so it never falls once reached - the business must be funded for the worst point it passes through, not for where it ends. IT INHERITS THE NET PROFIT CAVEAT: headcount, legal, security, corporate and tax are still absent from the cost base, so the deficit is an UNDERSTATEMENT and the real funding need is higher. The capital component is locked, not spent, and comes back.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12"/>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71" t="inlineStr">
        <is>
          <t>Y1</t>
        </is>
      </c>
      <c r="E4" s="71" t="inlineStr">
        <is>
          <t>Y2</t>
        </is>
      </c>
      <c r="F4" s="71" t="inlineStr">
        <is>
          <t>Y3</t>
        </is>
      </c>
      <c r="G4" s="71" t="inlineStr">
        <is>
          <t>Y4</t>
        </is>
      </c>
      <c r="H4" s="71" t="inlineStr">
        <is>
          <t>Y5</t>
        </is>
      </c>
      <c r="I4" s="71" t="inlineStr">
        <is>
          <t>Y6</t>
        </is>
      </c>
      <c r="J4" s="71"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7">
        <f>SUM(Model!C65:N65)</f>
        <v/>
      </c>
      <c r="E7" s="37">
        <f>SUM(Model!O65:Z65)</f>
        <v/>
      </c>
      <c r="F7" s="37">
        <f>Model!AA65</f>
        <v/>
      </c>
      <c r="G7" s="37">
        <f>Model!AB65</f>
        <v/>
      </c>
      <c r="H7" s="37">
        <f>Model!AC65</f>
        <v/>
      </c>
      <c r="I7" s="37">
        <f>Model!AD65</f>
        <v/>
      </c>
      <c r="J7" s="37">
        <f>Model!AE65</f>
        <v/>
      </c>
    </row>
    <row r="8">
      <c r="A8" s="6" t="inlineStr">
        <is>
          <t xml:space="preserve">  Oman and Bahrain</t>
        </is>
      </c>
      <c r="D8" s="37">
        <f>SUM(Model!C108:N108)</f>
        <v/>
      </c>
      <c r="E8" s="37">
        <f>SUM(Model!O108:Z108)</f>
        <v/>
      </c>
      <c r="F8" s="37">
        <f>Model!AA108</f>
        <v/>
      </c>
      <c r="G8" s="37">
        <f>Model!AB108</f>
        <v/>
      </c>
      <c r="H8" s="37">
        <f>Model!AC108</f>
        <v/>
      </c>
      <c r="I8" s="37">
        <f>Model!AD108</f>
        <v/>
      </c>
      <c r="J8" s="37">
        <f>Model!AE108</f>
        <v/>
      </c>
    </row>
    <row r="9">
      <c r="A9" s="6" t="inlineStr">
        <is>
          <t xml:space="preserve">  India</t>
        </is>
      </c>
      <c r="D9" s="37">
        <f>SUM(Model!C151:N151)</f>
        <v/>
      </c>
      <c r="E9" s="37">
        <f>SUM(Model!O151:Z151)</f>
        <v/>
      </c>
      <c r="F9" s="37">
        <f>Model!AA151</f>
        <v/>
      </c>
      <c r="G9" s="37">
        <f>Model!AB151</f>
        <v/>
      </c>
      <c r="H9" s="37">
        <f>Model!AC151</f>
        <v/>
      </c>
      <c r="I9" s="37">
        <f>Model!AD151</f>
        <v/>
      </c>
      <c r="J9" s="37">
        <f>Model!AE151</f>
        <v/>
      </c>
    </row>
    <row r="10">
      <c r="A10" s="6" t="inlineStr">
        <is>
          <t xml:space="preserve">  Non-regional: B2B platform fee</t>
        </is>
      </c>
      <c r="D10" s="37">
        <f>SUM(Model!C155:N155)</f>
        <v/>
      </c>
      <c r="E10" s="37">
        <f>SUM(Model!O155:Z155)</f>
        <v/>
      </c>
      <c r="F10" s="37">
        <f>Model!AA155</f>
        <v/>
      </c>
      <c r="G10" s="37">
        <f>Model!AB155</f>
        <v/>
      </c>
      <c r="H10" s="37">
        <f>Model!AC155</f>
        <v/>
      </c>
      <c r="I10" s="37">
        <f>Model!AD155</f>
        <v/>
      </c>
      <c r="J10" s="37">
        <f>Model!AE155</f>
        <v/>
      </c>
    </row>
    <row r="11">
      <c r="A11" s="3" t="inlineStr">
        <is>
          <t>TOTAL REVENUE</t>
        </is>
      </c>
      <c r="D11" s="72">
        <f>SUM(Model!C197:N197)</f>
        <v/>
      </c>
      <c r="E11" s="72">
        <f>SUM(Model!O197:Z197)</f>
        <v/>
      </c>
      <c r="F11" s="72">
        <f>Model!AA197</f>
        <v/>
      </c>
      <c r="G11" s="72">
        <f>Model!AB197</f>
        <v/>
      </c>
      <c r="H11" s="72">
        <f>Model!AC197</f>
        <v/>
      </c>
      <c r="I11" s="72">
        <f>Model!AD197</f>
        <v/>
      </c>
      <c r="J11" s="72">
        <f>Model!AE197</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7">
        <f>SUM(Model!C189:N189)</f>
        <v/>
      </c>
      <c r="E14" s="37">
        <f>SUM(Model!O189:Z189)</f>
        <v/>
      </c>
      <c r="F14" s="37">
        <f>Model!AA189</f>
        <v/>
      </c>
      <c r="G14" s="37">
        <f>Model!AB189</f>
        <v/>
      </c>
      <c r="H14" s="37">
        <f>Model!AC189</f>
        <v/>
      </c>
      <c r="I14" s="37">
        <f>Model!AD189</f>
        <v/>
      </c>
      <c r="J14" s="37">
        <f>Model!AE189</f>
        <v/>
      </c>
    </row>
    <row r="15">
      <c r="A15" s="6" t="inlineStr">
        <is>
          <t>Stream 1b: Entry fee - SPOT</t>
        </is>
      </c>
      <c r="D15" s="37">
        <f>SUM(Model!C190:N190)</f>
        <v/>
      </c>
      <c r="E15" s="37">
        <f>SUM(Model!O190:Z190)</f>
        <v/>
      </c>
      <c r="F15" s="37">
        <f>Model!AA190</f>
        <v/>
      </c>
      <c r="G15" s="37">
        <f>Model!AB190</f>
        <v/>
      </c>
      <c r="H15" s="37">
        <f>Model!AC190</f>
        <v/>
      </c>
      <c r="I15" s="37">
        <f>Model!AD190</f>
        <v/>
      </c>
      <c r="J15" s="37">
        <f>Model!AE190</f>
        <v/>
      </c>
    </row>
    <row r="16">
      <c r="A16" s="6" t="inlineStr">
        <is>
          <t>Stream 2: Card interchange</t>
        </is>
      </c>
      <c r="D16" s="37">
        <f>SUM(Model!C191:N191)</f>
        <v/>
      </c>
      <c r="E16" s="37">
        <f>SUM(Model!O191:Z191)</f>
        <v/>
      </c>
      <c r="F16" s="37">
        <f>Model!AA191</f>
        <v/>
      </c>
      <c r="G16" s="37">
        <f>Model!AB191</f>
        <v/>
      </c>
      <c r="H16" s="37">
        <f>Model!AC191</f>
        <v/>
      </c>
      <c r="I16" s="37">
        <f>Model!AD191</f>
        <v/>
      </c>
      <c r="J16" s="37">
        <f>Model!AE191</f>
        <v/>
      </c>
    </row>
    <row r="17">
      <c r="A17" s="6" t="inlineStr">
        <is>
          <t>Stream 3: Family plan and Digital Will</t>
        </is>
      </c>
      <c r="D17" s="37">
        <f>SUM(Model!C192:N192)</f>
        <v/>
      </c>
      <c r="E17" s="37">
        <f>SUM(Model!O192:Z192)</f>
        <v/>
      </c>
      <c r="F17" s="37">
        <f>Model!AA192</f>
        <v/>
      </c>
      <c r="G17" s="37">
        <f>Model!AB192</f>
        <v/>
      </c>
      <c r="H17" s="37">
        <f>Model!AC192</f>
        <v/>
      </c>
      <c r="I17" s="37">
        <f>Model!AD192</f>
        <v/>
      </c>
      <c r="J17" s="37">
        <f>Model!AE192</f>
        <v/>
      </c>
    </row>
    <row r="18">
      <c r="A18" s="6" t="inlineStr">
        <is>
          <t>Stream 4: Cardholder fees</t>
        </is>
      </c>
      <c r="D18" s="37">
        <f>SUM(Model!C193:N193)</f>
        <v/>
      </c>
      <c r="E18" s="37">
        <f>SUM(Model!O193:Z193)</f>
        <v/>
      </c>
      <c r="F18" s="37">
        <f>Model!AA193</f>
        <v/>
      </c>
      <c r="G18" s="37">
        <f>Model!AB193</f>
        <v/>
      </c>
      <c r="H18" s="37">
        <f>Model!AC193</f>
        <v/>
      </c>
      <c r="I18" s="37">
        <f>Model!AD193</f>
        <v/>
      </c>
      <c r="J18" s="37">
        <f>Model!AE193</f>
        <v/>
      </c>
    </row>
    <row r="19">
      <c r="A19" s="6" t="inlineStr">
        <is>
          <t>Stream 5: Lending revenue share</t>
        </is>
      </c>
      <c r="D19" s="37">
        <f>SUM(Model!C194:N194)</f>
        <v/>
      </c>
      <c r="E19" s="37">
        <f>SUM(Model!O194:Z194)</f>
        <v/>
      </c>
      <c r="F19" s="37">
        <f>Model!AA194</f>
        <v/>
      </c>
      <c r="G19" s="37">
        <f>Model!AB194</f>
        <v/>
      </c>
      <c r="H19" s="37">
        <f>Model!AC194</f>
        <v/>
      </c>
      <c r="I19" s="37">
        <f>Model!AD194</f>
        <v/>
      </c>
      <c r="J19" s="37">
        <f>Model!AE194</f>
        <v/>
      </c>
    </row>
    <row r="20">
      <c r="A20" s="6" t="inlineStr">
        <is>
          <t>Stream 6: B2B platform fee</t>
        </is>
      </c>
      <c r="D20" s="37">
        <f>SUM(Model!C155:N155)</f>
        <v/>
      </c>
      <c r="E20" s="37">
        <f>SUM(Model!O155:Z155)</f>
        <v/>
      </c>
      <c r="F20" s="37">
        <f>Model!AA155</f>
        <v/>
      </c>
      <c r="G20" s="37">
        <f>Model!AB155</f>
        <v/>
      </c>
      <c r="H20" s="37">
        <f>Model!AC155</f>
        <v/>
      </c>
      <c r="I20" s="37">
        <f>Model!AD155</f>
        <v/>
      </c>
      <c r="J20" s="37">
        <f>Model!AE155</f>
        <v/>
      </c>
    </row>
    <row r="21">
      <c r="A21" s="3" t="inlineStr">
        <is>
          <t>Total by stream (reconciles to the regional total above)</t>
        </is>
      </c>
      <c r="D21" s="72">
        <f>SUM(Model!C197:N197)</f>
        <v/>
      </c>
      <c r="E21" s="72">
        <f>SUM(Model!O197:Z197)</f>
        <v/>
      </c>
      <c r="F21" s="72">
        <f>Model!AA197</f>
        <v/>
      </c>
      <c r="G21" s="72">
        <f>Model!AB197</f>
        <v/>
      </c>
      <c r="H21" s="72">
        <f>Model!AC197</f>
        <v/>
      </c>
      <c r="I21" s="72">
        <f>Model!AD197</f>
        <v/>
      </c>
      <c r="J21" s="72">
        <f>Model!AE197</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73">
        <f>IF(D$11=0,0,D14/D$11)</f>
        <v/>
      </c>
      <c r="E24" s="73">
        <f>IF(E$11=0,0,E14/E$11)</f>
        <v/>
      </c>
      <c r="F24" s="73">
        <f>IF(F$11=0,0,F14/F$11)</f>
        <v/>
      </c>
      <c r="G24" s="73">
        <f>IF(G$11=0,0,G14/G$11)</f>
        <v/>
      </c>
      <c r="H24" s="73">
        <f>IF(H$11=0,0,H14/H$11)</f>
        <v/>
      </c>
      <c r="I24" s="73">
        <f>IF(I$11=0,0,I14/I$11)</f>
        <v/>
      </c>
      <c r="J24" s="73">
        <f>IF(J$11=0,0,J14/J$11)</f>
        <v/>
      </c>
    </row>
    <row r="25">
      <c r="A25" t="inlineStr">
        <is>
          <t>Stream 1b: Spot entry fee - share</t>
        </is>
      </c>
      <c r="D25" s="73">
        <f>IF(D$11=0,0,D15/D$11)</f>
        <v/>
      </c>
      <c r="E25" s="73">
        <f>IF(E$11=0,0,E15/E$11)</f>
        <v/>
      </c>
      <c r="F25" s="73">
        <f>IF(F$11=0,0,F15/F$11)</f>
        <v/>
      </c>
      <c r="G25" s="73">
        <f>IF(G$11=0,0,G15/G$11)</f>
        <v/>
      </c>
      <c r="H25" s="73">
        <f>IF(H$11=0,0,H15/H$11)</f>
        <v/>
      </c>
      <c r="I25" s="73">
        <f>IF(I$11=0,0,I15/I$11)</f>
        <v/>
      </c>
      <c r="J25" s="73">
        <f>IF(J$11=0,0,J15/J$11)</f>
        <v/>
      </c>
    </row>
    <row r="26">
      <c r="A26" t="inlineStr">
        <is>
          <t>Stream 2: Card interchange - share</t>
        </is>
      </c>
      <c r="D26" s="73">
        <f>IF(D$11=0,0,D16/D$11)</f>
        <v/>
      </c>
      <c r="E26" s="73">
        <f>IF(E$11=0,0,E16/E$11)</f>
        <v/>
      </c>
      <c r="F26" s="73">
        <f>IF(F$11=0,0,F16/F$11)</f>
        <v/>
      </c>
      <c r="G26" s="73">
        <f>IF(G$11=0,0,G16/G$11)</f>
        <v/>
      </c>
      <c r="H26" s="73">
        <f>IF(H$11=0,0,H16/H$11)</f>
        <v/>
      </c>
      <c r="I26" s="73">
        <f>IF(I$11=0,0,I16/I$11)</f>
        <v/>
      </c>
      <c r="J26" s="73">
        <f>IF(J$11=0,0,J16/J$11)</f>
        <v/>
      </c>
    </row>
    <row r="27">
      <c r="A27" t="inlineStr">
        <is>
          <t>Stream 3: Family and Will - share</t>
        </is>
      </c>
      <c r="D27" s="73">
        <f>IF(D$11=0,0,D17/D$11)</f>
        <v/>
      </c>
      <c r="E27" s="73">
        <f>IF(E$11=0,0,E17/E$11)</f>
        <v/>
      </c>
      <c r="F27" s="73">
        <f>IF(F$11=0,0,F17/F$11)</f>
        <v/>
      </c>
      <c r="G27" s="73">
        <f>IF(G$11=0,0,G17/G$11)</f>
        <v/>
      </c>
      <c r="H27" s="73">
        <f>IF(H$11=0,0,H17/H$11)</f>
        <v/>
      </c>
      <c r="I27" s="73">
        <f>IF(I$11=0,0,I17/I$11)</f>
        <v/>
      </c>
      <c r="J27" s="73">
        <f>IF(J$11=0,0,J17/J$11)</f>
        <v/>
      </c>
    </row>
    <row r="28">
      <c r="A28" t="inlineStr">
        <is>
          <t>Stream 4: Cardholder fees - share</t>
        </is>
      </c>
      <c r="D28" s="73">
        <f>IF(D$11=0,0,D18/D$11)</f>
        <v/>
      </c>
      <c r="E28" s="73">
        <f>IF(E$11=0,0,E18/E$11)</f>
        <v/>
      </c>
      <c r="F28" s="73">
        <f>IF(F$11=0,0,F18/F$11)</f>
        <v/>
      </c>
      <c r="G28" s="73">
        <f>IF(G$11=0,0,G18/G$11)</f>
        <v/>
      </c>
      <c r="H28" s="73">
        <f>IF(H$11=0,0,H18/H$11)</f>
        <v/>
      </c>
      <c r="I28" s="73">
        <f>IF(I$11=0,0,I18/I$11)</f>
        <v/>
      </c>
      <c r="J28" s="73">
        <f>IF(J$11=0,0,J18/J$11)</f>
        <v/>
      </c>
    </row>
    <row r="29">
      <c r="A29" t="inlineStr">
        <is>
          <t>Stream 5: Lending - share</t>
        </is>
      </c>
      <c r="D29" s="73">
        <f>IF(D$11=0,0,D19/D$11)</f>
        <v/>
      </c>
      <c r="E29" s="73">
        <f>IF(E$11=0,0,E19/E$11)</f>
        <v/>
      </c>
      <c r="F29" s="73">
        <f>IF(F$11=0,0,F19/F$11)</f>
        <v/>
      </c>
      <c r="G29" s="73">
        <f>IF(G$11=0,0,G19/G$11)</f>
        <v/>
      </c>
      <c r="H29" s="73">
        <f>IF(H$11=0,0,H19/H$11)</f>
        <v/>
      </c>
      <c r="I29" s="73">
        <f>IF(I$11=0,0,I19/I$11)</f>
        <v/>
      </c>
      <c r="J29" s="73">
        <f>IF(J$11=0,0,J19/J$11)</f>
        <v/>
      </c>
    </row>
    <row r="30">
      <c r="A30" t="inlineStr">
        <is>
          <t>Stream 6: B2B platform - share</t>
        </is>
      </c>
      <c r="D30" s="73">
        <f>IF(D$11=0,0,D20/D$11)</f>
        <v/>
      </c>
      <c r="E30" s="73">
        <f>IF(E$11=0,0,E20/E$11)</f>
        <v/>
      </c>
      <c r="F30" s="73">
        <f>IF(F$11=0,0,F20/F$11)</f>
        <v/>
      </c>
      <c r="G30" s="73">
        <f>IF(G$11=0,0,G20/G$11)</f>
        <v/>
      </c>
      <c r="H30" s="73">
        <f>IF(H$11=0,0,H20/H$11)</f>
        <v/>
      </c>
      <c r="I30" s="73">
        <f>IF(I$11=0,0,I20/I$11)</f>
        <v/>
      </c>
      <c r="J30" s="73">
        <f>IF(J$11=0,0,J20/J$11)</f>
        <v/>
      </c>
    </row>
    <row r="31">
      <c r="A31" s="3" t="inlineStr">
        <is>
          <t>CHECK: mix sums to 100%</t>
        </is>
      </c>
      <c r="D31" s="42">
        <f>SUM(D24:D30)</f>
        <v/>
      </c>
      <c r="E31" s="42">
        <f>SUM(E24:E30)</f>
        <v/>
      </c>
      <c r="F31" s="42">
        <f>SUM(F24:F30)</f>
        <v/>
      </c>
      <c r="G31" s="42">
        <f>SUM(G24:G30)</f>
        <v/>
      </c>
      <c r="H31" s="42">
        <f>SUM(H24:H30)</f>
        <v/>
      </c>
      <c r="I31" s="42">
        <f>SUM(I24:I30)</f>
        <v/>
      </c>
      <c r="J31" s="42">
        <f>SUM(J24:J30)</f>
        <v/>
      </c>
    </row>
    <row r="33" ht="18" customHeight="1">
      <c r="A33" s="12" t="inlineStr">
        <is>
          <t>COST BASE</t>
        </is>
      </c>
      <c r="B33" s="13" t="n"/>
      <c r="C33" s="13" t="n"/>
      <c r="D33" s="13" t="n"/>
      <c r="E33" s="13" t="n"/>
      <c r="F33" s="13" t="n"/>
      <c r="G33" s="13" t="n"/>
      <c r="H33" s="13" t="n"/>
      <c r="I33" s="13" t="n"/>
      <c r="J33" s="13" t="n"/>
      <c r="K33" s="13" t="n"/>
    </row>
    <row r="34">
      <c r="A34" s="6" t="inlineStr">
        <is>
          <t xml:space="preserve">  Net new grams fabricated</t>
        </is>
      </c>
      <c r="D34" s="34">
        <f>SUM(Model!C224:N224)</f>
        <v/>
      </c>
      <c r="E34" s="34">
        <f>SUM(Model!O224:Z224)</f>
        <v/>
      </c>
      <c r="F34" s="34">
        <f>Model!AA224</f>
        <v/>
      </c>
      <c r="G34" s="34">
        <f>Model!AB224</f>
        <v/>
      </c>
      <c r="H34" s="34">
        <f>Model!AC224</f>
        <v/>
      </c>
      <c r="I34" s="34">
        <f>Model!AD224</f>
        <v/>
      </c>
      <c r="J34" s="34">
        <f>Model!AE224</f>
        <v/>
      </c>
    </row>
    <row r="35">
      <c r="A35" s="6" t="inlineStr">
        <is>
          <t xml:space="preserve">  Fabrication premium paid to the dealer</t>
        </is>
      </c>
      <c r="D35" s="37">
        <f>SUM(Model!C225:N225)</f>
        <v/>
      </c>
      <c r="E35" s="37">
        <f>SUM(Model!O225:Z225)</f>
        <v/>
      </c>
      <c r="F35" s="37">
        <f>Model!AA225</f>
        <v/>
      </c>
      <c r="G35" s="37">
        <f>Model!AB225</f>
        <v/>
      </c>
      <c r="H35" s="37">
        <f>Model!AC225</f>
        <v/>
      </c>
      <c r="I35" s="37">
        <f>Model!AD225</f>
        <v/>
      </c>
      <c r="J35" s="37">
        <f>Model!AE225</f>
        <v/>
      </c>
    </row>
    <row r="36">
      <c r="A36" s="3" t="inlineStr">
        <is>
          <t>TOTAL COST OF GOODS SOLD</t>
        </is>
      </c>
      <c r="D36" s="72">
        <f>SUM(Model!C228:N228)</f>
        <v/>
      </c>
      <c r="E36" s="72">
        <f>SUM(Model!O228:Z228)</f>
        <v/>
      </c>
      <c r="F36" s="72">
        <f>Model!AA228</f>
        <v/>
      </c>
      <c r="G36" s="72">
        <f>Model!AB228</f>
        <v/>
      </c>
      <c r="H36" s="72">
        <f>Model!AC228</f>
        <v/>
      </c>
      <c r="I36" s="72">
        <f>Model!AD228</f>
        <v/>
      </c>
      <c r="J36" s="72">
        <f>Model!AE228</f>
        <v/>
      </c>
    </row>
    <row r="37">
      <c r="A37" s="6" t="inlineStr">
        <is>
          <t xml:space="preserve">  Vault storage</t>
        </is>
      </c>
      <c r="D37" s="37">
        <f>SUM(Model!C233:N233)</f>
        <v/>
      </c>
      <c r="E37" s="37">
        <f>SUM(Model!O233:Z233)</f>
        <v/>
      </c>
      <c r="F37" s="37">
        <f>Model!AA233</f>
        <v/>
      </c>
      <c r="G37" s="37">
        <f>Model!AB233</f>
        <v/>
      </c>
      <c r="H37" s="37">
        <f>Model!AC233</f>
        <v/>
      </c>
      <c r="I37" s="37">
        <f>Model!AD233</f>
        <v/>
      </c>
      <c r="J37" s="37">
        <f>Model!AE233</f>
        <v/>
      </c>
    </row>
    <row r="38">
      <c r="A38" s="6" t="inlineStr">
        <is>
          <t xml:space="preserve">    ...effective rate on metal held</t>
        </is>
      </c>
      <c r="D38" s="38">
        <f>Model!N235</f>
        <v/>
      </c>
      <c r="E38" s="38">
        <f>Model!Z235</f>
        <v/>
      </c>
      <c r="F38" s="38">
        <f>Model!AA235</f>
        <v/>
      </c>
      <c r="G38" s="38">
        <f>Model!AB235</f>
        <v/>
      </c>
      <c r="H38" s="38">
        <f>Model!AC235</f>
        <v/>
      </c>
      <c r="I38" s="38">
        <f>Model!AD235</f>
        <v/>
      </c>
      <c r="J38" s="38">
        <f>Model!AE235</f>
        <v/>
      </c>
    </row>
    <row r="39">
      <c r="A39" s="6" t="inlineStr">
        <is>
          <t xml:space="preserve">  VARA annual supervision</t>
        </is>
      </c>
      <c r="D39" s="37">
        <f>SUM(Model!C236:N236)</f>
        <v/>
      </c>
      <c r="E39" s="37">
        <f>SUM(Model!O236:Z236)</f>
        <v/>
      </c>
      <c r="F39" s="37">
        <f>Model!AA236</f>
        <v/>
      </c>
      <c r="G39" s="37">
        <f>Model!AB236</f>
        <v/>
      </c>
      <c r="H39" s="37">
        <f>Model!AC236</f>
        <v/>
      </c>
      <c r="I39" s="37">
        <f>Model!AD236</f>
        <v/>
      </c>
      <c r="J39" s="37">
        <f>Model!AE236</f>
        <v/>
      </c>
    </row>
    <row r="40">
      <c r="A40" s="6" t="inlineStr">
        <is>
          <t xml:space="preserve">  DMCC company licence</t>
        </is>
      </c>
      <c r="D40" s="37">
        <f>SUM(Model!C238:N238)</f>
        <v/>
      </c>
      <c r="E40" s="37">
        <f>SUM(Model!O238:Z238)</f>
        <v/>
      </c>
      <c r="F40" s="37">
        <f>Model!AA238</f>
        <v/>
      </c>
      <c r="G40" s="37">
        <f>Model!AB238</f>
        <v/>
      </c>
      <c r="H40" s="37">
        <f>Model!AC238</f>
        <v/>
      </c>
      <c r="I40" s="37">
        <f>Model!AD238</f>
        <v/>
      </c>
      <c r="J40" s="37">
        <f>Model!AE238</f>
        <v/>
      </c>
    </row>
    <row r="41">
      <c r="A41" s="6" t="inlineStr">
        <is>
          <t xml:space="preserve">  KYC and AML verification</t>
        </is>
      </c>
      <c r="D41" s="37">
        <f>SUM(Model!C239:N239)</f>
        <v/>
      </c>
      <c r="E41" s="37">
        <f>SUM(Model!O239:Z239)</f>
        <v/>
      </c>
      <c r="F41" s="37">
        <f>Model!AA239</f>
        <v/>
      </c>
      <c r="G41" s="37">
        <f>Model!AB239</f>
        <v/>
      </c>
      <c r="H41" s="37">
        <f>Model!AC239</f>
        <v/>
      </c>
      <c r="I41" s="37">
        <f>Model!AD239</f>
        <v/>
      </c>
      <c r="J41" s="37">
        <f>Model!AE239</f>
        <v/>
      </c>
    </row>
    <row r="42">
      <c r="A42" s="6" t="inlineStr">
        <is>
          <t xml:space="preserve">  Insurance (PI, D&amp;O, crime)</t>
        </is>
      </c>
      <c r="D42" s="37">
        <f>SUM(Model!C243:N243)</f>
        <v/>
      </c>
      <c r="E42" s="37">
        <f>SUM(Model!O243:Z243)</f>
        <v/>
      </c>
      <c r="F42" s="37">
        <f>Model!AA243</f>
        <v/>
      </c>
      <c r="G42" s="37">
        <f>Model!AB243</f>
        <v/>
      </c>
      <c r="H42" s="37">
        <f>Model!AC243</f>
        <v/>
      </c>
      <c r="I42" s="37">
        <f>Model!AD243</f>
        <v/>
      </c>
      <c r="J42" s="37">
        <f>Model!AE243</f>
        <v/>
      </c>
    </row>
    <row r="43">
      <c r="A43" s="6" t="inlineStr">
        <is>
          <t xml:space="preserve">  Audit and reserve attestation</t>
        </is>
      </c>
      <c r="D43" s="37">
        <f>SUM(Model!C245:N245)</f>
        <v/>
      </c>
      <c r="E43" s="37">
        <f>SUM(Model!O245:Z245)</f>
        <v/>
      </c>
      <c r="F43" s="37">
        <f>Model!AA245</f>
        <v/>
      </c>
      <c r="G43" s="37">
        <f>Model!AB245</f>
        <v/>
      </c>
      <c r="H43" s="37">
        <f>Model!AC245</f>
        <v/>
      </c>
      <c r="I43" s="37">
        <f>Model!AD245</f>
        <v/>
      </c>
      <c r="J43" s="37">
        <f>Model!AE245</f>
        <v/>
      </c>
    </row>
    <row r="44">
      <c r="A44" s="6" t="inlineStr">
        <is>
          <t xml:space="preserve">  Technology audit and penetration testing</t>
        </is>
      </c>
      <c r="D44" s="37">
        <f>SUM(Model!C247:N247)</f>
        <v/>
      </c>
      <c r="E44" s="37">
        <f>SUM(Model!O247:Z247)</f>
        <v/>
      </c>
      <c r="F44" s="37">
        <f>Model!AA247</f>
        <v/>
      </c>
      <c r="G44" s="37">
        <f>Model!AB247</f>
        <v/>
      </c>
      <c r="H44" s="37">
        <f>Model!AC247</f>
        <v/>
      </c>
      <c r="I44" s="37">
        <f>Model!AD247</f>
        <v/>
      </c>
      <c r="J44" s="37">
        <f>Model!AE247</f>
        <v/>
      </c>
    </row>
    <row r="45">
      <c r="A45" s="6" t="inlineStr">
        <is>
          <t xml:space="preserve">  Redemption handling</t>
        </is>
      </c>
      <c r="D45" s="37">
        <f>SUM(Model!C249:N249)</f>
        <v/>
      </c>
      <c r="E45" s="37">
        <f>SUM(Model!O249:Z249)</f>
        <v/>
      </c>
      <c r="F45" s="37">
        <f>Model!AA249</f>
        <v/>
      </c>
      <c r="G45" s="37">
        <f>Model!AB249</f>
        <v/>
      </c>
      <c r="H45" s="37">
        <f>Model!AC249</f>
        <v/>
      </c>
      <c r="I45" s="37">
        <f>Model!AD249</f>
        <v/>
      </c>
      <c r="J45" s="37">
        <f>Model!AE249</f>
        <v/>
      </c>
    </row>
    <row r="46">
      <c r="A46" s="6" t="inlineStr">
        <is>
          <t xml:space="preserve">  Technology build (Y1-Y2)</t>
        </is>
      </c>
      <c r="D46" s="37">
        <f>SUM(Model!C251:N251)</f>
        <v/>
      </c>
      <c r="E46" s="37">
        <f>SUM(Model!O251:Z251)</f>
        <v/>
      </c>
      <c r="F46" s="37">
        <f>Model!AA251</f>
        <v/>
      </c>
      <c r="G46" s="37">
        <f>Model!AB251</f>
        <v/>
      </c>
      <c r="H46" s="37">
        <f>Model!AC251</f>
        <v/>
      </c>
      <c r="I46" s="37">
        <f>Model!AD251</f>
        <v/>
      </c>
      <c r="J46" s="37">
        <f>Model!AE251</f>
        <v/>
      </c>
    </row>
    <row r="47">
      <c r="A47" s="6" t="inlineStr">
        <is>
          <t xml:space="preserve">  Technology maintenance (Y3+)</t>
        </is>
      </c>
      <c r="D47" s="37">
        <f>SUM(Model!C253:N253)</f>
        <v/>
      </c>
      <c r="E47" s="37">
        <f>SUM(Model!O253:Z253)</f>
        <v/>
      </c>
      <c r="F47" s="37">
        <f>Model!AA253</f>
        <v/>
      </c>
      <c r="G47" s="37">
        <f>Model!AB253</f>
        <v/>
      </c>
      <c r="H47" s="37">
        <f>Model!AC253</f>
        <v/>
      </c>
      <c r="I47" s="37">
        <f>Model!AD253</f>
        <v/>
      </c>
      <c r="J47" s="37">
        <f>Model!AE253</f>
        <v/>
      </c>
    </row>
    <row r="48">
      <c r="A48" s="6" t="inlineStr">
        <is>
          <t xml:space="preserve">  One-off Year 1 (licence, incorporation, launch audit)</t>
        </is>
      </c>
      <c r="D48" s="37">
        <f>SUM(Model!C241:N241)</f>
        <v/>
      </c>
      <c r="E48" s="37">
        <f>SUM(Model!O241:Z241)</f>
        <v/>
      </c>
      <c r="F48" s="37">
        <f>Model!AA241</f>
        <v/>
      </c>
      <c r="G48" s="37">
        <f>Model!AB241</f>
        <v/>
      </c>
      <c r="H48" s="37">
        <f>Model!AC241</f>
        <v/>
      </c>
      <c r="I48" s="37">
        <f>Model!AD241</f>
        <v/>
      </c>
      <c r="J48" s="37">
        <f>Model!AE241</f>
        <v/>
      </c>
    </row>
    <row r="49">
      <c r="A49" s="3" t="inlineStr">
        <is>
          <t>TOTAL OPERATING EXPENSES</t>
        </is>
      </c>
      <c r="D49" s="72">
        <f>SUM(Model!C255:N255)</f>
        <v/>
      </c>
      <c r="E49" s="72">
        <f>SUM(Model!O255:Z255)</f>
        <v/>
      </c>
      <c r="F49" s="72">
        <f>Model!AA255</f>
        <v/>
      </c>
      <c r="G49" s="72">
        <f>Model!AB255</f>
        <v/>
      </c>
      <c r="H49" s="72">
        <f>Model!AC255</f>
        <v/>
      </c>
      <c r="I49" s="72">
        <f>Model!AD255</f>
        <v/>
      </c>
      <c r="J49" s="72">
        <f>Model!AE255</f>
        <v/>
      </c>
    </row>
    <row r="50">
      <c r="A50" s="6" t="inlineStr">
        <is>
          <t xml:space="preserve">  ICS - entry fee discount (SIP only)</t>
        </is>
      </c>
      <c r="D50" s="37">
        <f>SUM(Model!C260:N260)</f>
        <v/>
      </c>
      <c r="E50" s="37">
        <f>SUM(Model!O260:Z260)</f>
        <v/>
      </c>
      <c r="F50" s="37">
        <f>Model!AA260</f>
        <v/>
      </c>
      <c r="G50" s="37">
        <f>Model!AB260</f>
        <v/>
      </c>
      <c r="H50" s="37">
        <f>Model!AC260</f>
        <v/>
      </c>
      <c r="I50" s="37">
        <f>Model!AD260</f>
        <v/>
      </c>
      <c r="J50" s="37">
        <f>Model!AE260</f>
        <v/>
      </c>
    </row>
    <row r="51">
      <c r="A51" s="6" t="inlineStr">
        <is>
          <t xml:space="preserve">  ICS - card fee discounts</t>
        </is>
      </c>
      <c r="D51" s="37">
        <f>SUM(Model!C262:N262)</f>
        <v/>
      </c>
      <c r="E51" s="37">
        <f>SUM(Model!O262:Z262)</f>
        <v/>
      </c>
      <c r="F51" s="37">
        <f>Model!AA262</f>
        <v/>
      </c>
      <c r="G51" s="37">
        <f>Model!AB262</f>
        <v/>
      </c>
      <c r="H51" s="37">
        <f>Model!AC262</f>
        <v/>
      </c>
      <c r="I51" s="37">
        <f>Model!AD262</f>
        <v/>
      </c>
      <c r="J51" s="37">
        <f>Model!AE262</f>
        <v/>
      </c>
    </row>
    <row r="52">
      <c r="A52" s="6" t="inlineStr">
        <is>
          <t xml:space="preserve">  ICS - gold rebate</t>
        </is>
      </c>
      <c r="D52" s="37">
        <f>SUM(Model!C263:N263)</f>
        <v/>
      </c>
      <c r="E52" s="37">
        <f>SUM(Model!O263:Z263)</f>
        <v/>
      </c>
      <c r="F52" s="37">
        <f>Model!AA263</f>
        <v/>
      </c>
      <c r="G52" s="37">
        <f>Model!AB263</f>
        <v/>
      </c>
      <c r="H52" s="37">
        <f>Model!AC263</f>
        <v/>
      </c>
      <c r="I52" s="37">
        <f>Model!AD263</f>
        <v/>
      </c>
      <c r="J52" s="37">
        <f>Model!AE263</f>
        <v/>
      </c>
    </row>
    <row r="53">
      <c r="A53" s="6" t="inlineStr">
        <is>
          <t xml:space="preserve">  ICS - family wallet and will</t>
        </is>
      </c>
      <c r="D53" s="37">
        <f>SUM(Model!C266:N266)</f>
        <v/>
      </c>
      <c r="E53" s="37">
        <f>SUM(Model!O266:Z266)</f>
        <v/>
      </c>
      <c r="F53" s="37">
        <f>Model!AA266</f>
        <v/>
      </c>
      <c r="G53" s="37">
        <f>Model!AB266</f>
        <v/>
      </c>
      <c r="H53" s="37">
        <f>Model!AC266</f>
        <v/>
      </c>
      <c r="I53" s="37">
        <f>Model!AD266</f>
        <v/>
      </c>
      <c r="J53" s="37">
        <f>Model!AE266</f>
        <v/>
      </c>
    </row>
    <row r="54">
      <c r="A54" s="3" t="inlineStr">
        <is>
          <t>TOTAL ICS BENEFIT COSTS</t>
        </is>
      </c>
      <c r="D54" s="72">
        <f>SUM(Model!C267:N267)</f>
        <v/>
      </c>
      <c r="E54" s="72">
        <f>SUM(Model!O267:Z267)</f>
        <v/>
      </c>
      <c r="F54" s="72">
        <f>Model!AA267</f>
        <v/>
      </c>
      <c r="G54" s="72">
        <f>Model!AB267</f>
        <v/>
      </c>
      <c r="H54" s="72">
        <f>Model!AC267</f>
        <v/>
      </c>
      <c r="I54" s="72">
        <f>Model!AD267</f>
        <v/>
      </c>
      <c r="J54" s="72">
        <f>Model!AE267</f>
        <v/>
      </c>
    </row>
    <row r="55">
      <c r="A55" s="6" t="inlineStr">
        <is>
          <t xml:space="preserve">  Marketing spend</t>
        </is>
      </c>
      <c r="D55" s="37">
        <f>SUM(Model!C272:N272)</f>
        <v/>
      </c>
      <c r="E55" s="37">
        <f>SUM(Model!O272:Z272)</f>
        <v/>
      </c>
      <c r="F55" s="37">
        <f>Model!AA272</f>
        <v/>
      </c>
      <c r="G55" s="37">
        <f>Model!AB272</f>
        <v/>
      </c>
      <c r="H55" s="37">
        <f>Model!AC272</f>
        <v/>
      </c>
      <c r="I55" s="37">
        <f>Model!AD272</f>
        <v/>
      </c>
      <c r="J55" s="37">
        <f>Model!AE272</f>
        <v/>
      </c>
    </row>
    <row r="56">
      <c r="A56" s="6" t="inlineStr">
        <is>
          <t xml:space="preserve">  Agent commission</t>
        </is>
      </c>
      <c r="D56" s="37">
        <f>SUM(Model!C277:N277)</f>
        <v/>
      </c>
      <c r="E56" s="37">
        <f>SUM(Model!O277:Z277)</f>
        <v/>
      </c>
      <c r="F56" s="37">
        <f>Model!AA277</f>
        <v/>
      </c>
      <c r="G56" s="37">
        <f>Model!AB277</f>
        <v/>
      </c>
      <c r="H56" s="37">
        <f>Model!AC277</f>
        <v/>
      </c>
      <c r="I56" s="37">
        <f>Model!AD277</f>
        <v/>
      </c>
      <c r="J56" s="37">
        <f>Model!AE277</f>
        <v/>
      </c>
    </row>
    <row r="57">
      <c r="A57" s="6" t="inlineStr">
        <is>
          <t xml:space="preserve">  Referral rewards</t>
        </is>
      </c>
      <c r="D57" s="37">
        <f>SUM(Model!C280:N280)</f>
        <v/>
      </c>
      <c r="E57" s="37">
        <f>SUM(Model!O280:Z280)</f>
        <v/>
      </c>
      <c r="F57" s="37">
        <f>Model!AA280</f>
        <v/>
      </c>
      <c r="G57" s="37">
        <f>Model!AB280</f>
        <v/>
      </c>
      <c r="H57" s="37">
        <f>Model!AC280</f>
        <v/>
      </c>
      <c r="I57" s="37">
        <f>Model!AD280</f>
        <v/>
      </c>
      <c r="J57" s="37">
        <f>Model!AE280</f>
        <v/>
      </c>
    </row>
    <row r="58">
      <c r="A58" s="3" t="inlineStr">
        <is>
          <t>TOTAL ACQUISITION COSTS</t>
        </is>
      </c>
      <c r="D58" s="72">
        <f>SUM(Model!C282:N282)</f>
        <v/>
      </c>
      <c r="E58" s="72">
        <f>SUM(Model!O282:Z282)</f>
        <v/>
      </c>
      <c r="F58" s="72">
        <f>Model!AA282</f>
        <v/>
      </c>
      <c r="G58" s="72">
        <f>Model!AB282</f>
        <v/>
      </c>
      <c r="H58" s="72">
        <f>Model!AC282</f>
        <v/>
      </c>
      <c r="I58" s="72">
        <f>Model!AD282</f>
        <v/>
      </c>
      <c r="J58" s="72">
        <f>Model!AE282</f>
        <v/>
      </c>
    </row>
    <row r="59">
      <c r="A59" s="6" t="inlineStr">
        <is>
          <t xml:space="preserve">  Card - NymCard platform and scheme fees</t>
        </is>
      </c>
      <c r="D59" s="37">
        <f>SUM(Model!C289:N289)</f>
        <v/>
      </c>
      <c r="E59" s="37">
        <f>SUM(Model!O289:Z289)</f>
        <v/>
      </c>
      <c r="F59" s="37">
        <f>Model!AA289</f>
        <v/>
      </c>
      <c r="G59" s="37">
        <f>Model!AB289</f>
        <v/>
      </c>
      <c r="H59" s="37">
        <f>Model!AC289</f>
        <v/>
      </c>
      <c r="I59" s="37">
        <f>Model!AD289</f>
        <v/>
      </c>
      <c r="J59" s="37">
        <f>Model!AE289</f>
        <v/>
      </c>
    </row>
    <row r="60">
      <c r="A60" s="6" t="inlineStr">
        <is>
          <t xml:space="preserve">  Card - programme setup</t>
        </is>
      </c>
      <c r="D60" s="37">
        <f>SUM(Model!C291:N291)</f>
        <v/>
      </c>
      <c r="E60" s="37">
        <f>SUM(Model!O291:Z291)</f>
        <v/>
      </c>
      <c r="F60" s="37">
        <f>Model!AA291</f>
        <v/>
      </c>
      <c r="G60" s="37">
        <f>Model!AB291</f>
        <v/>
      </c>
      <c r="H60" s="37">
        <f>Model!AC291</f>
        <v/>
      </c>
      <c r="I60" s="37">
        <f>Model!AD291</f>
        <v/>
      </c>
      <c r="J60" s="37">
        <f>Model!AE291</f>
        <v/>
      </c>
    </row>
    <row r="61">
      <c r="A61" s="6" t="inlineStr">
        <is>
          <t xml:space="preserve">  Card - production and delivery</t>
        </is>
      </c>
      <c r="D61" s="37">
        <f>SUM(Model!C292:N292)</f>
        <v/>
      </c>
      <c r="E61" s="37">
        <f>SUM(Model!O292:Z292)</f>
        <v/>
      </c>
      <c r="F61" s="37">
        <f>Model!AA292</f>
        <v/>
      </c>
      <c r="G61" s="37">
        <f>Model!AB292</f>
        <v/>
      </c>
      <c r="H61" s="37">
        <f>Model!AC292</f>
        <v/>
      </c>
      <c r="I61" s="37">
        <f>Model!AD292</f>
        <v/>
      </c>
      <c r="J61" s="37">
        <f>Model!AE292</f>
        <v/>
      </c>
    </row>
    <row r="62">
      <c r="A62" s="6" t="inlineStr">
        <is>
          <t xml:space="preserve">  Card - authorisation and switching</t>
        </is>
      </c>
      <c r="D62" s="37">
        <f>SUM(Model!C293:N293)</f>
        <v/>
      </c>
      <c r="E62" s="37">
        <f>SUM(Model!O293:Z293)</f>
        <v/>
      </c>
      <c r="F62" s="37">
        <f>Model!AA293</f>
        <v/>
      </c>
      <c r="G62" s="37">
        <f>Model!AB293</f>
        <v/>
      </c>
      <c r="H62" s="37">
        <f>Model!AC293</f>
        <v/>
      </c>
      <c r="I62" s="37">
        <f>Model!AD293</f>
        <v/>
      </c>
      <c r="J62" s="37">
        <f>Model!AE293</f>
        <v/>
      </c>
    </row>
    <row r="63">
      <c r="A63" s="6" t="inlineStr">
        <is>
          <t xml:space="preserve">  Card - fraud and chargebacks</t>
        </is>
      </c>
      <c r="D63" s="37">
        <f>SUM(Model!C294:N294)</f>
        <v/>
      </c>
      <c r="E63" s="37">
        <f>SUM(Model!O294:Z294)</f>
        <v/>
      </c>
      <c r="F63" s="37">
        <f>Model!AA294</f>
        <v/>
      </c>
      <c r="G63" s="37">
        <f>Model!AB294</f>
        <v/>
      </c>
      <c r="H63" s="37">
        <f>Model!AC294</f>
        <v/>
      </c>
      <c r="I63" s="37">
        <f>Model!AD294</f>
        <v/>
      </c>
      <c r="J63" s="37">
        <f>Model!AE294</f>
        <v/>
      </c>
    </row>
    <row r="64">
      <c r="A64" s="6" t="inlineStr">
        <is>
          <t xml:space="preserve">  Card - cross-border scheme assessment</t>
        </is>
      </c>
      <c r="D64" s="37">
        <f>SUM(Model!C296:N296)</f>
        <v/>
      </c>
      <c r="E64" s="37">
        <f>SUM(Model!O296:Z296)</f>
        <v/>
      </c>
      <c r="F64" s="37">
        <f>Model!AA296</f>
        <v/>
      </c>
      <c r="G64" s="37">
        <f>Model!AB296</f>
        <v/>
      </c>
      <c r="H64" s="37">
        <f>Model!AC296</f>
        <v/>
      </c>
      <c r="I64" s="37">
        <f>Model!AD296</f>
        <v/>
      </c>
      <c r="J64" s="37">
        <f>Model!AE296</f>
        <v/>
      </c>
    </row>
    <row r="65">
      <c r="A65" s="3" t="inlineStr">
        <is>
          <t>TOTAL CARD PROGRAMME COSTS</t>
        </is>
      </c>
      <c r="D65" s="72">
        <f>SUM(Model!C298:N298)</f>
        <v/>
      </c>
      <c r="E65" s="72">
        <f>SUM(Model!O298:Z298)</f>
        <v/>
      </c>
      <c r="F65" s="72">
        <f>Model!AA298</f>
        <v/>
      </c>
      <c r="G65" s="72">
        <f>Model!AB298</f>
        <v/>
      </c>
      <c r="H65" s="72">
        <f>Model!AC298</f>
        <v/>
      </c>
      <c r="I65" s="72">
        <f>Model!AD298</f>
        <v/>
      </c>
      <c r="J65" s="72">
        <f>Model!AE298</f>
        <v/>
      </c>
    </row>
    <row r="66">
      <c r="A66" s="6" t="inlineStr">
        <is>
          <t xml:space="preserve">    Card cost as % of card revenue</t>
        </is>
      </c>
      <c r="D66" s="35">
        <f>Model!N299</f>
        <v/>
      </c>
      <c r="E66" s="35">
        <f>Model!Z299</f>
        <v/>
      </c>
      <c r="F66" s="35">
        <f>Model!AA299</f>
        <v/>
      </c>
      <c r="G66" s="35">
        <f>Model!AB299</f>
        <v/>
      </c>
      <c r="H66" s="35">
        <f>Model!AC299</f>
        <v/>
      </c>
      <c r="I66" s="35">
        <f>Model!AD299</f>
        <v/>
      </c>
      <c r="J66" s="35">
        <f>Model!AE299</f>
        <v/>
      </c>
    </row>
    <row r="67">
      <c r="A67" s="6" t="inlineStr">
        <is>
          <t xml:space="preserve">    Blended cost per new customer</t>
        </is>
      </c>
      <c r="D67" s="39">
        <f>Model!N283</f>
        <v/>
      </c>
      <c r="E67" s="39">
        <f>Model!Z283</f>
        <v/>
      </c>
      <c r="F67" s="39">
        <f>Model!AA283</f>
        <v/>
      </c>
      <c r="G67" s="39">
        <f>Model!AB283</f>
        <v/>
      </c>
      <c r="H67" s="39">
        <f>Model!AC283</f>
        <v/>
      </c>
      <c r="I67" s="39">
        <f>Model!AD283</f>
        <v/>
      </c>
      <c r="J67" s="39">
        <f>Model!AE283</f>
        <v/>
      </c>
    </row>
    <row r="68">
      <c r="A68" s="6" t="inlineStr">
        <is>
          <t xml:space="preserve">  Sub-total - costs actually modelled</t>
        </is>
      </c>
      <c r="D68" s="37">
        <f>SUM(Model!C301:N301)</f>
        <v/>
      </c>
      <c r="E68" s="37">
        <f>SUM(Model!O301:Z301)</f>
        <v/>
      </c>
      <c r="F68" s="37">
        <f>Model!AA301</f>
        <v/>
      </c>
      <c r="G68" s="37">
        <f>Model!AB301</f>
        <v/>
      </c>
      <c r="H68" s="37">
        <f>Model!AC301</f>
        <v/>
      </c>
      <c r="I68" s="37">
        <f>Model!AD301</f>
        <v/>
      </c>
      <c r="J68" s="37">
        <f>Model!AE301</f>
        <v/>
      </c>
    </row>
    <row r="69">
      <c r="A69" s="6" t="inlineStr">
        <is>
          <t xml:space="preserve">  Contingency for families not yet built</t>
        </is>
      </c>
      <c r="D69" s="37">
        <f>SUM(Model!C302:N302)</f>
        <v/>
      </c>
      <c r="E69" s="37">
        <f>SUM(Model!O302:Z302)</f>
        <v/>
      </c>
      <c r="F69" s="37">
        <f>Model!AA302</f>
        <v/>
      </c>
      <c r="G69" s="37">
        <f>Model!AB302</f>
        <v/>
      </c>
      <c r="H69" s="37">
        <f>Model!AC302</f>
        <v/>
      </c>
      <c r="I69" s="37">
        <f>Model!AD302</f>
        <v/>
      </c>
      <c r="J69" s="37">
        <f>Model!AE302</f>
        <v/>
      </c>
    </row>
    <row r="70">
      <c r="A70" s="3" t="inlineStr">
        <is>
          <t>TOTAL COST BASE</t>
        </is>
      </c>
      <c r="D70" s="72">
        <f>SUM(Model!C304:N304)</f>
        <v/>
      </c>
      <c r="E70" s="72">
        <f>SUM(Model!O304:Z304)</f>
        <v/>
      </c>
      <c r="F70" s="72">
        <f>Model!AA304</f>
        <v/>
      </c>
      <c r="G70" s="72">
        <f>Model!AB304</f>
        <v/>
      </c>
      <c r="H70" s="72">
        <f>Model!AC304</f>
        <v/>
      </c>
      <c r="I70" s="72">
        <f>Model!AD304</f>
        <v/>
      </c>
      <c r="J70" s="72">
        <f>Model!AE304</f>
        <v/>
      </c>
    </row>
    <row r="72" ht="18" customHeight="1">
      <c r="A72" s="12" t="inlineStr">
        <is>
          <t>NET PROFIT (upper bound - headcount not yet in the cost base)</t>
        </is>
      </c>
      <c r="B72" s="13" t="n"/>
      <c r="C72" s="13" t="n"/>
      <c r="D72" s="13" t="n"/>
      <c r="E72" s="13" t="n"/>
      <c r="F72" s="13" t="n"/>
      <c r="G72" s="13" t="n"/>
      <c r="H72" s="13" t="n"/>
      <c r="I72" s="13" t="n"/>
      <c r="J72" s="13" t="n"/>
      <c r="K72" s="13" t="n"/>
    </row>
    <row r="73">
      <c r="A73" s="3" t="inlineStr">
        <is>
          <t>NET PROFIT</t>
        </is>
      </c>
      <c r="D73" s="72">
        <f>SUM(Model!C326:N326)</f>
        <v/>
      </c>
      <c r="E73" s="72">
        <f>SUM(Model!O326:Z326)</f>
        <v/>
      </c>
      <c r="F73" s="72">
        <f>Model!AA326</f>
        <v/>
      </c>
      <c r="G73" s="72">
        <f>Model!AB326</f>
        <v/>
      </c>
      <c r="H73" s="72">
        <f>Model!AC326</f>
        <v/>
      </c>
      <c r="I73" s="72">
        <f>Model!AD326</f>
        <v/>
      </c>
      <c r="J73" s="72">
        <f>Model!AE326</f>
        <v/>
      </c>
    </row>
    <row r="74">
      <c r="A74" s="6" t="inlineStr">
        <is>
          <t xml:space="preserve">  Net margin</t>
        </is>
      </c>
      <c r="D74" s="35">
        <f>Model!N328</f>
        <v/>
      </c>
      <c r="E74" s="35">
        <f>Model!Z328</f>
        <v/>
      </c>
      <c r="F74" s="35">
        <f>Model!AA328</f>
        <v/>
      </c>
      <c r="G74" s="35">
        <f>Model!AB328</f>
        <v/>
      </c>
      <c r="H74" s="35">
        <f>Model!AC328</f>
        <v/>
      </c>
      <c r="I74" s="35">
        <f>Model!AD328</f>
        <v/>
      </c>
      <c r="J74" s="35">
        <f>Model!AE328</f>
        <v/>
      </c>
    </row>
    <row r="75">
      <c r="A75" s="3" t="inlineStr">
        <is>
          <t>CUMULATIVE NET PROFIT</t>
        </is>
      </c>
      <c r="D75" s="72">
        <f>Model!N329</f>
        <v/>
      </c>
      <c r="E75" s="72">
        <f>Model!Z329</f>
        <v/>
      </c>
      <c r="F75" s="72">
        <f>Model!AA329</f>
        <v/>
      </c>
      <c r="G75" s="72">
        <f>Model!AB329</f>
        <v/>
      </c>
      <c r="H75" s="72">
        <f>Model!AC329</f>
        <v/>
      </c>
      <c r="I75" s="72">
        <f>Model!AD329</f>
        <v/>
      </c>
      <c r="J75" s="72">
        <f>Model!AE329</f>
        <v/>
      </c>
    </row>
    <row r="77" ht="18" customHeight="1">
      <c r="A77" s="12" t="inlineStr">
        <is>
          <t>UNIT ECONOMICS (derived - no new assumptions)</t>
        </is>
      </c>
      <c r="B77" s="13" t="n"/>
      <c r="C77" s="13" t="n"/>
      <c r="D77" s="13" t="n"/>
      <c r="E77" s="13" t="n"/>
      <c r="F77" s="13" t="n"/>
      <c r="G77" s="13" t="n"/>
      <c r="H77" s="13" t="n"/>
      <c r="I77" s="13" t="n"/>
      <c r="J77" s="13" t="n"/>
      <c r="K77" s="13" t="n"/>
    </row>
    <row r="78">
      <c r="A78" s="3" t="inlineStr">
        <is>
          <t>PROFIT BEFORE ACQUISITION COST</t>
        </is>
      </c>
      <c r="D78" s="72">
        <f>SUM(Model!C334:N334)</f>
        <v/>
      </c>
      <c r="E78" s="72">
        <f>SUM(Model!O334:Z334)</f>
        <v/>
      </c>
      <c r="F78" s="72">
        <f>Model!AA334</f>
        <v/>
      </c>
      <c r="G78" s="72">
        <f>Model!AB334</f>
        <v/>
      </c>
      <c r="H78" s="72">
        <f>Model!AC334</f>
        <v/>
      </c>
      <c r="I78" s="72">
        <f>Model!AD334</f>
        <v/>
      </c>
      <c r="J78" s="72">
        <f>Model!AE334</f>
        <v/>
      </c>
    </row>
    <row r="79">
      <c r="A79" s="6" t="inlineStr">
        <is>
          <t xml:space="preserve">  Contribution per paying customer (annualised)</t>
        </is>
      </c>
      <c r="D79" s="39">
        <f>Model!N336</f>
        <v/>
      </c>
      <c r="E79" s="39">
        <f>Model!Z336</f>
        <v/>
      </c>
      <c r="F79" s="39">
        <f>Model!AA336</f>
        <v/>
      </c>
      <c r="G79" s="39">
        <f>Model!AB336</f>
        <v/>
      </c>
      <c r="H79" s="39">
        <f>Model!AC336</f>
        <v/>
      </c>
      <c r="I79" s="39">
        <f>Model!AD336</f>
        <v/>
      </c>
      <c r="J79" s="39">
        <f>Model!AE336</f>
        <v/>
      </c>
    </row>
    <row r="80">
      <c r="A80" s="6" t="inlineStr">
        <is>
          <t xml:space="preserve">  Customers lost to holders</t>
        </is>
      </c>
      <c r="D80" s="34">
        <f>SUM(Model!C332:N332)</f>
        <v/>
      </c>
      <c r="E80" s="34">
        <f>SUM(Model!O332:Z332)</f>
        <v/>
      </c>
      <c r="F80" s="34">
        <f>Model!AA332</f>
        <v/>
      </c>
      <c r="G80" s="34">
        <f>Model!AB332</f>
        <v/>
      </c>
      <c r="H80" s="34">
        <f>Model!AC332</f>
        <v/>
      </c>
      <c r="I80" s="34">
        <f>Model!AD332</f>
        <v/>
      </c>
      <c r="J80" s="34">
        <f>Model!AE332</f>
        <v/>
      </c>
    </row>
    <row r="81">
      <c r="A81" s="6" t="inlineStr">
        <is>
          <t xml:space="preserve">  Blended CAC (repeated here so payback can be read)</t>
        </is>
      </c>
      <c r="D81" s="39">
        <f>Model!N283</f>
        <v/>
      </c>
      <c r="E81" s="39">
        <f>Model!Z283</f>
        <v/>
      </c>
      <c r="F81" s="39">
        <f>Model!AA283</f>
        <v/>
      </c>
      <c r="G81" s="39">
        <f>Model!AB283</f>
        <v/>
      </c>
      <c r="H81" s="39">
        <f>Model!AC283</f>
        <v/>
      </c>
      <c r="I81" s="39">
        <f>Model!AD283</f>
        <v/>
      </c>
      <c r="J81" s="39">
        <f>Model!AE283</f>
        <v/>
      </c>
    </row>
    <row r="82">
      <c r="A82" s="3" t="inlineStr">
        <is>
          <t>PAYBACK ON CONTRIBUTION (months)</t>
        </is>
      </c>
      <c r="D82" s="74">
        <f>Model!N337</f>
        <v/>
      </c>
      <c r="E82" s="74">
        <f>Model!Z337</f>
        <v/>
      </c>
      <c r="F82" s="74">
        <f>Model!AA337</f>
        <v/>
      </c>
      <c r="G82" s="74">
        <f>Model!AB337</f>
        <v/>
      </c>
      <c r="H82" s="74">
        <f>Model!AC337</f>
        <v/>
      </c>
      <c r="I82" s="74">
        <f>Model!AD337</f>
        <v/>
      </c>
      <c r="J82" s="74">
        <f>Model!AE337</f>
        <v/>
      </c>
    </row>
    <row r="83">
      <c r="A83" s="3" t="inlineStr">
        <is>
          <t>NEW CUSTOMERS ACQUIRED PER NET CUSTOMER ADDED</t>
        </is>
      </c>
      <c r="D83" s="74">
        <f>Model!N339</f>
        <v/>
      </c>
      <c r="E83" s="74">
        <f>Model!Z339</f>
        <v/>
      </c>
      <c r="F83" s="74">
        <f>Model!AA339</f>
        <v/>
      </c>
      <c r="G83" s="74">
        <f>Model!AB339</f>
        <v/>
      </c>
      <c r="H83" s="74">
        <f>Model!AC339</f>
        <v/>
      </c>
      <c r="I83" s="74">
        <f>Model!AD339</f>
        <v/>
      </c>
      <c r="J83" s="74">
        <f>Model!AE339</f>
        <v/>
      </c>
    </row>
    <row r="84">
      <c r="A84" s="3" t="inlineStr">
        <is>
          <t>PEAK FUNDING NEED (P&amp;L deficit + capital tied up)</t>
        </is>
      </c>
      <c r="D84" s="72">
        <f>Model!N342</f>
        <v/>
      </c>
      <c r="E84" s="72">
        <f>Model!Z342</f>
        <v/>
      </c>
      <c r="F84" s="72">
        <f>Model!AA342</f>
        <v/>
      </c>
      <c r="G84" s="72">
        <f>Model!AB342</f>
        <v/>
      </c>
      <c r="H84" s="72">
        <f>Model!AC342</f>
        <v/>
      </c>
      <c r="I84" s="72">
        <f>Model!AD342</f>
        <v/>
      </c>
      <c r="J84" s="72">
        <f>Model!AE342</f>
        <v/>
      </c>
    </row>
    <row r="86" ht="18" customHeight="1">
      <c r="A86" s="12" t="inlineStr">
        <is>
          <t>REGULATORY CAPITAL (locked, not spent)</t>
        </is>
      </c>
      <c r="B86" s="13" t="n"/>
      <c r="C86" s="13" t="n"/>
      <c r="D86" s="13" t="n"/>
      <c r="E86" s="13" t="n"/>
      <c r="F86" s="13" t="n"/>
      <c r="G86" s="13" t="n"/>
      <c r="H86" s="13" t="n"/>
      <c r="I86" s="13" t="n"/>
      <c r="J86" s="13" t="n"/>
      <c r="K86" s="13" t="n"/>
    </row>
    <row r="87">
      <c r="A87" s="6" t="inlineStr">
        <is>
          <t xml:space="preserve">  Paid-up capital - VA Issuance</t>
        </is>
      </c>
      <c r="D87" s="37">
        <f>Model!N311</f>
        <v/>
      </c>
      <c r="E87" s="37">
        <f>Model!Z311</f>
        <v/>
      </c>
      <c r="F87" s="37">
        <f>Model!AA311</f>
        <v/>
      </c>
      <c r="G87" s="37">
        <f>Model!AB311</f>
        <v/>
      </c>
      <c r="H87" s="37">
        <f>Model!AC311</f>
        <v/>
      </c>
      <c r="I87" s="37">
        <f>Model!AD311</f>
        <v/>
      </c>
      <c r="J87" s="37">
        <f>Model!AE311</f>
        <v/>
      </c>
    </row>
    <row r="88">
      <c r="A88" s="6" t="inlineStr">
        <is>
          <t xml:space="preserve">  Paid-up capital - licensed activities</t>
        </is>
      </c>
      <c r="D88" s="37">
        <f>Model!N313</f>
        <v/>
      </c>
      <c r="E88" s="37">
        <f>Model!Z313</f>
        <v/>
      </c>
      <c r="F88" s="37">
        <f>Model!AA313</f>
        <v/>
      </c>
      <c r="G88" s="37">
        <f>Model!AB313</f>
        <v/>
      </c>
      <c r="H88" s="37">
        <f>Model!AC313</f>
        <v/>
      </c>
      <c r="I88" s="37">
        <f>Model!AD313</f>
        <v/>
      </c>
      <c r="J88" s="37">
        <f>Model!AE313</f>
        <v/>
      </c>
    </row>
    <row r="89">
      <c r="A89" s="3" t="inlineStr">
        <is>
          <t>TOTAL PAID-UP CAPITAL REQUIRED</t>
        </is>
      </c>
      <c r="D89" s="72">
        <f>Model!N315</f>
        <v/>
      </c>
      <c r="E89" s="72">
        <f>Model!Z315</f>
        <v/>
      </c>
      <c r="F89" s="72">
        <f>Model!AA315</f>
        <v/>
      </c>
      <c r="G89" s="72">
        <f>Model!AB315</f>
        <v/>
      </c>
      <c r="H89" s="72">
        <f>Model!AC315</f>
        <v/>
      </c>
      <c r="I89" s="72">
        <f>Model!AD315</f>
        <v/>
      </c>
      <c r="J89" s="72">
        <f>Model!AE315</f>
        <v/>
      </c>
    </row>
    <row r="90">
      <c r="A90" s="6" t="inlineStr">
        <is>
          <t xml:space="preserve">  Net liquid assets required (separate test)</t>
        </is>
      </c>
      <c r="D90" s="37">
        <f>Model!N316</f>
        <v/>
      </c>
      <c r="E90" s="37">
        <f>Model!Z316</f>
        <v/>
      </c>
      <c r="F90" s="37">
        <f>Model!AA316</f>
        <v/>
      </c>
      <c r="G90" s="37">
        <f>Model!AB316</f>
        <v/>
      </c>
      <c r="H90" s="37">
        <f>Model!AC316</f>
        <v/>
      </c>
      <c r="I90" s="37">
        <f>Model!AD316</f>
        <v/>
      </c>
      <c r="J90" s="37">
        <f>Model!AE316</f>
        <v/>
      </c>
    </row>
    <row r="91">
      <c r="A91" s="6" t="inlineStr">
        <is>
          <t xml:space="preserve">  Card settlement prefunding</t>
        </is>
      </c>
      <c r="D91" s="37">
        <f>Model!N214</f>
        <v/>
      </c>
      <c r="E91" s="37">
        <f>Model!Z214</f>
        <v/>
      </c>
      <c r="F91" s="37">
        <f>Model!AA214</f>
        <v/>
      </c>
      <c r="G91" s="37">
        <f>Model!AB214</f>
        <v/>
      </c>
      <c r="H91" s="37">
        <f>Model!AC214</f>
        <v/>
      </c>
      <c r="I91" s="37">
        <f>Model!AD214</f>
        <v/>
      </c>
      <c r="J91" s="37">
        <f>Model!AE214</f>
        <v/>
      </c>
    </row>
    <row r="92">
      <c r="A92" s="3" t="inlineStr">
        <is>
          <t>TOTAL CAPITAL TIED UP (float + capital + prefunding)</t>
        </is>
      </c>
      <c r="D92" s="72">
        <f>Model!N319</f>
        <v/>
      </c>
      <c r="E92" s="72">
        <f>Model!Z319</f>
        <v/>
      </c>
      <c r="F92" s="72">
        <f>Model!AA319</f>
        <v/>
      </c>
      <c r="G92" s="72">
        <f>Model!AB319</f>
        <v/>
      </c>
      <c r="H92" s="72">
        <f>Model!AC319</f>
        <v/>
      </c>
      <c r="I92" s="72">
        <f>Model!AD319</f>
        <v/>
      </c>
      <c r="J92" s="72">
        <f>Model!AE319</f>
        <v/>
      </c>
    </row>
    <row r="94" ht="18" customHeight="1">
      <c r="A94" s="12" t="inlineStr">
        <is>
          <t>WORKING CAPITAL - THE FLOAT (not a cost)</t>
        </is>
      </c>
      <c r="B94" s="13" t="n"/>
      <c r="C94" s="13" t="n"/>
      <c r="D94" s="13" t="n"/>
      <c r="E94" s="13" t="n"/>
      <c r="F94" s="13" t="n"/>
      <c r="G94" s="13" t="n"/>
      <c r="H94" s="13" t="n"/>
      <c r="I94" s="13" t="n"/>
      <c r="J94" s="13" t="n"/>
      <c r="K94" s="13" t="n"/>
    </row>
    <row r="95">
      <c r="A95" s="6" t="inlineStr">
        <is>
          <t xml:space="preserve">  Float required, grams</t>
        </is>
      </c>
      <c r="D95" s="34">
        <f>Model!N206</f>
        <v/>
      </c>
      <c r="E95" s="34">
        <f>Model!Z206</f>
        <v/>
      </c>
      <c r="F95" s="34">
        <f>Model!AA206</f>
        <v/>
      </c>
      <c r="G95" s="34">
        <f>Model!AB206</f>
        <v/>
      </c>
      <c r="H95" s="34">
        <f>Model!AC206</f>
        <v/>
      </c>
      <c r="I95" s="34">
        <f>Model!AD206</f>
        <v/>
      </c>
      <c r="J95" s="34">
        <f>Model!AE206</f>
        <v/>
      </c>
    </row>
    <row r="96">
      <c r="A96" s="3" t="inlineStr">
        <is>
          <t xml:space="preserve">  FLOAT REQUIRED (year-end balance)</t>
        </is>
      </c>
      <c r="D96" s="72">
        <f>Model!N209</f>
        <v/>
      </c>
      <c r="E96" s="72">
        <f>Model!Z209</f>
        <v/>
      </c>
      <c r="F96" s="72">
        <f>Model!AA209</f>
        <v/>
      </c>
      <c r="G96" s="72">
        <f>Model!AB209</f>
        <v/>
      </c>
      <c r="H96" s="72">
        <f>Model!AC209</f>
        <v/>
      </c>
      <c r="I96" s="72">
        <f>Model!AD209</f>
        <v/>
      </c>
      <c r="J96" s="72">
        <f>Model!AE209</f>
        <v/>
      </c>
    </row>
    <row r="97">
      <c r="A97" s="6" t="inlineStr">
        <is>
          <t xml:space="preserve">  Cash needed that year (new grams only)</t>
        </is>
      </c>
      <c r="D97" s="37">
        <f>SUM(Model!C211:N211)</f>
        <v/>
      </c>
      <c r="E97" s="37">
        <f>SUM(Model!O211:Z211)</f>
        <v/>
      </c>
      <c r="F97" s="37">
        <f>Model!AA211</f>
        <v/>
      </c>
      <c r="G97" s="37">
        <f>Model!AB211</f>
        <v/>
      </c>
      <c r="H97" s="37">
        <f>Model!AC211</f>
        <v/>
      </c>
      <c r="I97" s="37">
        <f>Model!AD211</f>
        <v/>
      </c>
      <c r="J97" s="37">
        <f>Model!AE211</f>
        <v/>
      </c>
    </row>
    <row r="98">
      <c r="A98" s="3" t="inlineStr">
        <is>
          <t>CUMULATIVE CASH INVESTED IN THE FLOAT</t>
        </is>
      </c>
      <c r="D98" s="72">
        <f>Model!N213</f>
        <v/>
      </c>
      <c r="E98" s="72">
        <f>Model!Z213</f>
        <v/>
      </c>
      <c r="F98" s="72">
        <f>Model!AA213</f>
        <v/>
      </c>
      <c r="G98" s="72">
        <f>Model!AB213</f>
        <v/>
      </c>
      <c r="H98" s="72">
        <f>Model!AC213</f>
        <v/>
      </c>
      <c r="I98" s="72">
        <f>Model!AD213</f>
        <v/>
      </c>
      <c r="J98" s="72">
        <f>Model!AE213</f>
        <v/>
      </c>
    </row>
    <row r="100" ht="18" customHeight="1">
      <c r="A100" s="12" t="inlineStr">
        <is>
          <t>CUSTOMERS AND AUM (year end)</t>
        </is>
      </c>
      <c r="B100" s="13" t="n"/>
      <c r="C100" s="13" t="n"/>
      <c r="D100" s="13" t="n"/>
      <c r="E100" s="13" t="n"/>
      <c r="F100" s="13" t="n"/>
      <c r="G100" s="13" t="n"/>
      <c r="H100" s="13" t="n"/>
      <c r="I100" s="13" t="n"/>
      <c r="J100" s="13" t="n"/>
      <c r="K100" s="13" t="n"/>
    </row>
    <row r="101">
      <c r="A101" s="6" t="inlineStr">
        <is>
          <t>New customers in year</t>
        </is>
      </c>
      <c r="D101" s="34">
        <f>SUM(Model!C162:N162)</f>
        <v/>
      </c>
      <c r="E101" s="34">
        <f>SUM(Model!O162:Z162)</f>
        <v/>
      </c>
      <c r="F101" s="34">
        <f>Model!AA162</f>
        <v/>
      </c>
      <c r="G101" s="34">
        <f>Model!AB162</f>
        <v/>
      </c>
      <c r="H101" s="34">
        <f>Model!AC162</f>
        <v/>
      </c>
      <c r="I101" s="34">
        <f>Model!AD162</f>
        <v/>
      </c>
      <c r="J101" s="34">
        <f>Model!AE162</f>
        <v/>
      </c>
    </row>
    <row r="102">
      <c r="A102" s="3" t="inlineStr">
        <is>
          <t>Paying customers</t>
        </is>
      </c>
      <c r="D102" s="75">
        <f>Model!N159</f>
        <v/>
      </c>
      <c r="E102" s="75">
        <f>Model!Z159</f>
        <v/>
      </c>
      <c r="F102" s="75">
        <f>Model!AA159</f>
        <v/>
      </c>
      <c r="G102" s="75">
        <f>Model!AB159</f>
        <v/>
      </c>
      <c r="H102" s="75">
        <f>Model!AC159</f>
        <v/>
      </c>
      <c r="I102" s="75">
        <f>Model!AD159</f>
        <v/>
      </c>
      <c r="J102" s="75">
        <f>Model!AE159</f>
        <v/>
      </c>
    </row>
    <row r="103">
      <c r="A103" s="6" t="inlineStr">
        <is>
          <t>Holders (stopped paying, still hold gold)</t>
        </is>
      </c>
      <c r="D103" s="34">
        <f>Model!N160</f>
        <v/>
      </c>
      <c r="E103" s="34">
        <f>Model!Z160</f>
        <v/>
      </c>
      <c r="F103" s="34">
        <f>Model!AA160</f>
        <v/>
      </c>
      <c r="G103" s="34">
        <f>Model!AB160</f>
        <v/>
      </c>
      <c r="H103" s="34">
        <f>Model!AC160</f>
        <v/>
      </c>
      <c r="I103" s="34">
        <f>Model!AD160</f>
        <v/>
      </c>
      <c r="J103" s="34">
        <f>Model!AE160</f>
        <v/>
      </c>
    </row>
    <row r="104">
      <c r="A104" s="6" t="inlineStr">
        <is>
          <t>Cumulative ever acquired</t>
        </is>
      </c>
      <c r="D104" s="34">
        <f>Model!N161</f>
        <v/>
      </c>
      <c r="E104" s="34">
        <f>Model!Z161</f>
        <v/>
      </c>
      <c r="F104" s="34">
        <f>Model!AA161</f>
        <v/>
      </c>
      <c r="G104" s="34">
        <f>Model!AB161</f>
        <v/>
      </c>
      <c r="H104" s="34">
        <f>Model!AC161</f>
        <v/>
      </c>
      <c r="I104" s="34">
        <f>Model!AD161</f>
        <v/>
      </c>
      <c r="J104" s="34">
        <f>Model!AE161</f>
        <v/>
      </c>
    </row>
    <row r="105">
      <c r="A105" s="6" t="inlineStr">
        <is>
          <t>Active cards</t>
        </is>
      </c>
      <c r="D105" s="34">
        <f>Model!N163</f>
        <v/>
      </c>
      <c r="E105" s="34">
        <f>Model!Z163</f>
        <v/>
      </c>
      <c r="F105" s="34">
        <f>Model!AA163</f>
        <v/>
      </c>
      <c r="G105" s="34">
        <f>Model!AB163</f>
        <v/>
      </c>
      <c r="H105" s="34">
        <f>Model!AC163</f>
        <v/>
      </c>
      <c r="I105" s="34">
        <f>Model!AD163</f>
        <v/>
      </c>
      <c r="J105" s="34">
        <f>Model!AE163</f>
        <v/>
      </c>
    </row>
    <row r="106">
      <c r="A106" s="6" t="inlineStr">
        <is>
          <t>Grams under custody</t>
        </is>
      </c>
      <c r="D106" s="34">
        <f>Model!N165</f>
        <v/>
      </c>
      <c r="E106" s="34">
        <f>Model!Z165</f>
        <v/>
      </c>
      <c r="F106" s="34">
        <f>Model!AA165</f>
        <v/>
      </c>
      <c r="G106" s="34">
        <f>Model!AB165</f>
        <v/>
      </c>
      <c r="H106" s="34">
        <f>Model!AC165</f>
        <v/>
      </c>
      <c r="I106" s="34">
        <f>Model!AD165</f>
        <v/>
      </c>
      <c r="J106" s="34">
        <f>Model!AE165</f>
        <v/>
      </c>
    </row>
    <row r="107">
      <c r="A107" s="3" t="inlineStr">
        <is>
          <t>Gold under custody (comparable headline)</t>
        </is>
      </c>
      <c r="D107" s="72">
        <f>Model!N172</f>
        <v/>
      </c>
      <c r="E107" s="72">
        <f>Model!Z172</f>
        <v/>
      </c>
      <c r="F107" s="72">
        <f>Model!AA172</f>
        <v/>
      </c>
      <c r="G107" s="72">
        <f>Model!AB172</f>
        <v/>
      </c>
      <c r="H107" s="72">
        <f>Model!AC172</f>
        <v/>
      </c>
      <c r="I107" s="72">
        <f>Model!AD172</f>
        <v/>
      </c>
      <c r="J107" s="72">
        <f>Model!AE172</f>
        <v/>
      </c>
    </row>
    <row r="108">
      <c r="A108" s="6" t="inlineStr">
        <is>
          <t>Grams held (collateral-eligible)</t>
        </is>
      </c>
      <c r="D108" s="34">
        <f>Model!N164</f>
        <v/>
      </c>
      <c r="E108" s="34">
        <f>Model!Z164</f>
        <v/>
      </c>
      <c r="F108" s="34">
        <f>Model!AA164</f>
        <v/>
      </c>
      <c r="G108" s="34">
        <f>Model!AB164</f>
        <v/>
      </c>
      <c r="H108" s="34">
        <f>Model!AC164</f>
        <v/>
      </c>
      <c r="I108" s="34">
        <f>Model!AD164</f>
        <v/>
      </c>
      <c r="J108" s="34">
        <f>Model!AE164</f>
        <v/>
      </c>
    </row>
    <row r="109">
      <c r="A109" s="3" t="inlineStr">
        <is>
          <t>Collateral-eligible AUM</t>
        </is>
      </c>
      <c r="D109" s="72">
        <f>Model!N167</f>
        <v/>
      </c>
      <c r="E109" s="72">
        <f>Model!Z167</f>
        <v/>
      </c>
      <c r="F109" s="72">
        <f>Model!AA167</f>
        <v/>
      </c>
      <c r="G109" s="72">
        <f>Model!AB167</f>
        <v/>
      </c>
      <c r="H109" s="72">
        <f>Model!AC167</f>
        <v/>
      </c>
      <c r="I109" s="72">
        <f>Model!AD167</f>
        <v/>
      </c>
      <c r="J109" s="72">
        <f>Model!AE167</f>
        <v/>
      </c>
    </row>
    <row r="110">
      <c r="A110" s="6" t="inlineStr">
        <is>
          <t>Net revenue per paying customer (annualised)</t>
        </is>
      </c>
      <c r="D110" s="37">
        <f>Model!N198</f>
        <v/>
      </c>
      <c r="E110" s="37">
        <f>Model!Z198</f>
        <v/>
      </c>
      <c r="F110" s="37">
        <f>Model!AA198</f>
        <v/>
      </c>
      <c r="G110" s="37">
        <f>Model!AB198</f>
        <v/>
      </c>
      <c r="H110" s="37">
        <f>Model!AC198</f>
        <v/>
      </c>
      <c r="I110" s="37">
        <f>Model!AD198</f>
        <v/>
      </c>
      <c r="J110" s="37">
        <f>Model!AE198</f>
        <v/>
      </c>
    </row>
    <row r="112">
      <c r="A112"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2026-08-31T13:18:58Z</dcterms:created>
  <dcterms:modified xmlns:dcterms="http://purl.org/dc/terms/" xmlns:xsi="http://www.w3.org/2001/XMLSchema-instance" xsi:type="dcterms:W3CDTF">2026-08-31T13:18:58Z</dcterms:modified>
</cp:coreProperties>
</file>