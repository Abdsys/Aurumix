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Parameters'!$B$12</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Parameters'!$B$47</definedName>
    <definedName name="atm_a3000">'Scenario Parameters'!$B$48</definedName>
    <definedName name="atm_a3000p">'Scenario Parameters'!$B$49</definedName>
    <definedName name="atm_a500">'Scenario Parameters'!$B$46</definedName>
    <definedName name="atm_allowance">Assumptions!$B$18</definedName>
    <definedName name="atm_fee">Assumptions!$B$19</definedName>
    <definedName name="atmm_a1500">'Scenario Parameters'!$B$51</definedName>
    <definedName name="atmm_a3000">'Scenario Parameters'!$B$52</definedName>
    <definedName name="atmm_a3000p">'Scenario Parameters'!$B$53</definedName>
    <definedName name="atmm_a500">'Scenario Parameters'!$B$50</definedName>
    <definedName name="aum_per_partner">'Scenario Parameters'!$B$68</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Parameters'!$B$41</definedName>
    <definedName name="card_txns_per_draw">'Scenario Parameters'!$B$42</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Parameters'!$B$59</definedName>
    <definedName name="drawn_share">'Scenario Parameters'!$B$57</definedName>
    <definedName name="entry_fee">Assumptions!$B$8</definedName>
    <definedName name="ever_qualify">'Scenario Parameters'!$B$26</definedName>
    <definedName name="fab_premium">Assumptions!$B$9</definedName>
    <definedName name="facility_turnover">'Scenario Parameters'!$B$58</definedName>
    <definedName name="family_attach">'Scenario Parameters'!$B$60</definedName>
    <definedName name="family_price">Assumptions!$B$25</definedName>
    <definedName name="foreign_spend_share">'Scenario Parameters'!$B$43</definedName>
    <definedName name="fx_margin">Assumptions!$B$17</definedName>
    <definedName name="gate_run">Assumptions!$B$42</definedName>
    <definedName name="gold_price">Assumptions!$B$6</definedName>
    <definedName name="ic_gold">Assumptions!$B$14</definedName>
    <definedName name="issuance_events">'Scenario Parameters'!$B$44</definedName>
    <definedName name="issuance_fee">Assumptions!$B$20</definedName>
    <definedName name="lapsed_redemption_mult">'Scenario Parameters'!$B$33</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Parameters'!$B$61</definedName>
    <definedName name="partners_y2">'Scenario Parameters'!$B$62</definedName>
    <definedName name="partners_y3">'Scenario Parameters'!$B$63</definedName>
    <definedName name="partners_y4">'Scenario Parameters'!$B$64</definedName>
    <definedName name="partners_y5">'Scenario Parameters'!$B$65</definedName>
    <definedName name="partners_y6">'Scenario Parameters'!$B$66</definedName>
    <definedName name="partners_y7">'Scenario Parameters'!$B$67</definedName>
    <definedName name="persistency_m13">'Scenario Parameters'!$B$10</definedName>
    <definedName name="pm_share">'Scenario Parameters'!$B$40</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Parameters'!$B$32</definedName>
    <definedName name="referral_conversion">'Scenario Parameters'!$B$20</definedName>
    <definedName name="referral_rate">'Scenario Parameters'!$B$19</definedName>
    <definedName name="replacement_events">'Scenario Parameters'!$B$45</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Assumptions!$B$41</definedName>
    <definedName name="spot_attach_mult">'Scenario Parameters'!$B$34</definedName>
    <definedName name="spot_frequency">'Scenario Parameters'!$B$36</definedName>
    <definedName name="spot_ticket_mult">'Scenario Parameters'!$B$35</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Parameters'!$B$79</definedName>
    <definedName name="sw_prepaid_vs_credit">'Scenario Parameters'!$B$78</definedName>
    <definedName name="ticket_gulf">'Scenario Parameters'!$B$73</definedName>
    <definedName name="ticket_india">'Scenario Parameters'!$B$74</definedName>
    <definedName name="ticket_uae">'Scenario Parameters'!$B$72</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0.25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0.095</v>
      </c>
      <c r="G78" s="29" t="n">
        <v>0.06</v>
      </c>
      <c r="H78" s="29" t="n">
        <v>0.04</v>
      </c>
      <c r="I78" s="29" t="n">
        <v>0.007</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5</v>
      </c>
      <c r="C93" t="inlineStr">
        <is>
          <t>agents</t>
        </is>
      </c>
      <c r="D93" t="inlineStr">
        <is>
          <t>A STOCK, not a flow: at 45% attrition, holding 200 active needs ~90 recruits a year. CLIENT INPUT.</t>
        </is>
      </c>
    </row>
    <row r="94">
      <c r="A94" t="inlineStr">
        <is>
          <t>Active agents - Y2</t>
        </is>
      </c>
      <c r="B94" s="17" t="n">
        <v>15</v>
      </c>
      <c r="C94" t="inlineStr">
        <is>
          <t>agents</t>
        </is>
      </c>
      <c r="D94" t="inlineStr">
        <is>
          <t>A STOCK, not a flow: at 45% attrition, holding 200 active needs ~90 recruits a year. CLIENT INPUT.</t>
        </is>
      </c>
    </row>
    <row r="95">
      <c r="A95" t="inlineStr">
        <is>
          <t>Active agents - Y3</t>
        </is>
      </c>
      <c r="B95" s="17" t="n">
        <v>40</v>
      </c>
      <c r="C95" t="inlineStr">
        <is>
          <t>agents</t>
        </is>
      </c>
      <c r="D95" t="inlineStr">
        <is>
          <t>A STOCK, not a flow: at 45% attrition, holding 200 active needs ~90 recruits a year. CLIENT INPUT.</t>
        </is>
      </c>
    </row>
    <row r="96">
      <c r="A96" t="inlineStr">
        <is>
          <t>Active agents - Y4</t>
        </is>
      </c>
      <c r="B96" s="17" t="n">
        <v>60</v>
      </c>
      <c r="C96" t="inlineStr">
        <is>
          <t>agents</t>
        </is>
      </c>
      <c r="D96" t="inlineStr">
        <is>
          <t>A STOCK, not a flow: at 45% attrition, holding 200 active needs ~90 recruits a year. CLIENT INPUT.</t>
        </is>
      </c>
    </row>
    <row r="97">
      <c r="A97" t="inlineStr">
        <is>
          <t>Active agents - Y5</t>
        </is>
      </c>
      <c r="B97" s="17" t="n">
        <v>90</v>
      </c>
      <c r="C97" t="inlineStr">
        <is>
          <t>agents</t>
        </is>
      </c>
      <c r="D97" t="inlineStr">
        <is>
          <t>A STOCK, not a flow: at 45% attrition, holding 200 active needs ~90 recruits a year. CLIENT INPUT.</t>
        </is>
      </c>
    </row>
    <row r="98">
      <c r="A98" t="inlineStr">
        <is>
          <t>Active agents - Y6</t>
        </is>
      </c>
      <c r="B98" s="17" t="n">
        <v>106</v>
      </c>
      <c r="C98" t="inlineStr">
        <is>
          <t>agents</t>
        </is>
      </c>
      <c r="D98" t="inlineStr">
        <is>
          <t>A STOCK, not a flow: at 45% attrition, holding 200 active needs ~90 recruits a year. CLIENT INPUT.</t>
        </is>
      </c>
    </row>
    <row r="99">
      <c r="A99" t="inlineStr">
        <is>
          <t>Active agents - Y7</t>
        </is>
      </c>
      <c r="B99" s="17" t="n">
        <v>124</v>
      </c>
      <c r="C99" t="inlineStr">
        <is>
          <t>agents</t>
        </is>
      </c>
      <c r="D99" t="inlineStr">
        <is>
          <t>A STOCK, not a flow: at 45% attrition, holding 200 active needs ~90 recruits a year. CLIENT INPUT.</t>
        </is>
      </c>
    </row>
    <row r="100">
      <c r="A100" t="inlineStr">
        <is>
          <t>Marketing spend - Y1</t>
        </is>
      </c>
      <c r="B100" s="20" t="n">
        <v>60000</v>
      </c>
      <c r="C100" t="inlineStr">
        <is>
          <t>USD/yr</t>
        </is>
      </c>
      <c r="D100" t="inlineStr">
        <is>
          <t>A DECISION VARIABLE and an input to acquisition, not an output of a cost table.</t>
        </is>
      </c>
    </row>
    <row r="101">
      <c r="A101" t="inlineStr">
        <is>
          <t>Marketing spend - Y2</t>
        </is>
      </c>
      <c r="B101" s="20" t="n">
        <v>180000</v>
      </c>
      <c r="C101" t="inlineStr">
        <is>
          <t>USD/yr</t>
        </is>
      </c>
      <c r="D101" t="inlineStr">
        <is>
          <t>A DECISION VARIABLE and an input to acquisition, not an output of a cost table.</t>
        </is>
      </c>
    </row>
    <row r="102">
      <c r="A102" t="inlineStr">
        <is>
          <t>Marketing spend - Y3</t>
        </is>
      </c>
      <c r="B102" s="20" t="n">
        <v>250000</v>
      </c>
      <c r="C102" t="inlineStr">
        <is>
          <t>USD/yr</t>
        </is>
      </c>
      <c r="D102" t="inlineStr">
        <is>
          <t>A DECISION VARIABLE and an input to acquisition, not an output of a cost table.</t>
        </is>
      </c>
    </row>
    <row r="103">
      <c r="A103" t="inlineStr">
        <is>
          <t>Marketing spend - Y4</t>
        </is>
      </c>
      <c r="B103" s="20" t="n">
        <v>400000</v>
      </c>
      <c r="C103" t="inlineStr">
        <is>
          <t>USD/yr</t>
        </is>
      </c>
      <c r="D103" t="inlineStr">
        <is>
          <t>A DECISION VARIABLE and an input to acquisition, not an output of a cost table.</t>
        </is>
      </c>
    </row>
    <row r="104">
      <c r="A104" t="inlineStr">
        <is>
          <t>Marketing spend - Y5</t>
        </is>
      </c>
      <c r="B104" s="20" t="n">
        <v>600000</v>
      </c>
      <c r="C104" t="inlineStr">
        <is>
          <t>USD/yr</t>
        </is>
      </c>
      <c r="D104" t="inlineStr">
        <is>
          <t>A DECISION VARIABLE and an input to acquisition, not an output of a cost table.</t>
        </is>
      </c>
    </row>
    <row r="105">
      <c r="A105" t="inlineStr">
        <is>
          <t>Marketing spend - Y6</t>
        </is>
      </c>
      <c r="B105" s="20" t="n">
        <v>850000</v>
      </c>
      <c r="C105" t="inlineStr">
        <is>
          <t>USD/yr</t>
        </is>
      </c>
      <c r="D105" t="inlineStr">
        <is>
          <t>A DECISION VARIABLE and an input to acquisition, not an output of a cost table.</t>
        </is>
      </c>
    </row>
    <row r="106">
      <c r="A106" t="inlineStr">
        <is>
          <t>Marketing spend - Y7</t>
        </is>
      </c>
      <c r="B106" s="20" t="n">
        <v>1100000</v>
      </c>
      <c r="C106" t="inlineStr">
        <is>
          <t>USD/yr</t>
        </is>
      </c>
      <c r="D106" t="inlineStr">
        <is>
          <t>A DECISION VARIABLE and an input to acquisition, not an output of a cost table.</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Persistency - customers still paying after 12 months</t>
        </is>
      </c>
      <c r="B120" s="33">
        <f>'Scenario Parameters'!$B$10</f>
        <v/>
      </c>
      <c r="C120" t="inlineStr">
        <is>
          <t>%</t>
        </is>
      </c>
      <c r="D120"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1">
      <c r="A121" t="inlineStr">
        <is>
          <t>Monthly churn rate (derived)</t>
        </is>
      </c>
      <c r="B121" s="34">
        <f>'Scenario Parameters'!$B$11</f>
        <v/>
      </c>
      <c r="C121" t="inlineStr">
        <is>
          <t>%/month</t>
        </is>
      </c>
      <c r="D121" t="inlineStr">
        <is>
          <t>DERIVED, not typed: the monthly rate that reproduces the persistency above over twelve months. Change persistency and this follows. Base 55% implies ~4.9%/month.</t>
        </is>
      </c>
    </row>
    <row r="122">
      <c r="A122" t="inlineStr">
        <is>
          <t>Agent productivity</t>
        </is>
      </c>
      <c r="B122" s="35">
        <f>'Scenario Parameters'!$B$12</f>
        <v/>
      </c>
      <c r="C122" t="inlineStr">
        <is>
          <t>accounts/agent/month</t>
        </is>
      </c>
      <c r="D122" t="inlineStr">
        <is>
          <t>Insurance agency comparator. TRIANGULATED.</t>
        </is>
      </c>
    </row>
    <row r="123">
      <c r="A123" t="inlineStr">
        <is>
          <t>Marketing CAC - UAE</t>
        </is>
      </c>
      <c r="B123" s="36">
        <f>'Scenario Parameters'!$B$13</f>
        <v/>
      </c>
      <c r="C123" t="inlineStr">
        <is>
          <t>USD per customer</t>
        </is>
      </c>
      <c r="D123"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4">
      <c r="A124" t="inlineStr">
        <is>
          <t>Marketing CAC - Oman and Bahrain</t>
        </is>
      </c>
      <c r="B124" s="36">
        <f>'Scenario Parameters'!$B$14</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India</t>
        </is>
      </c>
      <c r="B125" s="36">
        <f>'Scenario Parameters'!$B$15</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spend share - UAE</t>
        </is>
      </c>
      <c r="B126" s="33">
        <f>'Scenario Parameters'!$B$16</f>
        <v/>
      </c>
      <c r="C126" t="inlineStr">
        <is>
          <t>% of budget</t>
        </is>
      </c>
      <c r="D126" t="inlineStr">
        <is>
          <t>How the marketing budget is split across markets. Defaults to each region's share of the addressable ceiling, so spend follows the opportunity. Does not vary by scenario - it is a management decision, not an uncertainty. Must sum to 100%.</t>
        </is>
      </c>
    </row>
    <row r="127">
      <c r="A127" t="inlineStr">
        <is>
          <t>Marketing spend share - Oman and Bahrain</t>
        </is>
      </c>
      <c r="B127" s="33">
        <f>'Scenario Parameters'!$B$17</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India</t>
        </is>
      </c>
      <c r="B128" s="33">
        <f>'Scenario Parameters'!$B$18</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Referral rate</t>
        </is>
      </c>
      <c r="B129" s="35">
        <f>'Scenario Parameters'!$B$19</f>
        <v/>
      </c>
      <c r="C129" t="inlineStr">
        <is>
          <t>referrals/customer/yr</t>
        </is>
      </c>
      <c r="D129" t="inlineStr">
        <is>
          <t>Cap removed deliberately, so the distribution is right-skewed. MODEL THE MEAN, NOT THE MEDIAN. ASSUMPTION.</t>
        </is>
      </c>
    </row>
    <row r="130">
      <c r="A130" t="inlineStr">
        <is>
          <t>Referral conversion</t>
        </is>
      </c>
      <c r="B130" s="33">
        <f>'Scenario Parameters'!$B$20</f>
        <v/>
      </c>
      <c r="C130" t="inlineStr">
        <is>
          <t>%</t>
        </is>
      </c>
      <c r="D130" t="inlineStr">
        <is>
          <t>The M7 survival of the referred cohort, uplifted ~1.1x. DERIVED.</t>
        </is>
      </c>
    </row>
    <row r="131">
      <c r="A131" t="inlineStr">
        <is>
          <t>Organic share of direct</t>
        </is>
      </c>
      <c r="B131" s="33">
        <f>'Scenario Parameters'!$B$21</f>
        <v/>
      </c>
      <c r="C131" t="inlineStr">
        <is>
          <t>% of direct</t>
        </is>
      </c>
      <c r="D131" t="inlineStr">
        <is>
          <t>Kept separate so the CAC never applies to it. ASSUMPTION.</t>
        </is>
      </c>
    </row>
    <row r="132">
      <c r="A132" t="inlineStr">
        <is>
          <t>Seasonality amplitude</t>
        </is>
      </c>
      <c r="B132" s="35">
        <f>'Scenario Parameters'!$B$22</f>
        <v/>
      </c>
      <c r="C132" t="inlineStr">
        <is>
          <t>x deviation from 1.0</t>
        </is>
      </c>
      <c r="D132" t="inlineStr">
        <is>
          <t>Festival TIMING is sourced; how hard a Dubai savings signup responds to Dhanteras is the open question. Applied to the deviation from 1.0, then renormalised, so the vectors stay at exactly 12.000.</t>
        </is>
      </c>
    </row>
    <row r="133">
      <c r="A133" t="inlineStr">
        <is>
          <t>Customers who EVER clear the six-payment gate</t>
        </is>
      </c>
      <c r="B133" s="33">
        <f>'Scenario Parameters'!$B$26</f>
        <v/>
      </c>
      <c r="C133" t="inlineStr">
        <is>
          <t>% of customers</t>
        </is>
      </c>
      <c r="D133"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4">
      <c r="A134" t="inlineStr">
        <is>
          <t>Average months to clear the gate</t>
        </is>
      </c>
      <c r="B134" s="37">
        <f>'Scenario Parameters'!$B$27</f>
        <v/>
      </c>
      <c r="C134" t="inlineStr">
        <is>
          <t>months</t>
        </is>
      </c>
      <c r="D134"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5">
      <c r="A135" t="inlineStr">
        <is>
          <t>Gold moved out of Aurumix's control</t>
        </is>
      </c>
      <c r="B135" s="33">
        <f>'Scenario Parameters'!$B$31</f>
        <v/>
      </c>
      <c r="C135" t="inlineStr">
        <is>
          <t>% of AUM/yr</t>
        </is>
      </c>
      <c r="D135"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6">
      <c r="A136" t="inlineStr">
        <is>
          <t>Redemption rate</t>
        </is>
      </c>
      <c r="B136" s="33">
        <f>'Scenario Parameters'!$B$32</f>
        <v/>
      </c>
      <c r="C136" t="inlineStr">
        <is>
          <t>% of AUM/yr</t>
        </is>
      </c>
      <c r="D136" t="inlineStr">
        <is>
          <t>A DIFFERENT EVENT from self-custody and a separate line. PAXG turnover of 5.9% is the only comparator. VARA forbids charging any fee on it. ASSUMPTION.</t>
        </is>
      </c>
    </row>
    <row r="137">
      <c r="A137" t="inlineStr">
        <is>
          <t>Holder redemption multiplier</t>
        </is>
      </c>
      <c r="B137" s="35">
        <f>'Scenario Parameters'!$B$33</f>
        <v/>
      </c>
      <c r="C137" t="inlineStr">
        <is>
          <t>x the paying rate</t>
        </is>
      </c>
      <c r="D137" t="inlineStr">
        <is>
          <t>Customers who stopped paying redeem FASTER - they have no accruing benefit left to protect. Because holders become the majority of the book by Y4, this is the DOMINANT AUM DECAY TERM from roughly Y4. ASSUMPTION.</t>
        </is>
      </c>
    </row>
    <row r="138">
      <c r="A138" t="inlineStr">
        <is>
          <t>Spot attach scenario multiplier</t>
        </is>
      </c>
      <c r="B138" s="35">
        <f>'Scenario Parameters'!$B$34</f>
        <v/>
      </c>
      <c r="C138" t="inlineStr">
        <is>
          <t>x the regional attach</t>
        </is>
      </c>
      <c r="D138"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39">
      <c r="A139" t="inlineStr">
        <is>
          <t>Spot ticket scenario multiplier</t>
        </is>
      </c>
      <c r="B139" s="35">
        <f>'Scenario Parameters'!$B$35</f>
        <v/>
      </c>
      <c r="C139" t="inlineStr">
        <is>
          <t>x the observed ticket</t>
        </is>
      </c>
      <c r="D13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0">
      <c r="A140" t="inlineStr">
        <is>
          <t>Spot frequency</t>
        </is>
      </c>
      <c r="B140" s="35">
        <f>'Scenario Parameters'!$B$36</f>
        <v/>
      </c>
      <c r="C140" t="inlineStr">
        <is>
          <t>events/attacher/yr</t>
        </is>
      </c>
      <c r="D140"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1">
      <c r="A141" t="inlineStr">
        <is>
          <t>Programme manager share of interchange</t>
        </is>
      </c>
      <c r="B141" s="33">
        <f>'Scenario Parameters'!$B$40</f>
        <v/>
      </c>
      <c r="C141" t="inlineStr">
        <is>
          <t>%</t>
        </is>
      </c>
      <c r="D141" t="inlineStr">
        <is>
          <t>SIZES THE LARGEST STREAM. No UAE/MENA figure is published. FLOOR IS 36% - take that into the sponsor conversation as the walk-away. TRIANGULATED.</t>
        </is>
      </c>
    </row>
    <row r="142">
      <c r="A142" t="inlineStr">
        <is>
          <t>Facility take-up - customers who take AND use the card</t>
        </is>
      </c>
      <c r="B142" s="33">
        <f>'Scenario Parameters'!$B$41</f>
        <v/>
      </c>
      <c r="C142" t="inlineStr">
        <is>
          <t>% of gate-cleared</t>
        </is>
      </c>
      <c r="D142"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3">
      <c r="A143" t="inlineStr">
        <is>
          <t>Transactions per drawdown event</t>
        </is>
      </c>
      <c r="B143" s="37">
        <f>'Scenario Parameters'!$B$42</f>
        <v/>
      </c>
      <c r="C143" t="inlineStr">
        <is>
          <t>transactions/draw</t>
        </is>
      </c>
      <c r="D143"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4">
      <c r="A144" t="inlineStr">
        <is>
          <t>Foreign spend share (mean)</t>
        </is>
      </c>
      <c r="B144" s="33">
        <f>'Scenario Parameters'!$B$43</f>
        <v/>
      </c>
      <c r="C144" t="inlineStr">
        <is>
          <t>% of card spend</t>
        </is>
      </c>
      <c r="D144" t="inlineStr">
        <is>
          <t>Applied through the seasonal vector, not as a constant. ASSUMPTION.</t>
        </is>
      </c>
    </row>
    <row r="145">
      <c r="A145" t="inlineStr">
        <is>
          <t>Card issuance events</t>
        </is>
      </c>
      <c r="B145" s="35">
        <f>'Scenario Parameters'!$B$44</f>
        <v/>
      </c>
      <c r="C145" t="inlineStr">
        <is>
          <t>events/card/yr</t>
        </is>
      </c>
      <c r="D145" t="inlineStr">
        <is>
          <t>1.00 at activation plus reissues - a tier upgrade forces a physical reissue. ASSUMPTION.</t>
        </is>
      </c>
    </row>
    <row r="146">
      <c r="A146" t="inlineStr">
        <is>
          <t>Card replacement events</t>
        </is>
      </c>
      <c r="B146" s="35">
        <f>'Scenario Parameters'!$B$45</f>
        <v/>
      </c>
      <c r="C146" t="inlineStr">
        <is>
          <t>events/card/yr</t>
        </is>
      </c>
      <c r="D146" t="inlineStr">
        <is>
          <t>Industry-normal loss/theft/damage is 8-15% annually. ASSUMPTION.</t>
        </is>
      </c>
    </row>
    <row r="147">
      <c r="A147" t="inlineStr">
        <is>
          <t>ATM AED 0-500 - share of cardholders</t>
        </is>
      </c>
      <c r="B147" s="33">
        <f>'Scenario Parameters'!$B$46</f>
        <v/>
      </c>
      <c r="C147" t="inlineStr">
        <is>
          <t>%</t>
        </is>
      </c>
      <c r="D147"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8">
      <c r="A148" t="inlineStr">
        <is>
          <t>ATM AED 500-1,500 - share of cardholders</t>
        </is>
      </c>
      <c r="B148" s="33">
        <f>'Scenario Parameters'!$B$47</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1,500-3,000 - share of cardholders</t>
        </is>
      </c>
      <c r="B149" s="33">
        <f>'Scenario Parameters'!$B$48</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3,000+ - share of cardholders</t>
        </is>
      </c>
      <c r="B150" s="33">
        <f>'Scenario Parameters'!$B$49</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0-500 - midpoint draw</t>
        </is>
      </c>
      <c r="B151" s="37">
        <f>'Scenario Parameters'!$B$50</f>
        <v/>
      </c>
      <c r="C151" t="inlineStr">
        <is>
          <t>AED/month</t>
        </is>
      </c>
      <c r="D151" t="inlineStr">
        <is>
          <t>Raising the allowance at the top tier waives revenue from only the top ~3% of cardholders.</t>
        </is>
      </c>
    </row>
    <row r="152">
      <c r="A152" t="inlineStr">
        <is>
          <t>ATM AED 500-1,500 - midpoint draw</t>
        </is>
      </c>
      <c r="B152" s="37">
        <f>'Scenario Parameters'!$B$51</f>
        <v/>
      </c>
      <c r="C152" t="inlineStr">
        <is>
          <t>AED/month</t>
        </is>
      </c>
      <c r="D152" t="inlineStr">
        <is>
          <t>Raising the allowance at the top tier waives revenue from only the top ~3% of cardholders.</t>
        </is>
      </c>
    </row>
    <row r="153">
      <c r="A153" t="inlineStr">
        <is>
          <t>ATM AED 1,500-3,000 - midpoint draw</t>
        </is>
      </c>
      <c r="B153" s="37">
        <f>'Scenario Parameters'!$B$52</f>
        <v/>
      </c>
      <c r="C153" t="inlineStr">
        <is>
          <t>AED/month</t>
        </is>
      </c>
      <c r="D153" t="inlineStr">
        <is>
          <t>Raising the allowance at the top tier waives revenue from only the top ~3% of cardholders.</t>
        </is>
      </c>
    </row>
    <row r="154">
      <c r="A154" t="inlineStr">
        <is>
          <t>ATM AED 3,000+ - midpoint draw</t>
        </is>
      </c>
      <c r="B154" s="37">
        <f>'Scenario Parameters'!$B$53</f>
        <v/>
      </c>
      <c r="C154" t="inlineStr">
        <is>
          <t>AED/month</t>
        </is>
      </c>
      <c r="D154" t="inlineStr">
        <is>
          <t>Raising the allowance at the top tier waives revenue from only the top ~3% of cardholders.</t>
        </is>
      </c>
    </row>
    <row r="155">
      <c r="A155" t="inlineStr">
        <is>
          <t>Drawn as % of permitted limit</t>
        </is>
      </c>
      <c r="B155" s="33">
        <f>'Scenario Parameters'!$B$57</f>
        <v/>
      </c>
      <c r="C155" t="inlineStr">
        <is>
          <t>%</t>
        </is>
      </c>
      <c r="D155" t="inlineStr">
        <is>
          <t>Revolving facilities draw 40-55% of permitted. This now drives CARD SPEND as well as the loan balance, because the card is the drawdown mechanism. TRIANGULATED.</t>
        </is>
      </c>
    </row>
    <row r="156">
      <c r="A156" t="inlineStr">
        <is>
          <t>Facility turnover, peak -&gt; average</t>
        </is>
      </c>
      <c r="B156" s="35">
        <f>'Scenario Parameters'!$B$58</f>
        <v/>
      </c>
      <c r="C156" t="inlineStr">
        <is>
          <t>x peak drawn</t>
        </is>
      </c>
      <c r="D156" t="inlineStr">
        <is>
          <t>AN ARITHMETIC CORRECTION, not a sensitivity, derived from Manappuram's 71-day realised tenor. It cuts the lending stream by 1.88x. DERIVED.</t>
        </is>
      </c>
    </row>
    <row r="157">
      <c r="A157" t="inlineStr">
        <is>
          <t>Draw events per borrower per year</t>
        </is>
      </c>
      <c r="B157" s="35">
        <f>'Scenario Parameters'!$B$59</f>
        <v/>
      </c>
      <c r="C157" t="inlineStr">
        <is>
          <t>events/yr</t>
        </is>
      </c>
      <c r="D157" t="inlineStr">
        <is>
          <t>MOVES WITH facility turnover - do not flex independently. DERIVED.</t>
        </is>
      </c>
    </row>
    <row r="158">
      <c r="A158" t="inlineStr">
        <is>
          <t>Family plan attach rate</t>
        </is>
      </c>
      <c r="B158" s="33">
        <f>'Scenario Parameters'!$B$60</f>
        <v/>
      </c>
      <c r="C158" t="inlineStr">
        <is>
          <t>% of customers</t>
        </is>
      </c>
      <c r="D158" t="inlineStr">
        <is>
          <t>NOTHING IS STATED ANYWHERE IN THE CORPUS. Pure assumption. Scales stream 3 linearly.</t>
        </is>
      </c>
    </row>
    <row r="159">
      <c r="A159" t="inlineStr">
        <is>
          <t>B2B partners - Y1</t>
        </is>
      </c>
      <c r="B159" s="37">
        <f>'Scenario Parameters'!$B$61</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B2B partners - Y2</t>
        </is>
      </c>
      <c r="B160" s="37">
        <f>'Scenario Parameters'!$B$62</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B2B partners - Y3</t>
        </is>
      </c>
      <c r="B161" s="37">
        <f>'Scenario Parameters'!$B$63</f>
        <v/>
      </c>
      <c r="C161" t="inlineStr">
        <is>
          <t>partners</t>
        </is>
      </c>
      <c r="D16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2">
      <c r="A162" t="inlineStr">
        <is>
          <t>B2B partners - Y4</t>
        </is>
      </c>
      <c r="B162" s="37">
        <f>'Scenario Parameters'!$B$64</f>
        <v/>
      </c>
      <c r="C162" t="inlineStr">
        <is>
          <t>partners</t>
        </is>
      </c>
      <c r="D16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3">
      <c r="A163" t="inlineStr">
        <is>
          <t>B2B partners - Y5</t>
        </is>
      </c>
      <c r="B163" s="37">
        <f>'Scenario Parameters'!$B$65</f>
        <v/>
      </c>
      <c r="C163" t="inlineStr">
        <is>
          <t>partners</t>
        </is>
      </c>
      <c r="D16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4">
      <c r="A164" t="inlineStr">
        <is>
          <t>B2B partners - Y6</t>
        </is>
      </c>
      <c r="B164" s="37">
        <f>'Scenario Parameters'!$B$66</f>
        <v/>
      </c>
      <c r="C164" t="inlineStr">
        <is>
          <t>partners</t>
        </is>
      </c>
      <c r="D16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5">
      <c r="A165" t="inlineStr">
        <is>
          <t>B2B partners - Y7</t>
        </is>
      </c>
      <c r="B165" s="37">
        <f>'Scenario Parameters'!$B$67</f>
        <v/>
      </c>
      <c r="C165" t="inlineStr">
        <is>
          <t>partners</t>
        </is>
      </c>
      <c r="D16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6">
      <c r="A166" t="inlineStr">
        <is>
          <t>AUM per partner (mature)</t>
        </is>
      </c>
      <c r="B166" s="36">
        <f>'Scenario Parameters'!$B$68</f>
        <v/>
      </c>
      <c r="C166" t="inlineStr">
        <is>
          <t>USD</t>
        </is>
      </c>
      <c r="D166" t="inlineStr">
        <is>
          <t>Requires a signed partner. Partner AUM earns NO tier and consumes NO benefits - structurally the highest-margin book. DERIVED.</t>
        </is>
      </c>
    </row>
    <row r="167">
      <c r="A167" t="inlineStr">
        <is>
          <t>Average monthly ticket - UAE</t>
        </is>
      </c>
      <c r="B167" s="36">
        <f>'Scenario Parameters'!$B$72</f>
        <v/>
      </c>
      <c r="C167" t="inlineStr">
        <is>
          <t>USD/month</t>
        </is>
      </c>
      <c r="D16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8">
      <c r="A168" t="inlineStr">
        <is>
          <t>Average monthly ticket - Oman and Bahrain</t>
        </is>
      </c>
      <c r="B168" s="36">
        <f>'Scenario Parameters'!$B$73</f>
        <v/>
      </c>
      <c r="C168" t="inlineStr">
        <is>
          <t>USD/month</t>
        </is>
      </c>
      <c r="D16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9">
      <c r="A169" t="inlineStr">
        <is>
          <t>Average monthly ticket - India</t>
        </is>
      </c>
      <c r="B169" s="36">
        <f>'Scenario Parameters'!$B$74</f>
        <v/>
      </c>
      <c r="C169" t="inlineStr">
        <is>
          <t>USD/month</t>
        </is>
      </c>
      <c r="D16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0">
      <c r="A170" t="inlineStr">
        <is>
          <t>Prepaid instead of credit</t>
        </is>
      </c>
      <c r="B170" s="37">
        <f>'Scenario Parameters'!$B$78</f>
        <v/>
      </c>
      <c r="C170" t="inlineStr">
        <is>
          <t>1/0 switch</t>
        </is>
      </c>
      <c r="D170" t="inlineStr">
        <is>
          <t>ON (Prepaid) caps interchange at 1.00% and removes the credit stream entirely. 'NOT A PRODUCT CHOICE, IT IS THE BUSINESS MODEL.' Worth ~USD 2.3m of Y10 revenue on the ten-year run.</t>
        </is>
      </c>
    </row>
    <row r="171">
      <c r="A171" t="inlineStr">
        <is>
          <t>Holders keep the card</t>
        </is>
      </c>
      <c r="B171" s="37">
        <f>'Scenario Parameters'!$B$79</f>
        <v/>
      </c>
      <c r="C171" t="inlineStr">
        <is>
          <t>1/0 switch</t>
        </is>
      </c>
      <c r="D171" t="inlineStr">
        <is>
          <t>NOBODY HAS DECIDED THIS. It determines whether the card streams - the majority of revenue - decay with churn or are immune to it. Worth a 42% swing in terminal revenue. Default ON because nothing in the design revokes the card; report both.</t>
        </is>
      </c>
    </row>
    <row r="172">
      <c r="A172"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9">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40">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1">
        <f>CHOOSE($C$6,C12,D12,E12)</f>
        <v/>
      </c>
      <c r="C12" s="15" t="n">
        <v>4</v>
      </c>
      <c r="D12" s="15" t="n">
        <v>6</v>
      </c>
      <c r="E12" s="15" t="n">
        <v>2</v>
      </c>
      <c r="F12" s="23" t="inlineStr">
        <is>
          <t>accounts/agent/month</t>
        </is>
      </c>
      <c r="G12" s="9" t="inlineStr">
        <is>
          <t>Insurance agency comparator. TRIANGULATED.</t>
        </is>
      </c>
    </row>
    <row r="13">
      <c r="A13" t="inlineStr">
        <is>
          <t>Marketing CAC - UAE</t>
        </is>
      </c>
      <c r="B13" s="42">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2">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2">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9">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9">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9">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1">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9">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9">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1">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9">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9">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9">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1">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scenario multiplier</t>
        </is>
      </c>
      <c r="B34" s="41">
        <f>CHOOSE($C$6,C34,D34,E34)</f>
        <v/>
      </c>
      <c r="C34" s="15" t="n">
        <v>1</v>
      </c>
      <c r="D34" s="15" t="n">
        <v>1.7</v>
      </c>
      <c r="E34" s="15" t="n">
        <v>0.5</v>
      </c>
      <c r="F34" s="23" t="inlineStr">
        <is>
          <t>x the regional attach</t>
        </is>
      </c>
      <c r="G34"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5">
      <c r="A35" t="inlineStr">
        <is>
          <t>Spot ticket scenario multiplier</t>
        </is>
      </c>
      <c r="B35" s="41">
        <f>CHOOSE($C$6,C35,D35,E35)</f>
        <v/>
      </c>
      <c r="C35" s="15" t="n">
        <v>1</v>
      </c>
      <c r="D35" s="15" t="n">
        <v>1.35</v>
      </c>
      <c r="E35" s="15" t="n">
        <v>0.7</v>
      </c>
      <c r="F35" s="23" t="inlineStr">
        <is>
          <t>x the observed ticket</t>
        </is>
      </c>
      <c r="G35"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36">
      <c r="A36" t="inlineStr">
        <is>
          <t>Spot frequency</t>
        </is>
      </c>
      <c r="B36" s="41">
        <f>CHOOSE($C$6,C36,D36,E36)</f>
        <v/>
      </c>
      <c r="C36" s="15" t="n">
        <v>1.7</v>
      </c>
      <c r="D36" s="15" t="n">
        <v>2.4</v>
      </c>
      <c r="E36" s="15" t="n">
        <v>1.2</v>
      </c>
      <c r="F36" s="23" t="inlineStr">
        <is>
          <t>events/attacher/yr</t>
        </is>
      </c>
      <c r="G36"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38" ht="18" customHeight="1">
      <c r="A38" s="12" t="inlineStr">
        <is>
          <t>GROUP D: CARD</t>
        </is>
      </c>
      <c r="B38" s="13" t="n"/>
      <c r="C38" s="13" t="n"/>
      <c r="D38" s="13" t="n"/>
      <c r="E38" s="13" t="n"/>
    </row>
    <row r="39">
      <c r="A39" s="14" t="inlineStr">
        <is>
          <t>Parameter</t>
        </is>
      </c>
      <c r="B39" s="14" t="inlineStr">
        <is>
          <t>Active Value</t>
        </is>
      </c>
      <c r="C39" s="14" t="inlineStr">
        <is>
          <t>Base</t>
        </is>
      </c>
      <c r="D39" s="14" t="inlineStr">
        <is>
          <t>Aggressive</t>
        </is>
      </c>
      <c r="E39" s="14" t="inlineStr">
        <is>
          <t>Conservative</t>
        </is>
      </c>
      <c r="F39" s="14" t="inlineStr">
        <is>
          <t>Unit</t>
        </is>
      </c>
    </row>
    <row r="40">
      <c r="A40" t="inlineStr">
        <is>
          <t>Programme manager share of interchange</t>
        </is>
      </c>
      <c r="B40" s="39">
        <f>CHOOSE($C$6,C40,D40,E40)</f>
        <v/>
      </c>
      <c r="C40" s="19" t="n">
        <v>0.72</v>
      </c>
      <c r="D40" s="19" t="n">
        <v>0.85</v>
      </c>
      <c r="E40" s="19" t="n">
        <v>0.55</v>
      </c>
      <c r="F40" s="23" t="inlineStr">
        <is>
          <t>%</t>
        </is>
      </c>
      <c r="G40" s="9" t="inlineStr">
        <is>
          <t>SIZES THE LARGEST STREAM. No UAE/MENA figure is published. FLOOR IS 36% - take that into the sponsor conversation as the walk-away. TRIANGULATED.</t>
        </is>
      </c>
    </row>
    <row r="41">
      <c r="A41" t="inlineStr">
        <is>
          <t>Facility take-up - customers who take AND use the card</t>
        </is>
      </c>
      <c r="B41" s="39">
        <f>CHOOSE($C$6,C41,D41,E41)</f>
        <v/>
      </c>
      <c r="C41" s="19" t="n">
        <v>0.18</v>
      </c>
      <c r="D41" s="19" t="n">
        <v>0.3</v>
      </c>
      <c r="E41" s="19" t="n">
        <v>0.08</v>
      </c>
      <c r="F41" s="23" t="inlineStr">
        <is>
          <t>% of gate-cleared</t>
        </is>
      </c>
      <c r="G41"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2">
      <c r="A42" t="inlineStr">
        <is>
          <t>Transactions per drawdown event</t>
        </is>
      </c>
      <c r="B42" s="31">
        <f>CHOOSE($C$6,C42,D42,E42)</f>
        <v/>
      </c>
      <c r="C42" s="17" t="n">
        <v>4</v>
      </c>
      <c r="D42" s="17" t="n">
        <v>6</v>
      </c>
      <c r="E42" s="17" t="n">
        <v>2</v>
      </c>
      <c r="F42" s="23" t="inlineStr">
        <is>
          <t>transactions/draw</t>
        </is>
      </c>
      <c r="G42"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3">
      <c r="A43" t="inlineStr">
        <is>
          <t>Foreign spend share (mean)</t>
        </is>
      </c>
      <c r="B43" s="39">
        <f>CHOOSE($C$6,C43,D43,E43)</f>
        <v/>
      </c>
      <c r="C43" s="19" t="n">
        <v>0.34</v>
      </c>
      <c r="D43" s="19" t="n">
        <v>0.45</v>
      </c>
      <c r="E43" s="19" t="n">
        <v>0.24</v>
      </c>
      <c r="F43" s="23" t="inlineStr">
        <is>
          <t>% of card spend</t>
        </is>
      </c>
      <c r="G43" s="9" t="inlineStr">
        <is>
          <t>Applied through the seasonal vector, not as a constant. ASSUMPTION.</t>
        </is>
      </c>
    </row>
    <row r="44">
      <c r="A44" t="inlineStr">
        <is>
          <t>Card issuance events</t>
        </is>
      </c>
      <c r="B44" s="41">
        <f>CHOOSE($C$6,C44,D44,E44)</f>
        <v/>
      </c>
      <c r="C44" s="15" t="n">
        <v>1.06</v>
      </c>
      <c r="D44" s="15" t="n">
        <v>1.04</v>
      </c>
      <c r="E44" s="15" t="n">
        <v>1.1</v>
      </c>
      <c r="F44" s="23" t="inlineStr">
        <is>
          <t>events/card/yr</t>
        </is>
      </c>
      <c r="G44" s="9" t="inlineStr">
        <is>
          <t>1.00 at activation plus reissues - a tier upgrade forces a physical reissue. ASSUMPTION.</t>
        </is>
      </c>
    </row>
    <row r="45">
      <c r="A45" t="inlineStr">
        <is>
          <t>Card replacement events</t>
        </is>
      </c>
      <c r="B45" s="41">
        <f>CHOOSE($C$6,C45,D45,E45)</f>
        <v/>
      </c>
      <c r="C45" s="15" t="n">
        <v>0.11</v>
      </c>
      <c r="D45" s="15" t="n">
        <v>0.07000000000000001</v>
      </c>
      <c r="E45" s="15" t="n">
        <v>0.18</v>
      </c>
      <c r="F45" s="23" t="inlineStr">
        <is>
          <t>events/card/yr</t>
        </is>
      </c>
      <c r="G45" s="9" t="inlineStr">
        <is>
          <t>Industry-normal loss/theft/damage is 8-15% annually. ASSUMPTION.</t>
        </is>
      </c>
    </row>
    <row r="46">
      <c r="A46" t="inlineStr">
        <is>
          <t>ATM AED 0-500 - share of cardholders</t>
        </is>
      </c>
      <c r="B46" s="39">
        <f>CHOOSE($C$6,C46,D46,E46)</f>
        <v/>
      </c>
      <c r="C46" s="19" t="n">
        <v>0.6</v>
      </c>
      <c r="D46" s="19" t="n">
        <v>0.42</v>
      </c>
      <c r="E46" s="19" t="n">
        <v>0.74</v>
      </c>
      <c r="F46" s="23" t="inlineStr">
        <is>
          <t>%</t>
        </is>
      </c>
      <c r="G4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7">
      <c r="A47" t="inlineStr">
        <is>
          <t>ATM AED 500-1,500 - share of cardholders</t>
        </is>
      </c>
      <c r="B47" s="39">
        <f>CHOOSE($C$6,C47,D47,E47)</f>
        <v/>
      </c>
      <c r="C47" s="19" t="n">
        <v>0.25</v>
      </c>
      <c r="D47" s="19" t="n">
        <v>0.3</v>
      </c>
      <c r="E47" s="19" t="n">
        <v>0.18</v>
      </c>
      <c r="F47" s="23" t="inlineStr">
        <is>
          <t>%</t>
        </is>
      </c>
      <c r="G4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8">
      <c r="A48" t="inlineStr">
        <is>
          <t>ATM AED 1,500-3,000 - share of cardholders</t>
        </is>
      </c>
      <c r="B48" s="39">
        <f>CHOOSE($C$6,C48,D48,E48)</f>
        <v/>
      </c>
      <c r="C48" s="19" t="n">
        <v>0.12</v>
      </c>
      <c r="D48" s="19" t="n">
        <v>0.2</v>
      </c>
      <c r="E48" s="19" t="n">
        <v>0.06</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3,000+ - share of cardholders</t>
        </is>
      </c>
      <c r="B49" s="39">
        <f>CHOOSE($C$6,C49,D49,E49)</f>
        <v/>
      </c>
      <c r="C49" s="19" t="n">
        <v>0.03</v>
      </c>
      <c r="D49" s="19" t="n">
        <v>0.08</v>
      </c>
      <c r="E49" s="19" t="n">
        <v>0.02</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0-500 - midpoint draw</t>
        </is>
      </c>
      <c r="B50" s="31">
        <f>CHOOSE($C$6,C50,D50,E50)</f>
        <v/>
      </c>
      <c r="C50" s="17" t="n">
        <v>250</v>
      </c>
      <c r="D50" s="17" t="n">
        <v>300</v>
      </c>
      <c r="E50" s="17" t="n">
        <v>200</v>
      </c>
      <c r="F50" s="23" t="inlineStr">
        <is>
          <t>AED/month</t>
        </is>
      </c>
      <c r="G50" s="9" t="inlineStr">
        <is>
          <t>Raising the allowance at the top tier waives revenue from only the top ~3% of cardholders.</t>
        </is>
      </c>
    </row>
    <row r="51">
      <c r="A51" t="inlineStr">
        <is>
          <t>ATM AED 500-1,500 - midpoint draw</t>
        </is>
      </c>
      <c r="B51" s="31">
        <f>CHOOSE($C$6,C51,D51,E51)</f>
        <v/>
      </c>
      <c r="C51" s="17" t="n">
        <v>1000</v>
      </c>
      <c r="D51" s="17" t="n">
        <v>1100</v>
      </c>
      <c r="E51" s="17" t="n">
        <v>900</v>
      </c>
      <c r="F51" s="23" t="inlineStr">
        <is>
          <t>AED/month</t>
        </is>
      </c>
      <c r="G51" s="9" t="inlineStr">
        <is>
          <t>Raising the allowance at the top tier waives revenue from only the top ~3% of cardholders.</t>
        </is>
      </c>
    </row>
    <row r="52">
      <c r="A52" t="inlineStr">
        <is>
          <t>ATM AED 1,500-3,000 - midpoint draw</t>
        </is>
      </c>
      <c r="B52" s="31">
        <f>CHOOSE($C$6,C52,D52,E52)</f>
        <v/>
      </c>
      <c r="C52" s="17" t="n">
        <v>2250</v>
      </c>
      <c r="D52" s="17" t="n">
        <v>2400</v>
      </c>
      <c r="E52" s="17" t="n">
        <v>2100</v>
      </c>
      <c r="F52" s="23" t="inlineStr">
        <is>
          <t>AED/month</t>
        </is>
      </c>
      <c r="G52" s="9" t="inlineStr">
        <is>
          <t>Raising the allowance at the top tier waives revenue from only the top ~3% of cardholders.</t>
        </is>
      </c>
    </row>
    <row r="53">
      <c r="A53" t="inlineStr">
        <is>
          <t>ATM AED 3,000+ - midpoint draw</t>
        </is>
      </c>
      <c r="B53" s="31">
        <f>CHOOSE($C$6,C53,D53,E53)</f>
        <v/>
      </c>
      <c r="C53" s="17" t="n">
        <v>4000</v>
      </c>
      <c r="D53" s="17" t="n">
        <v>4500</v>
      </c>
      <c r="E53" s="17" t="n">
        <v>3600</v>
      </c>
      <c r="F53" s="23" t="inlineStr">
        <is>
          <t>AED/month</t>
        </is>
      </c>
      <c r="G53" s="9" t="inlineStr">
        <is>
          <t>Raising the allowance at the top tier waives revenue from only the top ~3% of cardholders.</t>
        </is>
      </c>
    </row>
    <row r="55" ht="18" customHeight="1">
      <c r="A55" s="12" t="inlineStr">
        <is>
          <t>GROUP E: CREDIT, B2B AND FAMILY</t>
        </is>
      </c>
      <c r="B55" s="13" t="n"/>
      <c r="C55" s="13" t="n"/>
      <c r="D55" s="13" t="n"/>
      <c r="E55" s="13" t="n"/>
    </row>
    <row r="56">
      <c r="A56" s="14" t="inlineStr">
        <is>
          <t>Parameter</t>
        </is>
      </c>
      <c r="B56" s="14" t="inlineStr">
        <is>
          <t>Active Value</t>
        </is>
      </c>
      <c r="C56" s="14" t="inlineStr">
        <is>
          <t>Base</t>
        </is>
      </c>
      <c r="D56" s="14" t="inlineStr">
        <is>
          <t>Aggressive</t>
        </is>
      </c>
      <c r="E56" s="14" t="inlineStr">
        <is>
          <t>Conservative</t>
        </is>
      </c>
      <c r="F56" s="14" t="inlineStr">
        <is>
          <t>Unit</t>
        </is>
      </c>
    </row>
    <row r="57">
      <c r="A57" t="inlineStr">
        <is>
          <t>Drawn as % of permitted limit</t>
        </is>
      </c>
      <c r="B57" s="39">
        <f>CHOOSE($C$6,C57,D57,E57)</f>
        <v/>
      </c>
      <c r="C57" s="19" t="n">
        <v>0.5</v>
      </c>
      <c r="D57" s="19" t="n">
        <v>0.7</v>
      </c>
      <c r="E57" s="19" t="n">
        <v>0.3</v>
      </c>
      <c r="F57" s="23" t="inlineStr">
        <is>
          <t>%</t>
        </is>
      </c>
      <c r="G57" s="9" t="inlineStr">
        <is>
          <t>Revolving facilities draw 40-55% of permitted. This now drives CARD SPEND as well as the loan balance, because the card is the drawdown mechanism. TRIANGULATED.</t>
        </is>
      </c>
    </row>
    <row r="58">
      <c r="A58" t="inlineStr">
        <is>
          <t>Facility turnover, peak -&gt; average</t>
        </is>
      </c>
      <c r="B58" s="41">
        <f>CHOOSE($C$6,C58,D58,E58)</f>
        <v/>
      </c>
      <c r="C58" s="15" t="n">
        <v>0.42</v>
      </c>
      <c r="D58" s="15" t="n">
        <v>0.55</v>
      </c>
      <c r="E58" s="15" t="n">
        <v>0.3</v>
      </c>
      <c r="F58" s="23" t="inlineStr">
        <is>
          <t>x peak drawn</t>
        </is>
      </c>
      <c r="G58" s="9" t="inlineStr">
        <is>
          <t>AN ARITHMETIC CORRECTION, not a sensitivity, derived from Manappuram's 71-day realised tenor. It cuts the lending stream by 1.88x. DERIVED.</t>
        </is>
      </c>
    </row>
    <row r="59">
      <c r="A59" t="inlineStr">
        <is>
          <t>Draw events per borrower per year</t>
        </is>
      </c>
      <c r="B59" s="41">
        <f>CHOOSE($C$6,C59,D59,E59)</f>
        <v/>
      </c>
      <c r="C59" s="15" t="n">
        <v>2.1</v>
      </c>
      <c r="D59" s="15" t="n">
        <v>3.2</v>
      </c>
      <c r="E59" s="15" t="n">
        <v>1.3</v>
      </c>
      <c r="F59" s="23" t="inlineStr">
        <is>
          <t>events/yr</t>
        </is>
      </c>
      <c r="G59" s="9" t="inlineStr">
        <is>
          <t>MOVES WITH facility turnover - do not flex independently. DERIVED.</t>
        </is>
      </c>
    </row>
    <row r="60">
      <c r="A60" t="inlineStr">
        <is>
          <t>Family plan attach rate</t>
        </is>
      </c>
      <c r="B60" s="39">
        <f>CHOOSE($C$6,C60,D60,E60)</f>
        <v/>
      </c>
      <c r="C60" s="19" t="n">
        <v>0.2</v>
      </c>
      <c r="D60" s="19" t="n">
        <v>0.35</v>
      </c>
      <c r="E60" s="19" t="n">
        <v>0.1</v>
      </c>
      <c r="F60" s="23" t="inlineStr">
        <is>
          <t>% of customers</t>
        </is>
      </c>
      <c r="G60" s="9" t="inlineStr">
        <is>
          <t>NOTHING IS STATED ANYWHERE IN THE CORPUS. Pure assumption. Scales stream 3 linearly.</t>
        </is>
      </c>
    </row>
    <row r="61">
      <c r="A61" t="inlineStr">
        <is>
          <t>B2B partners - Y1</t>
        </is>
      </c>
      <c r="B61" s="31">
        <f>CHOOSE($C$6,C61,D61,E61)</f>
        <v/>
      </c>
      <c r="C61" s="17" t="n">
        <v>0</v>
      </c>
      <c r="D61" s="17" t="n">
        <v>0</v>
      </c>
      <c r="E61" s="17" t="n">
        <v>0</v>
      </c>
      <c r="F61" s="23" t="inlineStr">
        <is>
          <t>partners</t>
        </is>
      </c>
      <c r="G6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2">
      <c r="A62" t="inlineStr">
        <is>
          <t>B2B partners - Y2</t>
        </is>
      </c>
      <c r="B62" s="31">
        <f>CHOOSE($C$6,C62,D62,E62)</f>
        <v/>
      </c>
      <c r="C62" s="17" t="n">
        <v>1</v>
      </c>
      <c r="D62" s="17" t="n">
        <v>1</v>
      </c>
      <c r="E62" s="17" t="n">
        <v>1</v>
      </c>
      <c r="F62" s="23" t="inlineStr">
        <is>
          <t>partners</t>
        </is>
      </c>
      <c r="G62"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3">
      <c r="A63" t="inlineStr">
        <is>
          <t>B2B partners - Y3</t>
        </is>
      </c>
      <c r="B63" s="31">
        <f>CHOOSE($C$6,C63,D63,E63)</f>
        <v/>
      </c>
      <c r="C63" s="17" t="n">
        <v>2</v>
      </c>
      <c r="D63" s="17" t="n">
        <v>3</v>
      </c>
      <c r="E63" s="17" t="n">
        <v>1</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Y4</t>
        </is>
      </c>
      <c r="B64" s="31">
        <f>CHOOSE($C$6,C64,D64,E64)</f>
        <v/>
      </c>
      <c r="C64" s="17" t="n">
        <v>3</v>
      </c>
      <c r="D64" s="17" t="n">
        <v>5</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Y5</t>
        </is>
      </c>
      <c r="B65" s="31">
        <f>CHOOSE($C$6,C65,D65,E65)</f>
        <v/>
      </c>
      <c r="C65" s="17" t="n">
        <v>4</v>
      </c>
      <c r="D65" s="17" t="n">
        <v>7</v>
      </c>
      <c r="E65" s="17" t="n">
        <v>2</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Y6</t>
        </is>
      </c>
      <c r="B66" s="31">
        <f>CHOOSE($C$6,C66,D66,E66)</f>
        <v/>
      </c>
      <c r="C66" s="17" t="n">
        <v>5</v>
      </c>
      <c r="D66" s="17" t="n">
        <v>9</v>
      </c>
      <c r="E66" s="17" t="n">
        <v>2</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Y7</t>
        </is>
      </c>
      <c r="B67" s="31">
        <f>CHOOSE($C$6,C67,D67,E67)</f>
        <v/>
      </c>
      <c r="C67" s="17" t="n">
        <v>6</v>
      </c>
      <c r="D67" s="17" t="n">
        <v>11</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AUM per partner (mature)</t>
        </is>
      </c>
      <c r="B68" s="42">
        <f>CHOOSE($C$6,C68,D68,E68)</f>
        <v/>
      </c>
      <c r="C68" s="20" t="n">
        <v>32000000</v>
      </c>
      <c r="D68" s="20" t="n">
        <v>45000000</v>
      </c>
      <c r="E68" s="20" t="n">
        <v>22000000</v>
      </c>
      <c r="F68" s="23" t="inlineStr">
        <is>
          <t>USD</t>
        </is>
      </c>
      <c r="G68" s="9" t="inlineStr">
        <is>
          <t>Requires a signed partner. Partner AUM earns NO tier and consumes NO benefits - structurally the highest-margin book. DERIVED.</t>
        </is>
      </c>
    </row>
    <row r="70" ht="18" customHeight="1">
      <c r="A70" s="12" t="inlineStr">
        <is>
          <t>GROUP F: REGIONS</t>
        </is>
      </c>
      <c r="B70" s="13" t="n"/>
      <c r="C70" s="13" t="n"/>
      <c r="D70" s="13" t="n"/>
      <c r="E70" s="13" t="n"/>
    </row>
    <row r="71">
      <c r="A71" s="14" t="inlineStr">
        <is>
          <t>Parameter</t>
        </is>
      </c>
      <c r="B71" s="14" t="inlineStr">
        <is>
          <t>Active Value</t>
        </is>
      </c>
      <c r="C71" s="14" t="inlineStr">
        <is>
          <t>Base</t>
        </is>
      </c>
      <c r="D71" s="14" t="inlineStr">
        <is>
          <t>Aggressive</t>
        </is>
      </c>
      <c r="E71" s="14" t="inlineStr">
        <is>
          <t>Conservative</t>
        </is>
      </c>
      <c r="F71" s="14" t="inlineStr">
        <is>
          <t>Unit</t>
        </is>
      </c>
    </row>
    <row r="72">
      <c r="A72" t="inlineStr">
        <is>
          <t>Average monthly ticket - UAE</t>
        </is>
      </c>
      <c r="B72" s="42">
        <f>CHOOSE($C$6,C72,D72,E72)</f>
        <v/>
      </c>
      <c r="C72" s="20" t="n">
        <v>33.6</v>
      </c>
      <c r="D72" s="20" t="n">
        <v>41</v>
      </c>
      <c r="E72" s="20" t="n">
        <v>26.5</v>
      </c>
      <c r="F72" s="23" t="inlineStr">
        <is>
          <t>USD/month</t>
        </is>
      </c>
      <c r="G7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3">
      <c r="A73" t="inlineStr">
        <is>
          <t>Average monthly ticket - Oman and Bahrain</t>
        </is>
      </c>
      <c r="B73" s="42">
        <f>CHOOSE($C$6,C73,D73,E73)</f>
        <v/>
      </c>
      <c r="C73" s="20" t="n">
        <v>26</v>
      </c>
      <c r="D73" s="20" t="n">
        <v>32</v>
      </c>
      <c r="E73" s="20" t="n">
        <v>21</v>
      </c>
      <c r="F73" s="23" t="inlineStr">
        <is>
          <t>USD/month</t>
        </is>
      </c>
      <c r="G7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4">
      <c r="A74" t="inlineStr">
        <is>
          <t>Average monthly ticket - India</t>
        </is>
      </c>
      <c r="B74" s="42">
        <f>CHOOSE($C$6,C74,D74,E74)</f>
        <v/>
      </c>
      <c r="C74" s="20" t="n">
        <v>30</v>
      </c>
      <c r="D74" s="20" t="n">
        <v>36</v>
      </c>
      <c r="E74" s="20" t="n">
        <v>24</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ht="18" customHeight="1">
      <c r="A76" s="12" t="inlineStr">
        <is>
          <t>STRUCTURAL SWITCHES - the two that move revenue</t>
        </is>
      </c>
      <c r="B76" s="13" t="n"/>
      <c r="C76" s="13" t="n"/>
      <c r="D76" s="13" t="n"/>
      <c r="E76" s="13" t="n"/>
    </row>
    <row r="77">
      <c r="A77" s="14" t="inlineStr">
        <is>
          <t>Switch</t>
        </is>
      </c>
      <c r="B77" s="14" t="inlineStr">
        <is>
          <t>Active (1/0)</t>
        </is>
      </c>
      <c r="C77" s="14" t="inlineStr">
        <is>
          <t>State</t>
        </is>
      </c>
      <c r="D77" s="14" t="inlineStr">
        <is>
          <t>ON value</t>
        </is>
      </c>
    </row>
    <row r="78">
      <c r="A78" t="inlineStr">
        <is>
          <t>Prepaid instead of credit</t>
        </is>
      </c>
      <c r="B78" s="31">
        <f>IF($C$78="Prepaid",1,0)</f>
        <v/>
      </c>
      <c r="C78" s="38" t="inlineStr">
        <is>
          <t>Credit</t>
        </is>
      </c>
      <c r="D78" s="23" t="inlineStr">
        <is>
          <t>Prepaid</t>
        </is>
      </c>
      <c r="G78" s="9" t="inlineStr">
        <is>
          <t>ON (Prepaid) caps interchange at 1.00% and removes the credit stream entirely. 'NOT A PRODUCT CHOICE, IT IS THE BUSINESS MODEL.' Worth ~USD 2.3m of Y10 revenue on the ten-year run.</t>
        </is>
      </c>
    </row>
    <row r="79">
      <c r="A79" t="inlineStr">
        <is>
          <t>Holders keep the card</t>
        </is>
      </c>
      <c r="B79" s="31">
        <f>IF($C$79="ON",1,0)</f>
        <v/>
      </c>
      <c r="C79" s="38" t="inlineStr">
        <is>
          <t>ON</t>
        </is>
      </c>
      <c r="D79" s="23" t="inlineStr">
        <is>
          <t>ON</t>
        </is>
      </c>
      <c r="G7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78" showDropDown="0" showInputMessage="0" showErrorMessage="0" allowBlank="0" type="list">
      <formula1>"Credit,Prepaid"</formula1>
    </dataValidation>
    <dataValidation sqref="C7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7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(1+(Assumptions!$F$61-1)*Assumptions!$B$132)*12/SUMPRODUCT(1+(Assumptions!$F$61:$Q$61-1)*Assumptions!$B$132)</f>
        <v/>
      </c>
      <c r="D11" s="48">
        <f>(1+(Assumptions!$G$61-1)*Assumptions!$B$132)*12/SUMPRODUCT(1+(Assumptions!$F$61:$Q$61-1)*Assumptions!$B$132)</f>
        <v/>
      </c>
      <c r="E11" s="48">
        <f>(1+(Assumptions!$H$61-1)*Assumptions!$B$132)*12/SUMPRODUCT(1+(Assumptions!$F$61:$Q$61-1)*Assumptions!$B$132)</f>
        <v/>
      </c>
      <c r="F11" s="48">
        <f>(1+(Assumptions!$I$61-1)*Assumptions!$B$132)*12/SUMPRODUCT(1+(Assumptions!$F$61:$Q$61-1)*Assumptions!$B$132)</f>
        <v/>
      </c>
      <c r="G11" s="48">
        <f>(1+(Assumptions!$J$61-1)*Assumptions!$B$132)*12/SUMPRODUCT(1+(Assumptions!$F$61:$Q$61-1)*Assumptions!$B$132)</f>
        <v/>
      </c>
      <c r="H11" s="48">
        <f>(1+(Assumptions!$K$61-1)*Assumptions!$B$132)*12/SUMPRODUCT(1+(Assumptions!$F$61:$Q$61-1)*Assumptions!$B$132)</f>
        <v/>
      </c>
      <c r="I11" s="48">
        <f>(1+(Assumptions!$L$61-1)*Assumptions!$B$132)*12/SUMPRODUCT(1+(Assumptions!$F$61:$Q$61-1)*Assumptions!$B$132)</f>
        <v/>
      </c>
      <c r="J11" s="48">
        <f>(1+(Assumptions!$M$61-1)*Assumptions!$B$132)*12/SUMPRODUCT(1+(Assumptions!$F$61:$Q$61-1)*Assumptions!$B$132)</f>
        <v/>
      </c>
      <c r="K11" s="48">
        <f>(1+(Assumptions!$N$61-1)*Assumptions!$B$132)*12/SUMPRODUCT(1+(Assumptions!$F$61:$Q$61-1)*Assumptions!$B$132)</f>
        <v/>
      </c>
      <c r="L11" s="48">
        <f>(1+(Assumptions!$O$61-1)*Assumptions!$B$132)*12/SUMPRODUCT(1+(Assumptions!$F$61:$Q$61-1)*Assumptions!$B$132)</f>
        <v/>
      </c>
      <c r="M11" s="48">
        <f>(1+(Assumptions!$P$61-1)*Assumptions!$B$132)*12/SUMPRODUCT(1+(Assumptions!$F$61:$Q$61-1)*Assumptions!$B$132)</f>
        <v/>
      </c>
      <c r="N11" s="48">
        <f>(1+(Assumptions!$Q$61-1)*Assumptions!$B$132)*12/SUMPRODUCT(1+(Assumptions!$F$61:$Q$61-1)*Assumptions!$B$132)</f>
        <v/>
      </c>
    </row>
    <row r="12">
      <c r="A12" t="inlineStr">
        <is>
          <t>Card spend seasonality - normalised</t>
        </is>
      </c>
      <c r="B12" s="23" t="inlineStr">
        <is>
          <t>Jan..Dec</t>
        </is>
      </c>
      <c r="C12" s="48">
        <f>(1+(Assumptions!$F$62-1)*Assumptions!$B$132)*12/SUMPRODUCT(1+(Assumptions!$F$62:$Q$62-1)*Assumptions!$B$132)</f>
        <v/>
      </c>
      <c r="D12" s="48">
        <f>(1+(Assumptions!$G$62-1)*Assumptions!$B$132)*12/SUMPRODUCT(1+(Assumptions!$F$62:$Q$62-1)*Assumptions!$B$132)</f>
        <v/>
      </c>
      <c r="E12" s="48">
        <f>(1+(Assumptions!$H$62-1)*Assumptions!$B$132)*12/SUMPRODUCT(1+(Assumptions!$F$62:$Q$62-1)*Assumptions!$B$132)</f>
        <v/>
      </c>
      <c r="F12" s="48">
        <f>(1+(Assumptions!$I$62-1)*Assumptions!$B$132)*12/SUMPRODUCT(1+(Assumptions!$F$62:$Q$62-1)*Assumptions!$B$132)</f>
        <v/>
      </c>
      <c r="G12" s="48">
        <f>(1+(Assumptions!$J$62-1)*Assumptions!$B$132)*12/SUMPRODUCT(1+(Assumptions!$F$62:$Q$62-1)*Assumptions!$B$132)</f>
        <v/>
      </c>
      <c r="H12" s="48">
        <f>(1+(Assumptions!$K$62-1)*Assumptions!$B$132)*12/SUMPRODUCT(1+(Assumptions!$F$62:$Q$62-1)*Assumptions!$B$132)</f>
        <v/>
      </c>
      <c r="I12" s="48">
        <f>(1+(Assumptions!$L$62-1)*Assumptions!$B$132)*12/SUMPRODUCT(1+(Assumptions!$F$62:$Q$62-1)*Assumptions!$B$132)</f>
        <v/>
      </c>
      <c r="J12" s="48">
        <f>(1+(Assumptions!$M$62-1)*Assumptions!$B$132)*12/SUMPRODUCT(1+(Assumptions!$F$62:$Q$62-1)*Assumptions!$B$132)</f>
        <v/>
      </c>
      <c r="K12" s="48">
        <f>(1+(Assumptions!$N$62-1)*Assumptions!$B$132)*12/SUMPRODUCT(1+(Assumptions!$F$62:$Q$62-1)*Assumptions!$B$132)</f>
        <v/>
      </c>
      <c r="L12" s="48">
        <f>(1+(Assumptions!$O$62-1)*Assumptions!$B$132)*12/SUMPRODUCT(1+(Assumptions!$F$62:$Q$62-1)*Assumptions!$B$132)</f>
        <v/>
      </c>
      <c r="M12" s="48">
        <f>(1+(Assumptions!$P$62-1)*Assumptions!$B$132)*12/SUMPRODUCT(1+(Assumptions!$F$62:$Q$62-1)*Assumptions!$B$132)</f>
        <v/>
      </c>
      <c r="N12" s="48">
        <f>(1+(Assumptions!$Q$62-1)*Assumptions!$B$132)*12/SUMPRODUCT(1+(Assumptions!$F$62:$Q$62-1)*Assumptions!$B$132)</f>
        <v/>
      </c>
    </row>
    <row r="13">
      <c r="A13" t="inlineStr">
        <is>
          <t>Foreign-spend share - rescaled to the mean</t>
        </is>
      </c>
      <c r="B13" s="23" t="inlineStr">
        <is>
          <t>Jan..Dec</t>
        </is>
      </c>
      <c r="C13" s="49">
        <f>Assumptions!$F$63/AVERAGE(Assumptions!$F$63:$Q$63)*Assumptions!$B$144</f>
        <v/>
      </c>
      <c r="D13" s="49">
        <f>Assumptions!$G$63/AVERAGE(Assumptions!$F$63:$Q$63)*Assumptions!$B$144</f>
        <v/>
      </c>
      <c r="E13" s="49">
        <f>Assumptions!$H$63/AVERAGE(Assumptions!$F$63:$Q$63)*Assumptions!$B$144</f>
        <v/>
      </c>
      <c r="F13" s="49">
        <f>Assumptions!$I$63/AVERAGE(Assumptions!$F$63:$Q$63)*Assumptions!$B$144</f>
        <v/>
      </c>
      <c r="G13" s="49">
        <f>Assumptions!$J$63/AVERAGE(Assumptions!$F$63:$Q$63)*Assumptions!$B$144</f>
        <v/>
      </c>
      <c r="H13" s="49">
        <f>Assumptions!$K$63/AVERAGE(Assumptions!$F$63:$Q$63)*Assumptions!$B$144</f>
        <v/>
      </c>
      <c r="I13" s="49">
        <f>Assumptions!$L$63/AVERAGE(Assumptions!$F$63:$Q$63)*Assumptions!$B$144</f>
        <v/>
      </c>
      <c r="J13" s="49">
        <f>Assumptions!$M$63/AVERAGE(Assumptions!$F$63:$Q$63)*Assumptions!$B$144</f>
        <v/>
      </c>
      <c r="K13" s="49">
        <f>Assumptions!$N$63/AVERAGE(Assumptions!$F$63:$Q$63)*Assumptions!$B$144</f>
        <v/>
      </c>
      <c r="L13" s="49">
        <f>Assumptions!$O$63/AVERAGE(Assumptions!$F$63:$Q$63)*Assumptions!$B$144</f>
        <v/>
      </c>
      <c r="M13" s="49">
        <f>Assumptions!$P$63/AVERAGE(Assumptions!$F$63:$Q$63)*Assumptions!$B$144</f>
        <v/>
      </c>
      <c r="N13" s="49">
        <f>Assumptions!$Q$63/AVERAGE(Assumptions!$F$63:$Q$63)*Assumptions!$B$144</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INDEX(Assumptions!$B$93:$B$99,C5)*Assumptions!$B$122*INDEX(Assumptions!$B$107:$B$113,C5)*C7</f>
        <v/>
      </c>
      <c r="D20" s="53">
        <f>INDEX(Assumptions!$B$93:$B$99,D5)*Assumptions!$B$122*INDEX(Assumptions!$B$107:$B$113,D5)*D7</f>
        <v/>
      </c>
      <c r="E20" s="53">
        <f>INDEX(Assumptions!$B$93:$B$99,E5)*Assumptions!$B$122*INDEX(Assumptions!$B$107:$B$113,E5)*E7</f>
        <v/>
      </c>
      <c r="F20" s="53">
        <f>INDEX(Assumptions!$B$93:$B$99,F5)*Assumptions!$B$122*INDEX(Assumptions!$B$107:$B$113,F5)*F7</f>
        <v/>
      </c>
      <c r="G20" s="53">
        <f>INDEX(Assumptions!$B$93:$B$99,G5)*Assumptions!$B$122*INDEX(Assumptions!$B$107:$B$113,G5)*G7</f>
        <v/>
      </c>
      <c r="H20" s="53">
        <f>INDEX(Assumptions!$B$93:$B$99,H5)*Assumptions!$B$122*INDEX(Assumptions!$B$107:$B$113,H5)*H7</f>
        <v/>
      </c>
      <c r="I20" s="53">
        <f>INDEX(Assumptions!$B$93:$B$99,I5)*Assumptions!$B$122*INDEX(Assumptions!$B$107:$B$113,I5)*I7</f>
        <v/>
      </c>
      <c r="J20" s="53">
        <f>INDEX(Assumptions!$B$93:$B$99,J5)*Assumptions!$B$122*INDEX(Assumptions!$B$107:$B$113,J5)*J7</f>
        <v/>
      </c>
      <c r="K20" s="53">
        <f>INDEX(Assumptions!$B$93:$B$99,K5)*Assumptions!$B$122*INDEX(Assumptions!$B$107:$B$113,K5)*K7</f>
        <v/>
      </c>
      <c r="L20" s="53">
        <f>INDEX(Assumptions!$B$93:$B$99,L5)*Assumptions!$B$122*INDEX(Assumptions!$B$107:$B$113,L5)*L7</f>
        <v/>
      </c>
      <c r="M20" s="53">
        <f>INDEX(Assumptions!$B$93:$B$99,M5)*Assumptions!$B$122*INDEX(Assumptions!$B$107:$B$113,M5)*M7</f>
        <v/>
      </c>
      <c r="N20" s="53">
        <f>INDEX(Assumptions!$B$93:$B$99,N5)*Assumptions!$B$122*INDEX(Assumptions!$B$107:$B$113,N5)*N7</f>
        <v/>
      </c>
      <c r="O20" s="53">
        <f>INDEX(Assumptions!$B$93:$B$99,O5)*Assumptions!$B$122*INDEX(Assumptions!$B$107:$B$113,O5)*O7</f>
        <v/>
      </c>
      <c r="P20" s="53">
        <f>INDEX(Assumptions!$B$93:$B$99,P5)*Assumptions!$B$122*INDEX(Assumptions!$B$107:$B$113,P5)*P7</f>
        <v/>
      </c>
      <c r="Q20" s="53">
        <f>INDEX(Assumptions!$B$93:$B$99,Q5)*Assumptions!$B$122*INDEX(Assumptions!$B$107:$B$113,Q5)*Q7</f>
        <v/>
      </c>
      <c r="R20" s="53">
        <f>INDEX(Assumptions!$B$93:$B$99,R5)*Assumptions!$B$122*INDEX(Assumptions!$B$107:$B$113,R5)*R7</f>
        <v/>
      </c>
      <c r="S20" s="53">
        <f>INDEX(Assumptions!$B$93:$B$99,S5)*Assumptions!$B$122*INDEX(Assumptions!$B$107:$B$113,S5)*S7</f>
        <v/>
      </c>
      <c r="T20" s="53">
        <f>INDEX(Assumptions!$B$93:$B$99,T5)*Assumptions!$B$122*INDEX(Assumptions!$B$107:$B$113,T5)*T7</f>
        <v/>
      </c>
      <c r="U20" s="53">
        <f>INDEX(Assumptions!$B$93:$B$99,U5)*Assumptions!$B$122*INDEX(Assumptions!$B$107:$B$113,U5)*U7</f>
        <v/>
      </c>
      <c r="V20" s="53">
        <f>INDEX(Assumptions!$B$93:$B$99,V5)*Assumptions!$B$122*INDEX(Assumptions!$B$107:$B$113,V5)*V7</f>
        <v/>
      </c>
      <c r="W20" s="53">
        <f>INDEX(Assumptions!$B$93:$B$99,W5)*Assumptions!$B$122*INDEX(Assumptions!$B$107:$B$113,W5)*W7</f>
        <v/>
      </c>
      <c r="X20" s="53">
        <f>INDEX(Assumptions!$B$93:$B$99,X5)*Assumptions!$B$122*INDEX(Assumptions!$B$107:$B$113,X5)*X7</f>
        <v/>
      </c>
      <c r="Y20" s="53">
        <f>INDEX(Assumptions!$B$93:$B$99,Y5)*Assumptions!$B$122*INDEX(Assumptions!$B$107:$B$113,Y5)*Y7</f>
        <v/>
      </c>
      <c r="Z20" s="53">
        <f>INDEX(Assumptions!$B$93:$B$99,Z5)*Assumptions!$B$122*INDEX(Assumptions!$B$107:$B$113,Z5)*Z7</f>
        <v/>
      </c>
      <c r="AA20" s="53">
        <f>INDEX(Assumptions!$B$93:$B$99,AA5)*Assumptions!$B$122*INDEX(Assumptions!$B$107:$B$113,AA5)*AA7</f>
        <v/>
      </c>
      <c r="AB20" s="53">
        <f>INDEX(Assumptions!$B$93:$B$99,AB5)*Assumptions!$B$122*INDEX(Assumptions!$B$107:$B$113,AB5)*AB7</f>
        <v/>
      </c>
      <c r="AC20" s="53">
        <f>INDEX(Assumptions!$B$93:$B$99,AC5)*Assumptions!$B$122*INDEX(Assumptions!$B$107:$B$113,AC5)*AC7</f>
        <v/>
      </c>
      <c r="AD20" s="53">
        <f>INDEX(Assumptions!$B$93:$B$99,AD5)*Assumptions!$B$122*INDEX(Assumptions!$B$107:$B$113,AD5)*AD7</f>
        <v/>
      </c>
      <c r="AE20" s="53">
        <f>INDEX(Assumptions!$B$93:$B$99,AE5)*Assumptions!$B$122*INDEX(Assumptions!$B$107:$B$113,AE5)*AE7</f>
        <v/>
      </c>
    </row>
    <row r="21">
      <c r="A21" s="6" t="inlineStr">
        <is>
          <t>Open-region salesforce share (renormalisation base)</t>
        </is>
      </c>
      <c r="B21" s="23" t="inlineStr">
        <is>
          <t>x</t>
        </is>
      </c>
      <c r="C21" s="48">
        <f>Assumptions!$B$114*1+Assumptions!$B$115*IF(C2&gt;=Assumptions!$B$56,1,0)+Assumptions!$B$116*IF(C2&gt;=Assumptions!$B$57,1,0)</f>
        <v/>
      </c>
      <c r="D21" s="48">
        <f>Assumptions!$B$114*1+Assumptions!$B$115*IF(D2&gt;=Assumptions!$B$56,1,0)+Assumptions!$B$116*IF(D2&gt;=Assumptions!$B$57,1,0)</f>
        <v/>
      </c>
      <c r="E21" s="48">
        <f>Assumptions!$B$114*1+Assumptions!$B$115*IF(E2&gt;=Assumptions!$B$56,1,0)+Assumptions!$B$116*IF(E2&gt;=Assumptions!$B$57,1,0)</f>
        <v/>
      </c>
      <c r="F21" s="48">
        <f>Assumptions!$B$114*1+Assumptions!$B$115*IF(F2&gt;=Assumptions!$B$56,1,0)+Assumptions!$B$116*IF(F2&gt;=Assumptions!$B$57,1,0)</f>
        <v/>
      </c>
      <c r="G21" s="48">
        <f>Assumptions!$B$114*1+Assumptions!$B$115*IF(G2&gt;=Assumptions!$B$56,1,0)+Assumptions!$B$116*IF(G2&gt;=Assumptions!$B$57,1,0)</f>
        <v/>
      </c>
      <c r="H21" s="48">
        <f>Assumptions!$B$114*1+Assumptions!$B$115*IF(H2&gt;=Assumptions!$B$56,1,0)+Assumptions!$B$116*IF(H2&gt;=Assumptions!$B$57,1,0)</f>
        <v/>
      </c>
      <c r="I21" s="48">
        <f>Assumptions!$B$114*1+Assumptions!$B$115*IF(I2&gt;=Assumptions!$B$56,1,0)+Assumptions!$B$116*IF(I2&gt;=Assumptions!$B$57,1,0)</f>
        <v/>
      </c>
      <c r="J21" s="48">
        <f>Assumptions!$B$114*1+Assumptions!$B$115*IF(J2&gt;=Assumptions!$B$56,1,0)+Assumptions!$B$116*IF(J2&gt;=Assumptions!$B$57,1,0)</f>
        <v/>
      </c>
      <c r="K21" s="48">
        <f>Assumptions!$B$114*1+Assumptions!$B$115*IF(K2&gt;=Assumptions!$B$56,1,0)+Assumptions!$B$116*IF(K2&gt;=Assumptions!$B$57,1,0)</f>
        <v/>
      </c>
      <c r="L21" s="48">
        <f>Assumptions!$B$114*1+Assumptions!$B$115*IF(L2&gt;=Assumptions!$B$56,1,0)+Assumptions!$B$116*IF(L2&gt;=Assumptions!$B$57,1,0)</f>
        <v/>
      </c>
      <c r="M21" s="48">
        <f>Assumptions!$B$114*1+Assumptions!$B$115*IF(M2&gt;=Assumptions!$B$56,1,0)+Assumptions!$B$116*IF(M2&gt;=Assumptions!$B$57,1,0)</f>
        <v/>
      </c>
      <c r="N21" s="48">
        <f>Assumptions!$B$114*1+Assumptions!$B$115*IF(N2&gt;=Assumptions!$B$56,1,0)+Assumptions!$B$116*IF(N2&gt;=Assumptions!$B$57,1,0)</f>
        <v/>
      </c>
      <c r="O21" s="48">
        <f>Assumptions!$B$114*1+Assumptions!$B$115*IF(O2&gt;=Assumptions!$B$56,1,0)+Assumptions!$B$116*IF(O2&gt;=Assumptions!$B$57,1,0)</f>
        <v/>
      </c>
      <c r="P21" s="48">
        <f>Assumptions!$B$114*1+Assumptions!$B$115*IF(P2&gt;=Assumptions!$B$56,1,0)+Assumptions!$B$116*IF(P2&gt;=Assumptions!$B$57,1,0)</f>
        <v/>
      </c>
      <c r="Q21" s="48">
        <f>Assumptions!$B$114*1+Assumptions!$B$115*IF(Q2&gt;=Assumptions!$B$56,1,0)+Assumptions!$B$116*IF(Q2&gt;=Assumptions!$B$57,1,0)</f>
        <v/>
      </c>
      <c r="R21" s="48">
        <f>Assumptions!$B$114*1+Assumptions!$B$115*IF(R2&gt;=Assumptions!$B$56,1,0)+Assumptions!$B$116*IF(R2&gt;=Assumptions!$B$57,1,0)</f>
        <v/>
      </c>
      <c r="S21" s="48">
        <f>Assumptions!$B$114*1+Assumptions!$B$115*IF(S2&gt;=Assumptions!$B$56,1,0)+Assumptions!$B$116*IF(S2&gt;=Assumptions!$B$57,1,0)</f>
        <v/>
      </c>
      <c r="T21" s="48">
        <f>Assumptions!$B$114*1+Assumptions!$B$115*IF(T2&gt;=Assumptions!$B$56,1,0)+Assumptions!$B$116*IF(T2&gt;=Assumptions!$B$57,1,0)</f>
        <v/>
      </c>
      <c r="U21" s="48">
        <f>Assumptions!$B$114*1+Assumptions!$B$115*IF(U2&gt;=Assumptions!$B$56,1,0)+Assumptions!$B$116*IF(U2&gt;=Assumptions!$B$57,1,0)</f>
        <v/>
      </c>
      <c r="V21" s="48">
        <f>Assumptions!$B$114*1+Assumptions!$B$115*IF(V2&gt;=Assumptions!$B$56,1,0)+Assumptions!$B$116*IF(V2&gt;=Assumptions!$B$57,1,0)</f>
        <v/>
      </c>
      <c r="W21" s="48">
        <f>Assumptions!$B$114*1+Assumptions!$B$115*IF(W2&gt;=Assumptions!$B$56,1,0)+Assumptions!$B$116*IF(W2&gt;=Assumptions!$B$57,1,0)</f>
        <v/>
      </c>
      <c r="X21" s="48">
        <f>Assumptions!$B$114*1+Assumptions!$B$115*IF(X2&gt;=Assumptions!$B$56,1,0)+Assumptions!$B$116*IF(X2&gt;=Assumptions!$B$57,1,0)</f>
        <v/>
      </c>
      <c r="Y21" s="48">
        <f>Assumptions!$B$114*1+Assumptions!$B$115*IF(Y2&gt;=Assumptions!$B$56,1,0)+Assumptions!$B$116*IF(Y2&gt;=Assumptions!$B$57,1,0)</f>
        <v/>
      </c>
      <c r="Z21" s="48">
        <f>Assumptions!$B$114*1+Assumptions!$B$115*IF(Z2&gt;=Assumptions!$B$56,1,0)+Assumptions!$B$116*IF(Z2&gt;=Assumptions!$B$57,1,0)</f>
        <v/>
      </c>
      <c r="AA21" s="48">
        <f>Assumptions!$B$114*1+Assumptions!$B$115*IF(AA2&gt;=Assumptions!$B$56,1,0)+Assumptions!$B$116*IF(AA2&gt;=Assumptions!$B$57,1,0)</f>
        <v/>
      </c>
      <c r="AB21" s="48">
        <f>Assumptions!$B$114*1+Assumptions!$B$115*IF(AB2&gt;=Assumptions!$B$56,1,0)+Assumptions!$B$116*IF(AB2&gt;=Assumptions!$B$57,1,0)</f>
        <v/>
      </c>
      <c r="AC21" s="48">
        <f>Assumptions!$B$114*1+Assumptions!$B$115*IF(AC2&gt;=Assumptions!$B$56,1,0)+Assumptions!$B$116*IF(AC2&gt;=Assumptions!$B$57,1,0)</f>
        <v/>
      </c>
      <c r="AD21" s="48">
        <f>Assumptions!$B$114*1+Assumptions!$B$115*IF(AD2&gt;=Assumptions!$B$56,1,0)+Assumptions!$B$116*IF(AD2&gt;=Assumptions!$B$57,1,0)</f>
        <v/>
      </c>
      <c r="AE21" s="48">
        <f>Assumptions!$B$114*1+Assumptions!$B$115*IF(AE2&gt;=Assumptions!$B$56,1,0)+Assumptions!$B$116*IF(AE2&gt;=Assumptions!$B$57,1,0)</f>
        <v/>
      </c>
    </row>
    <row r="23">
      <c r="A23" s="46" t="inlineStr">
        <is>
          <t>REGION: UAE</t>
        </is>
      </c>
      <c r="B23" s="47" t="n"/>
      <c r="C23" s="47" t="n"/>
      <c r="D23" s="47" t="n"/>
      <c r="E23" s="47" t="n"/>
      <c r="F23" s="47" t="n"/>
      <c r="G23" s="47" t="n"/>
      <c r="H23" s="47" t="n"/>
      <c r="I23" s="47" t="n"/>
      <c r="J23" s="47" t="n"/>
      <c r="K23" s="47" t="n"/>
      <c r="L23" s="47" t="n"/>
      <c r="M23" s="47" t="n"/>
      <c r="N23" s="47" t="n"/>
      <c r="O23" s="47" t="n"/>
      <c r="P23" s="47" t="n"/>
      <c r="Q23" s="47" t="n"/>
      <c r="R23" s="47" t="n"/>
      <c r="S23" s="47" t="n"/>
      <c r="T23" s="47" t="n"/>
      <c r="U23" s="47" t="n"/>
      <c r="V23" s="47" t="n"/>
      <c r="W23" s="47" t="n"/>
      <c r="X23" s="47" t="n"/>
      <c r="Y23" s="47" t="n"/>
      <c r="Z23" s="47" t="n"/>
      <c r="AA23" s="47" t="n"/>
      <c r="AB23" s="47" t="n"/>
      <c r="AC23" s="47" t="n"/>
      <c r="AD23" s="47" t="n"/>
      <c r="AE23" s="47" t="n"/>
    </row>
    <row r="24">
      <c r="A24" s="6" t="inlineStr">
        <is>
          <t xml:space="preserve">  Direct-driven (this market's budget at its own CAC)</t>
        </is>
      </c>
      <c r="B24" s="23" t="inlineStr">
        <is>
          <t>accounts</t>
        </is>
      </c>
      <c r="C24" s="53">
        <f>INDEX(Assumptions!$B$100:$B$106,C5)*Assumptions!$B$126/12*C7/Assumptions!$B$123*(1+Assumptions!$B$131)*1</f>
        <v/>
      </c>
      <c r="D24" s="53">
        <f>INDEX(Assumptions!$B$100:$B$106,D5)*Assumptions!$B$126/12*D7/Assumptions!$B$123*(1+Assumptions!$B$131)*1</f>
        <v/>
      </c>
      <c r="E24" s="53">
        <f>INDEX(Assumptions!$B$100:$B$106,E5)*Assumptions!$B$126/12*E7/Assumptions!$B$123*(1+Assumptions!$B$131)*1</f>
        <v/>
      </c>
      <c r="F24" s="53">
        <f>INDEX(Assumptions!$B$100:$B$106,F5)*Assumptions!$B$126/12*F7/Assumptions!$B$123*(1+Assumptions!$B$131)*1</f>
        <v/>
      </c>
      <c r="G24" s="53">
        <f>INDEX(Assumptions!$B$100:$B$106,G5)*Assumptions!$B$126/12*G7/Assumptions!$B$123*(1+Assumptions!$B$131)*1</f>
        <v/>
      </c>
      <c r="H24" s="53">
        <f>INDEX(Assumptions!$B$100:$B$106,H5)*Assumptions!$B$126/12*H7/Assumptions!$B$123*(1+Assumptions!$B$131)*1</f>
        <v/>
      </c>
      <c r="I24" s="53">
        <f>INDEX(Assumptions!$B$100:$B$106,I5)*Assumptions!$B$126/12*I7/Assumptions!$B$123*(1+Assumptions!$B$131)*1</f>
        <v/>
      </c>
      <c r="J24" s="53">
        <f>INDEX(Assumptions!$B$100:$B$106,J5)*Assumptions!$B$126/12*J7/Assumptions!$B$123*(1+Assumptions!$B$131)*1</f>
        <v/>
      </c>
      <c r="K24" s="53">
        <f>INDEX(Assumptions!$B$100:$B$106,K5)*Assumptions!$B$126/12*K7/Assumptions!$B$123*(1+Assumptions!$B$131)*1</f>
        <v/>
      </c>
      <c r="L24" s="53">
        <f>INDEX(Assumptions!$B$100:$B$106,L5)*Assumptions!$B$126/12*L7/Assumptions!$B$123*(1+Assumptions!$B$131)*1</f>
        <v/>
      </c>
      <c r="M24" s="53">
        <f>INDEX(Assumptions!$B$100:$B$106,M5)*Assumptions!$B$126/12*M7/Assumptions!$B$123*(1+Assumptions!$B$131)*1</f>
        <v/>
      </c>
      <c r="N24" s="53">
        <f>INDEX(Assumptions!$B$100:$B$106,N5)*Assumptions!$B$126/12*N7/Assumptions!$B$123*(1+Assumptions!$B$131)*1</f>
        <v/>
      </c>
      <c r="O24" s="53">
        <f>INDEX(Assumptions!$B$100:$B$106,O5)*Assumptions!$B$126/12*O7/Assumptions!$B$123*(1+Assumptions!$B$131)*1</f>
        <v/>
      </c>
      <c r="P24" s="53">
        <f>INDEX(Assumptions!$B$100:$B$106,P5)*Assumptions!$B$126/12*P7/Assumptions!$B$123*(1+Assumptions!$B$131)*1</f>
        <v/>
      </c>
      <c r="Q24" s="53">
        <f>INDEX(Assumptions!$B$100:$B$106,Q5)*Assumptions!$B$126/12*Q7/Assumptions!$B$123*(1+Assumptions!$B$131)*1</f>
        <v/>
      </c>
      <c r="R24" s="53">
        <f>INDEX(Assumptions!$B$100:$B$106,R5)*Assumptions!$B$126/12*R7/Assumptions!$B$123*(1+Assumptions!$B$131)*1</f>
        <v/>
      </c>
      <c r="S24" s="53">
        <f>INDEX(Assumptions!$B$100:$B$106,S5)*Assumptions!$B$126/12*S7/Assumptions!$B$123*(1+Assumptions!$B$131)*1</f>
        <v/>
      </c>
      <c r="T24" s="53">
        <f>INDEX(Assumptions!$B$100:$B$106,T5)*Assumptions!$B$126/12*T7/Assumptions!$B$123*(1+Assumptions!$B$131)*1</f>
        <v/>
      </c>
      <c r="U24" s="53">
        <f>INDEX(Assumptions!$B$100:$B$106,U5)*Assumptions!$B$126/12*U7/Assumptions!$B$123*(1+Assumptions!$B$131)*1</f>
        <v/>
      </c>
      <c r="V24" s="53">
        <f>INDEX(Assumptions!$B$100:$B$106,V5)*Assumptions!$B$126/12*V7/Assumptions!$B$123*(1+Assumptions!$B$131)*1</f>
        <v/>
      </c>
      <c r="W24" s="53">
        <f>INDEX(Assumptions!$B$100:$B$106,W5)*Assumptions!$B$126/12*W7/Assumptions!$B$123*(1+Assumptions!$B$131)*1</f>
        <v/>
      </c>
      <c r="X24" s="53">
        <f>INDEX(Assumptions!$B$100:$B$106,X5)*Assumptions!$B$126/12*X7/Assumptions!$B$123*(1+Assumptions!$B$131)*1</f>
        <v/>
      </c>
      <c r="Y24" s="53">
        <f>INDEX(Assumptions!$B$100:$B$106,Y5)*Assumptions!$B$126/12*Y7/Assumptions!$B$123*(1+Assumptions!$B$131)*1</f>
        <v/>
      </c>
      <c r="Z24" s="53">
        <f>INDEX(Assumptions!$B$100:$B$106,Z5)*Assumptions!$B$126/12*Z7/Assumptions!$B$123*(1+Assumptions!$B$131)*1</f>
        <v/>
      </c>
      <c r="AA24" s="53">
        <f>INDEX(Assumptions!$B$100:$B$106,AA5)*Assumptions!$B$126/12*AA7/Assumptions!$B$123*(1+Assumptions!$B$131)*1</f>
        <v/>
      </c>
      <c r="AB24" s="53">
        <f>INDEX(Assumptions!$B$100:$B$106,AB5)*Assumptions!$B$126/12*AB7/Assumptions!$B$123*(1+Assumptions!$B$131)*1</f>
        <v/>
      </c>
      <c r="AC24" s="53">
        <f>INDEX(Assumptions!$B$100:$B$106,AC5)*Assumptions!$B$126/12*AC7/Assumptions!$B$123*(1+Assumptions!$B$131)*1</f>
        <v/>
      </c>
      <c r="AD24" s="53">
        <f>INDEX(Assumptions!$B$100:$B$106,AD5)*Assumptions!$B$126/12*AD7/Assumptions!$B$123*(1+Assumptions!$B$131)*1</f>
        <v/>
      </c>
      <c r="AE24" s="53">
        <f>INDEX(Assumptions!$B$100:$B$106,AE5)*Assumptions!$B$126/12*AE7/Assumptions!$B$123*(1+Assumptions!$B$131)*1</f>
        <v/>
      </c>
    </row>
    <row r="25">
      <c r="A25" s="6" t="inlineStr">
        <is>
          <t xml:space="preserve">  Referral-driven (from this market's own base)</t>
        </is>
      </c>
      <c r="B25" s="23" t="inlineStr">
        <is>
          <t>accounts</t>
        </is>
      </c>
      <c r="C25" s="54" t="n">
        <v>0</v>
      </c>
      <c r="D25" s="54">
        <f>IF(D2&gt;=Assumptions!$B$55,C29*Assumptions!$B$129/12*Assumptions!$B$130*D7,0)</f>
        <v/>
      </c>
      <c r="E25" s="54">
        <f>IF(E2&gt;=Assumptions!$B$55,D29*Assumptions!$B$129/12*Assumptions!$B$130*E7,0)</f>
        <v/>
      </c>
      <c r="F25" s="54">
        <f>IF(F2&gt;=Assumptions!$B$55,E29*Assumptions!$B$129/12*Assumptions!$B$130*F7,0)</f>
        <v/>
      </c>
      <c r="G25" s="54">
        <f>IF(G2&gt;=Assumptions!$B$55,F29*Assumptions!$B$129/12*Assumptions!$B$130*G7,0)</f>
        <v/>
      </c>
      <c r="H25" s="54">
        <f>IF(H2&gt;=Assumptions!$B$55,G29*Assumptions!$B$129/12*Assumptions!$B$130*H7,0)</f>
        <v/>
      </c>
      <c r="I25" s="54">
        <f>IF(I2&gt;=Assumptions!$B$55,H29*Assumptions!$B$129/12*Assumptions!$B$130*I7,0)</f>
        <v/>
      </c>
      <c r="J25" s="54">
        <f>IF(J2&gt;=Assumptions!$B$55,I29*Assumptions!$B$129/12*Assumptions!$B$130*J7,0)</f>
        <v/>
      </c>
      <c r="K25" s="54">
        <f>IF(K2&gt;=Assumptions!$B$55,J29*Assumptions!$B$129/12*Assumptions!$B$130*K7,0)</f>
        <v/>
      </c>
      <c r="L25" s="54">
        <f>IF(L2&gt;=Assumptions!$B$55,K29*Assumptions!$B$129/12*Assumptions!$B$130*L7,0)</f>
        <v/>
      </c>
      <c r="M25" s="54">
        <f>IF(M2&gt;=Assumptions!$B$55,L29*Assumptions!$B$129/12*Assumptions!$B$130*M7,0)</f>
        <v/>
      </c>
      <c r="N25" s="54">
        <f>IF(N2&gt;=Assumptions!$B$55,M29*Assumptions!$B$129/12*Assumptions!$B$130*N7,0)</f>
        <v/>
      </c>
      <c r="O25" s="54">
        <f>IF(O2&gt;=Assumptions!$B$55,N29*Assumptions!$B$129/12*Assumptions!$B$130*O7,0)</f>
        <v/>
      </c>
      <c r="P25" s="54">
        <f>IF(P2&gt;=Assumptions!$B$55,O29*Assumptions!$B$129/12*Assumptions!$B$130*P7,0)</f>
        <v/>
      </c>
      <c r="Q25" s="54">
        <f>IF(Q2&gt;=Assumptions!$B$55,P29*Assumptions!$B$129/12*Assumptions!$B$130*Q7,0)</f>
        <v/>
      </c>
      <c r="R25" s="54">
        <f>IF(R2&gt;=Assumptions!$B$55,Q29*Assumptions!$B$129/12*Assumptions!$B$130*R7,0)</f>
        <v/>
      </c>
      <c r="S25" s="54">
        <f>IF(S2&gt;=Assumptions!$B$55,R29*Assumptions!$B$129/12*Assumptions!$B$130*S7,0)</f>
        <v/>
      </c>
      <c r="T25" s="54">
        <f>IF(T2&gt;=Assumptions!$B$55,S29*Assumptions!$B$129/12*Assumptions!$B$130*T7,0)</f>
        <v/>
      </c>
      <c r="U25" s="54">
        <f>IF(U2&gt;=Assumptions!$B$55,T29*Assumptions!$B$129/12*Assumptions!$B$130*U7,0)</f>
        <v/>
      </c>
      <c r="V25" s="54">
        <f>IF(V2&gt;=Assumptions!$B$55,U29*Assumptions!$B$129/12*Assumptions!$B$130*V7,0)</f>
        <v/>
      </c>
      <c r="W25" s="54">
        <f>IF(W2&gt;=Assumptions!$B$55,V29*Assumptions!$B$129/12*Assumptions!$B$130*W7,0)</f>
        <v/>
      </c>
      <c r="X25" s="54">
        <f>IF(X2&gt;=Assumptions!$B$55,W29*Assumptions!$B$129/12*Assumptions!$B$130*X7,0)</f>
        <v/>
      </c>
      <c r="Y25" s="54">
        <f>IF(Y2&gt;=Assumptions!$B$55,X29*Assumptions!$B$129/12*Assumptions!$B$130*Y7,0)</f>
        <v/>
      </c>
      <c r="Z25" s="54">
        <f>IF(Z2&gt;=Assumptions!$B$55,Y29*Assumptions!$B$129/12*Assumptions!$B$130*Z7,0)</f>
        <v/>
      </c>
      <c r="AA25" s="54">
        <f>IF(AA2&gt;=Assumptions!$B$55,Z29*Assumptions!$B$129/12*Assumptions!$B$130*AA7,0)</f>
        <v/>
      </c>
      <c r="AB25" s="54">
        <f>IF(AB2&gt;=Assumptions!$B$55,AA29*Assumptions!$B$129/12*Assumptions!$B$130*AB7,0)</f>
        <v/>
      </c>
      <c r="AC25" s="54">
        <f>IF(AC2&gt;=Assumptions!$B$55,AB29*Assumptions!$B$129/12*Assumptions!$B$130*AC7,0)</f>
        <v/>
      </c>
      <c r="AD25" s="54">
        <f>IF(AD2&gt;=Assumptions!$B$55,AC29*Assumptions!$B$129/12*Assumptions!$B$130*AD7,0)</f>
        <v/>
      </c>
      <c r="AE25" s="54">
        <f>IF(AE2&gt;=Assumptions!$B$55,AD29*Assumptions!$B$129/12*Assumptions!$B$130*AE7,0)</f>
        <v/>
      </c>
    </row>
    <row r="26">
      <c r="A26" s="6" t="inlineStr">
        <is>
          <t xml:space="preserve">  Raw demand</t>
        </is>
      </c>
      <c r="B26" s="23" t="inlineStr">
        <is>
          <t>accounts</t>
        </is>
      </c>
      <c r="C26" s="54">
        <f>C24+C25+IF(C21=0,0,C20*Assumptions!$B$114/C21*1)</f>
        <v/>
      </c>
      <c r="D26" s="54">
        <f>D24+D25+IF(D21=0,0,D20*Assumptions!$B$114/D21*1)</f>
        <v/>
      </c>
      <c r="E26" s="54">
        <f>E24+E25+IF(E21=0,0,E20*Assumptions!$B$114/E21*1)</f>
        <v/>
      </c>
      <c r="F26" s="54">
        <f>F24+F25+IF(F21=0,0,F20*Assumptions!$B$114/F21*1)</f>
        <v/>
      </c>
      <c r="G26" s="54">
        <f>G24+G25+IF(G21=0,0,G20*Assumptions!$B$114/G21*1)</f>
        <v/>
      </c>
      <c r="H26" s="54">
        <f>H24+H25+IF(H21=0,0,H20*Assumptions!$B$114/H21*1)</f>
        <v/>
      </c>
      <c r="I26" s="54">
        <f>I24+I25+IF(I21=0,0,I20*Assumptions!$B$114/I21*1)</f>
        <v/>
      </c>
      <c r="J26" s="54">
        <f>J24+J25+IF(J21=0,0,J20*Assumptions!$B$114/J21*1)</f>
        <v/>
      </c>
      <c r="K26" s="54">
        <f>K24+K25+IF(K21=0,0,K20*Assumptions!$B$114/K21*1)</f>
        <v/>
      </c>
      <c r="L26" s="54">
        <f>L24+L25+IF(L21=0,0,L20*Assumptions!$B$114/L21*1)</f>
        <v/>
      </c>
      <c r="M26" s="54">
        <f>M24+M25+IF(M21=0,0,M20*Assumptions!$B$114/M21*1)</f>
        <v/>
      </c>
      <c r="N26" s="54">
        <f>N24+N25+IF(N21=0,0,N20*Assumptions!$B$114/N21*1)</f>
        <v/>
      </c>
      <c r="O26" s="54">
        <f>O24+O25+IF(O21=0,0,O20*Assumptions!$B$114/O21*1)</f>
        <v/>
      </c>
      <c r="P26" s="54">
        <f>P24+P25+IF(P21=0,0,P20*Assumptions!$B$114/P21*1)</f>
        <v/>
      </c>
      <c r="Q26" s="54">
        <f>Q24+Q25+IF(Q21=0,0,Q20*Assumptions!$B$114/Q21*1)</f>
        <v/>
      </c>
      <c r="R26" s="54">
        <f>R24+R25+IF(R21=0,0,R20*Assumptions!$B$114/R21*1)</f>
        <v/>
      </c>
      <c r="S26" s="54">
        <f>S24+S25+IF(S21=0,0,S20*Assumptions!$B$114/S21*1)</f>
        <v/>
      </c>
      <c r="T26" s="54">
        <f>T24+T25+IF(T21=0,0,T20*Assumptions!$B$114/T21*1)</f>
        <v/>
      </c>
      <c r="U26" s="54">
        <f>U24+U25+IF(U21=0,0,U20*Assumptions!$B$114/U21*1)</f>
        <v/>
      </c>
      <c r="V26" s="54">
        <f>V24+V25+IF(V21=0,0,V20*Assumptions!$B$114/V21*1)</f>
        <v/>
      </c>
      <c r="W26" s="54">
        <f>W24+W25+IF(W21=0,0,W20*Assumptions!$B$114/W21*1)</f>
        <v/>
      </c>
      <c r="X26" s="54">
        <f>X24+X25+IF(X21=0,0,X20*Assumptions!$B$114/X21*1)</f>
        <v/>
      </c>
      <c r="Y26" s="54">
        <f>Y24+Y25+IF(Y21=0,0,Y20*Assumptions!$B$114/Y21*1)</f>
        <v/>
      </c>
      <c r="Z26" s="54">
        <f>Z24+Z25+IF(Z21=0,0,Z20*Assumptions!$B$114/Z21*1)</f>
        <v/>
      </c>
      <c r="AA26" s="54">
        <f>AA24+AA25+IF(AA21=0,0,AA20*Assumptions!$B$114/AA21*1)</f>
        <v/>
      </c>
      <c r="AB26" s="54">
        <f>AB24+AB25+IF(AB21=0,0,AB20*Assumptions!$B$114/AB21*1)</f>
        <v/>
      </c>
      <c r="AC26" s="54">
        <f>AC24+AC25+IF(AC21=0,0,AC20*Assumptions!$B$114/AC21*1)</f>
        <v/>
      </c>
      <c r="AD26" s="54">
        <f>AD24+AD25+IF(AD21=0,0,AD20*Assumptions!$B$114/AD21*1)</f>
        <v/>
      </c>
      <c r="AE26" s="54">
        <f>AE24+AE25+IF(AE21=0,0,AE20*Assumptions!$B$114/AE21*1)</f>
        <v/>
      </c>
    </row>
    <row r="27">
      <c r="A27" s="6" t="inlineStr">
        <is>
          <t xml:space="preserve">  Saturation (this region's own headroom)</t>
        </is>
      </c>
      <c r="B27" s="23" t="inlineStr">
        <is>
          <t>x</t>
        </is>
      </c>
      <c r="C27" s="51" t="n">
        <v>1</v>
      </c>
      <c r="D27" s="51">
        <f>MAX(0,1-C32/Assumptions!$B$84)</f>
        <v/>
      </c>
      <c r="E27" s="51">
        <f>MAX(0,1-D32/Assumptions!$B$84)</f>
        <v/>
      </c>
      <c r="F27" s="51">
        <f>MAX(0,1-E32/Assumptions!$B$84)</f>
        <v/>
      </c>
      <c r="G27" s="51">
        <f>MAX(0,1-F32/Assumptions!$B$84)</f>
        <v/>
      </c>
      <c r="H27" s="51">
        <f>MAX(0,1-G32/Assumptions!$B$84)</f>
        <v/>
      </c>
      <c r="I27" s="51">
        <f>MAX(0,1-H32/Assumptions!$B$84)</f>
        <v/>
      </c>
      <c r="J27" s="51">
        <f>MAX(0,1-I32/Assumptions!$B$84)</f>
        <v/>
      </c>
      <c r="K27" s="51">
        <f>MAX(0,1-J32/Assumptions!$B$84)</f>
        <v/>
      </c>
      <c r="L27" s="51">
        <f>MAX(0,1-K32/Assumptions!$B$84)</f>
        <v/>
      </c>
      <c r="M27" s="51">
        <f>MAX(0,1-L32/Assumptions!$B$84)</f>
        <v/>
      </c>
      <c r="N27" s="51">
        <f>MAX(0,1-M32/Assumptions!$B$84)</f>
        <v/>
      </c>
      <c r="O27" s="51">
        <f>MAX(0,1-N32/Assumptions!$B$84)</f>
        <v/>
      </c>
      <c r="P27" s="51">
        <f>MAX(0,1-O32/Assumptions!$B$84)</f>
        <v/>
      </c>
      <c r="Q27" s="51">
        <f>MAX(0,1-P32/Assumptions!$B$84)</f>
        <v/>
      </c>
      <c r="R27" s="51">
        <f>MAX(0,1-Q32/Assumptions!$B$84)</f>
        <v/>
      </c>
      <c r="S27" s="51">
        <f>MAX(0,1-R32/Assumptions!$B$84)</f>
        <v/>
      </c>
      <c r="T27" s="51">
        <f>MAX(0,1-S32/Assumptions!$B$84)</f>
        <v/>
      </c>
      <c r="U27" s="51">
        <f>MAX(0,1-T32/Assumptions!$B$84)</f>
        <v/>
      </c>
      <c r="V27" s="51">
        <f>MAX(0,1-U32/Assumptions!$B$84)</f>
        <v/>
      </c>
      <c r="W27" s="51">
        <f>MAX(0,1-V32/Assumptions!$B$84)</f>
        <v/>
      </c>
      <c r="X27" s="51">
        <f>MAX(0,1-W32/Assumptions!$B$84)</f>
        <v/>
      </c>
      <c r="Y27" s="51">
        <f>MAX(0,1-X32/Assumptions!$B$84)</f>
        <v/>
      </c>
      <c r="Z27" s="51">
        <f>MAX(0,1-Y32/Assumptions!$B$84)</f>
        <v/>
      </c>
      <c r="AA27" s="51">
        <f>MAX(0,1-Z32/Assumptions!$B$84)</f>
        <v/>
      </c>
      <c r="AB27" s="51">
        <f>MAX(0,1-AA32/Assumptions!$B$84)</f>
        <v/>
      </c>
      <c r="AC27" s="51">
        <f>MAX(0,1-AB32/Assumptions!$B$84)</f>
        <v/>
      </c>
      <c r="AD27" s="51">
        <f>MAX(0,1-AC32/Assumptions!$B$84)</f>
        <v/>
      </c>
      <c r="AE27" s="51">
        <f>MAX(0,1-AD32/Assumptions!$B$84)</f>
        <v/>
      </c>
    </row>
    <row r="28">
      <c r="A28" s="6" t="inlineStr">
        <is>
          <t xml:space="preserve">  New customers</t>
        </is>
      </c>
      <c r="B28" s="23" t="inlineStr">
        <is>
          <t>accounts</t>
        </is>
      </c>
      <c r="C28" s="54">
        <f>C26*C27*C15</f>
        <v/>
      </c>
      <c r="D28" s="54">
        <f>D26*D27*D15</f>
        <v/>
      </c>
      <c r="E28" s="54">
        <f>E26*E27*E15</f>
        <v/>
      </c>
      <c r="F28" s="54">
        <f>F26*F27*F15</f>
        <v/>
      </c>
      <c r="G28" s="54">
        <f>G26*G27*G15</f>
        <v/>
      </c>
      <c r="H28" s="54">
        <f>H26*H27*H15</f>
        <v/>
      </c>
      <c r="I28" s="54">
        <f>I26*I27*I15</f>
        <v/>
      </c>
      <c r="J28" s="54">
        <f>J26*J27*J15</f>
        <v/>
      </c>
      <c r="K28" s="54">
        <f>K26*K27*K15</f>
        <v/>
      </c>
      <c r="L28" s="54">
        <f>L26*L27*L15</f>
        <v/>
      </c>
      <c r="M28" s="54">
        <f>M26*M27*M15</f>
        <v/>
      </c>
      <c r="N28" s="54">
        <f>N26*N27*N15</f>
        <v/>
      </c>
      <c r="O28" s="54">
        <f>O26*O27*O15</f>
        <v/>
      </c>
      <c r="P28" s="54">
        <f>P26*P27*P15</f>
        <v/>
      </c>
      <c r="Q28" s="54">
        <f>Q26*Q27*Q15</f>
        <v/>
      </c>
      <c r="R28" s="54">
        <f>R26*R27*R15</f>
        <v/>
      </c>
      <c r="S28" s="54">
        <f>S26*S27*S15</f>
        <v/>
      </c>
      <c r="T28" s="54">
        <f>T26*T27*T15</f>
        <v/>
      </c>
      <c r="U28" s="54">
        <f>U26*U27*U15</f>
        <v/>
      </c>
      <c r="V28" s="54">
        <f>V26*V27*V15</f>
        <v/>
      </c>
      <c r="W28" s="54">
        <f>W26*W27*W15</f>
        <v/>
      </c>
      <c r="X28" s="54">
        <f>X26*X27*X15</f>
        <v/>
      </c>
      <c r="Y28" s="54">
        <f>Y26*Y27*Y15</f>
        <v/>
      </c>
      <c r="Z28" s="54">
        <f>Z26*Z27*Z15</f>
        <v/>
      </c>
      <c r="AA28" s="54">
        <f>AA26*AA27*AA15</f>
        <v/>
      </c>
      <c r="AB28" s="54">
        <f>AB26*AB27*AB15</f>
        <v/>
      </c>
      <c r="AC28" s="54">
        <f>AC26*AC27*AC15</f>
        <v/>
      </c>
      <c r="AD28" s="54">
        <f>AD26*AD27*AD15</f>
        <v/>
      </c>
      <c r="AE28" s="54">
        <f>AE26*AE27*AE15</f>
        <v/>
      </c>
    </row>
    <row r="29">
      <c r="A29" s="6" t="inlineStr">
        <is>
          <t xml:space="preserve">  Paying customers</t>
        </is>
      </c>
      <c r="B29" s="23" t="inlineStr">
        <is>
          <t>accounts</t>
        </is>
      </c>
      <c r="C29" s="28">
        <f>C28*(1-Assumptions!$B$121)^(C7/2)</f>
        <v/>
      </c>
      <c r="D29" s="28">
        <f>C29*(1-Assumptions!$B$121)^D7+D28*(1-Assumptions!$B$121)^(D7/2)</f>
        <v/>
      </c>
      <c r="E29" s="28">
        <f>D29*(1-Assumptions!$B$121)^E7+E28*(1-Assumptions!$B$121)^(E7/2)</f>
        <v/>
      </c>
      <c r="F29" s="28">
        <f>E29*(1-Assumptions!$B$121)^F7+F28*(1-Assumptions!$B$121)^(F7/2)</f>
        <v/>
      </c>
      <c r="G29" s="28">
        <f>F29*(1-Assumptions!$B$121)^G7+G28*(1-Assumptions!$B$121)^(G7/2)</f>
        <v/>
      </c>
      <c r="H29" s="28">
        <f>G29*(1-Assumptions!$B$121)^H7+H28*(1-Assumptions!$B$121)^(H7/2)</f>
        <v/>
      </c>
      <c r="I29" s="28">
        <f>H29*(1-Assumptions!$B$121)^I7+I28*(1-Assumptions!$B$121)^(I7/2)</f>
        <v/>
      </c>
      <c r="J29" s="28">
        <f>I29*(1-Assumptions!$B$121)^J7+J28*(1-Assumptions!$B$121)^(J7/2)</f>
        <v/>
      </c>
      <c r="K29" s="28">
        <f>J29*(1-Assumptions!$B$121)^K7+K28*(1-Assumptions!$B$121)^(K7/2)</f>
        <v/>
      </c>
      <c r="L29" s="28">
        <f>K29*(1-Assumptions!$B$121)^L7+L28*(1-Assumptions!$B$121)^(L7/2)</f>
        <v/>
      </c>
      <c r="M29" s="28">
        <f>L29*(1-Assumptions!$B$121)^M7+M28*(1-Assumptions!$B$121)^(M7/2)</f>
        <v/>
      </c>
      <c r="N29" s="28">
        <f>M29*(1-Assumptions!$B$121)^N7+N28*(1-Assumptions!$B$121)^(N7/2)</f>
        <v/>
      </c>
      <c r="O29" s="28">
        <f>N29*(1-Assumptions!$B$121)^O7+O28*(1-Assumptions!$B$121)^(O7/2)</f>
        <v/>
      </c>
      <c r="P29" s="28">
        <f>O29*(1-Assumptions!$B$121)^P7+P28*(1-Assumptions!$B$121)^(P7/2)</f>
        <v/>
      </c>
      <c r="Q29" s="28">
        <f>P29*(1-Assumptions!$B$121)^Q7+Q28*(1-Assumptions!$B$121)^(Q7/2)</f>
        <v/>
      </c>
      <c r="R29" s="28">
        <f>Q29*(1-Assumptions!$B$121)^R7+R28*(1-Assumptions!$B$121)^(R7/2)</f>
        <v/>
      </c>
      <c r="S29" s="28">
        <f>R29*(1-Assumptions!$B$121)^S7+S28*(1-Assumptions!$B$121)^(S7/2)</f>
        <v/>
      </c>
      <c r="T29" s="28">
        <f>S29*(1-Assumptions!$B$121)^T7+T28*(1-Assumptions!$B$121)^(T7/2)</f>
        <v/>
      </c>
      <c r="U29" s="28">
        <f>T29*(1-Assumptions!$B$121)^U7+U28*(1-Assumptions!$B$121)^(U7/2)</f>
        <v/>
      </c>
      <c r="V29" s="28">
        <f>U29*(1-Assumptions!$B$121)^V7+V28*(1-Assumptions!$B$121)^(V7/2)</f>
        <v/>
      </c>
      <c r="W29" s="28">
        <f>V29*(1-Assumptions!$B$121)^W7+W28*(1-Assumptions!$B$121)^(W7/2)</f>
        <v/>
      </c>
      <c r="X29" s="28">
        <f>W29*(1-Assumptions!$B$121)^X7+X28*(1-Assumptions!$B$121)^(X7/2)</f>
        <v/>
      </c>
      <c r="Y29" s="28">
        <f>X29*(1-Assumptions!$B$121)^Y7+Y28*(1-Assumptions!$B$121)^(Y7/2)</f>
        <v/>
      </c>
      <c r="Z29" s="28">
        <f>Y29*(1-Assumptions!$B$121)^Z7+Z28*(1-Assumptions!$B$121)^(Z7/2)</f>
        <v/>
      </c>
      <c r="AA29" s="28">
        <f>Z29*(1-Assumptions!$B$121)^AA7+AA28*(1-Assumptions!$B$121)^(AA7/2)</f>
        <v/>
      </c>
      <c r="AB29" s="28">
        <f>AA29*(1-Assumptions!$B$121)^AB7+AB28*(1-Assumptions!$B$121)^(AB7/2)</f>
        <v/>
      </c>
      <c r="AC29" s="28">
        <f>AB29*(1-Assumptions!$B$121)^AC7+AC28*(1-Assumptions!$B$121)^(AC7/2)</f>
        <v/>
      </c>
      <c r="AD29" s="28">
        <f>AC29*(1-Assumptions!$B$121)^AD7+AD28*(1-Assumptions!$B$121)^(AD7/2)</f>
        <v/>
      </c>
      <c r="AE29" s="28">
        <f>AD29*(1-Assumptions!$B$121)^AE7+AE28*(1-Assumptions!$B$121)^(AE7/2)</f>
        <v/>
      </c>
    </row>
    <row r="30">
      <c r="A30" s="6" t="inlineStr">
        <is>
          <t xml:space="preserve">  Churned this period</t>
        </is>
      </c>
      <c r="B30" s="23" t="inlineStr">
        <is>
          <t>accounts</t>
        </is>
      </c>
      <c r="C30" s="54">
        <f>C28-C29</f>
        <v/>
      </c>
      <c r="D30" s="54">
        <f>C29+D28-D29</f>
        <v/>
      </c>
      <c r="E30" s="54">
        <f>D29+E28-E29</f>
        <v/>
      </c>
      <c r="F30" s="54">
        <f>E29+F28-F29</f>
        <v/>
      </c>
      <c r="G30" s="54">
        <f>F29+G28-G29</f>
        <v/>
      </c>
      <c r="H30" s="54">
        <f>G29+H28-H29</f>
        <v/>
      </c>
      <c r="I30" s="54">
        <f>H29+I28-I29</f>
        <v/>
      </c>
      <c r="J30" s="54">
        <f>I29+J28-J29</f>
        <v/>
      </c>
      <c r="K30" s="54">
        <f>J29+K28-K29</f>
        <v/>
      </c>
      <c r="L30" s="54">
        <f>K29+L28-L29</f>
        <v/>
      </c>
      <c r="M30" s="54">
        <f>L29+M28-M29</f>
        <v/>
      </c>
      <c r="N30" s="54">
        <f>M29+N28-N29</f>
        <v/>
      </c>
      <c r="O30" s="54">
        <f>N29+O28-O29</f>
        <v/>
      </c>
      <c r="P30" s="54">
        <f>O29+P28-P29</f>
        <v/>
      </c>
      <c r="Q30" s="54">
        <f>P29+Q28-Q29</f>
        <v/>
      </c>
      <c r="R30" s="54">
        <f>Q29+R28-R29</f>
        <v/>
      </c>
      <c r="S30" s="54">
        <f>R29+S28-S29</f>
        <v/>
      </c>
      <c r="T30" s="54">
        <f>S29+T28-T29</f>
        <v/>
      </c>
      <c r="U30" s="54">
        <f>T29+U28-U29</f>
        <v/>
      </c>
      <c r="V30" s="54">
        <f>U29+V28-V29</f>
        <v/>
      </c>
      <c r="W30" s="54">
        <f>V29+W28-W29</f>
        <v/>
      </c>
      <c r="X30" s="54">
        <f>W29+X28-X29</f>
        <v/>
      </c>
      <c r="Y30" s="54">
        <f>X29+Y28-Y29</f>
        <v/>
      </c>
      <c r="Z30" s="54">
        <f>Y29+Z28-Z29</f>
        <v/>
      </c>
      <c r="AA30" s="54">
        <f>Z29+AA28-AA29</f>
        <v/>
      </c>
      <c r="AB30" s="54">
        <f>AA29+AB28-AB29</f>
        <v/>
      </c>
      <c r="AC30" s="54">
        <f>AB29+AC28-AC29</f>
        <v/>
      </c>
      <c r="AD30" s="54">
        <f>AC29+AD28-AD29</f>
        <v/>
      </c>
      <c r="AE30" s="54">
        <f>AD29+AE28-AE29</f>
        <v/>
      </c>
    </row>
    <row r="31">
      <c r="A31" s="6" t="inlineStr">
        <is>
          <t xml:space="preserve">  Holders (stopped paying, still hold gold)</t>
        </is>
      </c>
      <c r="B31" s="23" t="inlineStr">
        <is>
          <t>accounts</t>
        </is>
      </c>
      <c r="C31" s="45">
        <f>C30</f>
        <v/>
      </c>
      <c r="D31" s="45">
        <f>C31+D30</f>
        <v/>
      </c>
      <c r="E31" s="45">
        <f>D31+E30</f>
        <v/>
      </c>
      <c r="F31" s="45">
        <f>E31+F30</f>
        <v/>
      </c>
      <c r="G31" s="45">
        <f>F31+G30</f>
        <v/>
      </c>
      <c r="H31" s="45">
        <f>G31+H30</f>
        <v/>
      </c>
      <c r="I31" s="45">
        <f>H31+I30</f>
        <v/>
      </c>
      <c r="J31" s="45">
        <f>I31+J30</f>
        <v/>
      </c>
      <c r="K31" s="45">
        <f>J31+K30</f>
        <v/>
      </c>
      <c r="L31" s="45">
        <f>K31+L30</f>
        <v/>
      </c>
      <c r="M31" s="45">
        <f>L31+M30</f>
        <v/>
      </c>
      <c r="N31" s="45">
        <f>M31+N30</f>
        <v/>
      </c>
      <c r="O31" s="45">
        <f>N31+O30</f>
        <v/>
      </c>
      <c r="P31" s="45">
        <f>O31+P30</f>
        <v/>
      </c>
      <c r="Q31" s="45">
        <f>P31+Q30</f>
        <v/>
      </c>
      <c r="R31" s="45">
        <f>Q31+R30</f>
        <v/>
      </c>
      <c r="S31" s="45">
        <f>R31+S30</f>
        <v/>
      </c>
      <c r="T31" s="45">
        <f>S31+T30</f>
        <v/>
      </c>
      <c r="U31" s="45">
        <f>T31+U30</f>
        <v/>
      </c>
      <c r="V31" s="45">
        <f>U31+V30</f>
        <v/>
      </c>
      <c r="W31" s="45">
        <f>V31+W30</f>
        <v/>
      </c>
      <c r="X31" s="45">
        <f>W31+X30</f>
        <v/>
      </c>
      <c r="Y31" s="45">
        <f>X31+Y30</f>
        <v/>
      </c>
      <c r="Z31" s="45">
        <f>Y31+Z30</f>
        <v/>
      </c>
      <c r="AA31" s="45">
        <f>Z31+AA30</f>
        <v/>
      </c>
      <c r="AB31" s="45">
        <f>AA31+AB30</f>
        <v/>
      </c>
      <c r="AC31" s="45">
        <f>AB31+AC30</f>
        <v/>
      </c>
      <c r="AD31" s="45">
        <f>AC31+AD30</f>
        <v/>
      </c>
      <c r="AE31" s="45">
        <f>AD31+AE30</f>
        <v/>
      </c>
    </row>
    <row r="32">
      <c r="A32" s="6" t="inlineStr">
        <is>
          <t xml:space="preserve">  Cumulative ever acquired</t>
        </is>
      </c>
      <c r="B32" s="23" t="inlineStr">
        <is>
          <t>accounts</t>
        </is>
      </c>
      <c r="C32" s="45">
        <f>C28</f>
        <v/>
      </c>
      <c r="D32" s="45">
        <f>C32+D28</f>
        <v/>
      </c>
      <c r="E32" s="45">
        <f>D32+E28</f>
        <v/>
      </c>
      <c r="F32" s="45">
        <f>E32+F28</f>
        <v/>
      </c>
      <c r="G32" s="45">
        <f>F32+G28</f>
        <v/>
      </c>
      <c r="H32" s="45">
        <f>G32+H28</f>
        <v/>
      </c>
      <c r="I32" s="45">
        <f>H32+I28</f>
        <v/>
      </c>
      <c r="J32" s="45">
        <f>I32+J28</f>
        <v/>
      </c>
      <c r="K32" s="45">
        <f>J32+K28</f>
        <v/>
      </c>
      <c r="L32" s="45">
        <f>K32+L28</f>
        <v/>
      </c>
      <c r="M32" s="45">
        <f>L32+M28</f>
        <v/>
      </c>
      <c r="N32" s="45">
        <f>M32+N28</f>
        <v/>
      </c>
      <c r="O32" s="45">
        <f>N32+O28</f>
        <v/>
      </c>
      <c r="P32" s="45">
        <f>O32+P28</f>
        <v/>
      </c>
      <c r="Q32" s="45">
        <f>P32+Q28</f>
        <v/>
      </c>
      <c r="R32" s="45">
        <f>Q32+R28</f>
        <v/>
      </c>
      <c r="S32" s="45">
        <f>R32+S28</f>
        <v/>
      </c>
      <c r="T32" s="45">
        <f>S32+T28</f>
        <v/>
      </c>
      <c r="U32" s="45">
        <f>T32+U28</f>
        <v/>
      </c>
      <c r="V32" s="45">
        <f>U32+V28</f>
        <v/>
      </c>
      <c r="W32" s="45">
        <f>V32+W28</f>
        <v/>
      </c>
      <c r="X32" s="45">
        <f>W32+X28</f>
        <v/>
      </c>
      <c r="Y32" s="45">
        <f>X32+Y28</f>
        <v/>
      </c>
      <c r="Z32" s="45">
        <f>Y32+Z28</f>
        <v/>
      </c>
      <c r="AA32" s="45">
        <f>Z32+AA28</f>
        <v/>
      </c>
      <c r="AB32" s="45">
        <f>AA32+AB28</f>
        <v/>
      </c>
      <c r="AC32" s="45">
        <f>AB32+AC28</f>
        <v/>
      </c>
      <c r="AD32" s="45">
        <f>AC32+AD28</f>
        <v/>
      </c>
      <c r="AE32" s="45">
        <f>AD32+AE28</f>
        <v/>
      </c>
    </row>
    <row r="33">
      <c r="A33" s="6" t="inlineStr">
        <is>
          <t xml:space="preserve">  SIP contributions</t>
        </is>
      </c>
      <c r="B33" s="23" t="inlineStr">
        <is>
          <t>USD</t>
        </is>
      </c>
      <c r="C33" s="55">
        <f>IF(C2&gt;=Assumptions!$B$47,C29*Assumptions!$B$167*C7,0)</f>
        <v/>
      </c>
      <c r="D33" s="55">
        <f>IF(D2&gt;=Assumptions!$B$47,D29*Assumptions!$B$167*D7,0)</f>
        <v/>
      </c>
      <c r="E33" s="55">
        <f>IF(E2&gt;=Assumptions!$B$47,E29*Assumptions!$B$167*E7,0)</f>
        <v/>
      </c>
      <c r="F33" s="55">
        <f>IF(F2&gt;=Assumptions!$B$47,F29*Assumptions!$B$167*F7,0)</f>
        <v/>
      </c>
      <c r="G33" s="55">
        <f>IF(G2&gt;=Assumptions!$B$47,G29*Assumptions!$B$167*G7,0)</f>
        <v/>
      </c>
      <c r="H33" s="55">
        <f>IF(H2&gt;=Assumptions!$B$47,H29*Assumptions!$B$167*H7,0)</f>
        <v/>
      </c>
      <c r="I33" s="55">
        <f>IF(I2&gt;=Assumptions!$B$47,I29*Assumptions!$B$167*I7,0)</f>
        <v/>
      </c>
      <c r="J33" s="55">
        <f>IF(J2&gt;=Assumptions!$B$47,J29*Assumptions!$B$167*J7,0)</f>
        <v/>
      </c>
      <c r="K33" s="55">
        <f>IF(K2&gt;=Assumptions!$B$47,K29*Assumptions!$B$167*K7,0)</f>
        <v/>
      </c>
      <c r="L33" s="55">
        <f>IF(L2&gt;=Assumptions!$B$47,L29*Assumptions!$B$167*L7,0)</f>
        <v/>
      </c>
      <c r="M33" s="55">
        <f>IF(M2&gt;=Assumptions!$B$47,M29*Assumptions!$B$167*M7,0)</f>
        <v/>
      </c>
      <c r="N33" s="55">
        <f>IF(N2&gt;=Assumptions!$B$47,N29*Assumptions!$B$167*N7,0)</f>
        <v/>
      </c>
      <c r="O33" s="55">
        <f>IF(O2&gt;=Assumptions!$B$47,O29*Assumptions!$B$167*O7,0)</f>
        <v/>
      </c>
      <c r="P33" s="55">
        <f>IF(P2&gt;=Assumptions!$B$47,P29*Assumptions!$B$167*P7,0)</f>
        <v/>
      </c>
      <c r="Q33" s="55">
        <f>IF(Q2&gt;=Assumptions!$B$47,Q29*Assumptions!$B$167*Q7,0)</f>
        <v/>
      </c>
      <c r="R33" s="55">
        <f>IF(R2&gt;=Assumptions!$B$47,R29*Assumptions!$B$167*R7,0)</f>
        <v/>
      </c>
      <c r="S33" s="55">
        <f>IF(S2&gt;=Assumptions!$B$47,S29*Assumptions!$B$167*S7,0)</f>
        <v/>
      </c>
      <c r="T33" s="55">
        <f>IF(T2&gt;=Assumptions!$B$47,T29*Assumptions!$B$167*T7,0)</f>
        <v/>
      </c>
      <c r="U33" s="55">
        <f>IF(U2&gt;=Assumptions!$B$47,U29*Assumptions!$B$167*U7,0)</f>
        <v/>
      </c>
      <c r="V33" s="55">
        <f>IF(V2&gt;=Assumptions!$B$47,V29*Assumptions!$B$167*V7,0)</f>
        <v/>
      </c>
      <c r="W33" s="55">
        <f>IF(W2&gt;=Assumptions!$B$47,W29*Assumptions!$B$167*W7,0)</f>
        <v/>
      </c>
      <c r="X33" s="55">
        <f>IF(X2&gt;=Assumptions!$B$47,X29*Assumptions!$B$167*X7,0)</f>
        <v/>
      </c>
      <c r="Y33" s="55">
        <f>IF(Y2&gt;=Assumptions!$B$47,Y29*Assumptions!$B$167*Y7,0)</f>
        <v/>
      </c>
      <c r="Z33" s="55">
        <f>IF(Z2&gt;=Assumptions!$B$47,Z29*Assumptions!$B$167*Z7,0)</f>
        <v/>
      </c>
      <c r="AA33" s="55">
        <f>IF(AA2&gt;=Assumptions!$B$47,AA29*Assumptions!$B$167*AA7,0)</f>
        <v/>
      </c>
      <c r="AB33" s="55">
        <f>IF(AB2&gt;=Assumptions!$B$47,AB29*Assumptions!$B$167*AB7,0)</f>
        <v/>
      </c>
      <c r="AC33" s="55">
        <f>IF(AC2&gt;=Assumptions!$B$47,AC29*Assumptions!$B$167*AC7,0)</f>
        <v/>
      </c>
      <c r="AD33" s="55">
        <f>IF(AD2&gt;=Assumptions!$B$47,AD29*Assumptions!$B$167*AD7,0)</f>
        <v/>
      </c>
      <c r="AE33" s="55">
        <f>IF(AE2&gt;=Assumptions!$B$47,AE29*Assumptions!$B$167*AE7,0)</f>
        <v/>
      </c>
    </row>
    <row r="34">
      <c r="A34" s="6" t="inlineStr">
        <is>
          <t xml:space="preserve">  Spot purchase volume</t>
        </is>
      </c>
      <c r="B34" s="23" t="inlineStr">
        <is>
          <t>USD</t>
        </is>
      </c>
      <c r="C34" s="55">
        <f>IF(C2&gt;=Assumptions!$B$48,C29*Assumptions!$B$35*Assumptions!$B$138*Assumptions!$B$140*Assumptions!$B$32*Assumptions!$B$139/12*C7,0)</f>
        <v/>
      </c>
      <c r="D34" s="55">
        <f>IF(D2&gt;=Assumptions!$B$48,D29*Assumptions!$B$35*Assumptions!$B$138*Assumptions!$B$140*Assumptions!$B$32*Assumptions!$B$139/12*D7,0)</f>
        <v/>
      </c>
      <c r="E34" s="55">
        <f>IF(E2&gt;=Assumptions!$B$48,E29*Assumptions!$B$35*Assumptions!$B$138*Assumptions!$B$140*Assumptions!$B$32*Assumptions!$B$139/12*E7,0)</f>
        <v/>
      </c>
      <c r="F34" s="55">
        <f>IF(F2&gt;=Assumptions!$B$48,F29*Assumptions!$B$35*Assumptions!$B$138*Assumptions!$B$140*Assumptions!$B$32*Assumptions!$B$139/12*F7,0)</f>
        <v/>
      </c>
      <c r="G34" s="55">
        <f>IF(G2&gt;=Assumptions!$B$48,G29*Assumptions!$B$35*Assumptions!$B$138*Assumptions!$B$140*Assumptions!$B$32*Assumptions!$B$139/12*G7,0)</f>
        <v/>
      </c>
      <c r="H34" s="55">
        <f>IF(H2&gt;=Assumptions!$B$48,H29*Assumptions!$B$35*Assumptions!$B$138*Assumptions!$B$140*Assumptions!$B$32*Assumptions!$B$139/12*H7,0)</f>
        <v/>
      </c>
      <c r="I34" s="55">
        <f>IF(I2&gt;=Assumptions!$B$48,I29*Assumptions!$B$35*Assumptions!$B$138*Assumptions!$B$140*Assumptions!$B$32*Assumptions!$B$139/12*I7,0)</f>
        <v/>
      </c>
      <c r="J34" s="55">
        <f>IF(J2&gt;=Assumptions!$B$48,J29*Assumptions!$B$35*Assumptions!$B$138*Assumptions!$B$140*Assumptions!$B$32*Assumptions!$B$139/12*J7,0)</f>
        <v/>
      </c>
      <c r="K34" s="55">
        <f>IF(K2&gt;=Assumptions!$B$48,K29*Assumptions!$B$35*Assumptions!$B$138*Assumptions!$B$140*Assumptions!$B$32*Assumptions!$B$139/12*K7,0)</f>
        <v/>
      </c>
      <c r="L34" s="55">
        <f>IF(L2&gt;=Assumptions!$B$48,L29*Assumptions!$B$35*Assumptions!$B$138*Assumptions!$B$140*Assumptions!$B$32*Assumptions!$B$139/12*L7,0)</f>
        <v/>
      </c>
      <c r="M34" s="55">
        <f>IF(M2&gt;=Assumptions!$B$48,M29*Assumptions!$B$35*Assumptions!$B$138*Assumptions!$B$140*Assumptions!$B$32*Assumptions!$B$139/12*M7,0)</f>
        <v/>
      </c>
      <c r="N34" s="55">
        <f>IF(N2&gt;=Assumptions!$B$48,N29*Assumptions!$B$35*Assumptions!$B$138*Assumptions!$B$140*Assumptions!$B$32*Assumptions!$B$139/12*N7,0)</f>
        <v/>
      </c>
      <c r="O34" s="55">
        <f>IF(O2&gt;=Assumptions!$B$48,O29*Assumptions!$B$35*Assumptions!$B$138*Assumptions!$B$140*Assumptions!$B$32*Assumptions!$B$139/12*O7,0)</f>
        <v/>
      </c>
      <c r="P34" s="55">
        <f>IF(P2&gt;=Assumptions!$B$48,P29*Assumptions!$B$35*Assumptions!$B$138*Assumptions!$B$140*Assumptions!$B$32*Assumptions!$B$139/12*P7,0)</f>
        <v/>
      </c>
      <c r="Q34" s="55">
        <f>IF(Q2&gt;=Assumptions!$B$48,Q29*Assumptions!$B$35*Assumptions!$B$138*Assumptions!$B$140*Assumptions!$B$32*Assumptions!$B$139/12*Q7,0)</f>
        <v/>
      </c>
      <c r="R34" s="55">
        <f>IF(R2&gt;=Assumptions!$B$48,R29*Assumptions!$B$35*Assumptions!$B$138*Assumptions!$B$140*Assumptions!$B$32*Assumptions!$B$139/12*R7,0)</f>
        <v/>
      </c>
      <c r="S34" s="55">
        <f>IF(S2&gt;=Assumptions!$B$48,S29*Assumptions!$B$35*Assumptions!$B$138*Assumptions!$B$140*Assumptions!$B$32*Assumptions!$B$139/12*S7,0)</f>
        <v/>
      </c>
      <c r="T34" s="55">
        <f>IF(T2&gt;=Assumptions!$B$48,T29*Assumptions!$B$35*Assumptions!$B$138*Assumptions!$B$140*Assumptions!$B$32*Assumptions!$B$139/12*T7,0)</f>
        <v/>
      </c>
      <c r="U34" s="55">
        <f>IF(U2&gt;=Assumptions!$B$48,U29*Assumptions!$B$35*Assumptions!$B$138*Assumptions!$B$140*Assumptions!$B$32*Assumptions!$B$139/12*U7,0)</f>
        <v/>
      </c>
      <c r="V34" s="55">
        <f>IF(V2&gt;=Assumptions!$B$48,V29*Assumptions!$B$35*Assumptions!$B$138*Assumptions!$B$140*Assumptions!$B$32*Assumptions!$B$139/12*V7,0)</f>
        <v/>
      </c>
      <c r="W34" s="55">
        <f>IF(W2&gt;=Assumptions!$B$48,W29*Assumptions!$B$35*Assumptions!$B$138*Assumptions!$B$140*Assumptions!$B$32*Assumptions!$B$139/12*W7,0)</f>
        <v/>
      </c>
      <c r="X34" s="55">
        <f>IF(X2&gt;=Assumptions!$B$48,X29*Assumptions!$B$35*Assumptions!$B$138*Assumptions!$B$140*Assumptions!$B$32*Assumptions!$B$139/12*X7,0)</f>
        <v/>
      </c>
      <c r="Y34" s="55">
        <f>IF(Y2&gt;=Assumptions!$B$48,Y29*Assumptions!$B$35*Assumptions!$B$138*Assumptions!$B$140*Assumptions!$B$32*Assumptions!$B$139/12*Y7,0)</f>
        <v/>
      </c>
      <c r="Z34" s="55">
        <f>IF(Z2&gt;=Assumptions!$B$48,Z29*Assumptions!$B$35*Assumptions!$B$138*Assumptions!$B$140*Assumptions!$B$32*Assumptions!$B$139/12*Z7,0)</f>
        <v/>
      </c>
      <c r="AA34" s="55">
        <f>IF(AA2&gt;=Assumptions!$B$48,AA29*Assumptions!$B$35*Assumptions!$B$138*Assumptions!$B$140*Assumptions!$B$32*Assumptions!$B$139/12*AA7,0)</f>
        <v/>
      </c>
      <c r="AB34" s="55">
        <f>IF(AB2&gt;=Assumptions!$B$48,AB29*Assumptions!$B$35*Assumptions!$B$138*Assumptions!$B$140*Assumptions!$B$32*Assumptions!$B$139/12*AB7,0)</f>
        <v/>
      </c>
      <c r="AC34" s="55">
        <f>IF(AC2&gt;=Assumptions!$B$48,AC29*Assumptions!$B$35*Assumptions!$B$138*Assumptions!$B$140*Assumptions!$B$32*Assumptions!$B$139/12*AC7,0)</f>
        <v/>
      </c>
      <c r="AD34" s="55">
        <f>IF(AD2&gt;=Assumptions!$B$48,AD29*Assumptions!$B$35*Assumptions!$B$138*Assumptions!$B$140*Assumptions!$B$32*Assumptions!$B$139/12*AD7,0)</f>
        <v/>
      </c>
      <c r="AE34" s="55">
        <f>IF(AE2&gt;=Assumptions!$B$48,AE29*Assumptions!$B$35*Assumptions!$B$138*Assumptions!$B$140*Assumptions!$B$32*Assumptions!$B$139/12*AE7,0)</f>
        <v/>
      </c>
    </row>
    <row r="35">
      <c r="A35" s="6" t="inlineStr">
        <is>
          <t xml:space="preserve">  Grams purchased</t>
        </is>
      </c>
      <c r="B35" s="23" t="inlineStr">
        <is>
          <t>grams</t>
        </is>
      </c>
      <c r="C35" s="54">
        <f>(C33+C34)*(1-Assumptions!$B$8)/Assumptions!$B$6/(1+Assumptions!$B$9)</f>
        <v/>
      </c>
      <c r="D35" s="54">
        <f>(D33+D34)*(1-Assumptions!$B$8)/Assumptions!$B$6/(1+Assumptions!$B$9)</f>
        <v/>
      </c>
      <c r="E35" s="54">
        <f>(E33+E34)*(1-Assumptions!$B$8)/Assumptions!$B$6/(1+Assumptions!$B$9)</f>
        <v/>
      </c>
      <c r="F35" s="54">
        <f>(F33+F34)*(1-Assumptions!$B$8)/Assumptions!$B$6/(1+Assumptions!$B$9)</f>
        <v/>
      </c>
      <c r="G35" s="54">
        <f>(G33+G34)*(1-Assumptions!$B$8)/Assumptions!$B$6/(1+Assumptions!$B$9)</f>
        <v/>
      </c>
      <c r="H35" s="54">
        <f>(H33+H34)*(1-Assumptions!$B$8)/Assumptions!$B$6/(1+Assumptions!$B$9)</f>
        <v/>
      </c>
      <c r="I35" s="54">
        <f>(I33+I34)*(1-Assumptions!$B$8)/Assumptions!$B$6/(1+Assumptions!$B$9)</f>
        <v/>
      </c>
      <c r="J35" s="54">
        <f>(J33+J34)*(1-Assumptions!$B$8)/Assumptions!$B$6/(1+Assumptions!$B$9)</f>
        <v/>
      </c>
      <c r="K35" s="54">
        <f>(K33+K34)*(1-Assumptions!$B$8)/Assumptions!$B$6/(1+Assumptions!$B$9)</f>
        <v/>
      </c>
      <c r="L35" s="54">
        <f>(L33+L34)*(1-Assumptions!$B$8)/Assumptions!$B$6/(1+Assumptions!$B$9)</f>
        <v/>
      </c>
      <c r="M35" s="54">
        <f>(M33+M34)*(1-Assumptions!$B$8)/Assumptions!$B$6/(1+Assumptions!$B$9)</f>
        <v/>
      </c>
      <c r="N35" s="54">
        <f>(N33+N34)*(1-Assumptions!$B$8)/Assumptions!$B$6/(1+Assumptions!$B$9)</f>
        <v/>
      </c>
      <c r="O35" s="54">
        <f>(O33+O34)*(1-Assumptions!$B$8)/Assumptions!$B$6/(1+Assumptions!$B$9)</f>
        <v/>
      </c>
      <c r="P35" s="54">
        <f>(P33+P34)*(1-Assumptions!$B$8)/Assumptions!$B$6/(1+Assumptions!$B$9)</f>
        <v/>
      </c>
      <c r="Q35" s="54">
        <f>(Q33+Q34)*(1-Assumptions!$B$8)/Assumptions!$B$6/(1+Assumptions!$B$9)</f>
        <v/>
      </c>
      <c r="R35" s="54">
        <f>(R33+R34)*(1-Assumptions!$B$8)/Assumptions!$B$6/(1+Assumptions!$B$9)</f>
        <v/>
      </c>
      <c r="S35" s="54">
        <f>(S33+S34)*(1-Assumptions!$B$8)/Assumptions!$B$6/(1+Assumptions!$B$9)</f>
        <v/>
      </c>
      <c r="T35" s="54">
        <f>(T33+T34)*(1-Assumptions!$B$8)/Assumptions!$B$6/(1+Assumptions!$B$9)</f>
        <v/>
      </c>
      <c r="U35" s="54">
        <f>(U33+U34)*(1-Assumptions!$B$8)/Assumptions!$B$6/(1+Assumptions!$B$9)</f>
        <v/>
      </c>
      <c r="V35" s="54">
        <f>(V33+V34)*(1-Assumptions!$B$8)/Assumptions!$B$6/(1+Assumptions!$B$9)</f>
        <v/>
      </c>
      <c r="W35" s="54">
        <f>(W33+W34)*(1-Assumptions!$B$8)/Assumptions!$B$6/(1+Assumptions!$B$9)</f>
        <v/>
      </c>
      <c r="X35" s="54">
        <f>(X33+X34)*(1-Assumptions!$B$8)/Assumptions!$B$6/(1+Assumptions!$B$9)</f>
        <v/>
      </c>
      <c r="Y35" s="54">
        <f>(Y33+Y34)*(1-Assumptions!$B$8)/Assumptions!$B$6/(1+Assumptions!$B$9)</f>
        <v/>
      </c>
      <c r="Z35" s="54">
        <f>(Z33+Z34)*(1-Assumptions!$B$8)/Assumptions!$B$6/(1+Assumptions!$B$9)</f>
        <v/>
      </c>
      <c r="AA35" s="54">
        <f>(AA33+AA34)*(1-Assumptions!$B$8)/Assumptions!$B$6/(1+Assumptions!$B$9)</f>
        <v/>
      </c>
      <c r="AB35" s="54">
        <f>(AB33+AB34)*(1-Assumptions!$B$8)/Assumptions!$B$6/(1+Assumptions!$B$9)</f>
        <v/>
      </c>
      <c r="AC35" s="54">
        <f>(AC33+AC34)*(1-Assumptions!$B$8)/Assumptions!$B$6/(1+Assumptions!$B$9)</f>
        <v/>
      </c>
      <c r="AD35" s="54">
        <f>(AD33+AD34)*(1-Assumptions!$B$8)/Assumptions!$B$6/(1+Assumptions!$B$9)</f>
        <v/>
      </c>
      <c r="AE35" s="54">
        <f>(AE33+AE34)*(1-Assumptions!$B$8)/Assumptions!$B$6/(1+Assumptions!$B$9)</f>
        <v/>
      </c>
    </row>
    <row r="36">
      <c r="A36" s="6" t="inlineStr">
        <is>
          <t xml:space="preserve">  Collateral-eligible AUM decay rate (holder-weighted)</t>
        </is>
      </c>
      <c r="B36" s="23" t="inlineStr">
        <is>
          <t>%/period</t>
        </is>
      </c>
      <c r="C36" s="56">
        <f>(Assumptions!$B$135+Assumptions!$B$136*IF(C29+C31=0,1,(C29+C31*Assumptions!$B$137)/(C29+C31)))*C7/12</f>
        <v/>
      </c>
      <c r="D36" s="56">
        <f>(Assumptions!$B$135+Assumptions!$B$136*IF(D29+D31=0,1,(D29+D31*Assumptions!$B$137)/(D29+D31)))*D7/12</f>
        <v/>
      </c>
      <c r="E36" s="56">
        <f>(Assumptions!$B$135+Assumptions!$B$136*IF(E29+E31=0,1,(E29+E31*Assumptions!$B$137)/(E29+E31)))*E7/12</f>
        <v/>
      </c>
      <c r="F36" s="56">
        <f>(Assumptions!$B$135+Assumptions!$B$136*IF(F29+F31=0,1,(F29+F31*Assumptions!$B$137)/(F29+F31)))*F7/12</f>
        <v/>
      </c>
      <c r="G36" s="56">
        <f>(Assumptions!$B$135+Assumptions!$B$136*IF(G29+G31=0,1,(G29+G31*Assumptions!$B$137)/(G29+G31)))*G7/12</f>
        <v/>
      </c>
      <c r="H36" s="56">
        <f>(Assumptions!$B$135+Assumptions!$B$136*IF(H29+H31=0,1,(H29+H31*Assumptions!$B$137)/(H29+H31)))*H7/12</f>
        <v/>
      </c>
      <c r="I36" s="56">
        <f>(Assumptions!$B$135+Assumptions!$B$136*IF(I29+I31=0,1,(I29+I31*Assumptions!$B$137)/(I29+I31)))*I7/12</f>
        <v/>
      </c>
      <c r="J36" s="56">
        <f>(Assumptions!$B$135+Assumptions!$B$136*IF(J29+J31=0,1,(J29+J31*Assumptions!$B$137)/(J29+J31)))*J7/12</f>
        <v/>
      </c>
      <c r="K36" s="56">
        <f>(Assumptions!$B$135+Assumptions!$B$136*IF(K29+K31=0,1,(K29+K31*Assumptions!$B$137)/(K29+K31)))*K7/12</f>
        <v/>
      </c>
      <c r="L36" s="56">
        <f>(Assumptions!$B$135+Assumptions!$B$136*IF(L29+L31=0,1,(L29+L31*Assumptions!$B$137)/(L29+L31)))*L7/12</f>
        <v/>
      </c>
      <c r="M36" s="56">
        <f>(Assumptions!$B$135+Assumptions!$B$136*IF(M29+M31=0,1,(M29+M31*Assumptions!$B$137)/(M29+M31)))*M7/12</f>
        <v/>
      </c>
      <c r="N36" s="56">
        <f>(Assumptions!$B$135+Assumptions!$B$136*IF(N29+N31=0,1,(N29+N31*Assumptions!$B$137)/(N29+N31)))*N7/12</f>
        <v/>
      </c>
      <c r="O36" s="56">
        <f>(Assumptions!$B$135+Assumptions!$B$136*IF(O29+O31=0,1,(O29+O31*Assumptions!$B$137)/(O29+O31)))*O7/12</f>
        <v/>
      </c>
      <c r="P36" s="56">
        <f>(Assumptions!$B$135+Assumptions!$B$136*IF(P29+P31=0,1,(P29+P31*Assumptions!$B$137)/(P29+P31)))*P7/12</f>
        <v/>
      </c>
      <c r="Q36" s="56">
        <f>(Assumptions!$B$135+Assumptions!$B$136*IF(Q29+Q31=0,1,(Q29+Q31*Assumptions!$B$137)/(Q29+Q31)))*Q7/12</f>
        <v/>
      </c>
      <c r="R36" s="56">
        <f>(Assumptions!$B$135+Assumptions!$B$136*IF(R29+R31=0,1,(R29+R31*Assumptions!$B$137)/(R29+R31)))*R7/12</f>
        <v/>
      </c>
      <c r="S36" s="56">
        <f>(Assumptions!$B$135+Assumptions!$B$136*IF(S29+S31=0,1,(S29+S31*Assumptions!$B$137)/(S29+S31)))*S7/12</f>
        <v/>
      </c>
      <c r="T36" s="56">
        <f>(Assumptions!$B$135+Assumptions!$B$136*IF(T29+T31=0,1,(T29+T31*Assumptions!$B$137)/(T29+T31)))*T7/12</f>
        <v/>
      </c>
      <c r="U36" s="56">
        <f>(Assumptions!$B$135+Assumptions!$B$136*IF(U29+U31=0,1,(U29+U31*Assumptions!$B$137)/(U29+U31)))*U7/12</f>
        <v/>
      </c>
      <c r="V36" s="56">
        <f>(Assumptions!$B$135+Assumptions!$B$136*IF(V29+V31=0,1,(V29+V31*Assumptions!$B$137)/(V29+V31)))*V7/12</f>
        <v/>
      </c>
      <c r="W36" s="56">
        <f>(Assumptions!$B$135+Assumptions!$B$136*IF(W29+W31=0,1,(W29+W31*Assumptions!$B$137)/(W29+W31)))*W7/12</f>
        <v/>
      </c>
      <c r="X36" s="56">
        <f>(Assumptions!$B$135+Assumptions!$B$136*IF(X29+X31=0,1,(X29+X31*Assumptions!$B$137)/(X29+X31)))*X7/12</f>
        <v/>
      </c>
      <c r="Y36" s="56">
        <f>(Assumptions!$B$135+Assumptions!$B$136*IF(Y29+Y31=0,1,(Y29+Y31*Assumptions!$B$137)/(Y29+Y31)))*Y7/12</f>
        <v/>
      </c>
      <c r="Z36" s="56">
        <f>(Assumptions!$B$135+Assumptions!$B$136*IF(Z29+Z31=0,1,(Z29+Z31*Assumptions!$B$137)/(Z29+Z31)))*Z7/12</f>
        <v/>
      </c>
      <c r="AA36" s="56">
        <f>(Assumptions!$B$135+Assumptions!$B$136*IF(AA29+AA31=0,1,(AA29+AA31*Assumptions!$B$137)/(AA29+AA31)))*AA7/12</f>
        <v/>
      </c>
      <c r="AB36" s="56">
        <f>(Assumptions!$B$135+Assumptions!$B$136*IF(AB29+AB31=0,1,(AB29+AB31*Assumptions!$B$137)/(AB29+AB31)))*AB7/12</f>
        <v/>
      </c>
      <c r="AC36" s="56">
        <f>(Assumptions!$B$135+Assumptions!$B$136*IF(AC29+AC31=0,1,(AC29+AC31*Assumptions!$B$137)/(AC29+AC31)))*AC7/12</f>
        <v/>
      </c>
      <c r="AD36" s="56">
        <f>(Assumptions!$B$135+Assumptions!$B$136*IF(AD29+AD31=0,1,(AD29+AD31*Assumptions!$B$137)/(AD29+AD31)))*AD7/12</f>
        <v/>
      </c>
      <c r="AE36" s="56">
        <f>(Assumptions!$B$135+Assumptions!$B$136*IF(AE29+AE31=0,1,(AE29+AE31*Assumptions!$B$137)/(AE29+AE31)))*AE7/12</f>
        <v/>
      </c>
    </row>
    <row r="37">
      <c r="A37" s="6" t="inlineStr">
        <is>
          <t xml:space="preserve">  Redemption-only decay rate (metal actually leaving)</t>
        </is>
      </c>
      <c r="B37" s="23" t="inlineStr">
        <is>
          <t>%/period</t>
        </is>
      </c>
      <c r="C37" s="56">
        <f>Assumptions!$B$136*IF(C29+C31=0,1,(C29+C31*Assumptions!$B$137)/(C29+C31))*C7/12</f>
        <v/>
      </c>
      <c r="D37" s="56">
        <f>Assumptions!$B$136*IF(D29+D31=0,1,(D29+D31*Assumptions!$B$137)/(D29+D31))*D7/12</f>
        <v/>
      </c>
      <c r="E37" s="56">
        <f>Assumptions!$B$136*IF(E29+E31=0,1,(E29+E31*Assumptions!$B$137)/(E29+E31))*E7/12</f>
        <v/>
      </c>
      <c r="F37" s="56">
        <f>Assumptions!$B$136*IF(F29+F31=0,1,(F29+F31*Assumptions!$B$137)/(F29+F31))*F7/12</f>
        <v/>
      </c>
      <c r="G37" s="56">
        <f>Assumptions!$B$136*IF(G29+G31=0,1,(G29+G31*Assumptions!$B$137)/(G29+G31))*G7/12</f>
        <v/>
      </c>
      <c r="H37" s="56">
        <f>Assumptions!$B$136*IF(H29+H31=0,1,(H29+H31*Assumptions!$B$137)/(H29+H31))*H7/12</f>
        <v/>
      </c>
      <c r="I37" s="56">
        <f>Assumptions!$B$136*IF(I29+I31=0,1,(I29+I31*Assumptions!$B$137)/(I29+I31))*I7/12</f>
        <v/>
      </c>
      <c r="J37" s="56">
        <f>Assumptions!$B$136*IF(J29+J31=0,1,(J29+J31*Assumptions!$B$137)/(J29+J31))*J7/12</f>
        <v/>
      </c>
      <c r="K37" s="56">
        <f>Assumptions!$B$136*IF(K29+K31=0,1,(K29+K31*Assumptions!$B$137)/(K29+K31))*K7/12</f>
        <v/>
      </c>
      <c r="L37" s="56">
        <f>Assumptions!$B$136*IF(L29+L31=0,1,(L29+L31*Assumptions!$B$137)/(L29+L31))*L7/12</f>
        <v/>
      </c>
      <c r="M37" s="56">
        <f>Assumptions!$B$136*IF(M29+M31=0,1,(M29+M31*Assumptions!$B$137)/(M29+M31))*M7/12</f>
        <v/>
      </c>
      <c r="N37" s="56">
        <f>Assumptions!$B$136*IF(N29+N31=0,1,(N29+N31*Assumptions!$B$137)/(N29+N31))*N7/12</f>
        <v/>
      </c>
      <c r="O37" s="56">
        <f>Assumptions!$B$136*IF(O29+O31=0,1,(O29+O31*Assumptions!$B$137)/(O29+O31))*O7/12</f>
        <v/>
      </c>
      <c r="P37" s="56">
        <f>Assumptions!$B$136*IF(P29+P31=0,1,(P29+P31*Assumptions!$B$137)/(P29+P31))*P7/12</f>
        <v/>
      </c>
      <c r="Q37" s="56">
        <f>Assumptions!$B$136*IF(Q29+Q31=0,1,(Q29+Q31*Assumptions!$B$137)/(Q29+Q31))*Q7/12</f>
        <v/>
      </c>
      <c r="R37" s="56">
        <f>Assumptions!$B$136*IF(R29+R31=0,1,(R29+R31*Assumptions!$B$137)/(R29+R31))*R7/12</f>
        <v/>
      </c>
      <c r="S37" s="56">
        <f>Assumptions!$B$136*IF(S29+S31=0,1,(S29+S31*Assumptions!$B$137)/(S29+S31))*S7/12</f>
        <v/>
      </c>
      <c r="T37" s="56">
        <f>Assumptions!$B$136*IF(T29+T31=0,1,(T29+T31*Assumptions!$B$137)/(T29+T31))*T7/12</f>
        <v/>
      </c>
      <c r="U37" s="56">
        <f>Assumptions!$B$136*IF(U29+U31=0,1,(U29+U31*Assumptions!$B$137)/(U29+U31))*U7/12</f>
        <v/>
      </c>
      <c r="V37" s="56">
        <f>Assumptions!$B$136*IF(V29+V31=0,1,(V29+V31*Assumptions!$B$137)/(V29+V31))*V7/12</f>
        <v/>
      </c>
      <c r="W37" s="56">
        <f>Assumptions!$B$136*IF(W29+W31=0,1,(W29+W31*Assumptions!$B$137)/(W29+W31))*W7/12</f>
        <v/>
      </c>
      <c r="X37" s="56">
        <f>Assumptions!$B$136*IF(X29+X31=0,1,(X29+X31*Assumptions!$B$137)/(X29+X31))*X7/12</f>
        <v/>
      </c>
      <c r="Y37" s="56">
        <f>Assumptions!$B$136*IF(Y29+Y31=0,1,(Y29+Y31*Assumptions!$B$137)/(Y29+Y31))*Y7/12</f>
        <v/>
      </c>
      <c r="Z37" s="56">
        <f>Assumptions!$B$136*IF(Z29+Z31=0,1,(Z29+Z31*Assumptions!$B$137)/(Z29+Z31))*Z7/12</f>
        <v/>
      </c>
      <c r="AA37" s="56">
        <f>Assumptions!$B$136*IF(AA29+AA31=0,1,(AA29+AA31*Assumptions!$B$137)/(AA29+AA31))*AA7/12</f>
        <v/>
      </c>
      <c r="AB37" s="56">
        <f>Assumptions!$B$136*IF(AB29+AB31=0,1,(AB29+AB31*Assumptions!$B$137)/(AB29+AB31))*AB7/12</f>
        <v/>
      </c>
      <c r="AC37" s="56">
        <f>Assumptions!$B$136*IF(AC29+AC31=0,1,(AC29+AC31*Assumptions!$B$137)/(AC29+AC31))*AC7/12</f>
        <v/>
      </c>
      <c r="AD37" s="56">
        <f>Assumptions!$B$136*IF(AD29+AD31=0,1,(AD29+AD31*Assumptions!$B$137)/(AD29+AD31))*AD7/12</f>
        <v/>
      </c>
      <c r="AE37" s="56">
        <f>Assumptions!$B$136*IF(AE29+AE31=0,1,(AE29+AE31*Assumptions!$B$137)/(AE29+AE31))*AE7/12</f>
        <v/>
      </c>
    </row>
    <row r="38">
      <c r="A38" s="6" t="inlineStr">
        <is>
          <t xml:space="preserve">  Grams held (collateral-eligible)</t>
        </is>
      </c>
      <c r="B38" s="23" t="inlineStr">
        <is>
          <t>grams</t>
        </is>
      </c>
      <c r="C38" s="45">
        <f>C35</f>
        <v/>
      </c>
      <c r="D38" s="45">
        <f>C38*(1-D36)+D35</f>
        <v/>
      </c>
      <c r="E38" s="45">
        <f>D38*(1-E36)+E35</f>
        <v/>
      </c>
      <c r="F38" s="45">
        <f>E38*(1-F36)+F35</f>
        <v/>
      </c>
      <c r="G38" s="45">
        <f>F38*(1-G36)+G35</f>
        <v/>
      </c>
      <c r="H38" s="45">
        <f>G38*(1-H36)+H35</f>
        <v/>
      </c>
      <c r="I38" s="45">
        <f>H38*(1-I36)+I35</f>
        <v/>
      </c>
      <c r="J38" s="45">
        <f>I38*(1-J36)+J35</f>
        <v/>
      </c>
      <c r="K38" s="45">
        <f>J38*(1-K36)+K35</f>
        <v/>
      </c>
      <c r="L38" s="45">
        <f>K38*(1-L36)+L35</f>
        <v/>
      </c>
      <c r="M38" s="45">
        <f>L38*(1-M36)+M35</f>
        <v/>
      </c>
      <c r="N38" s="45">
        <f>M38*(1-N36)+N35</f>
        <v/>
      </c>
      <c r="O38" s="45">
        <f>N38*(1-O36)+O35</f>
        <v/>
      </c>
      <c r="P38" s="45">
        <f>O38*(1-P36)+P35</f>
        <v/>
      </c>
      <c r="Q38" s="45">
        <f>P38*(1-Q36)+Q35</f>
        <v/>
      </c>
      <c r="R38" s="45">
        <f>Q38*(1-R36)+R35</f>
        <v/>
      </c>
      <c r="S38" s="45">
        <f>R38*(1-S36)+S35</f>
        <v/>
      </c>
      <c r="T38" s="45">
        <f>S38*(1-T36)+T35</f>
        <v/>
      </c>
      <c r="U38" s="45">
        <f>T38*(1-U36)+U35</f>
        <v/>
      </c>
      <c r="V38" s="45">
        <f>U38*(1-V36)+V35</f>
        <v/>
      </c>
      <c r="W38" s="45">
        <f>V38*(1-W36)+W35</f>
        <v/>
      </c>
      <c r="X38" s="45">
        <f>W38*(1-X36)+X35</f>
        <v/>
      </c>
      <c r="Y38" s="45">
        <f>X38*(1-Y36)+Y35</f>
        <v/>
      </c>
      <c r="Z38" s="45">
        <f>Y38*(1-Z36)+Z35</f>
        <v/>
      </c>
      <c r="AA38" s="45">
        <f>Z38*(1-AA36)+AA35</f>
        <v/>
      </c>
      <c r="AB38" s="45">
        <f>AA38*(1-AB36)+AB35</f>
        <v/>
      </c>
      <c r="AC38" s="45">
        <f>AB38*(1-AC36)+AC35</f>
        <v/>
      </c>
      <c r="AD38" s="45">
        <f>AC38*(1-AD36)+AD35</f>
        <v/>
      </c>
      <c r="AE38" s="45">
        <f>AD38*(1-AE36)+AE35</f>
        <v/>
      </c>
    </row>
    <row r="39">
      <c r="A39" s="6" t="inlineStr">
        <is>
          <t xml:space="preserve">  Grams under custody (vaulted, incl. self-custodied)</t>
        </is>
      </c>
      <c r="B39" s="23" t="inlineStr">
        <is>
          <t>grams</t>
        </is>
      </c>
      <c r="C39" s="45">
        <f>C35</f>
        <v/>
      </c>
      <c r="D39" s="45">
        <f>C39*(1-D37)+D35</f>
        <v/>
      </c>
      <c r="E39" s="45">
        <f>D39*(1-E37)+E35</f>
        <v/>
      </c>
      <c r="F39" s="45">
        <f>E39*(1-F37)+F35</f>
        <v/>
      </c>
      <c r="G39" s="45">
        <f>F39*(1-G37)+G35</f>
        <v/>
      </c>
      <c r="H39" s="45">
        <f>G39*(1-H37)+H35</f>
        <v/>
      </c>
      <c r="I39" s="45">
        <f>H39*(1-I37)+I35</f>
        <v/>
      </c>
      <c r="J39" s="45">
        <f>I39*(1-J37)+J35</f>
        <v/>
      </c>
      <c r="K39" s="45">
        <f>J39*(1-K37)+K35</f>
        <v/>
      </c>
      <c r="L39" s="45">
        <f>K39*(1-L37)+L35</f>
        <v/>
      </c>
      <c r="M39" s="45">
        <f>L39*(1-M37)+M35</f>
        <v/>
      </c>
      <c r="N39" s="45">
        <f>M39*(1-N37)+N35</f>
        <v/>
      </c>
      <c r="O39" s="45">
        <f>N39*(1-O37)+O35</f>
        <v/>
      </c>
      <c r="P39" s="45">
        <f>O39*(1-P37)+P35</f>
        <v/>
      </c>
      <c r="Q39" s="45">
        <f>P39*(1-Q37)+Q35</f>
        <v/>
      </c>
      <c r="R39" s="45">
        <f>Q39*(1-R37)+R35</f>
        <v/>
      </c>
      <c r="S39" s="45">
        <f>R39*(1-S37)+S35</f>
        <v/>
      </c>
      <c r="T39" s="45">
        <f>S39*(1-T37)+T35</f>
        <v/>
      </c>
      <c r="U39" s="45">
        <f>T39*(1-U37)+U35</f>
        <v/>
      </c>
      <c r="V39" s="45">
        <f>U39*(1-V37)+V35</f>
        <v/>
      </c>
      <c r="W39" s="45">
        <f>V39*(1-W37)+W35</f>
        <v/>
      </c>
      <c r="X39" s="45">
        <f>W39*(1-X37)+X35</f>
        <v/>
      </c>
      <c r="Y39" s="45">
        <f>X39*(1-Y37)+Y35</f>
        <v/>
      </c>
      <c r="Z39" s="45">
        <f>Y39*(1-Z37)+Z35</f>
        <v/>
      </c>
      <c r="AA39" s="45">
        <f>Z39*(1-AA37)+AA35</f>
        <v/>
      </c>
      <c r="AB39" s="45">
        <f>AA39*(1-AB37)+AB35</f>
        <v/>
      </c>
      <c r="AC39" s="45">
        <f>AB39*(1-AC37)+AC35</f>
        <v/>
      </c>
      <c r="AD39" s="45">
        <f>AC39*(1-AD37)+AD35</f>
        <v/>
      </c>
      <c r="AE39" s="45">
        <f>AD39*(1-AE37)+AE35</f>
        <v/>
      </c>
    </row>
    <row r="40">
      <c r="A40" s="6" t="inlineStr">
        <is>
          <t xml:space="preserve">  AUM</t>
        </is>
      </c>
      <c r="B40" s="23" t="inlineStr">
        <is>
          <t>USD</t>
        </is>
      </c>
      <c r="C40" s="57">
        <f>C38*Assumptions!$B$6</f>
        <v/>
      </c>
      <c r="D40" s="57">
        <f>D38*Assumptions!$B$6</f>
        <v/>
      </c>
      <c r="E40" s="57">
        <f>E38*Assumptions!$B$6</f>
        <v/>
      </c>
      <c r="F40" s="57">
        <f>F38*Assumptions!$B$6</f>
        <v/>
      </c>
      <c r="G40" s="57">
        <f>G38*Assumptions!$B$6</f>
        <v/>
      </c>
      <c r="H40" s="57">
        <f>H38*Assumptions!$B$6</f>
        <v/>
      </c>
      <c r="I40" s="57">
        <f>I38*Assumptions!$B$6</f>
        <v/>
      </c>
      <c r="J40" s="57">
        <f>J38*Assumptions!$B$6</f>
        <v/>
      </c>
      <c r="K40" s="57">
        <f>K38*Assumptions!$B$6</f>
        <v/>
      </c>
      <c r="L40" s="57">
        <f>L38*Assumptions!$B$6</f>
        <v/>
      </c>
      <c r="M40" s="57">
        <f>M38*Assumptions!$B$6</f>
        <v/>
      </c>
      <c r="N40" s="57">
        <f>N38*Assumptions!$B$6</f>
        <v/>
      </c>
      <c r="O40" s="57">
        <f>O38*Assumptions!$B$6</f>
        <v/>
      </c>
      <c r="P40" s="57">
        <f>P38*Assumptions!$B$6</f>
        <v/>
      </c>
      <c r="Q40" s="57">
        <f>Q38*Assumptions!$B$6</f>
        <v/>
      </c>
      <c r="R40" s="57">
        <f>R38*Assumptions!$B$6</f>
        <v/>
      </c>
      <c r="S40" s="57">
        <f>S38*Assumptions!$B$6</f>
        <v/>
      </c>
      <c r="T40" s="57">
        <f>T38*Assumptions!$B$6</f>
        <v/>
      </c>
      <c r="U40" s="57">
        <f>U38*Assumptions!$B$6</f>
        <v/>
      </c>
      <c r="V40" s="57">
        <f>V38*Assumptions!$B$6</f>
        <v/>
      </c>
      <c r="W40" s="57">
        <f>W38*Assumptions!$B$6</f>
        <v/>
      </c>
      <c r="X40" s="57">
        <f>X38*Assumptions!$B$6</f>
        <v/>
      </c>
      <c r="Y40" s="57">
        <f>Y38*Assumptions!$B$6</f>
        <v/>
      </c>
      <c r="Z40" s="57">
        <f>Z38*Assumptions!$B$6</f>
        <v/>
      </c>
      <c r="AA40" s="57">
        <f>AA38*Assumptions!$B$6</f>
        <v/>
      </c>
      <c r="AB40" s="57">
        <f>AB38*Assumptions!$B$6</f>
        <v/>
      </c>
      <c r="AC40" s="57">
        <f>AC38*Assumptions!$B$6</f>
        <v/>
      </c>
      <c r="AD40" s="57">
        <f>AD38*Assumptions!$B$6</f>
        <v/>
      </c>
      <c r="AE40" s="57">
        <f>AE38*Assumptions!$B$6</f>
        <v/>
      </c>
    </row>
    <row r="41">
      <c r="A41" s="6" t="inlineStr">
        <is>
          <t xml:space="preserve">  Card-eligible base</t>
        </is>
      </c>
      <c r="B41" s="23" t="inlineStr">
        <is>
          <t>accounts</t>
        </is>
      </c>
      <c r="C41" s="54">
        <f>C29+C31*Assumptions!$B$171</f>
        <v/>
      </c>
      <c r="D41" s="54">
        <f>D29+D31*Assumptions!$B$171</f>
        <v/>
      </c>
      <c r="E41" s="54">
        <f>E29+E31*Assumptions!$B$171</f>
        <v/>
      </c>
      <c r="F41" s="54">
        <f>F29+F31*Assumptions!$B$171</f>
        <v/>
      </c>
      <c r="G41" s="54">
        <f>G29+G31*Assumptions!$B$171</f>
        <v/>
      </c>
      <c r="H41" s="54">
        <f>H29+H31*Assumptions!$B$171</f>
        <v/>
      </c>
      <c r="I41" s="54">
        <f>I29+I31*Assumptions!$B$171</f>
        <v/>
      </c>
      <c r="J41" s="54">
        <f>J29+J31*Assumptions!$B$171</f>
        <v/>
      </c>
      <c r="K41" s="54">
        <f>K29+K31*Assumptions!$B$171</f>
        <v/>
      </c>
      <c r="L41" s="54">
        <f>L29+L31*Assumptions!$B$171</f>
        <v/>
      </c>
      <c r="M41" s="54">
        <f>M29+M31*Assumptions!$B$171</f>
        <v/>
      </c>
      <c r="N41" s="54">
        <f>N29+N31*Assumptions!$B$171</f>
        <v/>
      </c>
      <c r="O41" s="54">
        <f>O29+O31*Assumptions!$B$171</f>
        <v/>
      </c>
      <c r="P41" s="54">
        <f>P29+P31*Assumptions!$B$171</f>
        <v/>
      </c>
      <c r="Q41" s="54">
        <f>Q29+Q31*Assumptions!$B$171</f>
        <v/>
      </c>
      <c r="R41" s="54">
        <f>R29+R31*Assumptions!$B$171</f>
        <v/>
      </c>
      <c r="S41" s="54">
        <f>S29+S31*Assumptions!$B$171</f>
        <v/>
      </c>
      <c r="T41" s="54">
        <f>T29+T31*Assumptions!$B$171</f>
        <v/>
      </c>
      <c r="U41" s="54">
        <f>U29+U31*Assumptions!$B$171</f>
        <v/>
      </c>
      <c r="V41" s="54">
        <f>V29+V31*Assumptions!$B$171</f>
        <v/>
      </c>
      <c r="W41" s="54">
        <f>W29+W31*Assumptions!$B$171</f>
        <v/>
      </c>
      <c r="X41" s="54">
        <f>X29+X31*Assumptions!$B$171</f>
        <v/>
      </c>
      <c r="Y41" s="54">
        <f>Y29+Y31*Assumptions!$B$171</f>
        <v/>
      </c>
      <c r="Z41" s="54">
        <f>Z29+Z31*Assumptions!$B$171</f>
        <v/>
      </c>
      <c r="AA41" s="54">
        <f>AA29+AA31*Assumptions!$B$171</f>
        <v/>
      </c>
      <c r="AB41" s="54">
        <f>AB29+AB31*Assumptions!$B$171</f>
        <v/>
      </c>
      <c r="AC41" s="54">
        <f>AC29+AC31*Assumptions!$B$171</f>
        <v/>
      </c>
      <c r="AD41" s="54">
        <f>AD29+AD31*Assumptions!$B$171</f>
        <v/>
      </c>
      <c r="AE41" s="54">
        <f>AE29+AE31*Assumptions!$B$171</f>
        <v/>
      </c>
    </row>
    <row r="42">
      <c r="A42" s="6" t="inlineStr">
        <is>
          <t xml:space="preserve">  Cleared the six-payment gate</t>
        </is>
      </c>
      <c r="B42" s="23" t="inlineStr">
        <is>
          <t>accounts</t>
        </is>
      </c>
      <c r="C42" s="45">
        <f>IF(C7&gt;1,C41*Assumptions!$B$133,IF(C2&gt;Assumptions!$B$134,INDEX($C$41:$AE$41,1,C2-Assumptions!$B$134)*Assumptions!$B$133,0))</f>
        <v/>
      </c>
      <c r="D42" s="45">
        <f>IF(D7&gt;1,D41*Assumptions!$B$133,IF(D2&gt;Assumptions!$B$134,INDEX($C$41:$AE$41,1,D2-Assumptions!$B$134)*Assumptions!$B$133,0))</f>
        <v/>
      </c>
      <c r="E42" s="45">
        <f>IF(E7&gt;1,E41*Assumptions!$B$133,IF(E2&gt;Assumptions!$B$134,INDEX($C$41:$AE$41,1,E2-Assumptions!$B$134)*Assumptions!$B$133,0))</f>
        <v/>
      </c>
      <c r="F42" s="45">
        <f>IF(F7&gt;1,F41*Assumptions!$B$133,IF(F2&gt;Assumptions!$B$134,INDEX($C$41:$AE$41,1,F2-Assumptions!$B$134)*Assumptions!$B$133,0))</f>
        <v/>
      </c>
      <c r="G42" s="45">
        <f>IF(G7&gt;1,G41*Assumptions!$B$133,IF(G2&gt;Assumptions!$B$134,INDEX($C$41:$AE$41,1,G2-Assumptions!$B$134)*Assumptions!$B$133,0))</f>
        <v/>
      </c>
      <c r="H42" s="45">
        <f>IF(H7&gt;1,H41*Assumptions!$B$133,IF(H2&gt;Assumptions!$B$134,INDEX($C$41:$AE$41,1,H2-Assumptions!$B$134)*Assumptions!$B$133,0))</f>
        <v/>
      </c>
      <c r="I42" s="45">
        <f>IF(I7&gt;1,I41*Assumptions!$B$133,IF(I2&gt;Assumptions!$B$134,INDEX($C$41:$AE$41,1,I2-Assumptions!$B$134)*Assumptions!$B$133,0))</f>
        <v/>
      </c>
      <c r="J42" s="45">
        <f>IF(J7&gt;1,J41*Assumptions!$B$133,IF(J2&gt;Assumptions!$B$134,INDEX($C$41:$AE$41,1,J2-Assumptions!$B$134)*Assumptions!$B$133,0))</f>
        <v/>
      </c>
      <c r="K42" s="45">
        <f>IF(K7&gt;1,K41*Assumptions!$B$133,IF(K2&gt;Assumptions!$B$134,INDEX($C$41:$AE$41,1,K2-Assumptions!$B$134)*Assumptions!$B$133,0))</f>
        <v/>
      </c>
      <c r="L42" s="45">
        <f>IF(L7&gt;1,L41*Assumptions!$B$133,IF(L2&gt;Assumptions!$B$134,INDEX($C$41:$AE$41,1,L2-Assumptions!$B$134)*Assumptions!$B$133,0))</f>
        <v/>
      </c>
      <c r="M42" s="45">
        <f>IF(M7&gt;1,M41*Assumptions!$B$133,IF(M2&gt;Assumptions!$B$134,INDEX($C$41:$AE$41,1,M2-Assumptions!$B$134)*Assumptions!$B$133,0))</f>
        <v/>
      </c>
      <c r="N42" s="45">
        <f>IF(N7&gt;1,N41*Assumptions!$B$133,IF(N2&gt;Assumptions!$B$134,INDEX($C$41:$AE$41,1,N2-Assumptions!$B$134)*Assumptions!$B$133,0))</f>
        <v/>
      </c>
      <c r="O42" s="45">
        <f>IF(O7&gt;1,O41*Assumptions!$B$133,IF(O2&gt;Assumptions!$B$134,INDEX($C$41:$AE$41,1,O2-Assumptions!$B$134)*Assumptions!$B$133,0))</f>
        <v/>
      </c>
      <c r="P42" s="45">
        <f>IF(P7&gt;1,P41*Assumptions!$B$133,IF(P2&gt;Assumptions!$B$134,INDEX($C$41:$AE$41,1,P2-Assumptions!$B$134)*Assumptions!$B$133,0))</f>
        <v/>
      </c>
      <c r="Q42" s="45">
        <f>IF(Q7&gt;1,Q41*Assumptions!$B$133,IF(Q2&gt;Assumptions!$B$134,INDEX($C$41:$AE$41,1,Q2-Assumptions!$B$134)*Assumptions!$B$133,0))</f>
        <v/>
      </c>
      <c r="R42" s="45">
        <f>IF(R7&gt;1,R41*Assumptions!$B$133,IF(R2&gt;Assumptions!$B$134,INDEX($C$41:$AE$41,1,R2-Assumptions!$B$134)*Assumptions!$B$133,0))</f>
        <v/>
      </c>
      <c r="S42" s="45">
        <f>IF(S7&gt;1,S41*Assumptions!$B$133,IF(S2&gt;Assumptions!$B$134,INDEX($C$41:$AE$41,1,S2-Assumptions!$B$134)*Assumptions!$B$133,0))</f>
        <v/>
      </c>
      <c r="T42" s="45">
        <f>IF(T7&gt;1,T41*Assumptions!$B$133,IF(T2&gt;Assumptions!$B$134,INDEX($C$41:$AE$41,1,T2-Assumptions!$B$134)*Assumptions!$B$133,0))</f>
        <v/>
      </c>
      <c r="U42" s="45">
        <f>IF(U7&gt;1,U41*Assumptions!$B$133,IF(U2&gt;Assumptions!$B$134,INDEX($C$41:$AE$41,1,U2-Assumptions!$B$134)*Assumptions!$B$133,0))</f>
        <v/>
      </c>
      <c r="V42" s="45">
        <f>IF(V7&gt;1,V41*Assumptions!$B$133,IF(V2&gt;Assumptions!$B$134,INDEX($C$41:$AE$41,1,V2-Assumptions!$B$134)*Assumptions!$B$133,0))</f>
        <v/>
      </c>
      <c r="W42" s="45">
        <f>IF(W7&gt;1,W41*Assumptions!$B$133,IF(W2&gt;Assumptions!$B$134,INDEX($C$41:$AE$41,1,W2-Assumptions!$B$134)*Assumptions!$B$133,0))</f>
        <v/>
      </c>
      <c r="X42" s="45">
        <f>IF(X7&gt;1,X41*Assumptions!$B$133,IF(X2&gt;Assumptions!$B$134,INDEX($C$41:$AE$41,1,X2-Assumptions!$B$134)*Assumptions!$B$133,0))</f>
        <v/>
      </c>
      <c r="Y42" s="45">
        <f>IF(Y7&gt;1,Y41*Assumptions!$B$133,IF(Y2&gt;Assumptions!$B$134,INDEX($C$41:$AE$41,1,Y2-Assumptions!$B$134)*Assumptions!$B$133,0))</f>
        <v/>
      </c>
      <c r="Z42" s="45">
        <f>IF(Z7&gt;1,Z41*Assumptions!$B$133,IF(Z2&gt;Assumptions!$B$134,INDEX($C$41:$AE$41,1,Z2-Assumptions!$B$134)*Assumptions!$B$133,0))</f>
        <v/>
      </c>
      <c r="AA42" s="45">
        <f>IF(AA7&gt;1,AA41*Assumptions!$B$133,IF(AA2&gt;Assumptions!$B$134,INDEX($C$41:$AE$41,1,AA2-Assumptions!$B$134)*Assumptions!$B$133,0))</f>
        <v/>
      </c>
      <c r="AB42" s="45">
        <f>IF(AB7&gt;1,AB41*Assumptions!$B$133,IF(AB2&gt;Assumptions!$B$134,INDEX($C$41:$AE$41,1,AB2-Assumptions!$B$134)*Assumptions!$B$133,0))</f>
        <v/>
      </c>
      <c r="AC42" s="45">
        <f>IF(AC7&gt;1,AC41*Assumptions!$B$133,IF(AC2&gt;Assumptions!$B$134,INDEX($C$41:$AE$41,1,AC2-Assumptions!$B$134)*Assumptions!$B$133,0))</f>
        <v/>
      </c>
      <c r="AD42" s="45">
        <f>IF(AD7&gt;1,AD41*Assumptions!$B$133,IF(AD2&gt;Assumptions!$B$134,INDEX($C$41:$AE$41,1,AD2-Assumptions!$B$134)*Assumptions!$B$133,0))</f>
        <v/>
      </c>
      <c r="AE42" s="45">
        <f>IF(AE7&gt;1,AE41*Assumptions!$B$133,IF(AE2&gt;Assumptions!$B$134,INDEX($C$41:$AE$41,1,AE2-Assumptions!$B$134)*Assumptions!$B$133,0))</f>
        <v/>
      </c>
    </row>
    <row r="43">
      <c r="A43" s="6" t="inlineStr">
        <is>
          <t xml:space="preserve">  Active cards</t>
        </is>
      </c>
      <c r="B43" s="23" t="inlineStr">
        <is>
          <t>cards</t>
        </is>
      </c>
      <c r="C43" s="28">
        <f>IF(C2&gt;=Assumptions!$B$51,C42*Assumptions!$B$142,0)</f>
        <v/>
      </c>
      <c r="D43" s="28">
        <f>IF(D2&gt;=Assumptions!$B$51,D42*Assumptions!$B$142,0)</f>
        <v/>
      </c>
      <c r="E43" s="28">
        <f>IF(E2&gt;=Assumptions!$B$51,E42*Assumptions!$B$142,0)</f>
        <v/>
      </c>
      <c r="F43" s="28">
        <f>IF(F2&gt;=Assumptions!$B$51,F42*Assumptions!$B$142,0)</f>
        <v/>
      </c>
      <c r="G43" s="28">
        <f>IF(G2&gt;=Assumptions!$B$51,G42*Assumptions!$B$142,0)</f>
        <v/>
      </c>
      <c r="H43" s="28">
        <f>IF(H2&gt;=Assumptions!$B$51,H42*Assumptions!$B$142,0)</f>
        <v/>
      </c>
      <c r="I43" s="28">
        <f>IF(I2&gt;=Assumptions!$B$51,I42*Assumptions!$B$142,0)</f>
        <v/>
      </c>
      <c r="J43" s="28">
        <f>IF(J2&gt;=Assumptions!$B$51,J42*Assumptions!$B$142,0)</f>
        <v/>
      </c>
      <c r="K43" s="28">
        <f>IF(K2&gt;=Assumptions!$B$51,K42*Assumptions!$B$142,0)</f>
        <v/>
      </c>
      <c r="L43" s="28">
        <f>IF(L2&gt;=Assumptions!$B$51,L42*Assumptions!$B$142,0)</f>
        <v/>
      </c>
      <c r="M43" s="28">
        <f>IF(M2&gt;=Assumptions!$B$51,M42*Assumptions!$B$142,0)</f>
        <v/>
      </c>
      <c r="N43" s="28">
        <f>IF(N2&gt;=Assumptions!$B$51,N42*Assumptions!$B$142,0)</f>
        <v/>
      </c>
      <c r="O43" s="28">
        <f>IF(O2&gt;=Assumptions!$B$51,O42*Assumptions!$B$142,0)</f>
        <v/>
      </c>
      <c r="P43" s="28">
        <f>IF(P2&gt;=Assumptions!$B$51,P42*Assumptions!$B$142,0)</f>
        <v/>
      </c>
      <c r="Q43" s="28">
        <f>IF(Q2&gt;=Assumptions!$B$51,Q42*Assumptions!$B$142,0)</f>
        <v/>
      </c>
      <c r="R43" s="28">
        <f>IF(R2&gt;=Assumptions!$B$51,R42*Assumptions!$B$142,0)</f>
        <v/>
      </c>
      <c r="S43" s="28">
        <f>IF(S2&gt;=Assumptions!$B$51,S42*Assumptions!$B$142,0)</f>
        <v/>
      </c>
      <c r="T43" s="28">
        <f>IF(T2&gt;=Assumptions!$B$51,T42*Assumptions!$B$142,0)</f>
        <v/>
      </c>
      <c r="U43" s="28">
        <f>IF(U2&gt;=Assumptions!$B$51,U42*Assumptions!$B$142,0)</f>
        <v/>
      </c>
      <c r="V43" s="28">
        <f>IF(V2&gt;=Assumptions!$B$51,V42*Assumptions!$B$142,0)</f>
        <v/>
      </c>
      <c r="W43" s="28">
        <f>IF(W2&gt;=Assumptions!$B$51,W42*Assumptions!$B$142,0)</f>
        <v/>
      </c>
      <c r="X43" s="28">
        <f>IF(X2&gt;=Assumptions!$B$51,X42*Assumptions!$B$142,0)</f>
        <v/>
      </c>
      <c r="Y43" s="28">
        <f>IF(Y2&gt;=Assumptions!$B$51,Y42*Assumptions!$B$142,0)</f>
        <v/>
      </c>
      <c r="Z43" s="28">
        <f>IF(Z2&gt;=Assumptions!$B$51,Z42*Assumptions!$B$142,0)</f>
        <v/>
      </c>
      <c r="AA43" s="28">
        <f>IF(AA2&gt;=Assumptions!$B$51,AA42*Assumptions!$B$142,0)</f>
        <v/>
      </c>
      <c r="AB43" s="28">
        <f>IF(AB2&gt;=Assumptions!$B$51,AB42*Assumptions!$B$142,0)</f>
        <v/>
      </c>
      <c r="AC43" s="28">
        <f>IF(AC2&gt;=Assumptions!$B$51,AC42*Assumptions!$B$142,0)</f>
        <v/>
      </c>
      <c r="AD43" s="28">
        <f>IF(AD2&gt;=Assumptions!$B$51,AD42*Assumptions!$B$142,0)</f>
        <v/>
      </c>
      <c r="AE43" s="28">
        <f>IF(AE2&gt;=Assumptions!$B$51,AE42*Assumptions!$B$142,0)</f>
        <v/>
      </c>
    </row>
    <row r="44">
      <c r="A44" s="6" t="inlineStr">
        <is>
          <t xml:space="preserve">  Credit limit per customer (gold x LTV)</t>
        </is>
      </c>
      <c r="B44" s="23" t="inlineStr">
        <is>
          <t>USD</t>
        </is>
      </c>
      <c r="C44" s="55">
        <f>IF(C29=0,0,C40/C29*Assumptions!$B$31)</f>
        <v/>
      </c>
      <c r="D44" s="55">
        <f>IF(D29=0,0,D40/D29*Assumptions!$B$31)</f>
        <v/>
      </c>
      <c r="E44" s="55">
        <f>IF(E29=0,0,E40/E29*Assumptions!$B$31)</f>
        <v/>
      </c>
      <c r="F44" s="55">
        <f>IF(F29=0,0,F40/F29*Assumptions!$B$31)</f>
        <v/>
      </c>
      <c r="G44" s="55">
        <f>IF(G29=0,0,G40/G29*Assumptions!$B$31)</f>
        <v/>
      </c>
      <c r="H44" s="55">
        <f>IF(H29=0,0,H40/H29*Assumptions!$B$31)</f>
        <v/>
      </c>
      <c r="I44" s="55">
        <f>IF(I29=0,0,I40/I29*Assumptions!$B$31)</f>
        <v/>
      </c>
      <c r="J44" s="55">
        <f>IF(J29=0,0,J40/J29*Assumptions!$B$31)</f>
        <v/>
      </c>
      <c r="K44" s="55">
        <f>IF(K29=0,0,K40/K29*Assumptions!$B$31)</f>
        <v/>
      </c>
      <c r="L44" s="55">
        <f>IF(L29=0,0,L40/L29*Assumptions!$B$31)</f>
        <v/>
      </c>
      <c r="M44" s="55">
        <f>IF(M29=0,0,M40/M29*Assumptions!$B$31)</f>
        <v/>
      </c>
      <c r="N44" s="55">
        <f>IF(N29=0,0,N40/N29*Assumptions!$B$31)</f>
        <v/>
      </c>
      <c r="O44" s="55">
        <f>IF(O29=0,0,O40/O29*Assumptions!$B$31)</f>
        <v/>
      </c>
      <c r="P44" s="55">
        <f>IF(P29=0,0,P40/P29*Assumptions!$B$31)</f>
        <v/>
      </c>
      <c r="Q44" s="55">
        <f>IF(Q29=0,0,Q40/Q29*Assumptions!$B$31)</f>
        <v/>
      </c>
      <c r="R44" s="55">
        <f>IF(R29=0,0,R40/R29*Assumptions!$B$31)</f>
        <v/>
      </c>
      <c r="S44" s="55">
        <f>IF(S29=0,0,S40/S29*Assumptions!$B$31)</f>
        <v/>
      </c>
      <c r="T44" s="55">
        <f>IF(T29=0,0,T40/T29*Assumptions!$B$31)</f>
        <v/>
      </c>
      <c r="U44" s="55">
        <f>IF(U29=0,0,U40/U29*Assumptions!$B$31)</f>
        <v/>
      </c>
      <c r="V44" s="55">
        <f>IF(V29=0,0,V40/V29*Assumptions!$B$31)</f>
        <v/>
      </c>
      <c r="W44" s="55">
        <f>IF(W29=0,0,W40/W29*Assumptions!$B$31)</f>
        <v/>
      </c>
      <c r="X44" s="55">
        <f>IF(X29=0,0,X40/X29*Assumptions!$B$31)</f>
        <v/>
      </c>
      <c r="Y44" s="55">
        <f>IF(Y29=0,0,Y40/Y29*Assumptions!$B$31)</f>
        <v/>
      </c>
      <c r="Z44" s="55">
        <f>IF(Z29=0,0,Z40/Z29*Assumptions!$B$31)</f>
        <v/>
      </c>
      <c r="AA44" s="55">
        <f>IF(AA29=0,0,AA40/AA29*Assumptions!$B$31)</f>
        <v/>
      </c>
      <c r="AB44" s="55">
        <f>IF(AB29=0,0,AB40/AB29*Assumptions!$B$31)</f>
        <v/>
      </c>
      <c r="AC44" s="55">
        <f>IF(AC29=0,0,AC40/AC29*Assumptions!$B$31)</f>
        <v/>
      </c>
      <c r="AD44" s="55">
        <f>IF(AD29=0,0,AD40/AD29*Assumptions!$B$31)</f>
        <v/>
      </c>
      <c r="AE44" s="55">
        <f>IF(AE29=0,0,AE40/AE29*Assumptions!$B$31)</f>
        <v/>
      </c>
    </row>
    <row r="45">
      <c r="A45" s="6" t="inlineStr">
        <is>
          <t xml:space="preserve">  Annual drawdown per card (limit x drawn x draws)</t>
        </is>
      </c>
      <c r="B45" s="23" t="inlineStr">
        <is>
          <t>USD/yr</t>
        </is>
      </c>
      <c r="C45" s="55">
        <f>C44*Assumptions!$B$155*Assumptions!$B$157</f>
        <v/>
      </c>
      <c r="D45" s="55">
        <f>D44*Assumptions!$B$155*Assumptions!$B$157</f>
        <v/>
      </c>
      <c r="E45" s="55">
        <f>E44*Assumptions!$B$155*Assumptions!$B$157</f>
        <v/>
      </c>
      <c r="F45" s="55">
        <f>F44*Assumptions!$B$155*Assumptions!$B$157</f>
        <v/>
      </c>
      <c r="G45" s="55">
        <f>G44*Assumptions!$B$155*Assumptions!$B$157</f>
        <v/>
      </c>
      <c r="H45" s="55">
        <f>H44*Assumptions!$B$155*Assumptions!$B$157</f>
        <v/>
      </c>
      <c r="I45" s="55">
        <f>I44*Assumptions!$B$155*Assumptions!$B$157</f>
        <v/>
      </c>
      <c r="J45" s="55">
        <f>J44*Assumptions!$B$155*Assumptions!$B$157</f>
        <v/>
      </c>
      <c r="K45" s="55">
        <f>K44*Assumptions!$B$155*Assumptions!$B$157</f>
        <v/>
      </c>
      <c r="L45" s="55">
        <f>L44*Assumptions!$B$155*Assumptions!$B$157</f>
        <v/>
      </c>
      <c r="M45" s="55">
        <f>M44*Assumptions!$B$155*Assumptions!$B$157</f>
        <v/>
      </c>
      <c r="N45" s="55">
        <f>N44*Assumptions!$B$155*Assumptions!$B$157</f>
        <v/>
      </c>
      <c r="O45" s="55">
        <f>O44*Assumptions!$B$155*Assumptions!$B$157</f>
        <v/>
      </c>
      <c r="P45" s="55">
        <f>P44*Assumptions!$B$155*Assumptions!$B$157</f>
        <v/>
      </c>
      <c r="Q45" s="55">
        <f>Q44*Assumptions!$B$155*Assumptions!$B$157</f>
        <v/>
      </c>
      <c r="R45" s="55">
        <f>R44*Assumptions!$B$155*Assumptions!$B$157</f>
        <v/>
      </c>
      <c r="S45" s="55">
        <f>S44*Assumptions!$B$155*Assumptions!$B$157</f>
        <v/>
      </c>
      <c r="T45" s="55">
        <f>T44*Assumptions!$B$155*Assumptions!$B$157</f>
        <v/>
      </c>
      <c r="U45" s="55">
        <f>U44*Assumptions!$B$155*Assumptions!$B$157</f>
        <v/>
      </c>
      <c r="V45" s="55">
        <f>V44*Assumptions!$B$155*Assumptions!$B$157</f>
        <v/>
      </c>
      <c r="W45" s="55">
        <f>W44*Assumptions!$B$155*Assumptions!$B$157</f>
        <v/>
      </c>
      <c r="X45" s="55">
        <f>X44*Assumptions!$B$155*Assumptions!$B$157</f>
        <v/>
      </c>
      <c r="Y45" s="55">
        <f>Y44*Assumptions!$B$155*Assumptions!$B$157</f>
        <v/>
      </c>
      <c r="Z45" s="55">
        <f>Z44*Assumptions!$B$155*Assumptions!$B$157</f>
        <v/>
      </c>
      <c r="AA45" s="55">
        <f>AA44*Assumptions!$B$155*Assumptions!$B$157</f>
        <v/>
      </c>
      <c r="AB45" s="55">
        <f>AB44*Assumptions!$B$155*Assumptions!$B$157</f>
        <v/>
      </c>
      <c r="AC45" s="55">
        <f>AC44*Assumptions!$B$155*Assumptions!$B$157</f>
        <v/>
      </c>
      <c r="AD45" s="55">
        <f>AD44*Assumptions!$B$155*Assumptions!$B$157</f>
        <v/>
      </c>
      <c r="AE45" s="55">
        <f>AE44*Assumptions!$B$155*Assumptions!$B$157</f>
        <v/>
      </c>
    </row>
    <row r="46">
      <c r="A46" s="6" t="inlineStr">
        <is>
          <t xml:space="preserve">  Card spend per card per month</t>
        </is>
      </c>
      <c r="B46" s="23" t="inlineStr">
        <is>
          <t>USD</t>
        </is>
      </c>
      <c r="C46" s="55">
        <f>C45/12*C16</f>
        <v/>
      </c>
      <c r="D46" s="55">
        <f>D45/12*D16</f>
        <v/>
      </c>
      <c r="E46" s="55">
        <f>E45/12*E16</f>
        <v/>
      </c>
      <c r="F46" s="55">
        <f>F45/12*F16</f>
        <v/>
      </c>
      <c r="G46" s="55">
        <f>G45/12*G16</f>
        <v/>
      </c>
      <c r="H46" s="55">
        <f>H45/12*H16</f>
        <v/>
      </c>
      <c r="I46" s="55">
        <f>I45/12*I16</f>
        <v/>
      </c>
      <c r="J46" s="55">
        <f>J45/12*J16</f>
        <v/>
      </c>
      <c r="K46" s="55">
        <f>K45/12*K16</f>
        <v/>
      </c>
      <c r="L46" s="55">
        <f>L45/12*L16</f>
        <v/>
      </c>
      <c r="M46" s="55">
        <f>M45/12*M16</f>
        <v/>
      </c>
      <c r="N46" s="55">
        <f>N45/12*N16</f>
        <v/>
      </c>
      <c r="O46" s="55">
        <f>O45/12*O16</f>
        <v/>
      </c>
      <c r="P46" s="55">
        <f>P45/12*P16</f>
        <v/>
      </c>
      <c r="Q46" s="55">
        <f>Q45/12*Q16</f>
        <v/>
      </c>
      <c r="R46" s="55">
        <f>R45/12*R16</f>
        <v/>
      </c>
      <c r="S46" s="55">
        <f>S45/12*S16</f>
        <v/>
      </c>
      <c r="T46" s="55">
        <f>T45/12*T16</f>
        <v/>
      </c>
      <c r="U46" s="55">
        <f>U45/12*U16</f>
        <v/>
      </c>
      <c r="V46" s="55">
        <f>V45/12*V16</f>
        <v/>
      </c>
      <c r="W46" s="55">
        <f>W45/12*W16</f>
        <v/>
      </c>
      <c r="X46" s="55">
        <f>X45/12*X16</f>
        <v/>
      </c>
      <c r="Y46" s="55">
        <f>Y45/12*Y16</f>
        <v/>
      </c>
      <c r="Z46" s="55">
        <f>Z45/12*Z16</f>
        <v/>
      </c>
      <c r="AA46" s="55">
        <f>AA45/12*AA16</f>
        <v/>
      </c>
      <c r="AB46" s="55">
        <f>AB45/12*AB16</f>
        <v/>
      </c>
      <c r="AC46" s="55">
        <f>AC45/12*AC16</f>
        <v/>
      </c>
      <c r="AD46" s="55">
        <f>AD45/12*AD16</f>
        <v/>
      </c>
      <c r="AE46" s="55">
        <f>AE45/12*AE16</f>
        <v/>
      </c>
    </row>
    <row r="47">
      <c r="A47" s="6" t="inlineStr">
        <is>
          <t xml:space="preserve">  Card spend</t>
        </is>
      </c>
      <c r="B47" s="23" t="inlineStr">
        <is>
          <t>AED</t>
        </is>
      </c>
      <c r="C47" s="45">
        <f>C43*C46*Assumptions!$B$7*C7</f>
        <v/>
      </c>
      <c r="D47" s="45">
        <f>D43*D46*Assumptions!$B$7*D7</f>
        <v/>
      </c>
      <c r="E47" s="45">
        <f>E43*E46*Assumptions!$B$7*E7</f>
        <v/>
      </c>
      <c r="F47" s="45">
        <f>F43*F46*Assumptions!$B$7*F7</f>
        <v/>
      </c>
      <c r="G47" s="45">
        <f>G43*G46*Assumptions!$B$7*G7</f>
        <v/>
      </c>
      <c r="H47" s="45">
        <f>H43*H46*Assumptions!$B$7*H7</f>
        <v/>
      </c>
      <c r="I47" s="45">
        <f>I43*I46*Assumptions!$B$7*I7</f>
        <v/>
      </c>
      <c r="J47" s="45">
        <f>J43*J46*Assumptions!$B$7*J7</f>
        <v/>
      </c>
      <c r="K47" s="45">
        <f>K43*K46*Assumptions!$B$7*K7</f>
        <v/>
      </c>
      <c r="L47" s="45">
        <f>L43*L46*Assumptions!$B$7*L7</f>
        <v/>
      </c>
      <c r="M47" s="45">
        <f>M43*M46*Assumptions!$B$7*M7</f>
        <v/>
      </c>
      <c r="N47" s="45">
        <f>N43*N46*Assumptions!$B$7*N7</f>
        <v/>
      </c>
      <c r="O47" s="45">
        <f>O43*O46*Assumptions!$B$7*O7</f>
        <v/>
      </c>
      <c r="P47" s="45">
        <f>P43*P46*Assumptions!$B$7*P7</f>
        <v/>
      </c>
      <c r="Q47" s="45">
        <f>Q43*Q46*Assumptions!$B$7*Q7</f>
        <v/>
      </c>
      <c r="R47" s="45">
        <f>R43*R46*Assumptions!$B$7*R7</f>
        <v/>
      </c>
      <c r="S47" s="45">
        <f>S43*S46*Assumptions!$B$7*S7</f>
        <v/>
      </c>
      <c r="T47" s="45">
        <f>T43*T46*Assumptions!$B$7*T7</f>
        <v/>
      </c>
      <c r="U47" s="45">
        <f>U43*U46*Assumptions!$B$7*U7</f>
        <v/>
      </c>
      <c r="V47" s="45">
        <f>V43*V46*Assumptions!$B$7*V7</f>
        <v/>
      </c>
      <c r="W47" s="45">
        <f>W43*W46*Assumptions!$B$7*W7</f>
        <v/>
      </c>
      <c r="X47" s="45">
        <f>X43*X46*Assumptions!$B$7*X7</f>
        <v/>
      </c>
      <c r="Y47" s="45">
        <f>Y43*Y46*Assumptions!$B$7*Y7</f>
        <v/>
      </c>
      <c r="Z47" s="45">
        <f>Z43*Z46*Assumptions!$B$7*Z7</f>
        <v/>
      </c>
      <c r="AA47" s="45">
        <f>AA43*AA46*Assumptions!$B$7*AA7</f>
        <v/>
      </c>
      <c r="AB47" s="45">
        <f>AB43*AB46*Assumptions!$B$7*AB7</f>
        <v/>
      </c>
      <c r="AC47" s="45">
        <f>AC43*AC46*Assumptions!$B$7*AC7</f>
        <v/>
      </c>
      <c r="AD47" s="45">
        <f>AD43*AD46*Assumptions!$B$7*AD7</f>
        <v/>
      </c>
      <c r="AE47" s="45">
        <f>AE43*AE46*Assumptions!$B$7*AE7</f>
        <v/>
      </c>
    </row>
    <row r="48">
      <c r="A48" s="6" t="inlineStr">
        <is>
          <t xml:space="preserve">  Card spend</t>
        </is>
      </c>
      <c r="B48" s="23" t="inlineStr">
        <is>
          <t>USD</t>
        </is>
      </c>
      <c r="C48" s="55">
        <f>C47/Assumptions!$B$7</f>
        <v/>
      </c>
      <c r="D48" s="55">
        <f>D47/Assumptions!$B$7</f>
        <v/>
      </c>
      <c r="E48" s="55">
        <f>E47/Assumptions!$B$7</f>
        <v/>
      </c>
      <c r="F48" s="55">
        <f>F47/Assumptions!$B$7</f>
        <v/>
      </c>
      <c r="G48" s="55">
        <f>G47/Assumptions!$B$7</f>
        <v/>
      </c>
      <c r="H48" s="55">
        <f>H47/Assumptions!$B$7</f>
        <v/>
      </c>
      <c r="I48" s="55">
        <f>I47/Assumptions!$B$7</f>
        <v/>
      </c>
      <c r="J48" s="55">
        <f>J47/Assumptions!$B$7</f>
        <v/>
      </c>
      <c r="K48" s="55">
        <f>K47/Assumptions!$B$7</f>
        <v/>
      </c>
      <c r="L48" s="55">
        <f>L47/Assumptions!$B$7</f>
        <v/>
      </c>
      <c r="M48" s="55">
        <f>M47/Assumptions!$B$7</f>
        <v/>
      </c>
      <c r="N48" s="55">
        <f>N47/Assumptions!$B$7</f>
        <v/>
      </c>
      <c r="O48" s="55">
        <f>O47/Assumptions!$B$7</f>
        <v/>
      </c>
      <c r="P48" s="55">
        <f>P47/Assumptions!$B$7</f>
        <v/>
      </c>
      <c r="Q48" s="55">
        <f>Q47/Assumptions!$B$7</f>
        <v/>
      </c>
      <c r="R48" s="55">
        <f>R47/Assumptions!$B$7</f>
        <v/>
      </c>
      <c r="S48" s="55">
        <f>S47/Assumptions!$B$7</f>
        <v/>
      </c>
      <c r="T48" s="55">
        <f>T47/Assumptions!$B$7</f>
        <v/>
      </c>
      <c r="U48" s="55">
        <f>U47/Assumptions!$B$7</f>
        <v/>
      </c>
      <c r="V48" s="55">
        <f>V47/Assumptions!$B$7</f>
        <v/>
      </c>
      <c r="W48" s="55">
        <f>W47/Assumptions!$B$7</f>
        <v/>
      </c>
      <c r="X48" s="55">
        <f>X47/Assumptions!$B$7</f>
        <v/>
      </c>
      <c r="Y48" s="55">
        <f>Y47/Assumptions!$B$7</f>
        <v/>
      </c>
      <c r="Z48" s="55">
        <f>Z47/Assumptions!$B$7</f>
        <v/>
      </c>
      <c r="AA48" s="55">
        <f>AA47/Assumptions!$B$7</f>
        <v/>
      </c>
      <c r="AB48" s="55">
        <f>AB47/Assumptions!$B$7</f>
        <v/>
      </c>
      <c r="AC48" s="55">
        <f>AC47/Assumptions!$B$7</f>
        <v/>
      </c>
      <c r="AD48" s="55">
        <f>AD47/Assumptions!$B$7</f>
        <v/>
      </c>
      <c r="AE48" s="55">
        <f>AE47/Assumptions!$B$7</f>
        <v/>
      </c>
    </row>
    <row r="49">
      <c r="A49" s="6" t="inlineStr">
        <is>
          <t xml:space="preserve">  Average transaction size (derived)</t>
        </is>
      </c>
      <c r="B49" s="23" t="inlineStr">
        <is>
          <t>AED</t>
        </is>
      </c>
      <c r="C49" s="45">
        <f>IF(Assumptions!$B$143=0,0,C44*Assumptions!$B$155*Assumptions!$B$7/Assumptions!$B$143)</f>
        <v/>
      </c>
      <c r="D49" s="45">
        <f>IF(Assumptions!$B$143=0,0,D44*Assumptions!$B$155*Assumptions!$B$7/Assumptions!$B$143)</f>
        <v/>
      </c>
      <c r="E49" s="45">
        <f>IF(Assumptions!$B$143=0,0,E44*Assumptions!$B$155*Assumptions!$B$7/Assumptions!$B$143)</f>
        <v/>
      </c>
      <c r="F49" s="45">
        <f>IF(Assumptions!$B$143=0,0,F44*Assumptions!$B$155*Assumptions!$B$7/Assumptions!$B$143)</f>
        <v/>
      </c>
      <c r="G49" s="45">
        <f>IF(Assumptions!$B$143=0,0,G44*Assumptions!$B$155*Assumptions!$B$7/Assumptions!$B$143)</f>
        <v/>
      </c>
      <c r="H49" s="45">
        <f>IF(Assumptions!$B$143=0,0,H44*Assumptions!$B$155*Assumptions!$B$7/Assumptions!$B$143)</f>
        <v/>
      </c>
      <c r="I49" s="45">
        <f>IF(Assumptions!$B$143=0,0,I44*Assumptions!$B$155*Assumptions!$B$7/Assumptions!$B$143)</f>
        <v/>
      </c>
      <c r="J49" s="45">
        <f>IF(Assumptions!$B$143=0,0,J44*Assumptions!$B$155*Assumptions!$B$7/Assumptions!$B$143)</f>
        <v/>
      </c>
      <c r="K49" s="45">
        <f>IF(Assumptions!$B$143=0,0,K44*Assumptions!$B$155*Assumptions!$B$7/Assumptions!$B$143)</f>
        <v/>
      </c>
      <c r="L49" s="45">
        <f>IF(Assumptions!$B$143=0,0,L44*Assumptions!$B$155*Assumptions!$B$7/Assumptions!$B$143)</f>
        <v/>
      </c>
      <c r="M49" s="45">
        <f>IF(Assumptions!$B$143=0,0,M44*Assumptions!$B$155*Assumptions!$B$7/Assumptions!$B$143)</f>
        <v/>
      </c>
      <c r="N49" s="45">
        <f>IF(Assumptions!$B$143=0,0,N44*Assumptions!$B$155*Assumptions!$B$7/Assumptions!$B$143)</f>
        <v/>
      </c>
      <c r="O49" s="45">
        <f>IF(Assumptions!$B$143=0,0,O44*Assumptions!$B$155*Assumptions!$B$7/Assumptions!$B$143)</f>
        <v/>
      </c>
      <c r="P49" s="45">
        <f>IF(Assumptions!$B$143=0,0,P44*Assumptions!$B$155*Assumptions!$B$7/Assumptions!$B$143)</f>
        <v/>
      </c>
      <c r="Q49" s="45">
        <f>IF(Assumptions!$B$143=0,0,Q44*Assumptions!$B$155*Assumptions!$B$7/Assumptions!$B$143)</f>
        <v/>
      </c>
      <c r="R49" s="45">
        <f>IF(Assumptions!$B$143=0,0,R44*Assumptions!$B$155*Assumptions!$B$7/Assumptions!$B$143)</f>
        <v/>
      </c>
      <c r="S49" s="45">
        <f>IF(Assumptions!$B$143=0,0,S44*Assumptions!$B$155*Assumptions!$B$7/Assumptions!$B$143)</f>
        <v/>
      </c>
      <c r="T49" s="45">
        <f>IF(Assumptions!$B$143=0,0,T44*Assumptions!$B$155*Assumptions!$B$7/Assumptions!$B$143)</f>
        <v/>
      </c>
      <c r="U49" s="45">
        <f>IF(Assumptions!$B$143=0,0,U44*Assumptions!$B$155*Assumptions!$B$7/Assumptions!$B$143)</f>
        <v/>
      </c>
      <c r="V49" s="45">
        <f>IF(Assumptions!$B$143=0,0,V44*Assumptions!$B$155*Assumptions!$B$7/Assumptions!$B$143)</f>
        <v/>
      </c>
      <c r="W49" s="45">
        <f>IF(Assumptions!$B$143=0,0,W44*Assumptions!$B$155*Assumptions!$B$7/Assumptions!$B$143)</f>
        <v/>
      </c>
      <c r="X49" s="45">
        <f>IF(Assumptions!$B$143=0,0,X44*Assumptions!$B$155*Assumptions!$B$7/Assumptions!$B$143)</f>
        <v/>
      </c>
      <c r="Y49" s="45">
        <f>IF(Assumptions!$B$143=0,0,Y44*Assumptions!$B$155*Assumptions!$B$7/Assumptions!$B$143)</f>
        <v/>
      </c>
      <c r="Z49" s="45">
        <f>IF(Assumptions!$B$143=0,0,Z44*Assumptions!$B$155*Assumptions!$B$7/Assumptions!$B$143)</f>
        <v/>
      </c>
      <c r="AA49" s="45">
        <f>IF(Assumptions!$B$143=0,0,AA44*Assumptions!$B$155*Assumptions!$B$7/Assumptions!$B$143)</f>
        <v/>
      </c>
      <c r="AB49" s="45">
        <f>IF(Assumptions!$B$143=0,0,AB44*Assumptions!$B$155*Assumptions!$B$7/Assumptions!$B$143)</f>
        <v/>
      </c>
      <c r="AC49" s="45">
        <f>IF(Assumptions!$B$143=0,0,AC44*Assumptions!$B$155*Assumptions!$B$7/Assumptions!$B$143)</f>
        <v/>
      </c>
      <c r="AD49" s="45">
        <f>IF(Assumptions!$B$143=0,0,AD44*Assumptions!$B$155*Assumptions!$B$7/Assumptions!$B$143)</f>
        <v/>
      </c>
      <c r="AE49" s="45">
        <f>IF(Assumptions!$B$143=0,0,AE44*Assumptions!$B$155*Assumptions!$B$7/Assumptions!$B$143)</f>
        <v/>
      </c>
    </row>
    <row r="50">
      <c r="A50" s="6" t="inlineStr">
        <is>
          <t xml:space="preserve">  Card authorisations (memo - drives cost, not revenue)</t>
        </is>
      </c>
      <c r="B50" s="23" t="inlineStr">
        <is>
          <t>auths</t>
        </is>
      </c>
      <c r="C50" s="45">
        <f>C43*Assumptions!$B$157*Assumptions!$B$143*C7/12*(1+Assumptions!$B$16)</f>
        <v/>
      </c>
      <c r="D50" s="45">
        <f>D43*Assumptions!$B$157*Assumptions!$B$143*D7/12*(1+Assumptions!$B$16)</f>
        <v/>
      </c>
      <c r="E50" s="45">
        <f>E43*Assumptions!$B$157*Assumptions!$B$143*E7/12*(1+Assumptions!$B$16)</f>
        <v/>
      </c>
      <c r="F50" s="45">
        <f>F43*Assumptions!$B$157*Assumptions!$B$143*F7/12*(1+Assumptions!$B$16)</f>
        <v/>
      </c>
      <c r="G50" s="45">
        <f>G43*Assumptions!$B$157*Assumptions!$B$143*G7/12*(1+Assumptions!$B$16)</f>
        <v/>
      </c>
      <c r="H50" s="45">
        <f>H43*Assumptions!$B$157*Assumptions!$B$143*H7/12*(1+Assumptions!$B$16)</f>
        <v/>
      </c>
      <c r="I50" s="45">
        <f>I43*Assumptions!$B$157*Assumptions!$B$143*I7/12*(1+Assumptions!$B$16)</f>
        <v/>
      </c>
      <c r="J50" s="45">
        <f>J43*Assumptions!$B$157*Assumptions!$B$143*J7/12*(1+Assumptions!$B$16)</f>
        <v/>
      </c>
      <c r="K50" s="45">
        <f>K43*Assumptions!$B$157*Assumptions!$B$143*K7/12*(1+Assumptions!$B$16)</f>
        <v/>
      </c>
      <c r="L50" s="45">
        <f>L43*Assumptions!$B$157*Assumptions!$B$143*L7/12*(1+Assumptions!$B$16)</f>
        <v/>
      </c>
      <c r="M50" s="45">
        <f>M43*Assumptions!$B$157*Assumptions!$B$143*M7/12*(1+Assumptions!$B$16)</f>
        <v/>
      </c>
      <c r="N50" s="45">
        <f>N43*Assumptions!$B$157*Assumptions!$B$143*N7/12*(1+Assumptions!$B$16)</f>
        <v/>
      </c>
      <c r="O50" s="45">
        <f>O43*Assumptions!$B$157*Assumptions!$B$143*O7/12*(1+Assumptions!$B$16)</f>
        <v/>
      </c>
      <c r="P50" s="45">
        <f>P43*Assumptions!$B$157*Assumptions!$B$143*P7/12*(1+Assumptions!$B$16)</f>
        <v/>
      </c>
      <c r="Q50" s="45">
        <f>Q43*Assumptions!$B$157*Assumptions!$B$143*Q7/12*(1+Assumptions!$B$16)</f>
        <v/>
      </c>
      <c r="R50" s="45">
        <f>R43*Assumptions!$B$157*Assumptions!$B$143*R7/12*(1+Assumptions!$B$16)</f>
        <v/>
      </c>
      <c r="S50" s="45">
        <f>S43*Assumptions!$B$157*Assumptions!$B$143*S7/12*(1+Assumptions!$B$16)</f>
        <v/>
      </c>
      <c r="T50" s="45">
        <f>T43*Assumptions!$B$157*Assumptions!$B$143*T7/12*(1+Assumptions!$B$16)</f>
        <v/>
      </c>
      <c r="U50" s="45">
        <f>U43*Assumptions!$B$157*Assumptions!$B$143*U7/12*(1+Assumptions!$B$16)</f>
        <v/>
      </c>
      <c r="V50" s="45">
        <f>V43*Assumptions!$B$157*Assumptions!$B$143*V7/12*(1+Assumptions!$B$16)</f>
        <v/>
      </c>
      <c r="W50" s="45">
        <f>W43*Assumptions!$B$157*Assumptions!$B$143*W7/12*(1+Assumptions!$B$16)</f>
        <v/>
      </c>
      <c r="X50" s="45">
        <f>X43*Assumptions!$B$157*Assumptions!$B$143*X7/12*(1+Assumptions!$B$16)</f>
        <v/>
      </c>
      <c r="Y50" s="45">
        <f>Y43*Assumptions!$B$157*Assumptions!$B$143*Y7/12*(1+Assumptions!$B$16)</f>
        <v/>
      </c>
      <c r="Z50" s="45">
        <f>Z43*Assumptions!$B$157*Assumptions!$B$143*Z7/12*(1+Assumptions!$B$16)</f>
        <v/>
      </c>
      <c r="AA50" s="45">
        <f>AA43*Assumptions!$B$157*Assumptions!$B$143*AA7/12*(1+Assumptions!$B$16)</f>
        <v/>
      </c>
      <c r="AB50" s="45">
        <f>AB43*Assumptions!$B$157*Assumptions!$B$143*AB7/12*(1+Assumptions!$B$16)</f>
        <v/>
      </c>
      <c r="AC50" s="45">
        <f>AC43*Assumptions!$B$157*Assumptions!$B$143*AC7/12*(1+Assumptions!$B$16)</f>
        <v/>
      </c>
      <c r="AD50" s="45">
        <f>AD43*Assumptions!$B$157*Assumptions!$B$143*AD7/12*(1+Assumptions!$B$16)</f>
        <v/>
      </c>
      <c r="AE50" s="45">
        <f>AE43*Assumptions!$B$157*Assumptions!$B$143*AE7/12*(1+Assumptions!$B$16)</f>
        <v/>
      </c>
    </row>
    <row r="51">
      <c r="A51" s="6" t="inlineStr">
        <is>
          <t xml:space="preserve">  Stream 1a - Entry fee, SIP</t>
        </is>
      </c>
      <c r="B51" s="23" t="inlineStr">
        <is>
          <t>USD</t>
        </is>
      </c>
      <c r="C51" s="55">
        <f>C33*Assumptions!$B$8</f>
        <v/>
      </c>
      <c r="D51" s="55">
        <f>D33*Assumptions!$B$8</f>
        <v/>
      </c>
      <c r="E51" s="55">
        <f>E33*Assumptions!$B$8</f>
        <v/>
      </c>
      <c r="F51" s="55">
        <f>F33*Assumptions!$B$8</f>
        <v/>
      </c>
      <c r="G51" s="55">
        <f>G33*Assumptions!$B$8</f>
        <v/>
      </c>
      <c r="H51" s="55">
        <f>H33*Assumptions!$B$8</f>
        <v/>
      </c>
      <c r="I51" s="55">
        <f>I33*Assumptions!$B$8</f>
        <v/>
      </c>
      <c r="J51" s="55">
        <f>J33*Assumptions!$B$8</f>
        <v/>
      </c>
      <c r="K51" s="55">
        <f>K33*Assumptions!$B$8</f>
        <v/>
      </c>
      <c r="L51" s="55">
        <f>L33*Assumptions!$B$8</f>
        <v/>
      </c>
      <c r="M51" s="55">
        <f>M33*Assumptions!$B$8</f>
        <v/>
      </c>
      <c r="N51" s="55">
        <f>N33*Assumptions!$B$8</f>
        <v/>
      </c>
      <c r="O51" s="55">
        <f>O33*Assumptions!$B$8</f>
        <v/>
      </c>
      <c r="P51" s="55">
        <f>P33*Assumptions!$B$8</f>
        <v/>
      </c>
      <c r="Q51" s="55">
        <f>Q33*Assumptions!$B$8</f>
        <v/>
      </c>
      <c r="R51" s="55">
        <f>R33*Assumptions!$B$8</f>
        <v/>
      </c>
      <c r="S51" s="55">
        <f>S33*Assumptions!$B$8</f>
        <v/>
      </c>
      <c r="T51" s="55">
        <f>T33*Assumptions!$B$8</f>
        <v/>
      </c>
      <c r="U51" s="55">
        <f>U33*Assumptions!$B$8</f>
        <v/>
      </c>
      <c r="V51" s="55">
        <f>V33*Assumptions!$B$8</f>
        <v/>
      </c>
      <c r="W51" s="55">
        <f>W33*Assumptions!$B$8</f>
        <v/>
      </c>
      <c r="X51" s="55">
        <f>X33*Assumptions!$B$8</f>
        <v/>
      </c>
      <c r="Y51" s="55">
        <f>Y33*Assumptions!$B$8</f>
        <v/>
      </c>
      <c r="Z51" s="55">
        <f>Z33*Assumptions!$B$8</f>
        <v/>
      </c>
      <c r="AA51" s="55">
        <f>AA33*Assumptions!$B$8</f>
        <v/>
      </c>
      <c r="AB51" s="55">
        <f>AB33*Assumptions!$B$8</f>
        <v/>
      </c>
      <c r="AC51" s="55">
        <f>AC33*Assumptions!$B$8</f>
        <v/>
      </c>
      <c r="AD51" s="55">
        <f>AD33*Assumptions!$B$8</f>
        <v/>
      </c>
      <c r="AE51" s="55">
        <f>AE33*Assumptions!$B$8</f>
        <v/>
      </c>
    </row>
    <row r="52">
      <c r="A52" s="6" t="inlineStr">
        <is>
          <t xml:space="preserve">  Stream 1b - Entry fee, SPOT</t>
        </is>
      </c>
      <c r="B52" s="23" t="inlineStr">
        <is>
          <t>USD</t>
        </is>
      </c>
      <c r="C52" s="55">
        <f>C34*Assumptions!$B$8</f>
        <v/>
      </c>
      <c r="D52" s="55">
        <f>D34*Assumptions!$B$8</f>
        <v/>
      </c>
      <c r="E52" s="55">
        <f>E34*Assumptions!$B$8</f>
        <v/>
      </c>
      <c r="F52" s="55">
        <f>F34*Assumptions!$B$8</f>
        <v/>
      </c>
      <c r="G52" s="55">
        <f>G34*Assumptions!$B$8</f>
        <v/>
      </c>
      <c r="H52" s="55">
        <f>H34*Assumptions!$B$8</f>
        <v/>
      </c>
      <c r="I52" s="55">
        <f>I34*Assumptions!$B$8</f>
        <v/>
      </c>
      <c r="J52" s="55">
        <f>J34*Assumptions!$B$8</f>
        <v/>
      </c>
      <c r="K52" s="55">
        <f>K34*Assumptions!$B$8</f>
        <v/>
      </c>
      <c r="L52" s="55">
        <f>L34*Assumptions!$B$8</f>
        <v/>
      </c>
      <c r="M52" s="55">
        <f>M34*Assumptions!$B$8</f>
        <v/>
      </c>
      <c r="N52" s="55">
        <f>N34*Assumptions!$B$8</f>
        <v/>
      </c>
      <c r="O52" s="55">
        <f>O34*Assumptions!$B$8</f>
        <v/>
      </c>
      <c r="P52" s="55">
        <f>P34*Assumptions!$B$8</f>
        <v/>
      </c>
      <c r="Q52" s="55">
        <f>Q34*Assumptions!$B$8</f>
        <v/>
      </c>
      <c r="R52" s="55">
        <f>R34*Assumptions!$B$8</f>
        <v/>
      </c>
      <c r="S52" s="55">
        <f>S34*Assumptions!$B$8</f>
        <v/>
      </c>
      <c r="T52" s="55">
        <f>T34*Assumptions!$B$8</f>
        <v/>
      </c>
      <c r="U52" s="55">
        <f>U34*Assumptions!$B$8</f>
        <v/>
      </c>
      <c r="V52" s="55">
        <f>V34*Assumptions!$B$8</f>
        <v/>
      </c>
      <c r="W52" s="55">
        <f>W34*Assumptions!$B$8</f>
        <v/>
      </c>
      <c r="X52" s="55">
        <f>X34*Assumptions!$B$8</f>
        <v/>
      </c>
      <c r="Y52" s="55">
        <f>Y34*Assumptions!$B$8</f>
        <v/>
      </c>
      <c r="Z52" s="55">
        <f>Z34*Assumptions!$B$8</f>
        <v/>
      </c>
      <c r="AA52" s="55">
        <f>AA34*Assumptions!$B$8</f>
        <v/>
      </c>
      <c r="AB52" s="55">
        <f>AB34*Assumptions!$B$8</f>
        <v/>
      </c>
      <c r="AC52" s="55">
        <f>AC34*Assumptions!$B$8</f>
        <v/>
      </c>
      <c r="AD52" s="55">
        <f>AD34*Assumptions!$B$8</f>
        <v/>
      </c>
      <c r="AE52" s="55">
        <f>AE34*Assumptions!$B$8</f>
        <v/>
      </c>
    </row>
    <row r="53">
      <c r="A53" s="6" t="inlineStr">
        <is>
          <t xml:space="preserve">  Stream 2 - Card interchange</t>
        </is>
      </c>
      <c r="B53" s="23" t="inlineStr">
        <is>
          <t>USD</t>
        </is>
      </c>
      <c r="C53" s="55">
        <f>C48*IF(Assumptions!$B$170=1,MIN(Assumptions!$B$14,1%),Assumptions!$B$14)*(1-Assumptions!$B$141)</f>
        <v/>
      </c>
      <c r="D53" s="55">
        <f>D48*IF(Assumptions!$B$170=1,MIN(Assumptions!$B$14,1%),Assumptions!$B$14)*(1-Assumptions!$B$141)</f>
        <v/>
      </c>
      <c r="E53" s="55">
        <f>E48*IF(Assumptions!$B$170=1,MIN(Assumptions!$B$14,1%),Assumptions!$B$14)*(1-Assumptions!$B$141)</f>
        <v/>
      </c>
      <c r="F53" s="55">
        <f>F48*IF(Assumptions!$B$170=1,MIN(Assumptions!$B$14,1%),Assumptions!$B$14)*(1-Assumptions!$B$141)</f>
        <v/>
      </c>
      <c r="G53" s="55">
        <f>G48*IF(Assumptions!$B$170=1,MIN(Assumptions!$B$14,1%),Assumptions!$B$14)*(1-Assumptions!$B$141)</f>
        <v/>
      </c>
      <c r="H53" s="55">
        <f>H48*IF(Assumptions!$B$170=1,MIN(Assumptions!$B$14,1%),Assumptions!$B$14)*(1-Assumptions!$B$141)</f>
        <v/>
      </c>
      <c r="I53" s="55">
        <f>I48*IF(Assumptions!$B$170=1,MIN(Assumptions!$B$14,1%),Assumptions!$B$14)*(1-Assumptions!$B$141)</f>
        <v/>
      </c>
      <c r="J53" s="55">
        <f>J48*IF(Assumptions!$B$170=1,MIN(Assumptions!$B$14,1%),Assumptions!$B$14)*(1-Assumptions!$B$141)</f>
        <v/>
      </c>
      <c r="K53" s="55">
        <f>K48*IF(Assumptions!$B$170=1,MIN(Assumptions!$B$14,1%),Assumptions!$B$14)*(1-Assumptions!$B$141)</f>
        <v/>
      </c>
      <c r="L53" s="55">
        <f>L48*IF(Assumptions!$B$170=1,MIN(Assumptions!$B$14,1%),Assumptions!$B$14)*(1-Assumptions!$B$141)</f>
        <v/>
      </c>
      <c r="M53" s="55">
        <f>M48*IF(Assumptions!$B$170=1,MIN(Assumptions!$B$14,1%),Assumptions!$B$14)*(1-Assumptions!$B$141)</f>
        <v/>
      </c>
      <c r="N53" s="55">
        <f>N48*IF(Assumptions!$B$170=1,MIN(Assumptions!$B$14,1%),Assumptions!$B$14)*(1-Assumptions!$B$141)</f>
        <v/>
      </c>
      <c r="O53" s="55">
        <f>O48*IF(Assumptions!$B$170=1,MIN(Assumptions!$B$14,1%),Assumptions!$B$14)*(1-Assumptions!$B$141)</f>
        <v/>
      </c>
      <c r="P53" s="55">
        <f>P48*IF(Assumptions!$B$170=1,MIN(Assumptions!$B$14,1%),Assumptions!$B$14)*(1-Assumptions!$B$141)</f>
        <v/>
      </c>
      <c r="Q53" s="55">
        <f>Q48*IF(Assumptions!$B$170=1,MIN(Assumptions!$B$14,1%),Assumptions!$B$14)*(1-Assumptions!$B$141)</f>
        <v/>
      </c>
      <c r="R53" s="55">
        <f>R48*IF(Assumptions!$B$170=1,MIN(Assumptions!$B$14,1%),Assumptions!$B$14)*(1-Assumptions!$B$141)</f>
        <v/>
      </c>
      <c r="S53" s="55">
        <f>S48*IF(Assumptions!$B$170=1,MIN(Assumptions!$B$14,1%),Assumptions!$B$14)*(1-Assumptions!$B$141)</f>
        <v/>
      </c>
      <c r="T53" s="55">
        <f>T48*IF(Assumptions!$B$170=1,MIN(Assumptions!$B$14,1%),Assumptions!$B$14)*(1-Assumptions!$B$141)</f>
        <v/>
      </c>
      <c r="U53" s="55">
        <f>U48*IF(Assumptions!$B$170=1,MIN(Assumptions!$B$14,1%),Assumptions!$B$14)*(1-Assumptions!$B$141)</f>
        <v/>
      </c>
      <c r="V53" s="55">
        <f>V48*IF(Assumptions!$B$170=1,MIN(Assumptions!$B$14,1%),Assumptions!$B$14)*(1-Assumptions!$B$141)</f>
        <v/>
      </c>
      <c r="W53" s="55">
        <f>W48*IF(Assumptions!$B$170=1,MIN(Assumptions!$B$14,1%),Assumptions!$B$14)*(1-Assumptions!$B$141)</f>
        <v/>
      </c>
      <c r="X53" s="55">
        <f>X48*IF(Assumptions!$B$170=1,MIN(Assumptions!$B$14,1%),Assumptions!$B$14)*(1-Assumptions!$B$141)</f>
        <v/>
      </c>
      <c r="Y53" s="55">
        <f>Y48*IF(Assumptions!$B$170=1,MIN(Assumptions!$B$14,1%),Assumptions!$B$14)*(1-Assumptions!$B$141)</f>
        <v/>
      </c>
      <c r="Z53" s="55">
        <f>Z48*IF(Assumptions!$B$170=1,MIN(Assumptions!$B$14,1%),Assumptions!$B$14)*(1-Assumptions!$B$141)</f>
        <v/>
      </c>
      <c r="AA53" s="55">
        <f>AA48*IF(Assumptions!$B$170=1,MIN(Assumptions!$B$14,1%),Assumptions!$B$14)*(1-Assumptions!$B$141)</f>
        <v/>
      </c>
      <c r="AB53" s="55">
        <f>AB48*IF(Assumptions!$B$170=1,MIN(Assumptions!$B$14,1%),Assumptions!$B$14)*(1-Assumptions!$B$141)</f>
        <v/>
      </c>
      <c r="AC53" s="55">
        <f>AC48*IF(Assumptions!$B$170=1,MIN(Assumptions!$B$14,1%),Assumptions!$B$14)*(1-Assumptions!$B$141)</f>
        <v/>
      </c>
      <c r="AD53" s="55">
        <f>AD48*IF(Assumptions!$B$170=1,MIN(Assumptions!$B$14,1%),Assumptions!$B$14)*(1-Assumptions!$B$141)</f>
        <v/>
      </c>
      <c r="AE53" s="55">
        <f>AE48*IF(Assumptions!$B$170=1,MIN(Assumptions!$B$14,1%),Assumptions!$B$14)*(1-Assumptions!$B$141)</f>
        <v/>
      </c>
    </row>
    <row r="54">
      <c r="A54" s="6" t="inlineStr">
        <is>
          <t xml:space="preserve">  Stream 3 - Family plan and Digital Will</t>
        </is>
      </c>
      <c r="B54" s="23" t="inlineStr">
        <is>
          <t>USD</t>
        </is>
      </c>
      <c r="C54" s="55">
        <f>IF(C2&gt;=Assumptions!$B$50,C29*Assumptions!$B$158*Assumptions!$B$25/12*C7,0)</f>
        <v/>
      </c>
      <c r="D54" s="55">
        <f>IF(D2&gt;=Assumptions!$B$50,D29*Assumptions!$B$158*Assumptions!$B$25/12*D7,0)</f>
        <v/>
      </c>
      <c r="E54" s="55">
        <f>IF(E2&gt;=Assumptions!$B$50,E29*Assumptions!$B$158*Assumptions!$B$25/12*E7,0)</f>
        <v/>
      </c>
      <c r="F54" s="55">
        <f>IF(F2&gt;=Assumptions!$B$50,F29*Assumptions!$B$158*Assumptions!$B$25/12*F7,0)</f>
        <v/>
      </c>
      <c r="G54" s="55">
        <f>IF(G2&gt;=Assumptions!$B$50,G29*Assumptions!$B$158*Assumptions!$B$25/12*G7,0)</f>
        <v/>
      </c>
      <c r="H54" s="55">
        <f>IF(H2&gt;=Assumptions!$B$50,H29*Assumptions!$B$158*Assumptions!$B$25/12*H7,0)</f>
        <v/>
      </c>
      <c r="I54" s="55">
        <f>IF(I2&gt;=Assumptions!$B$50,I29*Assumptions!$B$158*Assumptions!$B$25/12*I7,0)</f>
        <v/>
      </c>
      <c r="J54" s="55">
        <f>IF(J2&gt;=Assumptions!$B$50,J29*Assumptions!$B$158*Assumptions!$B$25/12*J7,0)</f>
        <v/>
      </c>
      <c r="K54" s="55">
        <f>IF(K2&gt;=Assumptions!$B$50,K29*Assumptions!$B$158*Assumptions!$B$25/12*K7,0)</f>
        <v/>
      </c>
      <c r="L54" s="55">
        <f>IF(L2&gt;=Assumptions!$B$50,L29*Assumptions!$B$158*Assumptions!$B$25/12*L7,0)</f>
        <v/>
      </c>
      <c r="M54" s="55">
        <f>IF(M2&gt;=Assumptions!$B$50,M29*Assumptions!$B$158*Assumptions!$B$25/12*M7,0)</f>
        <v/>
      </c>
      <c r="N54" s="55">
        <f>IF(N2&gt;=Assumptions!$B$50,N29*Assumptions!$B$158*Assumptions!$B$25/12*N7,0)</f>
        <v/>
      </c>
      <c r="O54" s="55">
        <f>IF(O2&gt;=Assumptions!$B$50,O29*Assumptions!$B$158*Assumptions!$B$25/12*O7,0)</f>
        <v/>
      </c>
      <c r="P54" s="55">
        <f>IF(P2&gt;=Assumptions!$B$50,P29*Assumptions!$B$158*Assumptions!$B$25/12*P7,0)</f>
        <v/>
      </c>
      <c r="Q54" s="55">
        <f>IF(Q2&gt;=Assumptions!$B$50,Q29*Assumptions!$B$158*Assumptions!$B$25/12*Q7,0)</f>
        <v/>
      </c>
      <c r="R54" s="55">
        <f>IF(R2&gt;=Assumptions!$B$50,R29*Assumptions!$B$158*Assumptions!$B$25/12*R7,0)</f>
        <v/>
      </c>
      <c r="S54" s="55">
        <f>IF(S2&gt;=Assumptions!$B$50,S29*Assumptions!$B$158*Assumptions!$B$25/12*S7,0)</f>
        <v/>
      </c>
      <c r="T54" s="55">
        <f>IF(T2&gt;=Assumptions!$B$50,T29*Assumptions!$B$158*Assumptions!$B$25/12*T7,0)</f>
        <v/>
      </c>
      <c r="U54" s="55">
        <f>IF(U2&gt;=Assumptions!$B$50,U29*Assumptions!$B$158*Assumptions!$B$25/12*U7,0)</f>
        <v/>
      </c>
      <c r="V54" s="55">
        <f>IF(V2&gt;=Assumptions!$B$50,V29*Assumptions!$B$158*Assumptions!$B$25/12*V7,0)</f>
        <v/>
      </c>
      <c r="W54" s="55">
        <f>IF(W2&gt;=Assumptions!$B$50,W29*Assumptions!$B$158*Assumptions!$B$25/12*W7,0)</f>
        <v/>
      </c>
      <c r="X54" s="55">
        <f>IF(X2&gt;=Assumptions!$B$50,X29*Assumptions!$B$158*Assumptions!$B$25/12*X7,0)</f>
        <v/>
      </c>
      <c r="Y54" s="55">
        <f>IF(Y2&gt;=Assumptions!$B$50,Y29*Assumptions!$B$158*Assumptions!$B$25/12*Y7,0)</f>
        <v/>
      </c>
      <c r="Z54" s="55">
        <f>IF(Z2&gt;=Assumptions!$B$50,Z29*Assumptions!$B$158*Assumptions!$B$25/12*Z7,0)</f>
        <v/>
      </c>
      <c r="AA54" s="55">
        <f>IF(AA2&gt;=Assumptions!$B$50,AA29*Assumptions!$B$158*Assumptions!$B$25/12*AA7,0)</f>
        <v/>
      </c>
      <c r="AB54" s="55">
        <f>IF(AB2&gt;=Assumptions!$B$50,AB29*Assumptions!$B$158*Assumptions!$B$25/12*AB7,0)</f>
        <v/>
      </c>
      <c r="AC54" s="55">
        <f>IF(AC2&gt;=Assumptions!$B$50,AC29*Assumptions!$B$158*Assumptions!$B$25/12*AC7,0)</f>
        <v/>
      </c>
      <c r="AD54" s="55">
        <f>IF(AD2&gt;=Assumptions!$B$50,AD29*Assumptions!$B$158*Assumptions!$B$25/12*AD7,0)</f>
        <v/>
      </c>
      <c r="AE54" s="55">
        <f>IF(AE2&gt;=Assumptions!$B$50,AE29*Assumptions!$B$158*Assumptions!$B$25/12*AE7,0)</f>
        <v/>
      </c>
    </row>
    <row r="55">
      <c r="A55" s="6" t="inlineStr">
        <is>
          <t xml:space="preserve">  Stream 4 - Cardholder fees (FX, ATM, events)</t>
        </is>
      </c>
      <c r="B55" s="23" t="inlineStr">
        <is>
          <t>USD</t>
        </is>
      </c>
      <c r="C55" s="55">
        <f>IF(C2&gt;=Assumptions!$B$52,C48*C17*Assumptions!$B$17+C43*(Assumptions!$B$147*MAX(0,Assumptions!$B$151-Assumptions!$B$18)+Assumptions!$B$148*MAX(0,Assumptions!$B$152-Assumptions!$B$18)+Assumptions!$B$149*MAX(0,Assumptions!$B$153-Assumptions!$B$18)+Assumptions!$B$150*MAX(0,Assumptions!$B$154-Assumptions!$B$18))*Assumptions!$B$19/Assumptions!$B$7*C7+C43*(Assumptions!$B$145*Assumptions!$B$20+Assumptions!$B$146*Assumptions!$B$21)/12/Assumptions!$B$7*C7,0)</f>
        <v/>
      </c>
      <c r="D55" s="55">
        <f>IF(D2&gt;=Assumptions!$B$52,D48*D17*Assumptions!$B$17+D43*(Assumptions!$B$147*MAX(0,Assumptions!$B$151-Assumptions!$B$18)+Assumptions!$B$148*MAX(0,Assumptions!$B$152-Assumptions!$B$18)+Assumptions!$B$149*MAX(0,Assumptions!$B$153-Assumptions!$B$18)+Assumptions!$B$150*MAX(0,Assumptions!$B$154-Assumptions!$B$18))*Assumptions!$B$19/Assumptions!$B$7*D7+D43*(Assumptions!$B$145*Assumptions!$B$20+Assumptions!$B$146*Assumptions!$B$21)/12/Assumptions!$B$7*D7,0)</f>
        <v/>
      </c>
      <c r="E55" s="55">
        <f>IF(E2&gt;=Assumptions!$B$52,E48*E17*Assumptions!$B$17+E43*(Assumptions!$B$147*MAX(0,Assumptions!$B$151-Assumptions!$B$18)+Assumptions!$B$148*MAX(0,Assumptions!$B$152-Assumptions!$B$18)+Assumptions!$B$149*MAX(0,Assumptions!$B$153-Assumptions!$B$18)+Assumptions!$B$150*MAX(0,Assumptions!$B$154-Assumptions!$B$18))*Assumptions!$B$19/Assumptions!$B$7*E7+E43*(Assumptions!$B$145*Assumptions!$B$20+Assumptions!$B$146*Assumptions!$B$21)/12/Assumptions!$B$7*E7,0)</f>
        <v/>
      </c>
      <c r="F55" s="55">
        <f>IF(F2&gt;=Assumptions!$B$52,F48*F17*Assumptions!$B$17+F43*(Assumptions!$B$147*MAX(0,Assumptions!$B$151-Assumptions!$B$18)+Assumptions!$B$148*MAX(0,Assumptions!$B$152-Assumptions!$B$18)+Assumptions!$B$149*MAX(0,Assumptions!$B$153-Assumptions!$B$18)+Assumptions!$B$150*MAX(0,Assumptions!$B$154-Assumptions!$B$18))*Assumptions!$B$19/Assumptions!$B$7*F7+F43*(Assumptions!$B$145*Assumptions!$B$20+Assumptions!$B$146*Assumptions!$B$21)/12/Assumptions!$B$7*F7,0)</f>
        <v/>
      </c>
      <c r="G55" s="55">
        <f>IF(G2&gt;=Assumptions!$B$52,G48*G17*Assumptions!$B$17+G43*(Assumptions!$B$147*MAX(0,Assumptions!$B$151-Assumptions!$B$18)+Assumptions!$B$148*MAX(0,Assumptions!$B$152-Assumptions!$B$18)+Assumptions!$B$149*MAX(0,Assumptions!$B$153-Assumptions!$B$18)+Assumptions!$B$150*MAX(0,Assumptions!$B$154-Assumptions!$B$18))*Assumptions!$B$19/Assumptions!$B$7*G7+G43*(Assumptions!$B$145*Assumptions!$B$20+Assumptions!$B$146*Assumptions!$B$21)/12/Assumptions!$B$7*G7,0)</f>
        <v/>
      </c>
      <c r="H55" s="55">
        <f>IF(H2&gt;=Assumptions!$B$52,H48*H17*Assumptions!$B$17+H43*(Assumptions!$B$147*MAX(0,Assumptions!$B$151-Assumptions!$B$18)+Assumptions!$B$148*MAX(0,Assumptions!$B$152-Assumptions!$B$18)+Assumptions!$B$149*MAX(0,Assumptions!$B$153-Assumptions!$B$18)+Assumptions!$B$150*MAX(0,Assumptions!$B$154-Assumptions!$B$18))*Assumptions!$B$19/Assumptions!$B$7*H7+H43*(Assumptions!$B$145*Assumptions!$B$20+Assumptions!$B$146*Assumptions!$B$21)/12/Assumptions!$B$7*H7,0)</f>
        <v/>
      </c>
      <c r="I55" s="55">
        <f>IF(I2&gt;=Assumptions!$B$52,I48*I17*Assumptions!$B$17+I43*(Assumptions!$B$147*MAX(0,Assumptions!$B$151-Assumptions!$B$18)+Assumptions!$B$148*MAX(0,Assumptions!$B$152-Assumptions!$B$18)+Assumptions!$B$149*MAX(0,Assumptions!$B$153-Assumptions!$B$18)+Assumptions!$B$150*MAX(0,Assumptions!$B$154-Assumptions!$B$18))*Assumptions!$B$19/Assumptions!$B$7*I7+I43*(Assumptions!$B$145*Assumptions!$B$20+Assumptions!$B$146*Assumptions!$B$21)/12/Assumptions!$B$7*I7,0)</f>
        <v/>
      </c>
      <c r="J55" s="55">
        <f>IF(J2&gt;=Assumptions!$B$52,J48*J17*Assumptions!$B$17+J43*(Assumptions!$B$147*MAX(0,Assumptions!$B$151-Assumptions!$B$18)+Assumptions!$B$148*MAX(0,Assumptions!$B$152-Assumptions!$B$18)+Assumptions!$B$149*MAX(0,Assumptions!$B$153-Assumptions!$B$18)+Assumptions!$B$150*MAX(0,Assumptions!$B$154-Assumptions!$B$18))*Assumptions!$B$19/Assumptions!$B$7*J7+J43*(Assumptions!$B$145*Assumptions!$B$20+Assumptions!$B$146*Assumptions!$B$21)/12/Assumptions!$B$7*J7,0)</f>
        <v/>
      </c>
      <c r="K55" s="55">
        <f>IF(K2&gt;=Assumptions!$B$52,K48*K17*Assumptions!$B$17+K43*(Assumptions!$B$147*MAX(0,Assumptions!$B$151-Assumptions!$B$18)+Assumptions!$B$148*MAX(0,Assumptions!$B$152-Assumptions!$B$18)+Assumptions!$B$149*MAX(0,Assumptions!$B$153-Assumptions!$B$18)+Assumptions!$B$150*MAX(0,Assumptions!$B$154-Assumptions!$B$18))*Assumptions!$B$19/Assumptions!$B$7*K7+K43*(Assumptions!$B$145*Assumptions!$B$20+Assumptions!$B$146*Assumptions!$B$21)/12/Assumptions!$B$7*K7,0)</f>
        <v/>
      </c>
      <c r="L55" s="55">
        <f>IF(L2&gt;=Assumptions!$B$52,L48*L17*Assumptions!$B$17+L43*(Assumptions!$B$147*MAX(0,Assumptions!$B$151-Assumptions!$B$18)+Assumptions!$B$148*MAX(0,Assumptions!$B$152-Assumptions!$B$18)+Assumptions!$B$149*MAX(0,Assumptions!$B$153-Assumptions!$B$18)+Assumptions!$B$150*MAX(0,Assumptions!$B$154-Assumptions!$B$18))*Assumptions!$B$19/Assumptions!$B$7*L7+L43*(Assumptions!$B$145*Assumptions!$B$20+Assumptions!$B$146*Assumptions!$B$21)/12/Assumptions!$B$7*L7,0)</f>
        <v/>
      </c>
      <c r="M55" s="55">
        <f>IF(M2&gt;=Assumptions!$B$52,M48*M17*Assumptions!$B$17+M43*(Assumptions!$B$147*MAX(0,Assumptions!$B$151-Assumptions!$B$18)+Assumptions!$B$148*MAX(0,Assumptions!$B$152-Assumptions!$B$18)+Assumptions!$B$149*MAX(0,Assumptions!$B$153-Assumptions!$B$18)+Assumptions!$B$150*MAX(0,Assumptions!$B$154-Assumptions!$B$18))*Assumptions!$B$19/Assumptions!$B$7*M7+M43*(Assumptions!$B$145*Assumptions!$B$20+Assumptions!$B$146*Assumptions!$B$21)/12/Assumptions!$B$7*M7,0)</f>
        <v/>
      </c>
      <c r="N55" s="55">
        <f>IF(N2&gt;=Assumptions!$B$52,N48*N17*Assumptions!$B$17+N43*(Assumptions!$B$147*MAX(0,Assumptions!$B$151-Assumptions!$B$18)+Assumptions!$B$148*MAX(0,Assumptions!$B$152-Assumptions!$B$18)+Assumptions!$B$149*MAX(0,Assumptions!$B$153-Assumptions!$B$18)+Assumptions!$B$150*MAX(0,Assumptions!$B$154-Assumptions!$B$18))*Assumptions!$B$19/Assumptions!$B$7*N7+N43*(Assumptions!$B$145*Assumptions!$B$20+Assumptions!$B$146*Assumptions!$B$21)/12/Assumptions!$B$7*N7,0)</f>
        <v/>
      </c>
      <c r="O55" s="55">
        <f>IF(O2&gt;=Assumptions!$B$52,O48*O17*Assumptions!$B$17+O43*(Assumptions!$B$147*MAX(0,Assumptions!$B$151-Assumptions!$B$18)+Assumptions!$B$148*MAX(0,Assumptions!$B$152-Assumptions!$B$18)+Assumptions!$B$149*MAX(0,Assumptions!$B$153-Assumptions!$B$18)+Assumptions!$B$150*MAX(0,Assumptions!$B$154-Assumptions!$B$18))*Assumptions!$B$19/Assumptions!$B$7*O7+O43*(Assumptions!$B$145*Assumptions!$B$20+Assumptions!$B$146*Assumptions!$B$21)/12/Assumptions!$B$7*O7,0)</f>
        <v/>
      </c>
      <c r="P55" s="55">
        <f>IF(P2&gt;=Assumptions!$B$52,P48*P17*Assumptions!$B$17+P43*(Assumptions!$B$147*MAX(0,Assumptions!$B$151-Assumptions!$B$18)+Assumptions!$B$148*MAX(0,Assumptions!$B$152-Assumptions!$B$18)+Assumptions!$B$149*MAX(0,Assumptions!$B$153-Assumptions!$B$18)+Assumptions!$B$150*MAX(0,Assumptions!$B$154-Assumptions!$B$18))*Assumptions!$B$19/Assumptions!$B$7*P7+P43*(Assumptions!$B$145*Assumptions!$B$20+Assumptions!$B$146*Assumptions!$B$21)/12/Assumptions!$B$7*P7,0)</f>
        <v/>
      </c>
      <c r="Q55" s="55">
        <f>IF(Q2&gt;=Assumptions!$B$52,Q48*Q17*Assumptions!$B$17+Q43*(Assumptions!$B$147*MAX(0,Assumptions!$B$151-Assumptions!$B$18)+Assumptions!$B$148*MAX(0,Assumptions!$B$152-Assumptions!$B$18)+Assumptions!$B$149*MAX(0,Assumptions!$B$153-Assumptions!$B$18)+Assumptions!$B$150*MAX(0,Assumptions!$B$154-Assumptions!$B$18))*Assumptions!$B$19/Assumptions!$B$7*Q7+Q43*(Assumptions!$B$145*Assumptions!$B$20+Assumptions!$B$146*Assumptions!$B$21)/12/Assumptions!$B$7*Q7,0)</f>
        <v/>
      </c>
      <c r="R55" s="55">
        <f>IF(R2&gt;=Assumptions!$B$52,R48*R17*Assumptions!$B$17+R43*(Assumptions!$B$147*MAX(0,Assumptions!$B$151-Assumptions!$B$18)+Assumptions!$B$148*MAX(0,Assumptions!$B$152-Assumptions!$B$18)+Assumptions!$B$149*MAX(0,Assumptions!$B$153-Assumptions!$B$18)+Assumptions!$B$150*MAX(0,Assumptions!$B$154-Assumptions!$B$18))*Assumptions!$B$19/Assumptions!$B$7*R7+R43*(Assumptions!$B$145*Assumptions!$B$20+Assumptions!$B$146*Assumptions!$B$21)/12/Assumptions!$B$7*R7,0)</f>
        <v/>
      </c>
      <c r="S55" s="55">
        <f>IF(S2&gt;=Assumptions!$B$52,S48*S17*Assumptions!$B$17+S43*(Assumptions!$B$147*MAX(0,Assumptions!$B$151-Assumptions!$B$18)+Assumptions!$B$148*MAX(0,Assumptions!$B$152-Assumptions!$B$18)+Assumptions!$B$149*MAX(0,Assumptions!$B$153-Assumptions!$B$18)+Assumptions!$B$150*MAX(0,Assumptions!$B$154-Assumptions!$B$18))*Assumptions!$B$19/Assumptions!$B$7*S7+S43*(Assumptions!$B$145*Assumptions!$B$20+Assumptions!$B$146*Assumptions!$B$21)/12/Assumptions!$B$7*S7,0)</f>
        <v/>
      </c>
      <c r="T55" s="55">
        <f>IF(T2&gt;=Assumptions!$B$52,T48*T17*Assumptions!$B$17+T43*(Assumptions!$B$147*MAX(0,Assumptions!$B$151-Assumptions!$B$18)+Assumptions!$B$148*MAX(0,Assumptions!$B$152-Assumptions!$B$18)+Assumptions!$B$149*MAX(0,Assumptions!$B$153-Assumptions!$B$18)+Assumptions!$B$150*MAX(0,Assumptions!$B$154-Assumptions!$B$18))*Assumptions!$B$19/Assumptions!$B$7*T7+T43*(Assumptions!$B$145*Assumptions!$B$20+Assumptions!$B$146*Assumptions!$B$21)/12/Assumptions!$B$7*T7,0)</f>
        <v/>
      </c>
      <c r="U55" s="55">
        <f>IF(U2&gt;=Assumptions!$B$52,U48*U17*Assumptions!$B$17+U43*(Assumptions!$B$147*MAX(0,Assumptions!$B$151-Assumptions!$B$18)+Assumptions!$B$148*MAX(0,Assumptions!$B$152-Assumptions!$B$18)+Assumptions!$B$149*MAX(0,Assumptions!$B$153-Assumptions!$B$18)+Assumptions!$B$150*MAX(0,Assumptions!$B$154-Assumptions!$B$18))*Assumptions!$B$19/Assumptions!$B$7*U7+U43*(Assumptions!$B$145*Assumptions!$B$20+Assumptions!$B$146*Assumptions!$B$21)/12/Assumptions!$B$7*U7,0)</f>
        <v/>
      </c>
      <c r="V55" s="55">
        <f>IF(V2&gt;=Assumptions!$B$52,V48*V17*Assumptions!$B$17+V43*(Assumptions!$B$147*MAX(0,Assumptions!$B$151-Assumptions!$B$18)+Assumptions!$B$148*MAX(0,Assumptions!$B$152-Assumptions!$B$18)+Assumptions!$B$149*MAX(0,Assumptions!$B$153-Assumptions!$B$18)+Assumptions!$B$150*MAX(0,Assumptions!$B$154-Assumptions!$B$18))*Assumptions!$B$19/Assumptions!$B$7*V7+V43*(Assumptions!$B$145*Assumptions!$B$20+Assumptions!$B$146*Assumptions!$B$21)/12/Assumptions!$B$7*V7,0)</f>
        <v/>
      </c>
      <c r="W55" s="55">
        <f>IF(W2&gt;=Assumptions!$B$52,W48*W17*Assumptions!$B$17+W43*(Assumptions!$B$147*MAX(0,Assumptions!$B$151-Assumptions!$B$18)+Assumptions!$B$148*MAX(0,Assumptions!$B$152-Assumptions!$B$18)+Assumptions!$B$149*MAX(0,Assumptions!$B$153-Assumptions!$B$18)+Assumptions!$B$150*MAX(0,Assumptions!$B$154-Assumptions!$B$18))*Assumptions!$B$19/Assumptions!$B$7*W7+W43*(Assumptions!$B$145*Assumptions!$B$20+Assumptions!$B$146*Assumptions!$B$21)/12/Assumptions!$B$7*W7,0)</f>
        <v/>
      </c>
      <c r="X55" s="55">
        <f>IF(X2&gt;=Assumptions!$B$52,X48*X17*Assumptions!$B$17+X43*(Assumptions!$B$147*MAX(0,Assumptions!$B$151-Assumptions!$B$18)+Assumptions!$B$148*MAX(0,Assumptions!$B$152-Assumptions!$B$18)+Assumptions!$B$149*MAX(0,Assumptions!$B$153-Assumptions!$B$18)+Assumptions!$B$150*MAX(0,Assumptions!$B$154-Assumptions!$B$18))*Assumptions!$B$19/Assumptions!$B$7*X7+X43*(Assumptions!$B$145*Assumptions!$B$20+Assumptions!$B$146*Assumptions!$B$21)/12/Assumptions!$B$7*X7,0)</f>
        <v/>
      </c>
      <c r="Y55" s="55">
        <f>IF(Y2&gt;=Assumptions!$B$52,Y48*Y17*Assumptions!$B$17+Y43*(Assumptions!$B$147*MAX(0,Assumptions!$B$151-Assumptions!$B$18)+Assumptions!$B$148*MAX(0,Assumptions!$B$152-Assumptions!$B$18)+Assumptions!$B$149*MAX(0,Assumptions!$B$153-Assumptions!$B$18)+Assumptions!$B$150*MAX(0,Assumptions!$B$154-Assumptions!$B$18))*Assumptions!$B$19/Assumptions!$B$7*Y7+Y43*(Assumptions!$B$145*Assumptions!$B$20+Assumptions!$B$146*Assumptions!$B$21)/12/Assumptions!$B$7*Y7,0)</f>
        <v/>
      </c>
      <c r="Z55" s="55">
        <f>IF(Z2&gt;=Assumptions!$B$52,Z48*Z17*Assumptions!$B$17+Z43*(Assumptions!$B$147*MAX(0,Assumptions!$B$151-Assumptions!$B$18)+Assumptions!$B$148*MAX(0,Assumptions!$B$152-Assumptions!$B$18)+Assumptions!$B$149*MAX(0,Assumptions!$B$153-Assumptions!$B$18)+Assumptions!$B$150*MAX(0,Assumptions!$B$154-Assumptions!$B$18))*Assumptions!$B$19/Assumptions!$B$7*Z7+Z43*(Assumptions!$B$145*Assumptions!$B$20+Assumptions!$B$146*Assumptions!$B$21)/12/Assumptions!$B$7*Z7,0)</f>
        <v/>
      </c>
      <c r="AA55" s="55">
        <f>IF(AA2&gt;=Assumptions!$B$52,AA48*AA17*Assumptions!$B$17+AA43*(Assumptions!$B$147*MAX(0,Assumptions!$B$151-Assumptions!$B$18)+Assumptions!$B$148*MAX(0,Assumptions!$B$152-Assumptions!$B$18)+Assumptions!$B$149*MAX(0,Assumptions!$B$153-Assumptions!$B$18)+Assumptions!$B$150*MAX(0,Assumptions!$B$154-Assumptions!$B$18))*Assumptions!$B$19/Assumptions!$B$7*AA7+AA43*(Assumptions!$B$145*Assumptions!$B$20+Assumptions!$B$146*Assumptions!$B$21)/12/Assumptions!$B$7*AA7,0)</f>
        <v/>
      </c>
      <c r="AB55" s="55">
        <f>IF(AB2&gt;=Assumptions!$B$52,AB48*AB17*Assumptions!$B$17+AB43*(Assumptions!$B$147*MAX(0,Assumptions!$B$151-Assumptions!$B$18)+Assumptions!$B$148*MAX(0,Assumptions!$B$152-Assumptions!$B$18)+Assumptions!$B$149*MAX(0,Assumptions!$B$153-Assumptions!$B$18)+Assumptions!$B$150*MAX(0,Assumptions!$B$154-Assumptions!$B$18))*Assumptions!$B$19/Assumptions!$B$7*AB7+AB43*(Assumptions!$B$145*Assumptions!$B$20+Assumptions!$B$146*Assumptions!$B$21)/12/Assumptions!$B$7*AB7,0)</f>
        <v/>
      </c>
      <c r="AC55" s="55">
        <f>IF(AC2&gt;=Assumptions!$B$52,AC48*AC17*Assumptions!$B$17+AC43*(Assumptions!$B$147*MAX(0,Assumptions!$B$151-Assumptions!$B$18)+Assumptions!$B$148*MAX(0,Assumptions!$B$152-Assumptions!$B$18)+Assumptions!$B$149*MAX(0,Assumptions!$B$153-Assumptions!$B$18)+Assumptions!$B$150*MAX(0,Assumptions!$B$154-Assumptions!$B$18))*Assumptions!$B$19/Assumptions!$B$7*AC7+AC43*(Assumptions!$B$145*Assumptions!$B$20+Assumptions!$B$146*Assumptions!$B$21)/12/Assumptions!$B$7*AC7,0)</f>
        <v/>
      </c>
      <c r="AD55" s="55">
        <f>IF(AD2&gt;=Assumptions!$B$52,AD48*AD17*Assumptions!$B$17+AD43*(Assumptions!$B$147*MAX(0,Assumptions!$B$151-Assumptions!$B$18)+Assumptions!$B$148*MAX(0,Assumptions!$B$152-Assumptions!$B$18)+Assumptions!$B$149*MAX(0,Assumptions!$B$153-Assumptions!$B$18)+Assumptions!$B$150*MAX(0,Assumptions!$B$154-Assumptions!$B$18))*Assumptions!$B$19/Assumptions!$B$7*AD7+AD43*(Assumptions!$B$145*Assumptions!$B$20+Assumptions!$B$146*Assumptions!$B$21)/12/Assumptions!$B$7*AD7,0)</f>
        <v/>
      </c>
      <c r="AE55" s="55">
        <f>IF(AE2&gt;=Assumptions!$B$52,AE48*AE17*Assumptions!$B$17+AE43*(Assumptions!$B$147*MAX(0,Assumptions!$B$151-Assumptions!$B$18)+Assumptions!$B$148*MAX(0,Assumptions!$B$152-Assumptions!$B$18)+Assumptions!$B$149*MAX(0,Assumptions!$B$153-Assumptions!$B$18)+Assumptions!$B$150*MAX(0,Assumptions!$B$154-Assumptions!$B$18))*Assumptions!$B$19/Assumptions!$B$7*AE7+AE43*(Assumptions!$B$145*Assumptions!$B$20+Assumptions!$B$146*Assumptions!$B$21)/12/Assumptions!$B$7*AE7,0)</f>
        <v/>
      </c>
    </row>
    <row r="56">
      <c r="A56" s="6" t="inlineStr">
        <is>
          <t xml:space="preserve">  Average drawn balance outstanding</t>
        </is>
      </c>
      <c r="B56" s="23" t="inlineStr">
        <is>
          <t>USD</t>
        </is>
      </c>
      <c r="C56" s="55">
        <f>IF(C2&gt;=Assumptions!$B$53,C43*C44*(1-Assumptions!$B$170)*Assumptions!$B$155*Assumptions!$B$156,0)</f>
        <v/>
      </c>
      <c r="D56" s="55">
        <f>IF(D2&gt;=Assumptions!$B$53,D43*D44*(1-Assumptions!$B$170)*Assumptions!$B$155*Assumptions!$B$156,0)</f>
        <v/>
      </c>
      <c r="E56" s="55">
        <f>IF(E2&gt;=Assumptions!$B$53,E43*E44*(1-Assumptions!$B$170)*Assumptions!$B$155*Assumptions!$B$156,0)</f>
        <v/>
      </c>
      <c r="F56" s="55">
        <f>IF(F2&gt;=Assumptions!$B$53,F43*F44*(1-Assumptions!$B$170)*Assumptions!$B$155*Assumptions!$B$156,0)</f>
        <v/>
      </c>
      <c r="G56" s="55">
        <f>IF(G2&gt;=Assumptions!$B$53,G43*G44*(1-Assumptions!$B$170)*Assumptions!$B$155*Assumptions!$B$156,0)</f>
        <v/>
      </c>
      <c r="H56" s="55">
        <f>IF(H2&gt;=Assumptions!$B$53,H43*H44*(1-Assumptions!$B$170)*Assumptions!$B$155*Assumptions!$B$156,0)</f>
        <v/>
      </c>
      <c r="I56" s="55">
        <f>IF(I2&gt;=Assumptions!$B$53,I43*I44*(1-Assumptions!$B$170)*Assumptions!$B$155*Assumptions!$B$156,0)</f>
        <v/>
      </c>
      <c r="J56" s="55">
        <f>IF(J2&gt;=Assumptions!$B$53,J43*J44*(1-Assumptions!$B$170)*Assumptions!$B$155*Assumptions!$B$156,0)</f>
        <v/>
      </c>
      <c r="K56" s="55">
        <f>IF(K2&gt;=Assumptions!$B$53,K43*K44*(1-Assumptions!$B$170)*Assumptions!$B$155*Assumptions!$B$156,0)</f>
        <v/>
      </c>
      <c r="L56" s="55">
        <f>IF(L2&gt;=Assumptions!$B$53,L43*L44*(1-Assumptions!$B$170)*Assumptions!$B$155*Assumptions!$B$156,0)</f>
        <v/>
      </c>
      <c r="M56" s="55">
        <f>IF(M2&gt;=Assumptions!$B$53,M43*M44*(1-Assumptions!$B$170)*Assumptions!$B$155*Assumptions!$B$156,0)</f>
        <v/>
      </c>
      <c r="N56" s="55">
        <f>IF(N2&gt;=Assumptions!$B$53,N43*N44*(1-Assumptions!$B$170)*Assumptions!$B$155*Assumptions!$B$156,0)</f>
        <v/>
      </c>
      <c r="O56" s="55">
        <f>IF(O2&gt;=Assumptions!$B$53,O43*O44*(1-Assumptions!$B$170)*Assumptions!$B$155*Assumptions!$B$156,0)</f>
        <v/>
      </c>
      <c r="P56" s="55">
        <f>IF(P2&gt;=Assumptions!$B$53,P43*P44*(1-Assumptions!$B$170)*Assumptions!$B$155*Assumptions!$B$156,0)</f>
        <v/>
      </c>
      <c r="Q56" s="55">
        <f>IF(Q2&gt;=Assumptions!$B$53,Q43*Q44*(1-Assumptions!$B$170)*Assumptions!$B$155*Assumptions!$B$156,0)</f>
        <v/>
      </c>
      <c r="R56" s="55">
        <f>IF(R2&gt;=Assumptions!$B$53,R43*R44*(1-Assumptions!$B$170)*Assumptions!$B$155*Assumptions!$B$156,0)</f>
        <v/>
      </c>
      <c r="S56" s="55">
        <f>IF(S2&gt;=Assumptions!$B$53,S43*S44*(1-Assumptions!$B$170)*Assumptions!$B$155*Assumptions!$B$156,0)</f>
        <v/>
      </c>
      <c r="T56" s="55">
        <f>IF(T2&gt;=Assumptions!$B$53,T43*T44*(1-Assumptions!$B$170)*Assumptions!$B$155*Assumptions!$B$156,0)</f>
        <v/>
      </c>
      <c r="U56" s="55">
        <f>IF(U2&gt;=Assumptions!$B$53,U43*U44*(1-Assumptions!$B$170)*Assumptions!$B$155*Assumptions!$B$156,0)</f>
        <v/>
      </c>
      <c r="V56" s="55">
        <f>IF(V2&gt;=Assumptions!$B$53,V43*V44*(1-Assumptions!$B$170)*Assumptions!$B$155*Assumptions!$B$156,0)</f>
        <v/>
      </c>
      <c r="W56" s="55">
        <f>IF(W2&gt;=Assumptions!$B$53,W43*W44*(1-Assumptions!$B$170)*Assumptions!$B$155*Assumptions!$B$156,0)</f>
        <v/>
      </c>
      <c r="X56" s="55">
        <f>IF(X2&gt;=Assumptions!$B$53,X43*X44*(1-Assumptions!$B$170)*Assumptions!$B$155*Assumptions!$B$156,0)</f>
        <v/>
      </c>
      <c r="Y56" s="55">
        <f>IF(Y2&gt;=Assumptions!$B$53,Y43*Y44*(1-Assumptions!$B$170)*Assumptions!$B$155*Assumptions!$B$156,0)</f>
        <v/>
      </c>
      <c r="Z56" s="55">
        <f>IF(Z2&gt;=Assumptions!$B$53,Z43*Z44*(1-Assumptions!$B$170)*Assumptions!$B$155*Assumptions!$B$156,0)</f>
        <v/>
      </c>
      <c r="AA56" s="55">
        <f>IF(AA2&gt;=Assumptions!$B$53,AA43*AA44*(1-Assumptions!$B$170)*Assumptions!$B$155*Assumptions!$B$156,0)</f>
        <v/>
      </c>
      <c r="AB56" s="55">
        <f>IF(AB2&gt;=Assumptions!$B$53,AB43*AB44*(1-Assumptions!$B$170)*Assumptions!$B$155*Assumptions!$B$156,0)</f>
        <v/>
      </c>
      <c r="AC56" s="55">
        <f>IF(AC2&gt;=Assumptions!$B$53,AC43*AC44*(1-Assumptions!$B$170)*Assumptions!$B$155*Assumptions!$B$156,0)</f>
        <v/>
      </c>
      <c r="AD56" s="55">
        <f>IF(AD2&gt;=Assumptions!$B$53,AD43*AD44*(1-Assumptions!$B$170)*Assumptions!$B$155*Assumptions!$B$156,0)</f>
        <v/>
      </c>
      <c r="AE56" s="55">
        <f>IF(AE2&gt;=Assumptions!$B$53,AE43*AE44*(1-Assumptions!$B$170)*Assumptions!$B$155*Assumptions!$B$156,0)</f>
        <v/>
      </c>
    </row>
    <row r="57">
      <c r="A57" s="6" t="inlineStr">
        <is>
          <t xml:space="preserve">  Stream 5 - Lending revenue share</t>
        </is>
      </c>
      <c r="B57" s="23" t="inlineStr">
        <is>
          <t>USD</t>
        </is>
      </c>
      <c r="C57" s="55">
        <f>IF(C2&gt;=Assumptions!$B$53,(C56*Assumptions!$B$29*Assumptions!$B$30+C43*C45*(1-Assumptions!$B$170)*Assumptions!$B$27*Assumptions!$B$28)*C7/12,0)</f>
        <v/>
      </c>
      <c r="D57" s="55">
        <f>IF(D2&gt;=Assumptions!$B$53,(D56*Assumptions!$B$29*Assumptions!$B$30+D43*D45*(1-Assumptions!$B$170)*Assumptions!$B$27*Assumptions!$B$28)*D7/12,0)</f>
        <v/>
      </c>
      <c r="E57" s="55">
        <f>IF(E2&gt;=Assumptions!$B$53,(E56*Assumptions!$B$29*Assumptions!$B$30+E43*E45*(1-Assumptions!$B$170)*Assumptions!$B$27*Assumptions!$B$28)*E7/12,0)</f>
        <v/>
      </c>
      <c r="F57" s="55">
        <f>IF(F2&gt;=Assumptions!$B$53,(F56*Assumptions!$B$29*Assumptions!$B$30+F43*F45*(1-Assumptions!$B$170)*Assumptions!$B$27*Assumptions!$B$28)*F7/12,0)</f>
        <v/>
      </c>
      <c r="G57" s="55">
        <f>IF(G2&gt;=Assumptions!$B$53,(G56*Assumptions!$B$29*Assumptions!$B$30+G43*G45*(1-Assumptions!$B$170)*Assumptions!$B$27*Assumptions!$B$28)*G7/12,0)</f>
        <v/>
      </c>
      <c r="H57" s="55">
        <f>IF(H2&gt;=Assumptions!$B$53,(H56*Assumptions!$B$29*Assumptions!$B$30+H43*H45*(1-Assumptions!$B$170)*Assumptions!$B$27*Assumptions!$B$28)*H7/12,0)</f>
        <v/>
      </c>
      <c r="I57" s="55">
        <f>IF(I2&gt;=Assumptions!$B$53,(I56*Assumptions!$B$29*Assumptions!$B$30+I43*I45*(1-Assumptions!$B$170)*Assumptions!$B$27*Assumptions!$B$28)*I7/12,0)</f>
        <v/>
      </c>
      <c r="J57" s="55">
        <f>IF(J2&gt;=Assumptions!$B$53,(J56*Assumptions!$B$29*Assumptions!$B$30+J43*J45*(1-Assumptions!$B$170)*Assumptions!$B$27*Assumptions!$B$28)*J7/12,0)</f>
        <v/>
      </c>
      <c r="K57" s="55">
        <f>IF(K2&gt;=Assumptions!$B$53,(K56*Assumptions!$B$29*Assumptions!$B$30+K43*K45*(1-Assumptions!$B$170)*Assumptions!$B$27*Assumptions!$B$28)*K7/12,0)</f>
        <v/>
      </c>
      <c r="L57" s="55">
        <f>IF(L2&gt;=Assumptions!$B$53,(L56*Assumptions!$B$29*Assumptions!$B$30+L43*L45*(1-Assumptions!$B$170)*Assumptions!$B$27*Assumptions!$B$28)*L7/12,0)</f>
        <v/>
      </c>
      <c r="M57" s="55">
        <f>IF(M2&gt;=Assumptions!$B$53,(M56*Assumptions!$B$29*Assumptions!$B$30+M43*M45*(1-Assumptions!$B$170)*Assumptions!$B$27*Assumptions!$B$28)*M7/12,0)</f>
        <v/>
      </c>
      <c r="N57" s="55">
        <f>IF(N2&gt;=Assumptions!$B$53,(N56*Assumptions!$B$29*Assumptions!$B$30+N43*N45*(1-Assumptions!$B$170)*Assumptions!$B$27*Assumptions!$B$28)*N7/12,0)</f>
        <v/>
      </c>
      <c r="O57" s="55">
        <f>IF(O2&gt;=Assumptions!$B$53,(O56*Assumptions!$B$29*Assumptions!$B$30+O43*O45*(1-Assumptions!$B$170)*Assumptions!$B$27*Assumptions!$B$28)*O7/12,0)</f>
        <v/>
      </c>
      <c r="P57" s="55">
        <f>IF(P2&gt;=Assumptions!$B$53,(P56*Assumptions!$B$29*Assumptions!$B$30+P43*P45*(1-Assumptions!$B$170)*Assumptions!$B$27*Assumptions!$B$28)*P7/12,0)</f>
        <v/>
      </c>
      <c r="Q57" s="55">
        <f>IF(Q2&gt;=Assumptions!$B$53,(Q56*Assumptions!$B$29*Assumptions!$B$30+Q43*Q45*(1-Assumptions!$B$170)*Assumptions!$B$27*Assumptions!$B$28)*Q7/12,0)</f>
        <v/>
      </c>
      <c r="R57" s="55">
        <f>IF(R2&gt;=Assumptions!$B$53,(R56*Assumptions!$B$29*Assumptions!$B$30+R43*R45*(1-Assumptions!$B$170)*Assumptions!$B$27*Assumptions!$B$28)*R7/12,0)</f>
        <v/>
      </c>
      <c r="S57" s="55">
        <f>IF(S2&gt;=Assumptions!$B$53,(S56*Assumptions!$B$29*Assumptions!$B$30+S43*S45*(1-Assumptions!$B$170)*Assumptions!$B$27*Assumptions!$B$28)*S7/12,0)</f>
        <v/>
      </c>
      <c r="T57" s="55">
        <f>IF(T2&gt;=Assumptions!$B$53,(T56*Assumptions!$B$29*Assumptions!$B$30+T43*T45*(1-Assumptions!$B$170)*Assumptions!$B$27*Assumptions!$B$28)*T7/12,0)</f>
        <v/>
      </c>
      <c r="U57" s="55">
        <f>IF(U2&gt;=Assumptions!$B$53,(U56*Assumptions!$B$29*Assumptions!$B$30+U43*U45*(1-Assumptions!$B$170)*Assumptions!$B$27*Assumptions!$B$28)*U7/12,0)</f>
        <v/>
      </c>
      <c r="V57" s="55">
        <f>IF(V2&gt;=Assumptions!$B$53,(V56*Assumptions!$B$29*Assumptions!$B$30+V43*V45*(1-Assumptions!$B$170)*Assumptions!$B$27*Assumptions!$B$28)*V7/12,0)</f>
        <v/>
      </c>
      <c r="W57" s="55">
        <f>IF(W2&gt;=Assumptions!$B$53,(W56*Assumptions!$B$29*Assumptions!$B$30+W43*W45*(1-Assumptions!$B$170)*Assumptions!$B$27*Assumptions!$B$28)*W7/12,0)</f>
        <v/>
      </c>
      <c r="X57" s="55">
        <f>IF(X2&gt;=Assumptions!$B$53,(X56*Assumptions!$B$29*Assumptions!$B$30+X43*X45*(1-Assumptions!$B$170)*Assumptions!$B$27*Assumptions!$B$28)*X7/12,0)</f>
        <v/>
      </c>
      <c r="Y57" s="55">
        <f>IF(Y2&gt;=Assumptions!$B$53,(Y56*Assumptions!$B$29*Assumptions!$B$30+Y43*Y45*(1-Assumptions!$B$170)*Assumptions!$B$27*Assumptions!$B$28)*Y7/12,0)</f>
        <v/>
      </c>
      <c r="Z57" s="55">
        <f>IF(Z2&gt;=Assumptions!$B$53,(Z56*Assumptions!$B$29*Assumptions!$B$30+Z43*Z45*(1-Assumptions!$B$170)*Assumptions!$B$27*Assumptions!$B$28)*Z7/12,0)</f>
        <v/>
      </c>
      <c r="AA57" s="55">
        <f>IF(AA2&gt;=Assumptions!$B$53,(AA56*Assumptions!$B$29*Assumptions!$B$30+AA43*AA45*(1-Assumptions!$B$170)*Assumptions!$B$27*Assumptions!$B$28)*AA7/12,0)</f>
        <v/>
      </c>
      <c r="AB57" s="55">
        <f>IF(AB2&gt;=Assumptions!$B$53,(AB56*Assumptions!$B$29*Assumptions!$B$30+AB43*AB45*(1-Assumptions!$B$170)*Assumptions!$B$27*Assumptions!$B$28)*AB7/12,0)</f>
        <v/>
      </c>
      <c r="AC57" s="55">
        <f>IF(AC2&gt;=Assumptions!$B$53,(AC56*Assumptions!$B$29*Assumptions!$B$30+AC43*AC45*(1-Assumptions!$B$170)*Assumptions!$B$27*Assumptions!$B$28)*AC7/12,0)</f>
        <v/>
      </c>
      <c r="AD57" s="55">
        <f>IF(AD2&gt;=Assumptions!$B$53,(AD56*Assumptions!$B$29*Assumptions!$B$30+AD43*AD45*(1-Assumptions!$B$170)*Assumptions!$B$27*Assumptions!$B$28)*AD7/12,0)</f>
        <v/>
      </c>
      <c r="AE57" s="55">
        <f>IF(AE2&gt;=Assumptions!$B$53,(AE56*Assumptions!$B$29*Assumptions!$B$30+AE43*AE45*(1-Assumptions!$B$170)*Assumptions!$B$27*Assumptions!$B$28)*AE7/12,0)</f>
        <v/>
      </c>
    </row>
    <row r="58">
      <c r="A58" s="6" t="inlineStr">
        <is>
          <t xml:space="preserve">  Redemption events (memo - drives cost, not revenue)</t>
        </is>
      </c>
      <c r="B58" s="23" t="inlineStr">
        <is>
          <t>events</t>
        </is>
      </c>
      <c r="C58" s="45">
        <f>IF(C2&gt;=Assumptions!$B$49,(C29+C31*Assumptions!$B$137)*Assumptions!$B$136*C7/12,0)</f>
        <v/>
      </c>
      <c r="D58" s="45">
        <f>IF(D2&gt;=Assumptions!$B$49,(D29+D31*Assumptions!$B$137)*Assumptions!$B$136*D7/12,0)</f>
        <v/>
      </c>
      <c r="E58" s="45">
        <f>IF(E2&gt;=Assumptions!$B$49,(E29+E31*Assumptions!$B$137)*Assumptions!$B$136*E7/12,0)</f>
        <v/>
      </c>
      <c r="F58" s="45">
        <f>IF(F2&gt;=Assumptions!$B$49,(F29+F31*Assumptions!$B$137)*Assumptions!$B$136*F7/12,0)</f>
        <v/>
      </c>
      <c r="G58" s="45">
        <f>IF(G2&gt;=Assumptions!$B$49,(G29+G31*Assumptions!$B$137)*Assumptions!$B$136*G7/12,0)</f>
        <v/>
      </c>
      <c r="H58" s="45">
        <f>IF(H2&gt;=Assumptions!$B$49,(H29+H31*Assumptions!$B$137)*Assumptions!$B$136*H7/12,0)</f>
        <v/>
      </c>
      <c r="I58" s="45">
        <f>IF(I2&gt;=Assumptions!$B$49,(I29+I31*Assumptions!$B$137)*Assumptions!$B$136*I7/12,0)</f>
        <v/>
      </c>
      <c r="J58" s="45">
        <f>IF(J2&gt;=Assumptions!$B$49,(J29+J31*Assumptions!$B$137)*Assumptions!$B$136*J7/12,0)</f>
        <v/>
      </c>
      <c r="K58" s="45">
        <f>IF(K2&gt;=Assumptions!$B$49,(K29+K31*Assumptions!$B$137)*Assumptions!$B$136*K7/12,0)</f>
        <v/>
      </c>
      <c r="L58" s="45">
        <f>IF(L2&gt;=Assumptions!$B$49,(L29+L31*Assumptions!$B$137)*Assumptions!$B$136*L7/12,0)</f>
        <v/>
      </c>
      <c r="M58" s="45">
        <f>IF(M2&gt;=Assumptions!$B$49,(M29+M31*Assumptions!$B$137)*Assumptions!$B$136*M7/12,0)</f>
        <v/>
      </c>
      <c r="N58" s="45">
        <f>IF(N2&gt;=Assumptions!$B$49,(N29+N31*Assumptions!$B$137)*Assumptions!$B$136*N7/12,0)</f>
        <v/>
      </c>
      <c r="O58" s="45">
        <f>IF(O2&gt;=Assumptions!$B$49,(O29+O31*Assumptions!$B$137)*Assumptions!$B$136*O7/12,0)</f>
        <v/>
      </c>
      <c r="P58" s="45">
        <f>IF(P2&gt;=Assumptions!$B$49,(P29+P31*Assumptions!$B$137)*Assumptions!$B$136*P7/12,0)</f>
        <v/>
      </c>
      <c r="Q58" s="45">
        <f>IF(Q2&gt;=Assumptions!$B$49,(Q29+Q31*Assumptions!$B$137)*Assumptions!$B$136*Q7/12,0)</f>
        <v/>
      </c>
      <c r="R58" s="45">
        <f>IF(R2&gt;=Assumptions!$B$49,(R29+R31*Assumptions!$B$137)*Assumptions!$B$136*R7/12,0)</f>
        <v/>
      </c>
      <c r="S58" s="45">
        <f>IF(S2&gt;=Assumptions!$B$49,(S29+S31*Assumptions!$B$137)*Assumptions!$B$136*S7/12,0)</f>
        <v/>
      </c>
      <c r="T58" s="45">
        <f>IF(T2&gt;=Assumptions!$B$49,(T29+T31*Assumptions!$B$137)*Assumptions!$B$136*T7/12,0)</f>
        <v/>
      </c>
      <c r="U58" s="45">
        <f>IF(U2&gt;=Assumptions!$B$49,(U29+U31*Assumptions!$B$137)*Assumptions!$B$136*U7/12,0)</f>
        <v/>
      </c>
      <c r="V58" s="45">
        <f>IF(V2&gt;=Assumptions!$B$49,(V29+V31*Assumptions!$B$137)*Assumptions!$B$136*V7/12,0)</f>
        <v/>
      </c>
      <c r="W58" s="45">
        <f>IF(W2&gt;=Assumptions!$B$49,(W29+W31*Assumptions!$B$137)*Assumptions!$B$136*W7/12,0)</f>
        <v/>
      </c>
      <c r="X58" s="45">
        <f>IF(X2&gt;=Assumptions!$B$49,(X29+X31*Assumptions!$B$137)*Assumptions!$B$136*X7/12,0)</f>
        <v/>
      </c>
      <c r="Y58" s="45">
        <f>IF(Y2&gt;=Assumptions!$B$49,(Y29+Y31*Assumptions!$B$137)*Assumptions!$B$136*Y7/12,0)</f>
        <v/>
      </c>
      <c r="Z58" s="45">
        <f>IF(Z2&gt;=Assumptions!$B$49,(Z29+Z31*Assumptions!$B$137)*Assumptions!$B$136*Z7/12,0)</f>
        <v/>
      </c>
      <c r="AA58" s="45">
        <f>IF(AA2&gt;=Assumptions!$B$49,(AA29+AA31*Assumptions!$B$137)*Assumptions!$B$136*AA7/12,0)</f>
        <v/>
      </c>
      <c r="AB58" s="45">
        <f>IF(AB2&gt;=Assumptions!$B$49,(AB29+AB31*Assumptions!$B$137)*Assumptions!$B$136*AB7/12,0)</f>
        <v/>
      </c>
      <c r="AC58" s="45">
        <f>IF(AC2&gt;=Assumptions!$B$49,(AC29+AC31*Assumptions!$B$137)*Assumptions!$B$136*AC7/12,0)</f>
        <v/>
      </c>
      <c r="AD58" s="45">
        <f>IF(AD2&gt;=Assumptions!$B$49,(AD29+AD31*Assumptions!$B$137)*Assumptions!$B$136*AD7/12,0)</f>
        <v/>
      </c>
      <c r="AE58" s="45">
        <f>IF(AE2&gt;=Assumptions!$B$49,(AE29+AE31*Assumptions!$B$137)*Assumptions!$B$136*AE7/12,0)</f>
        <v/>
      </c>
    </row>
    <row r="59">
      <c r="A59" s="3" t="inlineStr">
        <is>
          <t xml:space="preserve">  SUBTOTAL - UAE</t>
        </is>
      </c>
      <c r="B59" s="23" t="inlineStr">
        <is>
          <t>USD</t>
        </is>
      </c>
      <c r="C59" s="57">
        <f>C51+C52+C53+C54+C55+C57</f>
        <v/>
      </c>
      <c r="D59" s="57">
        <f>D51+D52+D53+D54+D55+D57</f>
        <v/>
      </c>
      <c r="E59" s="57">
        <f>E51+E52+E53+E54+E55+E57</f>
        <v/>
      </c>
      <c r="F59" s="57">
        <f>F51+F52+F53+F54+F55+F57</f>
        <v/>
      </c>
      <c r="G59" s="57">
        <f>G51+G52+G53+G54+G55+G57</f>
        <v/>
      </c>
      <c r="H59" s="57">
        <f>H51+H52+H53+H54+H55+H57</f>
        <v/>
      </c>
      <c r="I59" s="57">
        <f>I51+I52+I53+I54+I55+I57</f>
        <v/>
      </c>
      <c r="J59" s="57">
        <f>J51+J52+J53+J54+J55+J57</f>
        <v/>
      </c>
      <c r="K59" s="57">
        <f>K51+K52+K53+K54+K55+K57</f>
        <v/>
      </c>
      <c r="L59" s="57">
        <f>L51+L52+L53+L54+L55+L57</f>
        <v/>
      </c>
      <c r="M59" s="57">
        <f>M51+M52+M53+M54+M55+M57</f>
        <v/>
      </c>
      <c r="N59" s="57">
        <f>N51+N52+N53+N54+N55+N57</f>
        <v/>
      </c>
      <c r="O59" s="57">
        <f>O51+O52+O53+O54+O55+O57</f>
        <v/>
      </c>
      <c r="P59" s="57">
        <f>P51+P52+P53+P54+P55+P57</f>
        <v/>
      </c>
      <c r="Q59" s="57">
        <f>Q51+Q52+Q53+Q54+Q55+Q57</f>
        <v/>
      </c>
      <c r="R59" s="57">
        <f>R51+R52+R53+R54+R55+R57</f>
        <v/>
      </c>
      <c r="S59" s="57">
        <f>S51+S52+S53+S54+S55+S57</f>
        <v/>
      </c>
      <c r="T59" s="57">
        <f>T51+T52+T53+T54+T55+T57</f>
        <v/>
      </c>
      <c r="U59" s="57">
        <f>U51+U52+U53+U54+U55+U57</f>
        <v/>
      </c>
      <c r="V59" s="57">
        <f>V51+V52+V53+V54+V55+V57</f>
        <v/>
      </c>
      <c r="W59" s="57">
        <f>W51+W52+W53+W54+W55+W57</f>
        <v/>
      </c>
      <c r="X59" s="57">
        <f>X51+X52+X53+X54+X55+X57</f>
        <v/>
      </c>
      <c r="Y59" s="57">
        <f>Y51+Y52+Y53+Y54+Y55+Y57</f>
        <v/>
      </c>
      <c r="Z59" s="57">
        <f>Z51+Z52+Z53+Z54+Z55+Z57</f>
        <v/>
      </c>
      <c r="AA59" s="57">
        <f>AA51+AA52+AA53+AA54+AA55+AA57</f>
        <v/>
      </c>
      <c r="AB59" s="57">
        <f>AB51+AB52+AB53+AB54+AB55+AB57</f>
        <v/>
      </c>
      <c r="AC59" s="57">
        <f>AC51+AC52+AC53+AC54+AC55+AC57</f>
        <v/>
      </c>
      <c r="AD59" s="57">
        <f>AD51+AD52+AD53+AD54+AD55+AD57</f>
        <v/>
      </c>
      <c r="AE59" s="57">
        <f>AE51+AE52+AE53+AE54+AE55+AE57</f>
        <v/>
      </c>
    </row>
    <row r="61">
      <c r="A61" s="46" t="inlineStr">
        <is>
          <t>REGION: OMAN AND BAHRAIN</t>
        </is>
      </c>
      <c r="B61" s="47" t="n"/>
      <c r="C61" s="47" t="n"/>
      <c r="D61" s="47" t="n"/>
      <c r="E61" s="47" t="n"/>
      <c r="F61" s="47" t="n"/>
      <c r="G61" s="47" t="n"/>
      <c r="H61" s="47" t="n"/>
      <c r="I61" s="47" t="n"/>
      <c r="J61" s="47" t="n"/>
      <c r="K61" s="47" t="n"/>
      <c r="L61" s="47" t="n"/>
      <c r="M61" s="47" t="n"/>
      <c r="N61" s="47" t="n"/>
      <c r="O61" s="47" t="n"/>
      <c r="P61" s="47" t="n"/>
      <c r="Q61" s="47" t="n"/>
      <c r="R61" s="47" t="n"/>
      <c r="S61" s="47" t="n"/>
      <c r="T61" s="47" t="n"/>
      <c r="U61" s="47" t="n"/>
      <c r="V61" s="47" t="n"/>
      <c r="W61" s="47" t="n"/>
      <c r="X61" s="47" t="n"/>
      <c r="Y61" s="47" t="n"/>
      <c r="Z61" s="47" t="n"/>
      <c r="AA61" s="47" t="n"/>
      <c r="AB61" s="47" t="n"/>
      <c r="AC61" s="47" t="n"/>
      <c r="AD61" s="47" t="n"/>
      <c r="AE61" s="47" t="n"/>
    </row>
    <row r="62">
      <c r="A62" s="6" t="inlineStr">
        <is>
          <t xml:space="preserve">  Direct-driven (this market's budget at its own CAC)</t>
        </is>
      </c>
      <c r="B62" s="23" t="inlineStr">
        <is>
          <t>accounts</t>
        </is>
      </c>
      <c r="C62" s="53">
        <f>INDEX(Assumptions!$B$100:$B$106,C5)*Assumptions!$B$127/12*C7/Assumptions!$B$124*(1+Assumptions!$B$131)*IF(C2&gt;=Assumptions!$B$56,1,0)</f>
        <v/>
      </c>
      <c r="D62" s="53">
        <f>INDEX(Assumptions!$B$100:$B$106,D5)*Assumptions!$B$127/12*D7/Assumptions!$B$124*(1+Assumptions!$B$131)*IF(D2&gt;=Assumptions!$B$56,1,0)</f>
        <v/>
      </c>
      <c r="E62" s="53">
        <f>INDEX(Assumptions!$B$100:$B$106,E5)*Assumptions!$B$127/12*E7/Assumptions!$B$124*(1+Assumptions!$B$131)*IF(E2&gt;=Assumptions!$B$56,1,0)</f>
        <v/>
      </c>
      <c r="F62" s="53">
        <f>INDEX(Assumptions!$B$100:$B$106,F5)*Assumptions!$B$127/12*F7/Assumptions!$B$124*(1+Assumptions!$B$131)*IF(F2&gt;=Assumptions!$B$56,1,0)</f>
        <v/>
      </c>
      <c r="G62" s="53">
        <f>INDEX(Assumptions!$B$100:$B$106,G5)*Assumptions!$B$127/12*G7/Assumptions!$B$124*(1+Assumptions!$B$131)*IF(G2&gt;=Assumptions!$B$56,1,0)</f>
        <v/>
      </c>
      <c r="H62" s="53">
        <f>INDEX(Assumptions!$B$100:$B$106,H5)*Assumptions!$B$127/12*H7/Assumptions!$B$124*(1+Assumptions!$B$131)*IF(H2&gt;=Assumptions!$B$56,1,0)</f>
        <v/>
      </c>
      <c r="I62" s="53">
        <f>INDEX(Assumptions!$B$100:$B$106,I5)*Assumptions!$B$127/12*I7/Assumptions!$B$124*(1+Assumptions!$B$131)*IF(I2&gt;=Assumptions!$B$56,1,0)</f>
        <v/>
      </c>
      <c r="J62" s="53">
        <f>INDEX(Assumptions!$B$100:$B$106,J5)*Assumptions!$B$127/12*J7/Assumptions!$B$124*(1+Assumptions!$B$131)*IF(J2&gt;=Assumptions!$B$56,1,0)</f>
        <v/>
      </c>
      <c r="K62" s="53">
        <f>INDEX(Assumptions!$B$100:$B$106,K5)*Assumptions!$B$127/12*K7/Assumptions!$B$124*(1+Assumptions!$B$131)*IF(K2&gt;=Assumptions!$B$56,1,0)</f>
        <v/>
      </c>
      <c r="L62" s="53">
        <f>INDEX(Assumptions!$B$100:$B$106,L5)*Assumptions!$B$127/12*L7/Assumptions!$B$124*(1+Assumptions!$B$131)*IF(L2&gt;=Assumptions!$B$56,1,0)</f>
        <v/>
      </c>
      <c r="M62" s="53">
        <f>INDEX(Assumptions!$B$100:$B$106,M5)*Assumptions!$B$127/12*M7/Assumptions!$B$124*(1+Assumptions!$B$131)*IF(M2&gt;=Assumptions!$B$56,1,0)</f>
        <v/>
      </c>
      <c r="N62" s="53">
        <f>INDEX(Assumptions!$B$100:$B$106,N5)*Assumptions!$B$127/12*N7/Assumptions!$B$124*(1+Assumptions!$B$131)*IF(N2&gt;=Assumptions!$B$56,1,0)</f>
        <v/>
      </c>
      <c r="O62" s="53">
        <f>INDEX(Assumptions!$B$100:$B$106,O5)*Assumptions!$B$127/12*O7/Assumptions!$B$124*(1+Assumptions!$B$131)*IF(O2&gt;=Assumptions!$B$56,1,0)</f>
        <v/>
      </c>
      <c r="P62" s="53">
        <f>INDEX(Assumptions!$B$100:$B$106,P5)*Assumptions!$B$127/12*P7/Assumptions!$B$124*(1+Assumptions!$B$131)*IF(P2&gt;=Assumptions!$B$56,1,0)</f>
        <v/>
      </c>
      <c r="Q62" s="53">
        <f>INDEX(Assumptions!$B$100:$B$106,Q5)*Assumptions!$B$127/12*Q7/Assumptions!$B$124*(1+Assumptions!$B$131)*IF(Q2&gt;=Assumptions!$B$56,1,0)</f>
        <v/>
      </c>
      <c r="R62" s="53">
        <f>INDEX(Assumptions!$B$100:$B$106,R5)*Assumptions!$B$127/12*R7/Assumptions!$B$124*(1+Assumptions!$B$131)*IF(R2&gt;=Assumptions!$B$56,1,0)</f>
        <v/>
      </c>
      <c r="S62" s="53">
        <f>INDEX(Assumptions!$B$100:$B$106,S5)*Assumptions!$B$127/12*S7/Assumptions!$B$124*(1+Assumptions!$B$131)*IF(S2&gt;=Assumptions!$B$56,1,0)</f>
        <v/>
      </c>
      <c r="T62" s="53">
        <f>INDEX(Assumptions!$B$100:$B$106,T5)*Assumptions!$B$127/12*T7/Assumptions!$B$124*(1+Assumptions!$B$131)*IF(T2&gt;=Assumptions!$B$56,1,0)</f>
        <v/>
      </c>
      <c r="U62" s="53">
        <f>INDEX(Assumptions!$B$100:$B$106,U5)*Assumptions!$B$127/12*U7/Assumptions!$B$124*(1+Assumptions!$B$131)*IF(U2&gt;=Assumptions!$B$56,1,0)</f>
        <v/>
      </c>
      <c r="V62" s="53">
        <f>INDEX(Assumptions!$B$100:$B$106,V5)*Assumptions!$B$127/12*V7/Assumptions!$B$124*(1+Assumptions!$B$131)*IF(V2&gt;=Assumptions!$B$56,1,0)</f>
        <v/>
      </c>
      <c r="W62" s="53">
        <f>INDEX(Assumptions!$B$100:$B$106,W5)*Assumptions!$B$127/12*W7/Assumptions!$B$124*(1+Assumptions!$B$131)*IF(W2&gt;=Assumptions!$B$56,1,0)</f>
        <v/>
      </c>
      <c r="X62" s="53">
        <f>INDEX(Assumptions!$B$100:$B$106,X5)*Assumptions!$B$127/12*X7/Assumptions!$B$124*(1+Assumptions!$B$131)*IF(X2&gt;=Assumptions!$B$56,1,0)</f>
        <v/>
      </c>
      <c r="Y62" s="53">
        <f>INDEX(Assumptions!$B$100:$B$106,Y5)*Assumptions!$B$127/12*Y7/Assumptions!$B$124*(1+Assumptions!$B$131)*IF(Y2&gt;=Assumptions!$B$56,1,0)</f>
        <v/>
      </c>
      <c r="Z62" s="53">
        <f>INDEX(Assumptions!$B$100:$B$106,Z5)*Assumptions!$B$127/12*Z7/Assumptions!$B$124*(1+Assumptions!$B$131)*IF(Z2&gt;=Assumptions!$B$56,1,0)</f>
        <v/>
      </c>
      <c r="AA62" s="53">
        <f>INDEX(Assumptions!$B$100:$B$106,AA5)*Assumptions!$B$127/12*AA7/Assumptions!$B$124*(1+Assumptions!$B$131)*IF(AA2&gt;=Assumptions!$B$56,1,0)</f>
        <v/>
      </c>
      <c r="AB62" s="53">
        <f>INDEX(Assumptions!$B$100:$B$106,AB5)*Assumptions!$B$127/12*AB7/Assumptions!$B$124*(1+Assumptions!$B$131)*IF(AB2&gt;=Assumptions!$B$56,1,0)</f>
        <v/>
      </c>
      <c r="AC62" s="53">
        <f>INDEX(Assumptions!$B$100:$B$106,AC5)*Assumptions!$B$127/12*AC7/Assumptions!$B$124*(1+Assumptions!$B$131)*IF(AC2&gt;=Assumptions!$B$56,1,0)</f>
        <v/>
      </c>
      <c r="AD62" s="53">
        <f>INDEX(Assumptions!$B$100:$B$106,AD5)*Assumptions!$B$127/12*AD7/Assumptions!$B$124*(1+Assumptions!$B$131)*IF(AD2&gt;=Assumptions!$B$56,1,0)</f>
        <v/>
      </c>
      <c r="AE62" s="53">
        <f>INDEX(Assumptions!$B$100:$B$106,AE5)*Assumptions!$B$127/12*AE7/Assumptions!$B$124*(1+Assumptions!$B$131)*IF(AE2&gt;=Assumptions!$B$56,1,0)</f>
        <v/>
      </c>
    </row>
    <row r="63">
      <c r="A63" s="6" t="inlineStr">
        <is>
          <t xml:space="preserve">  Referral-driven (from this market's own base)</t>
        </is>
      </c>
      <c r="B63" s="23" t="inlineStr">
        <is>
          <t>accounts</t>
        </is>
      </c>
      <c r="C63" s="54" t="n">
        <v>0</v>
      </c>
      <c r="D63" s="54">
        <f>IF(D2&gt;=Assumptions!$B$55,C67*Assumptions!$B$129/12*Assumptions!$B$130*D7,0)</f>
        <v/>
      </c>
      <c r="E63" s="54">
        <f>IF(E2&gt;=Assumptions!$B$55,D67*Assumptions!$B$129/12*Assumptions!$B$130*E7,0)</f>
        <v/>
      </c>
      <c r="F63" s="54">
        <f>IF(F2&gt;=Assumptions!$B$55,E67*Assumptions!$B$129/12*Assumptions!$B$130*F7,0)</f>
        <v/>
      </c>
      <c r="G63" s="54">
        <f>IF(G2&gt;=Assumptions!$B$55,F67*Assumptions!$B$129/12*Assumptions!$B$130*G7,0)</f>
        <v/>
      </c>
      <c r="H63" s="54">
        <f>IF(H2&gt;=Assumptions!$B$55,G67*Assumptions!$B$129/12*Assumptions!$B$130*H7,0)</f>
        <v/>
      </c>
      <c r="I63" s="54">
        <f>IF(I2&gt;=Assumptions!$B$55,H67*Assumptions!$B$129/12*Assumptions!$B$130*I7,0)</f>
        <v/>
      </c>
      <c r="J63" s="54">
        <f>IF(J2&gt;=Assumptions!$B$55,I67*Assumptions!$B$129/12*Assumptions!$B$130*J7,0)</f>
        <v/>
      </c>
      <c r="K63" s="54">
        <f>IF(K2&gt;=Assumptions!$B$55,J67*Assumptions!$B$129/12*Assumptions!$B$130*K7,0)</f>
        <v/>
      </c>
      <c r="L63" s="54">
        <f>IF(L2&gt;=Assumptions!$B$55,K67*Assumptions!$B$129/12*Assumptions!$B$130*L7,0)</f>
        <v/>
      </c>
      <c r="M63" s="54">
        <f>IF(M2&gt;=Assumptions!$B$55,L67*Assumptions!$B$129/12*Assumptions!$B$130*M7,0)</f>
        <v/>
      </c>
      <c r="N63" s="54">
        <f>IF(N2&gt;=Assumptions!$B$55,M67*Assumptions!$B$129/12*Assumptions!$B$130*N7,0)</f>
        <v/>
      </c>
      <c r="O63" s="54">
        <f>IF(O2&gt;=Assumptions!$B$55,N67*Assumptions!$B$129/12*Assumptions!$B$130*O7,0)</f>
        <v/>
      </c>
      <c r="P63" s="54">
        <f>IF(P2&gt;=Assumptions!$B$55,O67*Assumptions!$B$129/12*Assumptions!$B$130*P7,0)</f>
        <v/>
      </c>
      <c r="Q63" s="54">
        <f>IF(Q2&gt;=Assumptions!$B$55,P67*Assumptions!$B$129/12*Assumptions!$B$130*Q7,0)</f>
        <v/>
      </c>
      <c r="R63" s="54">
        <f>IF(R2&gt;=Assumptions!$B$55,Q67*Assumptions!$B$129/12*Assumptions!$B$130*R7,0)</f>
        <v/>
      </c>
      <c r="S63" s="54">
        <f>IF(S2&gt;=Assumptions!$B$55,R67*Assumptions!$B$129/12*Assumptions!$B$130*S7,0)</f>
        <v/>
      </c>
      <c r="T63" s="54">
        <f>IF(T2&gt;=Assumptions!$B$55,S67*Assumptions!$B$129/12*Assumptions!$B$130*T7,0)</f>
        <v/>
      </c>
      <c r="U63" s="54">
        <f>IF(U2&gt;=Assumptions!$B$55,T67*Assumptions!$B$129/12*Assumptions!$B$130*U7,0)</f>
        <v/>
      </c>
      <c r="V63" s="54">
        <f>IF(V2&gt;=Assumptions!$B$55,U67*Assumptions!$B$129/12*Assumptions!$B$130*V7,0)</f>
        <v/>
      </c>
      <c r="W63" s="54">
        <f>IF(W2&gt;=Assumptions!$B$55,V67*Assumptions!$B$129/12*Assumptions!$B$130*W7,0)</f>
        <v/>
      </c>
      <c r="X63" s="54">
        <f>IF(X2&gt;=Assumptions!$B$55,W67*Assumptions!$B$129/12*Assumptions!$B$130*X7,0)</f>
        <v/>
      </c>
      <c r="Y63" s="54">
        <f>IF(Y2&gt;=Assumptions!$B$55,X67*Assumptions!$B$129/12*Assumptions!$B$130*Y7,0)</f>
        <v/>
      </c>
      <c r="Z63" s="54">
        <f>IF(Z2&gt;=Assumptions!$B$55,Y67*Assumptions!$B$129/12*Assumptions!$B$130*Z7,0)</f>
        <v/>
      </c>
      <c r="AA63" s="54">
        <f>IF(AA2&gt;=Assumptions!$B$55,Z67*Assumptions!$B$129/12*Assumptions!$B$130*AA7,0)</f>
        <v/>
      </c>
      <c r="AB63" s="54">
        <f>IF(AB2&gt;=Assumptions!$B$55,AA67*Assumptions!$B$129/12*Assumptions!$B$130*AB7,0)</f>
        <v/>
      </c>
      <c r="AC63" s="54">
        <f>IF(AC2&gt;=Assumptions!$B$55,AB67*Assumptions!$B$129/12*Assumptions!$B$130*AC7,0)</f>
        <v/>
      </c>
      <c r="AD63" s="54">
        <f>IF(AD2&gt;=Assumptions!$B$55,AC67*Assumptions!$B$129/12*Assumptions!$B$130*AD7,0)</f>
        <v/>
      </c>
      <c r="AE63" s="54">
        <f>IF(AE2&gt;=Assumptions!$B$55,AD67*Assumptions!$B$129/12*Assumptions!$B$130*AE7,0)</f>
        <v/>
      </c>
    </row>
    <row r="64">
      <c r="A64" s="6" t="inlineStr">
        <is>
          <t xml:space="preserve">  Raw demand</t>
        </is>
      </c>
      <c r="B64" s="23" t="inlineStr">
        <is>
          <t>accounts</t>
        </is>
      </c>
      <c r="C64" s="54">
        <f>C62+C63+IF(C21=0,0,C20*Assumptions!$B$115/C21*IF(C2&gt;=Assumptions!$B$56,1,0))</f>
        <v/>
      </c>
      <c r="D64" s="54">
        <f>D62+D63+IF(D21=0,0,D20*Assumptions!$B$115/D21*IF(D2&gt;=Assumptions!$B$56,1,0))</f>
        <v/>
      </c>
      <c r="E64" s="54">
        <f>E62+E63+IF(E21=0,0,E20*Assumptions!$B$115/E21*IF(E2&gt;=Assumptions!$B$56,1,0))</f>
        <v/>
      </c>
      <c r="F64" s="54">
        <f>F62+F63+IF(F21=0,0,F20*Assumptions!$B$115/F21*IF(F2&gt;=Assumptions!$B$56,1,0))</f>
        <v/>
      </c>
      <c r="G64" s="54">
        <f>G62+G63+IF(G21=0,0,G20*Assumptions!$B$115/G21*IF(G2&gt;=Assumptions!$B$56,1,0))</f>
        <v/>
      </c>
      <c r="H64" s="54">
        <f>H62+H63+IF(H21=0,0,H20*Assumptions!$B$115/H21*IF(H2&gt;=Assumptions!$B$56,1,0))</f>
        <v/>
      </c>
      <c r="I64" s="54">
        <f>I62+I63+IF(I21=0,0,I20*Assumptions!$B$115/I21*IF(I2&gt;=Assumptions!$B$56,1,0))</f>
        <v/>
      </c>
      <c r="J64" s="54">
        <f>J62+J63+IF(J21=0,0,J20*Assumptions!$B$115/J21*IF(J2&gt;=Assumptions!$B$56,1,0))</f>
        <v/>
      </c>
      <c r="K64" s="54">
        <f>K62+K63+IF(K21=0,0,K20*Assumptions!$B$115/K21*IF(K2&gt;=Assumptions!$B$56,1,0))</f>
        <v/>
      </c>
      <c r="L64" s="54">
        <f>L62+L63+IF(L21=0,0,L20*Assumptions!$B$115/L21*IF(L2&gt;=Assumptions!$B$56,1,0))</f>
        <v/>
      </c>
      <c r="M64" s="54">
        <f>M62+M63+IF(M21=0,0,M20*Assumptions!$B$115/M21*IF(M2&gt;=Assumptions!$B$56,1,0))</f>
        <v/>
      </c>
      <c r="N64" s="54">
        <f>N62+N63+IF(N21=0,0,N20*Assumptions!$B$115/N21*IF(N2&gt;=Assumptions!$B$56,1,0))</f>
        <v/>
      </c>
      <c r="O64" s="54">
        <f>O62+O63+IF(O21=0,0,O20*Assumptions!$B$115/O21*IF(O2&gt;=Assumptions!$B$56,1,0))</f>
        <v/>
      </c>
      <c r="P64" s="54">
        <f>P62+P63+IF(P21=0,0,P20*Assumptions!$B$115/P21*IF(P2&gt;=Assumptions!$B$56,1,0))</f>
        <v/>
      </c>
      <c r="Q64" s="54">
        <f>Q62+Q63+IF(Q21=0,0,Q20*Assumptions!$B$115/Q21*IF(Q2&gt;=Assumptions!$B$56,1,0))</f>
        <v/>
      </c>
      <c r="R64" s="54">
        <f>R62+R63+IF(R21=0,0,R20*Assumptions!$B$115/R21*IF(R2&gt;=Assumptions!$B$56,1,0))</f>
        <v/>
      </c>
      <c r="S64" s="54">
        <f>S62+S63+IF(S21=0,0,S20*Assumptions!$B$115/S21*IF(S2&gt;=Assumptions!$B$56,1,0))</f>
        <v/>
      </c>
      <c r="T64" s="54">
        <f>T62+T63+IF(T21=0,0,T20*Assumptions!$B$115/T21*IF(T2&gt;=Assumptions!$B$56,1,0))</f>
        <v/>
      </c>
      <c r="U64" s="54">
        <f>U62+U63+IF(U21=0,0,U20*Assumptions!$B$115/U21*IF(U2&gt;=Assumptions!$B$56,1,0))</f>
        <v/>
      </c>
      <c r="V64" s="54">
        <f>V62+V63+IF(V21=0,0,V20*Assumptions!$B$115/V21*IF(V2&gt;=Assumptions!$B$56,1,0))</f>
        <v/>
      </c>
      <c r="W64" s="54">
        <f>W62+W63+IF(W21=0,0,W20*Assumptions!$B$115/W21*IF(W2&gt;=Assumptions!$B$56,1,0))</f>
        <v/>
      </c>
      <c r="X64" s="54">
        <f>X62+X63+IF(X21=0,0,X20*Assumptions!$B$115/X21*IF(X2&gt;=Assumptions!$B$56,1,0))</f>
        <v/>
      </c>
      <c r="Y64" s="54">
        <f>Y62+Y63+IF(Y21=0,0,Y20*Assumptions!$B$115/Y21*IF(Y2&gt;=Assumptions!$B$56,1,0))</f>
        <v/>
      </c>
      <c r="Z64" s="54">
        <f>Z62+Z63+IF(Z21=0,0,Z20*Assumptions!$B$115/Z21*IF(Z2&gt;=Assumptions!$B$56,1,0))</f>
        <v/>
      </c>
      <c r="AA64" s="54">
        <f>AA62+AA63+IF(AA21=0,0,AA20*Assumptions!$B$115/AA21*IF(AA2&gt;=Assumptions!$B$56,1,0))</f>
        <v/>
      </c>
      <c r="AB64" s="54">
        <f>AB62+AB63+IF(AB21=0,0,AB20*Assumptions!$B$115/AB21*IF(AB2&gt;=Assumptions!$B$56,1,0))</f>
        <v/>
      </c>
      <c r="AC64" s="54">
        <f>AC62+AC63+IF(AC21=0,0,AC20*Assumptions!$B$115/AC21*IF(AC2&gt;=Assumptions!$B$56,1,0))</f>
        <v/>
      </c>
      <c r="AD64" s="54">
        <f>AD62+AD63+IF(AD21=0,0,AD20*Assumptions!$B$115/AD21*IF(AD2&gt;=Assumptions!$B$56,1,0))</f>
        <v/>
      </c>
      <c r="AE64" s="54">
        <f>AE62+AE63+IF(AE21=0,0,AE20*Assumptions!$B$115/AE21*IF(AE2&gt;=Assumptions!$B$56,1,0))</f>
        <v/>
      </c>
    </row>
    <row r="65">
      <c r="A65" s="6" t="inlineStr">
        <is>
          <t xml:space="preserve">  Saturation (this region's own headroom)</t>
        </is>
      </c>
      <c r="B65" s="23" t="inlineStr">
        <is>
          <t>x</t>
        </is>
      </c>
      <c r="C65" s="51" t="n">
        <v>1</v>
      </c>
      <c r="D65" s="51">
        <f>MAX(0,1-C70/Assumptions!$B$85)</f>
        <v/>
      </c>
      <c r="E65" s="51">
        <f>MAX(0,1-D70/Assumptions!$B$85)</f>
        <v/>
      </c>
      <c r="F65" s="51">
        <f>MAX(0,1-E70/Assumptions!$B$85)</f>
        <v/>
      </c>
      <c r="G65" s="51">
        <f>MAX(0,1-F70/Assumptions!$B$85)</f>
        <v/>
      </c>
      <c r="H65" s="51">
        <f>MAX(0,1-G70/Assumptions!$B$85)</f>
        <v/>
      </c>
      <c r="I65" s="51">
        <f>MAX(0,1-H70/Assumptions!$B$85)</f>
        <v/>
      </c>
      <c r="J65" s="51">
        <f>MAX(0,1-I70/Assumptions!$B$85)</f>
        <v/>
      </c>
      <c r="K65" s="51">
        <f>MAX(0,1-J70/Assumptions!$B$85)</f>
        <v/>
      </c>
      <c r="L65" s="51">
        <f>MAX(0,1-K70/Assumptions!$B$85)</f>
        <v/>
      </c>
      <c r="M65" s="51">
        <f>MAX(0,1-L70/Assumptions!$B$85)</f>
        <v/>
      </c>
      <c r="N65" s="51">
        <f>MAX(0,1-M70/Assumptions!$B$85)</f>
        <v/>
      </c>
      <c r="O65" s="51">
        <f>MAX(0,1-N70/Assumptions!$B$85)</f>
        <v/>
      </c>
      <c r="P65" s="51">
        <f>MAX(0,1-O70/Assumptions!$B$85)</f>
        <v/>
      </c>
      <c r="Q65" s="51">
        <f>MAX(0,1-P70/Assumptions!$B$85)</f>
        <v/>
      </c>
      <c r="R65" s="51">
        <f>MAX(0,1-Q70/Assumptions!$B$85)</f>
        <v/>
      </c>
      <c r="S65" s="51">
        <f>MAX(0,1-R70/Assumptions!$B$85)</f>
        <v/>
      </c>
      <c r="T65" s="51">
        <f>MAX(0,1-S70/Assumptions!$B$85)</f>
        <v/>
      </c>
      <c r="U65" s="51">
        <f>MAX(0,1-T70/Assumptions!$B$85)</f>
        <v/>
      </c>
      <c r="V65" s="51">
        <f>MAX(0,1-U70/Assumptions!$B$85)</f>
        <v/>
      </c>
      <c r="W65" s="51">
        <f>MAX(0,1-V70/Assumptions!$B$85)</f>
        <v/>
      </c>
      <c r="X65" s="51">
        <f>MAX(0,1-W70/Assumptions!$B$85)</f>
        <v/>
      </c>
      <c r="Y65" s="51">
        <f>MAX(0,1-X70/Assumptions!$B$85)</f>
        <v/>
      </c>
      <c r="Z65" s="51">
        <f>MAX(0,1-Y70/Assumptions!$B$85)</f>
        <v/>
      </c>
      <c r="AA65" s="51">
        <f>MAX(0,1-Z70/Assumptions!$B$85)</f>
        <v/>
      </c>
      <c r="AB65" s="51">
        <f>MAX(0,1-AA70/Assumptions!$B$85)</f>
        <v/>
      </c>
      <c r="AC65" s="51">
        <f>MAX(0,1-AB70/Assumptions!$B$85)</f>
        <v/>
      </c>
      <c r="AD65" s="51">
        <f>MAX(0,1-AC70/Assumptions!$B$85)</f>
        <v/>
      </c>
      <c r="AE65" s="51">
        <f>MAX(0,1-AD70/Assumptions!$B$85)</f>
        <v/>
      </c>
    </row>
    <row r="66">
      <c r="A66" s="6" t="inlineStr">
        <is>
          <t xml:space="preserve">  New customers</t>
        </is>
      </c>
      <c r="B66" s="23" t="inlineStr">
        <is>
          <t>accounts</t>
        </is>
      </c>
      <c r="C66" s="54">
        <f>C64*C65*C15</f>
        <v/>
      </c>
      <c r="D66" s="54">
        <f>D64*D65*D15</f>
        <v/>
      </c>
      <c r="E66" s="54">
        <f>E64*E65*E15</f>
        <v/>
      </c>
      <c r="F66" s="54">
        <f>F64*F65*F15</f>
        <v/>
      </c>
      <c r="G66" s="54">
        <f>G64*G65*G15</f>
        <v/>
      </c>
      <c r="H66" s="54">
        <f>H64*H65*H15</f>
        <v/>
      </c>
      <c r="I66" s="54">
        <f>I64*I65*I15</f>
        <v/>
      </c>
      <c r="J66" s="54">
        <f>J64*J65*J15</f>
        <v/>
      </c>
      <c r="K66" s="54">
        <f>K64*K65*K15</f>
        <v/>
      </c>
      <c r="L66" s="54">
        <f>L64*L65*L15</f>
        <v/>
      </c>
      <c r="M66" s="54">
        <f>M64*M65*M15</f>
        <v/>
      </c>
      <c r="N66" s="54">
        <f>N64*N65*N15</f>
        <v/>
      </c>
      <c r="O66" s="54">
        <f>O64*O65*O15</f>
        <v/>
      </c>
      <c r="P66" s="54">
        <f>P64*P65*P15</f>
        <v/>
      </c>
      <c r="Q66" s="54">
        <f>Q64*Q65*Q15</f>
        <v/>
      </c>
      <c r="R66" s="54">
        <f>R64*R65*R15</f>
        <v/>
      </c>
      <c r="S66" s="54">
        <f>S64*S65*S15</f>
        <v/>
      </c>
      <c r="T66" s="54">
        <f>T64*T65*T15</f>
        <v/>
      </c>
      <c r="U66" s="54">
        <f>U64*U65*U15</f>
        <v/>
      </c>
      <c r="V66" s="54">
        <f>V64*V65*V15</f>
        <v/>
      </c>
      <c r="W66" s="54">
        <f>W64*W65*W15</f>
        <v/>
      </c>
      <c r="X66" s="54">
        <f>X64*X65*X15</f>
        <v/>
      </c>
      <c r="Y66" s="54">
        <f>Y64*Y65*Y15</f>
        <v/>
      </c>
      <c r="Z66" s="54">
        <f>Z64*Z65*Z15</f>
        <v/>
      </c>
      <c r="AA66" s="54">
        <f>AA64*AA65*AA15</f>
        <v/>
      </c>
      <c r="AB66" s="54">
        <f>AB64*AB65*AB15</f>
        <v/>
      </c>
      <c r="AC66" s="54">
        <f>AC64*AC65*AC15</f>
        <v/>
      </c>
      <c r="AD66" s="54">
        <f>AD64*AD65*AD15</f>
        <v/>
      </c>
      <c r="AE66" s="54">
        <f>AE64*AE65*AE15</f>
        <v/>
      </c>
    </row>
    <row r="67">
      <c r="A67" s="6" t="inlineStr">
        <is>
          <t xml:space="preserve">  Paying customers</t>
        </is>
      </c>
      <c r="B67" s="23" t="inlineStr">
        <is>
          <t>accounts</t>
        </is>
      </c>
      <c r="C67" s="28">
        <f>C66*(1-Assumptions!$B$121)^(C7/2)</f>
        <v/>
      </c>
      <c r="D67" s="28">
        <f>C67*(1-Assumptions!$B$121)^D7+D66*(1-Assumptions!$B$121)^(D7/2)</f>
        <v/>
      </c>
      <c r="E67" s="28">
        <f>D67*(1-Assumptions!$B$121)^E7+E66*(1-Assumptions!$B$121)^(E7/2)</f>
        <v/>
      </c>
      <c r="F67" s="28">
        <f>E67*(1-Assumptions!$B$121)^F7+F66*(1-Assumptions!$B$121)^(F7/2)</f>
        <v/>
      </c>
      <c r="G67" s="28">
        <f>F67*(1-Assumptions!$B$121)^G7+G66*(1-Assumptions!$B$121)^(G7/2)</f>
        <v/>
      </c>
      <c r="H67" s="28">
        <f>G67*(1-Assumptions!$B$121)^H7+H66*(1-Assumptions!$B$121)^(H7/2)</f>
        <v/>
      </c>
      <c r="I67" s="28">
        <f>H67*(1-Assumptions!$B$121)^I7+I66*(1-Assumptions!$B$121)^(I7/2)</f>
        <v/>
      </c>
      <c r="J67" s="28">
        <f>I67*(1-Assumptions!$B$121)^J7+J66*(1-Assumptions!$B$121)^(J7/2)</f>
        <v/>
      </c>
      <c r="K67" s="28">
        <f>J67*(1-Assumptions!$B$121)^K7+K66*(1-Assumptions!$B$121)^(K7/2)</f>
        <v/>
      </c>
      <c r="L67" s="28">
        <f>K67*(1-Assumptions!$B$121)^L7+L66*(1-Assumptions!$B$121)^(L7/2)</f>
        <v/>
      </c>
      <c r="M67" s="28">
        <f>L67*(1-Assumptions!$B$121)^M7+M66*(1-Assumptions!$B$121)^(M7/2)</f>
        <v/>
      </c>
      <c r="N67" s="28">
        <f>M67*(1-Assumptions!$B$121)^N7+N66*(1-Assumptions!$B$121)^(N7/2)</f>
        <v/>
      </c>
      <c r="O67" s="28">
        <f>N67*(1-Assumptions!$B$121)^O7+O66*(1-Assumptions!$B$121)^(O7/2)</f>
        <v/>
      </c>
      <c r="P67" s="28">
        <f>O67*(1-Assumptions!$B$121)^P7+P66*(1-Assumptions!$B$121)^(P7/2)</f>
        <v/>
      </c>
      <c r="Q67" s="28">
        <f>P67*(1-Assumptions!$B$121)^Q7+Q66*(1-Assumptions!$B$121)^(Q7/2)</f>
        <v/>
      </c>
      <c r="R67" s="28">
        <f>Q67*(1-Assumptions!$B$121)^R7+R66*(1-Assumptions!$B$121)^(R7/2)</f>
        <v/>
      </c>
      <c r="S67" s="28">
        <f>R67*(1-Assumptions!$B$121)^S7+S66*(1-Assumptions!$B$121)^(S7/2)</f>
        <v/>
      </c>
      <c r="T67" s="28">
        <f>S67*(1-Assumptions!$B$121)^T7+T66*(1-Assumptions!$B$121)^(T7/2)</f>
        <v/>
      </c>
      <c r="U67" s="28">
        <f>T67*(1-Assumptions!$B$121)^U7+U66*(1-Assumptions!$B$121)^(U7/2)</f>
        <v/>
      </c>
      <c r="V67" s="28">
        <f>U67*(1-Assumptions!$B$121)^V7+V66*(1-Assumptions!$B$121)^(V7/2)</f>
        <v/>
      </c>
      <c r="W67" s="28">
        <f>V67*(1-Assumptions!$B$121)^W7+W66*(1-Assumptions!$B$121)^(W7/2)</f>
        <v/>
      </c>
      <c r="X67" s="28">
        <f>W67*(1-Assumptions!$B$121)^X7+X66*(1-Assumptions!$B$121)^(X7/2)</f>
        <v/>
      </c>
      <c r="Y67" s="28">
        <f>X67*(1-Assumptions!$B$121)^Y7+Y66*(1-Assumptions!$B$121)^(Y7/2)</f>
        <v/>
      </c>
      <c r="Z67" s="28">
        <f>Y67*(1-Assumptions!$B$121)^Z7+Z66*(1-Assumptions!$B$121)^(Z7/2)</f>
        <v/>
      </c>
      <c r="AA67" s="28">
        <f>Z67*(1-Assumptions!$B$121)^AA7+AA66*(1-Assumptions!$B$121)^(AA7/2)</f>
        <v/>
      </c>
      <c r="AB67" s="28">
        <f>AA67*(1-Assumptions!$B$121)^AB7+AB66*(1-Assumptions!$B$121)^(AB7/2)</f>
        <v/>
      </c>
      <c r="AC67" s="28">
        <f>AB67*(1-Assumptions!$B$121)^AC7+AC66*(1-Assumptions!$B$121)^(AC7/2)</f>
        <v/>
      </c>
      <c r="AD67" s="28">
        <f>AC67*(1-Assumptions!$B$121)^AD7+AD66*(1-Assumptions!$B$121)^(AD7/2)</f>
        <v/>
      </c>
      <c r="AE67" s="28">
        <f>AD67*(1-Assumptions!$B$121)^AE7+AE66*(1-Assumptions!$B$121)^(AE7/2)</f>
        <v/>
      </c>
    </row>
    <row r="68">
      <c r="A68" s="6" t="inlineStr">
        <is>
          <t xml:space="preserve">  Churned this period</t>
        </is>
      </c>
      <c r="B68" s="23" t="inlineStr">
        <is>
          <t>accounts</t>
        </is>
      </c>
      <c r="C68" s="54">
        <f>C66-C67</f>
        <v/>
      </c>
      <c r="D68" s="54">
        <f>C67+D66-D67</f>
        <v/>
      </c>
      <c r="E68" s="54">
        <f>D67+E66-E67</f>
        <v/>
      </c>
      <c r="F68" s="54">
        <f>E67+F66-F67</f>
        <v/>
      </c>
      <c r="G68" s="54">
        <f>F67+G66-G67</f>
        <v/>
      </c>
      <c r="H68" s="54">
        <f>G67+H66-H67</f>
        <v/>
      </c>
      <c r="I68" s="54">
        <f>H67+I66-I67</f>
        <v/>
      </c>
      <c r="J68" s="54">
        <f>I67+J66-J67</f>
        <v/>
      </c>
      <c r="K68" s="54">
        <f>J67+K66-K67</f>
        <v/>
      </c>
      <c r="L68" s="54">
        <f>K67+L66-L67</f>
        <v/>
      </c>
      <c r="M68" s="54">
        <f>L67+M66-M67</f>
        <v/>
      </c>
      <c r="N68" s="54">
        <f>M67+N66-N67</f>
        <v/>
      </c>
      <c r="O68" s="54">
        <f>N67+O66-O67</f>
        <v/>
      </c>
      <c r="P68" s="54">
        <f>O67+P66-P67</f>
        <v/>
      </c>
      <c r="Q68" s="54">
        <f>P67+Q66-Q67</f>
        <v/>
      </c>
      <c r="R68" s="54">
        <f>Q67+R66-R67</f>
        <v/>
      </c>
      <c r="S68" s="54">
        <f>R67+S66-S67</f>
        <v/>
      </c>
      <c r="T68" s="54">
        <f>S67+T66-T67</f>
        <v/>
      </c>
      <c r="U68" s="54">
        <f>T67+U66-U67</f>
        <v/>
      </c>
      <c r="V68" s="54">
        <f>U67+V66-V67</f>
        <v/>
      </c>
      <c r="W68" s="54">
        <f>V67+W66-W67</f>
        <v/>
      </c>
      <c r="X68" s="54">
        <f>W67+X66-X67</f>
        <v/>
      </c>
      <c r="Y68" s="54">
        <f>X67+Y66-Y67</f>
        <v/>
      </c>
      <c r="Z68" s="54">
        <f>Y67+Z66-Z67</f>
        <v/>
      </c>
      <c r="AA68" s="54">
        <f>Z67+AA66-AA67</f>
        <v/>
      </c>
      <c r="AB68" s="54">
        <f>AA67+AB66-AB67</f>
        <v/>
      </c>
      <c r="AC68" s="54">
        <f>AB67+AC66-AC67</f>
        <v/>
      </c>
      <c r="AD68" s="54">
        <f>AC67+AD66-AD67</f>
        <v/>
      </c>
      <c r="AE68" s="54">
        <f>AD67+AE66-AE67</f>
        <v/>
      </c>
    </row>
    <row r="69">
      <c r="A69" s="6" t="inlineStr">
        <is>
          <t xml:space="preserve">  Holders (stopped paying, still hold gold)</t>
        </is>
      </c>
      <c r="B69" s="23" t="inlineStr">
        <is>
          <t>accounts</t>
        </is>
      </c>
      <c r="C69" s="45">
        <f>C68</f>
        <v/>
      </c>
      <c r="D69" s="45">
        <f>C69+D68</f>
        <v/>
      </c>
      <c r="E69" s="45">
        <f>D69+E68</f>
        <v/>
      </c>
      <c r="F69" s="45">
        <f>E69+F68</f>
        <v/>
      </c>
      <c r="G69" s="45">
        <f>F69+G68</f>
        <v/>
      </c>
      <c r="H69" s="45">
        <f>G69+H68</f>
        <v/>
      </c>
      <c r="I69" s="45">
        <f>H69+I68</f>
        <v/>
      </c>
      <c r="J69" s="45">
        <f>I69+J68</f>
        <v/>
      </c>
      <c r="K69" s="45">
        <f>J69+K68</f>
        <v/>
      </c>
      <c r="L69" s="45">
        <f>K69+L68</f>
        <v/>
      </c>
      <c r="M69" s="45">
        <f>L69+M68</f>
        <v/>
      </c>
      <c r="N69" s="45">
        <f>M69+N68</f>
        <v/>
      </c>
      <c r="O69" s="45">
        <f>N69+O68</f>
        <v/>
      </c>
      <c r="P69" s="45">
        <f>O69+P68</f>
        <v/>
      </c>
      <c r="Q69" s="45">
        <f>P69+Q68</f>
        <v/>
      </c>
      <c r="R69" s="45">
        <f>Q69+R68</f>
        <v/>
      </c>
      <c r="S69" s="45">
        <f>R69+S68</f>
        <v/>
      </c>
      <c r="T69" s="45">
        <f>S69+T68</f>
        <v/>
      </c>
      <c r="U69" s="45">
        <f>T69+U68</f>
        <v/>
      </c>
      <c r="V69" s="45">
        <f>U69+V68</f>
        <v/>
      </c>
      <c r="W69" s="45">
        <f>V69+W68</f>
        <v/>
      </c>
      <c r="X69" s="45">
        <f>W69+X68</f>
        <v/>
      </c>
      <c r="Y69" s="45">
        <f>X69+Y68</f>
        <v/>
      </c>
      <c r="Z69" s="45">
        <f>Y69+Z68</f>
        <v/>
      </c>
      <c r="AA69" s="45">
        <f>Z69+AA68</f>
        <v/>
      </c>
      <c r="AB69" s="45">
        <f>AA69+AB68</f>
        <v/>
      </c>
      <c r="AC69" s="45">
        <f>AB69+AC68</f>
        <v/>
      </c>
      <c r="AD69" s="45">
        <f>AC69+AD68</f>
        <v/>
      </c>
      <c r="AE69" s="45">
        <f>AD69+AE68</f>
        <v/>
      </c>
    </row>
    <row r="70">
      <c r="A70" s="6" t="inlineStr">
        <is>
          <t xml:space="preserve">  Cumulative ever acquired</t>
        </is>
      </c>
      <c r="B70" s="23" t="inlineStr">
        <is>
          <t>accounts</t>
        </is>
      </c>
      <c r="C70" s="45">
        <f>C66</f>
        <v/>
      </c>
      <c r="D70" s="45">
        <f>C70+D66</f>
        <v/>
      </c>
      <c r="E70" s="45">
        <f>D70+E66</f>
        <v/>
      </c>
      <c r="F70" s="45">
        <f>E70+F66</f>
        <v/>
      </c>
      <c r="G70" s="45">
        <f>F70+G66</f>
        <v/>
      </c>
      <c r="H70" s="45">
        <f>G70+H66</f>
        <v/>
      </c>
      <c r="I70" s="45">
        <f>H70+I66</f>
        <v/>
      </c>
      <c r="J70" s="45">
        <f>I70+J66</f>
        <v/>
      </c>
      <c r="K70" s="45">
        <f>J70+K66</f>
        <v/>
      </c>
      <c r="L70" s="45">
        <f>K70+L66</f>
        <v/>
      </c>
      <c r="M70" s="45">
        <f>L70+M66</f>
        <v/>
      </c>
      <c r="N70" s="45">
        <f>M70+N66</f>
        <v/>
      </c>
      <c r="O70" s="45">
        <f>N70+O66</f>
        <v/>
      </c>
      <c r="P70" s="45">
        <f>O70+P66</f>
        <v/>
      </c>
      <c r="Q70" s="45">
        <f>P70+Q66</f>
        <v/>
      </c>
      <c r="R70" s="45">
        <f>Q70+R66</f>
        <v/>
      </c>
      <c r="S70" s="45">
        <f>R70+S66</f>
        <v/>
      </c>
      <c r="T70" s="45">
        <f>S70+T66</f>
        <v/>
      </c>
      <c r="U70" s="45">
        <f>T70+U66</f>
        <v/>
      </c>
      <c r="V70" s="45">
        <f>U70+V66</f>
        <v/>
      </c>
      <c r="W70" s="45">
        <f>V70+W66</f>
        <v/>
      </c>
      <c r="X70" s="45">
        <f>W70+X66</f>
        <v/>
      </c>
      <c r="Y70" s="45">
        <f>X70+Y66</f>
        <v/>
      </c>
      <c r="Z70" s="45">
        <f>Y70+Z66</f>
        <v/>
      </c>
      <c r="AA70" s="45">
        <f>Z70+AA66</f>
        <v/>
      </c>
      <c r="AB70" s="45">
        <f>AA70+AB66</f>
        <v/>
      </c>
      <c r="AC70" s="45">
        <f>AB70+AC66</f>
        <v/>
      </c>
      <c r="AD70" s="45">
        <f>AC70+AD66</f>
        <v/>
      </c>
      <c r="AE70" s="45">
        <f>AD70+AE66</f>
        <v/>
      </c>
    </row>
    <row r="71">
      <c r="A71" s="6" t="inlineStr">
        <is>
          <t xml:space="preserve">  SIP contributions</t>
        </is>
      </c>
      <c r="B71" s="23" t="inlineStr">
        <is>
          <t>USD</t>
        </is>
      </c>
      <c r="C71" s="55">
        <f>IF(C2&gt;=Assumptions!$B$47,C67*Assumptions!$B$168*C7,0)</f>
        <v/>
      </c>
      <c r="D71" s="55">
        <f>IF(D2&gt;=Assumptions!$B$47,D67*Assumptions!$B$168*D7,0)</f>
        <v/>
      </c>
      <c r="E71" s="55">
        <f>IF(E2&gt;=Assumptions!$B$47,E67*Assumptions!$B$168*E7,0)</f>
        <v/>
      </c>
      <c r="F71" s="55">
        <f>IF(F2&gt;=Assumptions!$B$47,F67*Assumptions!$B$168*F7,0)</f>
        <v/>
      </c>
      <c r="G71" s="55">
        <f>IF(G2&gt;=Assumptions!$B$47,G67*Assumptions!$B$168*G7,0)</f>
        <v/>
      </c>
      <c r="H71" s="55">
        <f>IF(H2&gt;=Assumptions!$B$47,H67*Assumptions!$B$168*H7,0)</f>
        <v/>
      </c>
      <c r="I71" s="55">
        <f>IF(I2&gt;=Assumptions!$B$47,I67*Assumptions!$B$168*I7,0)</f>
        <v/>
      </c>
      <c r="J71" s="55">
        <f>IF(J2&gt;=Assumptions!$B$47,J67*Assumptions!$B$168*J7,0)</f>
        <v/>
      </c>
      <c r="K71" s="55">
        <f>IF(K2&gt;=Assumptions!$B$47,K67*Assumptions!$B$168*K7,0)</f>
        <v/>
      </c>
      <c r="L71" s="55">
        <f>IF(L2&gt;=Assumptions!$B$47,L67*Assumptions!$B$168*L7,0)</f>
        <v/>
      </c>
      <c r="M71" s="55">
        <f>IF(M2&gt;=Assumptions!$B$47,M67*Assumptions!$B$168*M7,0)</f>
        <v/>
      </c>
      <c r="N71" s="55">
        <f>IF(N2&gt;=Assumptions!$B$47,N67*Assumptions!$B$168*N7,0)</f>
        <v/>
      </c>
      <c r="O71" s="55">
        <f>IF(O2&gt;=Assumptions!$B$47,O67*Assumptions!$B$168*O7,0)</f>
        <v/>
      </c>
      <c r="P71" s="55">
        <f>IF(P2&gt;=Assumptions!$B$47,P67*Assumptions!$B$168*P7,0)</f>
        <v/>
      </c>
      <c r="Q71" s="55">
        <f>IF(Q2&gt;=Assumptions!$B$47,Q67*Assumptions!$B$168*Q7,0)</f>
        <v/>
      </c>
      <c r="R71" s="55">
        <f>IF(R2&gt;=Assumptions!$B$47,R67*Assumptions!$B$168*R7,0)</f>
        <v/>
      </c>
      <c r="S71" s="55">
        <f>IF(S2&gt;=Assumptions!$B$47,S67*Assumptions!$B$168*S7,0)</f>
        <v/>
      </c>
      <c r="T71" s="55">
        <f>IF(T2&gt;=Assumptions!$B$47,T67*Assumptions!$B$168*T7,0)</f>
        <v/>
      </c>
      <c r="U71" s="55">
        <f>IF(U2&gt;=Assumptions!$B$47,U67*Assumptions!$B$168*U7,0)</f>
        <v/>
      </c>
      <c r="V71" s="55">
        <f>IF(V2&gt;=Assumptions!$B$47,V67*Assumptions!$B$168*V7,0)</f>
        <v/>
      </c>
      <c r="W71" s="55">
        <f>IF(W2&gt;=Assumptions!$B$47,W67*Assumptions!$B$168*W7,0)</f>
        <v/>
      </c>
      <c r="X71" s="55">
        <f>IF(X2&gt;=Assumptions!$B$47,X67*Assumptions!$B$168*X7,0)</f>
        <v/>
      </c>
      <c r="Y71" s="55">
        <f>IF(Y2&gt;=Assumptions!$B$47,Y67*Assumptions!$B$168*Y7,0)</f>
        <v/>
      </c>
      <c r="Z71" s="55">
        <f>IF(Z2&gt;=Assumptions!$B$47,Z67*Assumptions!$B$168*Z7,0)</f>
        <v/>
      </c>
      <c r="AA71" s="55">
        <f>IF(AA2&gt;=Assumptions!$B$47,AA67*Assumptions!$B$168*AA7,0)</f>
        <v/>
      </c>
      <c r="AB71" s="55">
        <f>IF(AB2&gt;=Assumptions!$B$47,AB67*Assumptions!$B$168*AB7,0)</f>
        <v/>
      </c>
      <c r="AC71" s="55">
        <f>IF(AC2&gt;=Assumptions!$B$47,AC67*Assumptions!$B$168*AC7,0)</f>
        <v/>
      </c>
      <c r="AD71" s="55">
        <f>IF(AD2&gt;=Assumptions!$B$47,AD67*Assumptions!$B$168*AD7,0)</f>
        <v/>
      </c>
      <c r="AE71" s="55">
        <f>IF(AE2&gt;=Assumptions!$B$47,AE67*Assumptions!$B$168*AE7,0)</f>
        <v/>
      </c>
    </row>
    <row r="72">
      <c r="A72" s="6" t="inlineStr">
        <is>
          <t xml:space="preserve">  Spot purchase volume</t>
        </is>
      </c>
      <c r="B72" s="23" t="inlineStr">
        <is>
          <t>USD</t>
        </is>
      </c>
      <c r="C72" s="55">
        <f>IF(C2&gt;=Assumptions!$B$48,C67*Assumptions!$B$36*Assumptions!$B$138*Assumptions!$B$140*Assumptions!$B$33*Assumptions!$B$139/12*C7,0)</f>
        <v/>
      </c>
      <c r="D72" s="55">
        <f>IF(D2&gt;=Assumptions!$B$48,D67*Assumptions!$B$36*Assumptions!$B$138*Assumptions!$B$140*Assumptions!$B$33*Assumptions!$B$139/12*D7,0)</f>
        <v/>
      </c>
      <c r="E72" s="55">
        <f>IF(E2&gt;=Assumptions!$B$48,E67*Assumptions!$B$36*Assumptions!$B$138*Assumptions!$B$140*Assumptions!$B$33*Assumptions!$B$139/12*E7,0)</f>
        <v/>
      </c>
      <c r="F72" s="55">
        <f>IF(F2&gt;=Assumptions!$B$48,F67*Assumptions!$B$36*Assumptions!$B$138*Assumptions!$B$140*Assumptions!$B$33*Assumptions!$B$139/12*F7,0)</f>
        <v/>
      </c>
      <c r="G72" s="55">
        <f>IF(G2&gt;=Assumptions!$B$48,G67*Assumptions!$B$36*Assumptions!$B$138*Assumptions!$B$140*Assumptions!$B$33*Assumptions!$B$139/12*G7,0)</f>
        <v/>
      </c>
      <c r="H72" s="55">
        <f>IF(H2&gt;=Assumptions!$B$48,H67*Assumptions!$B$36*Assumptions!$B$138*Assumptions!$B$140*Assumptions!$B$33*Assumptions!$B$139/12*H7,0)</f>
        <v/>
      </c>
      <c r="I72" s="55">
        <f>IF(I2&gt;=Assumptions!$B$48,I67*Assumptions!$B$36*Assumptions!$B$138*Assumptions!$B$140*Assumptions!$B$33*Assumptions!$B$139/12*I7,0)</f>
        <v/>
      </c>
      <c r="J72" s="55">
        <f>IF(J2&gt;=Assumptions!$B$48,J67*Assumptions!$B$36*Assumptions!$B$138*Assumptions!$B$140*Assumptions!$B$33*Assumptions!$B$139/12*J7,0)</f>
        <v/>
      </c>
      <c r="K72" s="55">
        <f>IF(K2&gt;=Assumptions!$B$48,K67*Assumptions!$B$36*Assumptions!$B$138*Assumptions!$B$140*Assumptions!$B$33*Assumptions!$B$139/12*K7,0)</f>
        <v/>
      </c>
      <c r="L72" s="55">
        <f>IF(L2&gt;=Assumptions!$B$48,L67*Assumptions!$B$36*Assumptions!$B$138*Assumptions!$B$140*Assumptions!$B$33*Assumptions!$B$139/12*L7,0)</f>
        <v/>
      </c>
      <c r="M72" s="55">
        <f>IF(M2&gt;=Assumptions!$B$48,M67*Assumptions!$B$36*Assumptions!$B$138*Assumptions!$B$140*Assumptions!$B$33*Assumptions!$B$139/12*M7,0)</f>
        <v/>
      </c>
      <c r="N72" s="55">
        <f>IF(N2&gt;=Assumptions!$B$48,N67*Assumptions!$B$36*Assumptions!$B$138*Assumptions!$B$140*Assumptions!$B$33*Assumptions!$B$139/12*N7,0)</f>
        <v/>
      </c>
      <c r="O72" s="55">
        <f>IF(O2&gt;=Assumptions!$B$48,O67*Assumptions!$B$36*Assumptions!$B$138*Assumptions!$B$140*Assumptions!$B$33*Assumptions!$B$139/12*O7,0)</f>
        <v/>
      </c>
      <c r="P72" s="55">
        <f>IF(P2&gt;=Assumptions!$B$48,P67*Assumptions!$B$36*Assumptions!$B$138*Assumptions!$B$140*Assumptions!$B$33*Assumptions!$B$139/12*P7,0)</f>
        <v/>
      </c>
      <c r="Q72" s="55">
        <f>IF(Q2&gt;=Assumptions!$B$48,Q67*Assumptions!$B$36*Assumptions!$B$138*Assumptions!$B$140*Assumptions!$B$33*Assumptions!$B$139/12*Q7,0)</f>
        <v/>
      </c>
      <c r="R72" s="55">
        <f>IF(R2&gt;=Assumptions!$B$48,R67*Assumptions!$B$36*Assumptions!$B$138*Assumptions!$B$140*Assumptions!$B$33*Assumptions!$B$139/12*R7,0)</f>
        <v/>
      </c>
      <c r="S72" s="55">
        <f>IF(S2&gt;=Assumptions!$B$48,S67*Assumptions!$B$36*Assumptions!$B$138*Assumptions!$B$140*Assumptions!$B$33*Assumptions!$B$139/12*S7,0)</f>
        <v/>
      </c>
      <c r="T72" s="55">
        <f>IF(T2&gt;=Assumptions!$B$48,T67*Assumptions!$B$36*Assumptions!$B$138*Assumptions!$B$140*Assumptions!$B$33*Assumptions!$B$139/12*T7,0)</f>
        <v/>
      </c>
      <c r="U72" s="55">
        <f>IF(U2&gt;=Assumptions!$B$48,U67*Assumptions!$B$36*Assumptions!$B$138*Assumptions!$B$140*Assumptions!$B$33*Assumptions!$B$139/12*U7,0)</f>
        <v/>
      </c>
      <c r="V72" s="55">
        <f>IF(V2&gt;=Assumptions!$B$48,V67*Assumptions!$B$36*Assumptions!$B$138*Assumptions!$B$140*Assumptions!$B$33*Assumptions!$B$139/12*V7,0)</f>
        <v/>
      </c>
      <c r="W72" s="55">
        <f>IF(W2&gt;=Assumptions!$B$48,W67*Assumptions!$B$36*Assumptions!$B$138*Assumptions!$B$140*Assumptions!$B$33*Assumptions!$B$139/12*W7,0)</f>
        <v/>
      </c>
      <c r="X72" s="55">
        <f>IF(X2&gt;=Assumptions!$B$48,X67*Assumptions!$B$36*Assumptions!$B$138*Assumptions!$B$140*Assumptions!$B$33*Assumptions!$B$139/12*X7,0)</f>
        <v/>
      </c>
      <c r="Y72" s="55">
        <f>IF(Y2&gt;=Assumptions!$B$48,Y67*Assumptions!$B$36*Assumptions!$B$138*Assumptions!$B$140*Assumptions!$B$33*Assumptions!$B$139/12*Y7,0)</f>
        <v/>
      </c>
      <c r="Z72" s="55">
        <f>IF(Z2&gt;=Assumptions!$B$48,Z67*Assumptions!$B$36*Assumptions!$B$138*Assumptions!$B$140*Assumptions!$B$33*Assumptions!$B$139/12*Z7,0)</f>
        <v/>
      </c>
      <c r="AA72" s="55">
        <f>IF(AA2&gt;=Assumptions!$B$48,AA67*Assumptions!$B$36*Assumptions!$B$138*Assumptions!$B$140*Assumptions!$B$33*Assumptions!$B$139/12*AA7,0)</f>
        <v/>
      </c>
      <c r="AB72" s="55">
        <f>IF(AB2&gt;=Assumptions!$B$48,AB67*Assumptions!$B$36*Assumptions!$B$138*Assumptions!$B$140*Assumptions!$B$33*Assumptions!$B$139/12*AB7,0)</f>
        <v/>
      </c>
      <c r="AC72" s="55">
        <f>IF(AC2&gt;=Assumptions!$B$48,AC67*Assumptions!$B$36*Assumptions!$B$138*Assumptions!$B$140*Assumptions!$B$33*Assumptions!$B$139/12*AC7,0)</f>
        <v/>
      </c>
      <c r="AD72" s="55">
        <f>IF(AD2&gt;=Assumptions!$B$48,AD67*Assumptions!$B$36*Assumptions!$B$138*Assumptions!$B$140*Assumptions!$B$33*Assumptions!$B$139/12*AD7,0)</f>
        <v/>
      </c>
      <c r="AE72" s="55">
        <f>IF(AE2&gt;=Assumptions!$B$48,AE67*Assumptions!$B$36*Assumptions!$B$138*Assumptions!$B$140*Assumptions!$B$33*Assumptions!$B$139/12*AE7,0)</f>
        <v/>
      </c>
    </row>
    <row r="73">
      <c r="A73" s="6" t="inlineStr">
        <is>
          <t xml:space="preserve">  Grams purchased</t>
        </is>
      </c>
      <c r="B73" s="23" t="inlineStr">
        <is>
          <t>grams</t>
        </is>
      </c>
      <c r="C73" s="54">
        <f>(C71+C72)*(1-Assumptions!$B$8)/Assumptions!$B$6/(1+Assumptions!$B$9)</f>
        <v/>
      </c>
      <c r="D73" s="54">
        <f>(D71+D72)*(1-Assumptions!$B$8)/Assumptions!$B$6/(1+Assumptions!$B$9)</f>
        <v/>
      </c>
      <c r="E73" s="54">
        <f>(E71+E72)*(1-Assumptions!$B$8)/Assumptions!$B$6/(1+Assumptions!$B$9)</f>
        <v/>
      </c>
      <c r="F73" s="54">
        <f>(F71+F72)*(1-Assumptions!$B$8)/Assumptions!$B$6/(1+Assumptions!$B$9)</f>
        <v/>
      </c>
      <c r="G73" s="54">
        <f>(G71+G72)*(1-Assumptions!$B$8)/Assumptions!$B$6/(1+Assumptions!$B$9)</f>
        <v/>
      </c>
      <c r="H73" s="54">
        <f>(H71+H72)*(1-Assumptions!$B$8)/Assumptions!$B$6/(1+Assumptions!$B$9)</f>
        <v/>
      </c>
      <c r="I73" s="54">
        <f>(I71+I72)*(1-Assumptions!$B$8)/Assumptions!$B$6/(1+Assumptions!$B$9)</f>
        <v/>
      </c>
      <c r="J73" s="54">
        <f>(J71+J72)*(1-Assumptions!$B$8)/Assumptions!$B$6/(1+Assumptions!$B$9)</f>
        <v/>
      </c>
      <c r="K73" s="54">
        <f>(K71+K72)*(1-Assumptions!$B$8)/Assumptions!$B$6/(1+Assumptions!$B$9)</f>
        <v/>
      </c>
      <c r="L73" s="54">
        <f>(L71+L72)*(1-Assumptions!$B$8)/Assumptions!$B$6/(1+Assumptions!$B$9)</f>
        <v/>
      </c>
      <c r="M73" s="54">
        <f>(M71+M72)*(1-Assumptions!$B$8)/Assumptions!$B$6/(1+Assumptions!$B$9)</f>
        <v/>
      </c>
      <c r="N73" s="54">
        <f>(N71+N72)*(1-Assumptions!$B$8)/Assumptions!$B$6/(1+Assumptions!$B$9)</f>
        <v/>
      </c>
      <c r="O73" s="54">
        <f>(O71+O72)*(1-Assumptions!$B$8)/Assumptions!$B$6/(1+Assumptions!$B$9)</f>
        <v/>
      </c>
      <c r="P73" s="54">
        <f>(P71+P72)*(1-Assumptions!$B$8)/Assumptions!$B$6/(1+Assumptions!$B$9)</f>
        <v/>
      </c>
      <c r="Q73" s="54">
        <f>(Q71+Q72)*(1-Assumptions!$B$8)/Assumptions!$B$6/(1+Assumptions!$B$9)</f>
        <v/>
      </c>
      <c r="R73" s="54">
        <f>(R71+R72)*(1-Assumptions!$B$8)/Assumptions!$B$6/(1+Assumptions!$B$9)</f>
        <v/>
      </c>
      <c r="S73" s="54">
        <f>(S71+S72)*(1-Assumptions!$B$8)/Assumptions!$B$6/(1+Assumptions!$B$9)</f>
        <v/>
      </c>
      <c r="T73" s="54">
        <f>(T71+T72)*(1-Assumptions!$B$8)/Assumptions!$B$6/(1+Assumptions!$B$9)</f>
        <v/>
      </c>
      <c r="U73" s="54">
        <f>(U71+U72)*(1-Assumptions!$B$8)/Assumptions!$B$6/(1+Assumptions!$B$9)</f>
        <v/>
      </c>
      <c r="V73" s="54">
        <f>(V71+V72)*(1-Assumptions!$B$8)/Assumptions!$B$6/(1+Assumptions!$B$9)</f>
        <v/>
      </c>
      <c r="W73" s="54">
        <f>(W71+W72)*(1-Assumptions!$B$8)/Assumptions!$B$6/(1+Assumptions!$B$9)</f>
        <v/>
      </c>
      <c r="X73" s="54">
        <f>(X71+X72)*(1-Assumptions!$B$8)/Assumptions!$B$6/(1+Assumptions!$B$9)</f>
        <v/>
      </c>
      <c r="Y73" s="54">
        <f>(Y71+Y72)*(1-Assumptions!$B$8)/Assumptions!$B$6/(1+Assumptions!$B$9)</f>
        <v/>
      </c>
      <c r="Z73" s="54">
        <f>(Z71+Z72)*(1-Assumptions!$B$8)/Assumptions!$B$6/(1+Assumptions!$B$9)</f>
        <v/>
      </c>
      <c r="AA73" s="54">
        <f>(AA71+AA72)*(1-Assumptions!$B$8)/Assumptions!$B$6/(1+Assumptions!$B$9)</f>
        <v/>
      </c>
      <c r="AB73" s="54">
        <f>(AB71+AB72)*(1-Assumptions!$B$8)/Assumptions!$B$6/(1+Assumptions!$B$9)</f>
        <v/>
      </c>
      <c r="AC73" s="54">
        <f>(AC71+AC72)*(1-Assumptions!$B$8)/Assumptions!$B$6/(1+Assumptions!$B$9)</f>
        <v/>
      </c>
      <c r="AD73" s="54">
        <f>(AD71+AD72)*(1-Assumptions!$B$8)/Assumptions!$B$6/(1+Assumptions!$B$9)</f>
        <v/>
      </c>
      <c r="AE73" s="54">
        <f>(AE71+AE72)*(1-Assumptions!$B$8)/Assumptions!$B$6/(1+Assumptions!$B$9)</f>
        <v/>
      </c>
    </row>
    <row r="74">
      <c r="A74" s="6" t="inlineStr">
        <is>
          <t xml:space="preserve">  Collateral-eligible AUM decay rate (holder-weighted)</t>
        </is>
      </c>
      <c r="B74" s="23" t="inlineStr">
        <is>
          <t>%/period</t>
        </is>
      </c>
      <c r="C74" s="56">
        <f>(Assumptions!$B$135+Assumptions!$B$136*IF(C67+C69=0,1,(C67+C69*Assumptions!$B$137)/(C67+C69)))*C7/12</f>
        <v/>
      </c>
      <c r="D74" s="56">
        <f>(Assumptions!$B$135+Assumptions!$B$136*IF(D67+D69=0,1,(D67+D69*Assumptions!$B$137)/(D67+D69)))*D7/12</f>
        <v/>
      </c>
      <c r="E74" s="56">
        <f>(Assumptions!$B$135+Assumptions!$B$136*IF(E67+E69=0,1,(E67+E69*Assumptions!$B$137)/(E67+E69)))*E7/12</f>
        <v/>
      </c>
      <c r="F74" s="56">
        <f>(Assumptions!$B$135+Assumptions!$B$136*IF(F67+F69=0,1,(F67+F69*Assumptions!$B$137)/(F67+F69)))*F7/12</f>
        <v/>
      </c>
      <c r="G74" s="56">
        <f>(Assumptions!$B$135+Assumptions!$B$136*IF(G67+G69=0,1,(G67+G69*Assumptions!$B$137)/(G67+G69)))*G7/12</f>
        <v/>
      </c>
      <c r="H74" s="56">
        <f>(Assumptions!$B$135+Assumptions!$B$136*IF(H67+H69=0,1,(H67+H69*Assumptions!$B$137)/(H67+H69)))*H7/12</f>
        <v/>
      </c>
      <c r="I74" s="56">
        <f>(Assumptions!$B$135+Assumptions!$B$136*IF(I67+I69=0,1,(I67+I69*Assumptions!$B$137)/(I67+I69)))*I7/12</f>
        <v/>
      </c>
      <c r="J74" s="56">
        <f>(Assumptions!$B$135+Assumptions!$B$136*IF(J67+J69=0,1,(J67+J69*Assumptions!$B$137)/(J67+J69)))*J7/12</f>
        <v/>
      </c>
      <c r="K74" s="56">
        <f>(Assumptions!$B$135+Assumptions!$B$136*IF(K67+K69=0,1,(K67+K69*Assumptions!$B$137)/(K67+K69)))*K7/12</f>
        <v/>
      </c>
      <c r="L74" s="56">
        <f>(Assumptions!$B$135+Assumptions!$B$136*IF(L67+L69=0,1,(L67+L69*Assumptions!$B$137)/(L67+L69)))*L7/12</f>
        <v/>
      </c>
      <c r="M74" s="56">
        <f>(Assumptions!$B$135+Assumptions!$B$136*IF(M67+M69=0,1,(M67+M69*Assumptions!$B$137)/(M67+M69)))*M7/12</f>
        <v/>
      </c>
      <c r="N74" s="56">
        <f>(Assumptions!$B$135+Assumptions!$B$136*IF(N67+N69=0,1,(N67+N69*Assumptions!$B$137)/(N67+N69)))*N7/12</f>
        <v/>
      </c>
      <c r="O74" s="56">
        <f>(Assumptions!$B$135+Assumptions!$B$136*IF(O67+O69=0,1,(O67+O69*Assumptions!$B$137)/(O67+O69)))*O7/12</f>
        <v/>
      </c>
      <c r="P74" s="56">
        <f>(Assumptions!$B$135+Assumptions!$B$136*IF(P67+P69=0,1,(P67+P69*Assumptions!$B$137)/(P67+P69)))*P7/12</f>
        <v/>
      </c>
      <c r="Q74" s="56">
        <f>(Assumptions!$B$135+Assumptions!$B$136*IF(Q67+Q69=0,1,(Q67+Q69*Assumptions!$B$137)/(Q67+Q69)))*Q7/12</f>
        <v/>
      </c>
      <c r="R74" s="56">
        <f>(Assumptions!$B$135+Assumptions!$B$136*IF(R67+R69=0,1,(R67+R69*Assumptions!$B$137)/(R67+R69)))*R7/12</f>
        <v/>
      </c>
      <c r="S74" s="56">
        <f>(Assumptions!$B$135+Assumptions!$B$136*IF(S67+S69=0,1,(S67+S69*Assumptions!$B$137)/(S67+S69)))*S7/12</f>
        <v/>
      </c>
      <c r="T74" s="56">
        <f>(Assumptions!$B$135+Assumptions!$B$136*IF(T67+T69=0,1,(T67+T69*Assumptions!$B$137)/(T67+T69)))*T7/12</f>
        <v/>
      </c>
      <c r="U74" s="56">
        <f>(Assumptions!$B$135+Assumptions!$B$136*IF(U67+U69=0,1,(U67+U69*Assumptions!$B$137)/(U67+U69)))*U7/12</f>
        <v/>
      </c>
      <c r="V74" s="56">
        <f>(Assumptions!$B$135+Assumptions!$B$136*IF(V67+V69=0,1,(V67+V69*Assumptions!$B$137)/(V67+V69)))*V7/12</f>
        <v/>
      </c>
      <c r="W74" s="56">
        <f>(Assumptions!$B$135+Assumptions!$B$136*IF(W67+W69=0,1,(W67+W69*Assumptions!$B$137)/(W67+W69)))*W7/12</f>
        <v/>
      </c>
      <c r="X74" s="56">
        <f>(Assumptions!$B$135+Assumptions!$B$136*IF(X67+X69=0,1,(X67+X69*Assumptions!$B$137)/(X67+X69)))*X7/12</f>
        <v/>
      </c>
      <c r="Y74" s="56">
        <f>(Assumptions!$B$135+Assumptions!$B$136*IF(Y67+Y69=0,1,(Y67+Y69*Assumptions!$B$137)/(Y67+Y69)))*Y7/12</f>
        <v/>
      </c>
      <c r="Z74" s="56">
        <f>(Assumptions!$B$135+Assumptions!$B$136*IF(Z67+Z69=0,1,(Z67+Z69*Assumptions!$B$137)/(Z67+Z69)))*Z7/12</f>
        <v/>
      </c>
      <c r="AA74" s="56">
        <f>(Assumptions!$B$135+Assumptions!$B$136*IF(AA67+AA69=0,1,(AA67+AA69*Assumptions!$B$137)/(AA67+AA69)))*AA7/12</f>
        <v/>
      </c>
      <c r="AB74" s="56">
        <f>(Assumptions!$B$135+Assumptions!$B$136*IF(AB67+AB69=0,1,(AB67+AB69*Assumptions!$B$137)/(AB67+AB69)))*AB7/12</f>
        <v/>
      </c>
      <c r="AC74" s="56">
        <f>(Assumptions!$B$135+Assumptions!$B$136*IF(AC67+AC69=0,1,(AC67+AC69*Assumptions!$B$137)/(AC67+AC69)))*AC7/12</f>
        <v/>
      </c>
      <c r="AD74" s="56">
        <f>(Assumptions!$B$135+Assumptions!$B$136*IF(AD67+AD69=0,1,(AD67+AD69*Assumptions!$B$137)/(AD67+AD69)))*AD7/12</f>
        <v/>
      </c>
      <c r="AE74" s="56">
        <f>(Assumptions!$B$135+Assumptions!$B$136*IF(AE67+AE69=0,1,(AE67+AE69*Assumptions!$B$137)/(AE67+AE69)))*AE7/12</f>
        <v/>
      </c>
    </row>
    <row r="75">
      <c r="A75" s="6" t="inlineStr">
        <is>
          <t xml:space="preserve">  Redemption-only decay rate (metal actually leaving)</t>
        </is>
      </c>
      <c r="B75" s="23" t="inlineStr">
        <is>
          <t>%/period</t>
        </is>
      </c>
      <c r="C75" s="56">
        <f>Assumptions!$B$136*IF(C67+C69=0,1,(C67+C69*Assumptions!$B$137)/(C67+C69))*C7/12</f>
        <v/>
      </c>
      <c r="D75" s="56">
        <f>Assumptions!$B$136*IF(D67+D69=0,1,(D67+D69*Assumptions!$B$137)/(D67+D69))*D7/12</f>
        <v/>
      </c>
      <c r="E75" s="56">
        <f>Assumptions!$B$136*IF(E67+E69=0,1,(E67+E69*Assumptions!$B$137)/(E67+E69))*E7/12</f>
        <v/>
      </c>
      <c r="F75" s="56">
        <f>Assumptions!$B$136*IF(F67+F69=0,1,(F67+F69*Assumptions!$B$137)/(F67+F69))*F7/12</f>
        <v/>
      </c>
      <c r="G75" s="56">
        <f>Assumptions!$B$136*IF(G67+G69=0,1,(G67+G69*Assumptions!$B$137)/(G67+G69))*G7/12</f>
        <v/>
      </c>
      <c r="H75" s="56">
        <f>Assumptions!$B$136*IF(H67+H69=0,1,(H67+H69*Assumptions!$B$137)/(H67+H69))*H7/12</f>
        <v/>
      </c>
      <c r="I75" s="56">
        <f>Assumptions!$B$136*IF(I67+I69=0,1,(I67+I69*Assumptions!$B$137)/(I67+I69))*I7/12</f>
        <v/>
      </c>
      <c r="J75" s="56">
        <f>Assumptions!$B$136*IF(J67+J69=0,1,(J67+J69*Assumptions!$B$137)/(J67+J69))*J7/12</f>
        <v/>
      </c>
      <c r="K75" s="56">
        <f>Assumptions!$B$136*IF(K67+K69=0,1,(K67+K69*Assumptions!$B$137)/(K67+K69))*K7/12</f>
        <v/>
      </c>
      <c r="L75" s="56">
        <f>Assumptions!$B$136*IF(L67+L69=0,1,(L67+L69*Assumptions!$B$137)/(L67+L69))*L7/12</f>
        <v/>
      </c>
      <c r="M75" s="56">
        <f>Assumptions!$B$136*IF(M67+M69=0,1,(M67+M69*Assumptions!$B$137)/(M67+M69))*M7/12</f>
        <v/>
      </c>
      <c r="N75" s="56">
        <f>Assumptions!$B$136*IF(N67+N69=0,1,(N67+N69*Assumptions!$B$137)/(N67+N69))*N7/12</f>
        <v/>
      </c>
      <c r="O75" s="56">
        <f>Assumptions!$B$136*IF(O67+O69=0,1,(O67+O69*Assumptions!$B$137)/(O67+O69))*O7/12</f>
        <v/>
      </c>
      <c r="P75" s="56">
        <f>Assumptions!$B$136*IF(P67+P69=0,1,(P67+P69*Assumptions!$B$137)/(P67+P69))*P7/12</f>
        <v/>
      </c>
      <c r="Q75" s="56">
        <f>Assumptions!$B$136*IF(Q67+Q69=0,1,(Q67+Q69*Assumptions!$B$137)/(Q67+Q69))*Q7/12</f>
        <v/>
      </c>
      <c r="R75" s="56">
        <f>Assumptions!$B$136*IF(R67+R69=0,1,(R67+R69*Assumptions!$B$137)/(R67+R69))*R7/12</f>
        <v/>
      </c>
      <c r="S75" s="56">
        <f>Assumptions!$B$136*IF(S67+S69=0,1,(S67+S69*Assumptions!$B$137)/(S67+S69))*S7/12</f>
        <v/>
      </c>
      <c r="T75" s="56">
        <f>Assumptions!$B$136*IF(T67+T69=0,1,(T67+T69*Assumptions!$B$137)/(T67+T69))*T7/12</f>
        <v/>
      </c>
      <c r="U75" s="56">
        <f>Assumptions!$B$136*IF(U67+U69=0,1,(U67+U69*Assumptions!$B$137)/(U67+U69))*U7/12</f>
        <v/>
      </c>
      <c r="V75" s="56">
        <f>Assumptions!$B$136*IF(V67+V69=0,1,(V67+V69*Assumptions!$B$137)/(V67+V69))*V7/12</f>
        <v/>
      </c>
      <c r="W75" s="56">
        <f>Assumptions!$B$136*IF(W67+W69=0,1,(W67+W69*Assumptions!$B$137)/(W67+W69))*W7/12</f>
        <v/>
      </c>
      <c r="X75" s="56">
        <f>Assumptions!$B$136*IF(X67+X69=0,1,(X67+X69*Assumptions!$B$137)/(X67+X69))*X7/12</f>
        <v/>
      </c>
      <c r="Y75" s="56">
        <f>Assumptions!$B$136*IF(Y67+Y69=0,1,(Y67+Y69*Assumptions!$B$137)/(Y67+Y69))*Y7/12</f>
        <v/>
      </c>
      <c r="Z75" s="56">
        <f>Assumptions!$B$136*IF(Z67+Z69=0,1,(Z67+Z69*Assumptions!$B$137)/(Z67+Z69))*Z7/12</f>
        <v/>
      </c>
      <c r="AA75" s="56">
        <f>Assumptions!$B$136*IF(AA67+AA69=0,1,(AA67+AA69*Assumptions!$B$137)/(AA67+AA69))*AA7/12</f>
        <v/>
      </c>
      <c r="AB75" s="56">
        <f>Assumptions!$B$136*IF(AB67+AB69=0,1,(AB67+AB69*Assumptions!$B$137)/(AB67+AB69))*AB7/12</f>
        <v/>
      </c>
      <c r="AC75" s="56">
        <f>Assumptions!$B$136*IF(AC67+AC69=0,1,(AC67+AC69*Assumptions!$B$137)/(AC67+AC69))*AC7/12</f>
        <v/>
      </c>
      <c r="AD75" s="56">
        <f>Assumptions!$B$136*IF(AD67+AD69=0,1,(AD67+AD69*Assumptions!$B$137)/(AD67+AD69))*AD7/12</f>
        <v/>
      </c>
      <c r="AE75" s="56">
        <f>Assumptions!$B$136*IF(AE67+AE69=0,1,(AE67+AE69*Assumptions!$B$137)/(AE67+AE69))*AE7/12</f>
        <v/>
      </c>
    </row>
    <row r="76">
      <c r="A76" s="6" t="inlineStr">
        <is>
          <t xml:space="preserve">  Grams held (collateral-eligible)</t>
        </is>
      </c>
      <c r="B76" s="23" t="inlineStr">
        <is>
          <t>grams</t>
        </is>
      </c>
      <c r="C76" s="45">
        <f>C73</f>
        <v/>
      </c>
      <c r="D76" s="45">
        <f>C76*(1-D74)+D73</f>
        <v/>
      </c>
      <c r="E76" s="45">
        <f>D76*(1-E74)+E73</f>
        <v/>
      </c>
      <c r="F76" s="45">
        <f>E76*(1-F74)+F73</f>
        <v/>
      </c>
      <c r="G76" s="45">
        <f>F76*(1-G74)+G73</f>
        <v/>
      </c>
      <c r="H76" s="45">
        <f>G76*(1-H74)+H73</f>
        <v/>
      </c>
      <c r="I76" s="45">
        <f>H76*(1-I74)+I73</f>
        <v/>
      </c>
      <c r="J76" s="45">
        <f>I76*(1-J74)+J73</f>
        <v/>
      </c>
      <c r="K76" s="45">
        <f>J76*(1-K74)+K73</f>
        <v/>
      </c>
      <c r="L76" s="45">
        <f>K76*(1-L74)+L73</f>
        <v/>
      </c>
      <c r="M76" s="45">
        <f>L76*(1-M74)+M73</f>
        <v/>
      </c>
      <c r="N76" s="45">
        <f>M76*(1-N74)+N73</f>
        <v/>
      </c>
      <c r="O76" s="45">
        <f>N76*(1-O74)+O73</f>
        <v/>
      </c>
      <c r="P76" s="45">
        <f>O76*(1-P74)+P73</f>
        <v/>
      </c>
      <c r="Q76" s="45">
        <f>P76*(1-Q74)+Q73</f>
        <v/>
      </c>
      <c r="R76" s="45">
        <f>Q76*(1-R74)+R73</f>
        <v/>
      </c>
      <c r="S76" s="45">
        <f>R76*(1-S74)+S73</f>
        <v/>
      </c>
      <c r="T76" s="45">
        <f>S76*(1-T74)+T73</f>
        <v/>
      </c>
      <c r="U76" s="45">
        <f>T76*(1-U74)+U73</f>
        <v/>
      </c>
      <c r="V76" s="45">
        <f>U76*(1-V74)+V73</f>
        <v/>
      </c>
      <c r="W76" s="45">
        <f>V76*(1-W74)+W73</f>
        <v/>
      </c>
      <c r="X76" s="45">
        <f>W76*(1-X74)+X73</f>
        <v/>
      </c>
      <c r="Y76" s="45">
        <f>X76*(1-Y74)+Y73</f>
        <v/>
      </c>
      <c r="Z76" s="45">
        <f>Y76*(1-Z74)+Z73</f>
        <v/>
      </c>
      <c r="AA76" s="45">
        <f>Z76*(1-AA74)+AA73</f>
        <v/>
      </c>
      <c r="AB76" s="45">
        <f>AA76*(1-AB74)+AB73</f>
        <v/>
      </c>
      <c r="AC76" s="45">
        <f>AB76*(1-AC74)+AC73</f>
        <v/>
      </c>
      <c r="AD76" s="45">
        <f>AC76*(1-AD74)+AD73</f>
        <v/>
      </c>
      <c r="AE76" s="45">
        <f>AD76*(1-AE74)+AE73</f>
        <v/>
      </c>
    </row>
    <row r="77">
      <c r="A77" s="6" t="inlineStr">
        <is>
          <t xml:space="preserve">  Grams under custody (vaulted, incl. self-custodied)</t>
        </is>
      </c>
      <c r="B77" s="23" t="inlineStr">
        <is>
          <t>grams</t>
        </is>
      </c>
      <c r="C77" s="45">
        <f>C73</f>
        <v/>
      </c>
      <c r="D77" s="45">
        <f>C77*(1-D75)+D73</f>
        <v/>
      </c>
      <c r="E77" s="45">
        <f>D77*(1-E75)+E73</f>
        <v/>
      </c>
      <c r="F77" s="45">
        <f>E77*(1-F75)+F73</f>
        <v/>
      </c>
      <c r="G77" s="45">
        <f>F77*(1-G75)+G73</f>
        <v/>
      </c>
      <c r="H77" s="45">
        <f>G77*(1-H75)+H73</f>
        <v/>
      </c>
      <c r="I77" s="45">
        <f>H77*(1-I75)+I73</f>
        <v/>
      </c>
      <c r="J77" s="45">
        <f>I77*(1-J75)+J73</f>
        <v/>
      </c>
      <c r="K77" s="45">
        <f>J77*(1-K75)+K73</f>
        <v/>
      </c>
      <c r="L77" s="45">
        <f>K77*(1-L75)+L73</f>
        <v/>
      </c>
      <c r="M77" s="45">
        <f>L77*(1-M75)+M73</f>
        <v/>
      </c>
      <c r="N77" s="45">
        <f>M77*(1-N75)+N73</f>
        <v/>
      </c>
      <c r="O77" s="45">
        <f>N77*(1-O75)+O73</f>
        <v/>
      </c>
      <c r="P77" s="45">
        <f>O77*(1-P75)+P73</f>
        <v/>
      </c>
      <c r="Q77" s="45">
        <f>P77*(1-Q75)+Q73</f>
        <v/>
      </c>
      <c r="R77" s="45">
        <f>Q77*(1-R75)+R73</f>
        <v/>
      </c>
      <c r="S77" s="45">
        <f>R77*(1-S75)+S73</f>
        <v/>
      </c>
      <c r="T77" s="45">
        <f>S77*(1-T75)+T73</f>
        <v/>
      </c>
      <c r="U77" s="45">
        <f>T77*(1-U75)+U73</f>
        <v/>
      </c>
      <c r="V77" s="45">
        <f>U77*(1-V75)+V73</f>
        <v/>
      </c>
      <c r="W77" s="45">
        <f>V77*(1-W75)+W73</f>
        <v/>
      </c>
      <c r="X77" s="45">
        <f>W77*(1-X75)+X73</f>
        <v/>
      </c>
      <c r="Y77" s="45">
        <f>X77*(1-Y75)+Y73</f>
        <v/>
      </c>
      <c r="Z77" s="45">
        <f>Y77*(1-Z75)+Z73</f>
        <v/>
      </c>
      <c r="AA77" s="45">
        <f>Z77*(1-AA75)+AA73</f>
        <v/>
      </c>
      <c r="AB77" s="45">
        <f>AA77*(1-AB75)+AB73</f>
        <v/>
      </c>
      <c r="AC77" s="45">
        <f>AB77*(1-AC75)+AC73</f>
        <v/>
      </c>
      <c r="AD77" s="45">
        <f>AC77*(1-AD75)+AD73</f>
        <v/>
      </c>
      <c r="AE77" s="45">
        <f>AD77*(1-AE75)+AE73</f>
        <v/>
      </c>
    </row>
    <row r="78">
      <c r="A78" s="6" t="inlineStr">
        <is>
          <t xml:space="preserve">  AUM</t>
        </is>
      </c>
      <c r="B78" s="23" t="inlineStr">
        <is>
          <t>USD</t>
        </is>
      </c>
      <c r="C78" s="57">
        <f>C76*Assumptions!$B$6</f>
        <v/>
      </c>
      <c r="D78" s="57">
        <f>D76*Assumptions!$B$6</f>
        <v/>
      </c>
      <c r="E78" s="57">
        <f>E76*Assumptions!$B$6</f>
        <v/>
      </c>
      <c r="F78" s="57">
        <f>F76*Assumptions!$B$6</f>
        <v/>
      </c>
      <c r="G78" s="57">
        <f>G76*Assumptions!$B$6</f>
        <v/>
      </c>
      <c r="H78" s="57">
        <f>H76*Assumptions!$B$6</f>
        <v/>
      </c>
      <c r="I78" s="57">
        <f>I76*Assumptions!$B$6</f>
        <v/>
      </c>
      <c r="J78" s="57">
        <f>J76*Assumptions!$B$6</f>
        <v/>
      </c>
      <c r="K78" s="57">
        <f>K76*Assumptions!$B$6</f>
        <v/>
      </c>
      <c r="L78" s="57">
        <f>L76*Assumptions!$B$6</f>
        <v/>
      </c>
      <c r="M78" s="57">
        <f>M76*Assumptions!$B$6</f>
        <v/>
      </c>
      <c r="N78" s="57">
        <f>N76*Assumptions!$B$6</f>
        <v/>
      </c>
      <c r="O78" s="57">
        <f>O76*Assumptions!$B$6</f>
        <v/>
      </c>
      <c r="P78" s="57">
        <f>P76*Assumptions!$B$6</f>
        <v/>
      </c>
      <c r="Q78" s="57">
        <f>Q76*Assumptions!$B$6</f>
        <v/>
      </c>
      <c r="R78" s="57">
        <f>R76*Assumptions!$B$6</f>
        <v/>
      </c>
      <c r="S78" s="57">
        <f>S76*Assumptions!$B$6</f>
        <v/>
      </c>
      <c r="T78" s="57">
        <f>T76*Assumptions!$B$6</f>
        <v/>
      </c>
      <c r="U78" s="57">
        <f>U76*Assumptions!$B$6</f>
        <v/>
      </c>
      <c r="V78" s="57">
        <f>V76*Assumptions!$B$6</f>
        <v/>
      </c>
      <c r="W78" s="57">
        <f>W76*Assumptions!$B$6</f>
        <v/>
      </c>
      <c r="X78" s="57">
        <f>X76*Assumptions!$B$6</f>
        <v/>
      </c>
      <c r="Y78" s="57">
        <f>Y76*Assumptions!$B$6</f>
        <v/>
      </c>
      <c r="Z78" s="57">
        <f>Z76*Assumptions!$B$6</f>
        <v/>
      </c>
      <c r="AA78" s="57">
        <f>AA76*Assumptions!$B$6</f>
        <v/>
      </c>
      <c r="AB78" s="57">
        <f>AB76*Assumptions!$B$6</f>
        <v/>
      </c>
      <c r="AC78" s="57">
        <f>AC76*Assumptions!$B$6</f>
        <v/>
      </c>
      <c r="AD78" s="57">
        <f>AD76*Assumptions!$B$6</f>
        <v/>
      </c>
      <c r="AE78" s="57">
        <f>AE76*Assumptions!$B$6</f>
        <v/>
      </c>
    </row>
    <row r="79">
      <c r="A79" s="6" t="inlineStr">
        <is>
          <t xml:space="preserve">  Card-eligible base</t>
        </is>
      </c>
      <c r="B79" s="23" t="inlineStr">
        <is>
          <t>accounts</t>
        </is>
      </c>
      <c r="C79" s="54">
        <f>C67+C69*Assumptions!$B$171</f>
        <v/>
      </c>
      <c r="D79" s="54">
        <f>D67+D69*Assumptions!$B$171</f>
        <v/>
      </c>
      <c r="E79" s="54">
        <f>E67+E69*Assumptions!$B$171</f>
        <v/>
      </c>
      <c r="F79" s="54">
        <f>F67+F69*Assumptions!$B$171</f>
        <v/>
      </c>
      <c r="G79" s="54">
        <f>G67+G69*Assumptions!$B$171</f>
        <v/>
      </c>
      <c r="H79" s="54">
        <f>H67+H69*Assumptions!$B$171</f>
        <v/>
      </c>
      <c r="I79" s="54">
        <f>I67+I69*Assumptions!$B$171</f>
        <v/>
      </c>
      <c r="J79" s="54">
        <f>J67+J69*Assumptions!$B$171</f>
        <v/>
      </c>
      <c r="K79" s="54">
        <f>K67+K69*Assumptions!$B$171</f>
        <v/>
      </c>
      <c r="L79" s="54">
        <f>L67+L69*Assumptions!$B$171</f>
        <v/>
      </c>
      <c r="M79" s="54">
        <f>M67+M69*Assumptions!$B$171</f>
        <v/>
      </c>
      <c r="N79" s="54">
        <f>N67+N69*Assumptions!$B$171</f>
        <v/>
      </c>
      <c r="O79" s="54">
        <f>O67+O69*Assumptions!$B$171</f>
        <v/>
      </c>
      <c r="P79" s="54">
        <f>P67+P69*Assumptions!$B$171</f>
        <v/>
      </c>
      <c r="Q79" s="54">
        <f>Q67+Q69*Assumptions!$B$171</f>
        <v/>
      </c>
      <c r="R79" s="54">
        <f>R67+R69*Assumptions!$B$171</f>
        <v/>
      </c>
      <c r="S79" s="54">
        <f>S67+S69*Assumptions!$B$171</f>
        <v/>
      </c>
      <c r="T79" s="54">
        <f>T67+T69*Assumptions!$B$171</f>
        <v/>
      </c>
      <c r="U79" s="54">
        <f>U67+U69*Assumptions!$B$171</f>
        <v/>
      </c>
      <c r="V79" s="54">
        <f>V67+V69*Assumptions!$B$171</f>
        <v/>
      </c>
      <c r="W79" s="54">
        <f>W67+W69*Assumptions!$B$171</f>
        <v/>
      </c>
      <c r="X79" s="54">
        <f>X67+X69*Assumptions!$B$171</f>
        <v/>
      </c>
      <c r="Y79" s="54">
        <f>Y67+Y69*Assumptions!$B$171</f>
        <v/>
      </c>
      <c r="Z79" s="54">
        <f>Z67+Z69*Assumptions!$B$171</f>
        <v/>
      </c>
      <c r="AA79" s="54">
        <f>AA67+AA69*Assumptions!$B$171</f>
        <v/>
      </c>
      <c r="AB79" s="54">
        <f>AB67+AB69*Assumptions!$B$171</f>
        <v/>
      </c>
      <c r="AC79" s="54">
        <f>AC67+AC69*Assumptions!$B$171</f>
        <v/>
      </c>
      <c r="AD79" s="54">
        <f>AD67+AD69*Assumptions!$B$171</f>
        <v/>
      </c>
      <c r="AE79" s="54">
        <f>AE67+AE69*Assumptions!$B$171</f>
        <v/>
      </c>
    </row>
    <row r="80">
      <c r="A80" s="6" t="inlineStr">
        <is>
          <t xml:space="preserve">  Cleared the six-payment gate</t>
        </is>
      </c>
      <c r="B80" s="23" t="inlineStr">
        <is>
          <t>accounts</t>
        </is>
      </c>
      <c r="C80" s="45">
        <f>IF(C7&gt;1,C79*Assumptions!$B$133,IF(C2&gt;Assumptions!$B$134,INDEX($C$79:$AE$79,1,C2-Assumptions!$B$134)*Assumptions!$B$133,0))</f>
        <v/>
      </c>
      <c r="D80" s="45">
        <f>IF(D7&gt;1,D79*Assumptions!$B$133,IF(D2&gt;Assumptions!$B$134,INDEX($C$79:$AE$79,1,D2-Assumptions!$B$134)*Assumptions!$B$133,0))</f>
        <v/>
      </c>
      <c r="E80" s="45">
        <f>IF(E7&gt;1,E79*Assumptions!$B$133,IF(E2&gt;Assumptions!$B$134,INDEX($C$79:$AE$79,1,E2-Assumptions!$B$134)*Assumptions!$B$133,0))</f>
        <v/>
      </c>
      <c r="F80" s="45">
        <f>IF(F7&gt;1,F79*Assumptions!$B$133,IF(F2&gt;Assumptions!$B$134,INDEX($C$79:$AE$79,1,F2-Assumptions!$B$134)*Assumptions!$B$133,0))</f>
        <v/>
      </c>
      <c r="G80" s="45">
        <f>IF(G7&gt;1,G79*Assumptions!$B$133,IF(G2&gt;Assumptions!$B$134,INDEX($C$79:$AE$79,1,G2-Assumptions!$B$134)*Assumptions!$B$133,0))</f>
        <v/>
      </c>
      <c r="H80" s="45">
        <f>IF(H7&gt;1,H79*Assumptions!$B$133,IF(H2&gt;Assumptions!$B$134,INDEX($C$79:$AE$79,1,H2-Assumptions!$B$134)*Assumptions!$B$133,0))</f>
        <v/>
      </c>
      <c r="I80" s="45">
        <f>IF(I7&gt;1,I79*Assumptions!$B$133,IF(I2&gt;Assumptions!$B$134,INDEX($C$79:$AE$79,1,I2-Assumptions!$B$134)*Assumptions!$B$133,0))</f>
        <v/>
      </c>
      <c r="J80" s="45">
        <f>IF(J7&gt;1,J79*Assumptions!$B$133,IF(J2&gt;Assumptions!$B$134,INDEX($C$79:$AE$79,1,J2-Assumptions!$B$134)*Assumptions!$B$133,0))</f>
        <v/>
      </c>
      <c r="K80" s="45">
        <f>IF(K7&gt;1,K79*Assumptions!$B$133,IF(K2&gt;Assumptions!$B$134,INDEX($C$79:$AE$79,1,K2-Assumptions!$B$134)*Assumptions!$B$133,0))</f>
        <v/>
      </c>
      <c r="L80" s="45">
        <f>IF(L7&gt;1,L79*Assumptions!$B$133,IF(L2&gt;Assumptions!$B$134,INDEX($C$79:$AE$79,1,L2-Assumptions!$B$134)*Assumptions!$B$133,0))</f>
        <v/>
      </c>
      <c r="M80" s="45">
        <f>IF(M7&gt;1,M79*Assumptions!$B$133,IF(M2&gt;Assumptions!$B$134,INDEX($C$79:$AE$79,1,M2-Assumptions!$B$134)*Assumptions!$B$133,0))</f>
        <v/>
      </c>
      <c r="N80" s="45">
        <f>IF(N7&gt;1,N79*Assumptions!$B$133,IF(N2&gt;Assumptions!$B$134,INDEX($C$79:$AE$79,1,N2-Assumptions!$B$134)*Assumptions!$B$133,0))</f>
        <v/>
      </c>
      <c r="O80" s="45">
        <f>IF(O7&gt;1,O79*Assumptions!$B$133,IF(O2&gt;Assumptions!$B$134,INDEX($C$79:$AE$79,1,O2-Assumptions!$B$134)*Assumptions!$B$133,0))</f>
        <v/>
      </c>
      <c r="P80" s="45">
        <f>IF(P7&gt;1,P79*Assumptions!$B$133,IF(P2&gt;Assumptions!$B$134,INDEX($C$79:$AE$79,1,P2-Assumptions!$B$134)*Assumptions!$B$133,0))</f>
        <v/>
      </c>
      <c r="Q80" s="45">
        <f>IF(Q7&gt;1,Q79*Assumptions!$B$133,IF(Q2&gt;Assumptions!$B$134,INDEX($C$79:$AE$79,1,Q2-Assumptions!$B$134)*Assumptions!$B$133,0))</f>
        <v/>
      </c>
      <c r="R80" s="45">
        <f>IF(R7&gt;1,R79*Assumptions!$B$133,IF(R2&gt;Assumptions!$B$134,INDEX($C$79:$AE$79,1,R2-Assumptions!$B$134)*Assumptions!$B$133,0))</f>
        <v/>
      </c>
      <c r="S80" s="45">
        <f>IF(S7&gt;1,S79*Assumptions!$B$133,IF(S2&gt;Assumptions!$B$134,INDEX($C$79:$AE$79,1,S2-Assumptions!$B$134)*Assumptions!$B$133,0))</f>
        <v/>
      </c>
      <c r="T80" s="45">
        <f>IF(T7&gt;1,T79*Assumptions!$B$133,IF(T2&gt;Assumptions!$B$134,INDEX($C$79:$AE$79,1,T2-Assumptions!$B$134)*Assumptions!$B$133,0))</f>
        <v/>
      </c>
      <c r="U80" s="45">
        <f>IF(U7&gt;1,U79*Assumptions!$B$133,IF(U2&gt;Assumptions!$B$134,INDEX($C$79:$AE$79,1,U2-Assumptions!$B$134)*Assumptions!$B$133,0))</f>
        <v/>
      </c>
      <c r="V80" s="45">
        <f>IF(V7&gt;1,V79*Assumptions!$B$133,IF(V2&gt;Assumptions!$B$134,INDEX($C$79:$AE$79,1,V2-Assumptions!$B$134)*Assumptions!$B$133,0))</f>
        <v/>
      </c>
      <c r="W80" s="45">
        <f>IF(W7&gt;1,W79*Assumptions!$B$133,IF(W2&gt;Assumptions!$B$134,INDEX($C$79:$AE$79,1,W2-Assumptions!$B$134)*Assumptions!$B$133,0))</f>
        <v/>
      </c>
      <c r="X80" s="45">
        <f>IF(X7&gt;1,X79*Assumptions!$B$133,IF(X2&gt;Assumptions!$B$134,INDEX($C$79:$AE$79,1,X2-Assumptions!$B$134)*Assumptions!$B$133,0))</f>
        <v/>
      </c>
      <c r="Y80" s="45">
        <f>IF(Y7&gt;1,Y79*Assumptions!$B$133,IF(Y2&gt;Assumptions!$B$134,INDEX($C$79:$AE$79,1,Y2-Assumptions!$B$134)*Assumptions!$B$133,0))</f>
        <v/>
      </c>
      <c r="Z80" s="45">
        <f>IF(Z7&gt;1,Z79*Assumptions!$B$133,IF(Z2&gt;Assumptions!$B$134,INDEX($C$79:$AE$79,1,Z2-Assumptions!$B$134)*Assumptions!$B$133,0))</f>
        <v/>
      </c>
      <c r="AA80" s="45">
        <f>IF(AA7&gt;1,AA79*Assumptions!$B$133,IF(AA2&gt;Assumptions!$B$134,INDEX($C$79:$AE$79,1,AA2-Assumptions!$B$134)*Assumptions!$B$133,0))</f>
        <v/>
      </c>
      <c r="AB80" s="45">
        <f>IF(AB7&gt;1,AB79*Assumptions!$B$133,IF(AB2&gt;Assumptions!$B$134,INDEX($C$79:$AE$79,1,AB2-Assumptions!$B$134)*Assumptions!$B$133,0))</f>
        <v/>
      </c>
      <c r="AC80" s="45">
        <f>IF(AC7&gt;1,AC79*Assumptions!$B$133,IF(AC2&gt;Assumptions!$B$134,INDEX($C$79:$AE$79,1,AC2-Assumptions!$B$134)*Assumptions!$B$133,0))</f>
        <v/>
      </c>
      <c r="AD80" s="45">
        <f>IF(AD7&gt;1,AD79*Assumptions!$B$133,IF(AD2&gt;Assumptions!$B$134,INDEX($C$79:$AE$79,1,AD2-Assumptions!$B$134)*Assumptions!$B$133,0))</f>
        <v/>
      </c>
      <c r="AE80" s="45">
        <f>IF(AE7&gt;1,AE79*Assumptions!$B$133,IF(AE2&gt;Assumptions!$B$134,INDEX($C$79:$AE$79,1,AE2-Assumptions!$B$134)*Assumptions!$B$133,0))</f>
        <v/>
      </c>
    </row>
    <row r="81">
      <c r="A81" s="6" t="inlineStr">
        <is>
          <t xml:space="preserve">  Active cards</t>
        </is>
      </c>
      <c r="B81" s="23" t="inlineStr">
        <is>
          <t>cards</t>
        </is>
      </c>
      <c r="C81" s="28">
        <f>IF(C2&gt;=Assumptions!$B$51,C80*Assumptions!$B$142,0)</f>
        <v/>
      </c>
      <c r="D81" s="28">
        <f>IF(D2&gt;=Assumptions!$B$51,D80*Assumptions!$B$142,0)</f>
        <v/>
      </c>
      <c r="E81" s="28">
        <f>IF(E2&gt;=Assumptions!$B$51,E80*Assumptions!$B$142,0)</f>
        <v/>
      </c>
      <c r="F81" s="28">
        <f>IF(F2&gt;=Assumptions!$B$51,F80*Assumptions!$B$142,0)</f>
        <v/>
      </c>
      <c r="G81" s="28">
        <f>IF(G2&gt;=Assumptions!$B$51,G80*Assumptions!$B$142,0)</f>
        <v/>
      </c>
      <c r="H81" s="28">
        <f>IF(H2&gt;=Assumptions!$B$51,H80*Assumptions!$B$142,0)</f>
        <v/>
      </c>
      <c r="I81" s="28">
        <f>IF(I2&gt;=Assumptions!$B$51,I80*Assumptions!$B$142,0)</f>
        <v/>
      </c>
      <c r="J81" s="28">
        <f>IF(J2&gt;=Assumptions!$B$51,J80*Assumptions!$B$142,0)</f>
        <v/>
      </c>
      <c r="K81" s="28">
        <f>IF(K2&gt;=Assumptions!$B$51,K80*Assumptions!$B$142,0)</f>
        <v/>
      </c>
      <c r="L81" s="28">
        <f>IF(L2&gt;=Assumptions!$B$51,L80*Assumptions!$B$142,0)</f>
        <v/>
      </c>
      <c r="M81" s="28">
        <f>IF(M2&gt;=Assumptions!$B$51,M80*Assumptions!$B$142,0)</f>
        <v/>
      </c>
      <c r="N81" s="28">
        <f>IF(N2&gt;=Assumptions!$B$51,N80*Assumptions!$B$142,0)</f>
        <v/>
      </c>
      <c r="O81" s="28">
        <f>IF(O2&gt;=Assumptions!$B$51,O80*Assumptions!$B$142,0)</f>
        <v/>
      </c>
      <c r="P81" s="28">
        <f>IF(P2&gt;=Assumptions!$B$51,P80*Assumptions!$B$142,0)</f>
        <v/>
      </c>
      <c r="Q81" s="28">
        <f>IF(Q2&gt;=Assumptions!$B$51,Q80*Assumptions!$B$142,0)</f>
        <v/>
      </c>
      <c r="R81" s="28">
        <f>IF(R2&gt;=Assumptions!$B$51,R80*Assumptions!$B$142,0)</f>
        <v/>
      </c>
      <c r="S81" s="28">
        <f>IF(S2&gt;=Assumptions!$B$51,S80*Assumptions!$B$142,0)</f>
        <v/>
      </c>
      <c r="T81" s="28">
        <f>IF(T2&gt;=Assumptions!$B$51,T80*Assumptions!$B$142,0)</f>
        <v/>
      </c>
      <c r="U81" s="28">
        <f>IF(U2&gt;=Assumptions!$B$51,U80*Assumptions!$B$142,0)</f>
        <v/>
      </c>
      <c r="V81" s="28">
        <f>IF(V2&gt;=Assumptions!$B$51,V80*Assumptions!$B$142,0)</f>
        <v/>
      </c>
      <c r="W81" s="28">
        <f>IF(W2&gt;=Assumptions!$B$51,W80*Assumptions!$B$142,0)</f>
        <v/>
      </c>
      <c r="X81" s="28">
        <f>IF(X2&gt;=Assumptions!$B$51,X80*Assumptions!$B$142,0)</f>
        <v/>
      </c>
      <c r="Y81" s="28">
        <f>IF(Y2&gt;=Assumptions!$B$51,Y80*Assumptions!$B$142,0)</f>
        <v/>
      </c>
      <c r="Z81" s="28">
        <f>IF(Z2&gt;=Assumptions!$B$51,Z80*Assumptions!$B$142,0)</f>
        <v/>
      </c>
      <c r="AA81" s="28">
        <f>IF(AA2&gt;=Assumptions!$B$51,AA80*Assumptions!$B$142,0)</f>
        <v/>
      </c>
      <c r="AB81" s="28">
        <f>IF(AB2&gt;=Assumptions!$B$51,AB80*Assumptions!$B$142,0)</f>
        <v/>
      </c>
      <c r="AC81" s="28">
        <f>IF(AC2&gt;=Assumptions!$B$51,AC80*Assumptions!$B$142,0)</f>
        <v/>
      </c>
      <c r="AD81" s="28">
        <f>IF(AD2&gt;=Assumptions!$B$51,AD80*Assumptions!$B$142,0)</f>
        <v/>
      </c>
      <c r="AE81" s="28">
        <f>IF(AE2&gt;=Assumptions!$B$51,AE80*Assumptions!$B$142,0)</f>
        <v/>
      </c>
    </row>
    <row r="82">
      <c r="A82" s="6" t="inlineStr">
        <is>
          <t xml:space="preserve">  Credit limit per customer (gold x LTV)</t>
        </is>
      </c>
      <c r="B82" s="23" t="inlineStr">
        <is>
          <t>USD</t>
        </is>
      </c>
      <c r="C82" s="55">
        <f>IF(C67=0,0,C78/C67*Assumptions!$B$31)</f>
        <v/>
      </c>
      <c r="D82" s="55">
        <f>IF(D67=0,0,D78/D67*Assumptions!$B$31)</f>
        <v/>
      </c>
      <c r="E82" s="55">
        <f>IF(E67=0,0,E78/E67*Assumptions!$B$31)</f>
        <v/>
      </c>
      <c r="F82" s="55">
        <f>IF(F67=0,0,F78/F67*Assumptions!$B$31)</f>
        <v/>
      </c>
      <c r="G82" s="55">
        <f>IF(G67=0,0,G78/G67*Assumptions!$B$31)</f>
        <v/>
      </c>
      <c r="H82" s="55">
        <f>IF(H67=0,0,H78/H67*Assumptions!$B$31)</f>
        <v/>
      </c>
      <c r="I82" s="55">
        <f>IF(I67=0,0,I78/I67*Assumptions!$B$31)</f>
        <v/>
      </c>
      <c r="J82" s="55">
        <f>IF(J67=0,0,J78/J67*Assumptions!$B$31)</f>
        <v/>
      </c>
      <c r="K82" s="55">
        <f>IF(K67=0,0,K78/K67*Assumptions!$B$31)</f>
        <v/>
      </c>
      <c r="L82" s="55">
        <f>IF(L67=0,0,L78/L67*Assumptions!$B$31)</f>
        <v/>
      </c>
      <c r="M82" s="55">
        <f>IF(M67=0,0,M78/M67*Assumptions!$B$31)</f>
        <v/>
      </c>
      <c r="N82" s="55">
        <f>IF(N67=0,0,N78/N67*Assumptions!$B$31)</f>
        <v/>
      </c>
      <c r="O82" s="55">
        <f>IF(O67=0,0,O78/O67*Assumptions!$B$31)</f>
        <v/>
      </c>
      <c r="P82" s="55">
        <f>IF(P67=0,0,P78/P67*Assumptions!$B$31)</f>
        <v/>
      </c>
      <c r="Q82" s="55">
        <f>IF(Q67=0,0,Q78/Q67*Assumptions!$B$31)</f>
        <v/>
      </c>
      <c r="R82" s="55">
        <f>IF(R67=0,0,R78/R67*Assumptions!$B$31)</f>
        <v/>
      </c>
      <c r="S82" s="55">
        <f>IF(S67=0,0,S78/S67*Assumptions!$B$31)</f>
        <v/>
      </c>
      <c r="T82" s="55">
        <f>IF(T67=0,0,T78/T67*Assumptions!$B$31)</f>
        <v/>
      </c>
      <c r="U82" s="55">
        <f>IF(U67=0,0,U78/U67*Assumptions!$B$31)</f>
        <v/>
      </c>
      <c r="V82" s="55">
        <f>IF(V67=0,0,V78/V67*Assumptions!$B$31)</f>
        <v/>
      </c>
      <c r="W82" s="55">
        <f>IF(W67=0,0,W78/W67*Assumptions!$B$31)</f>
        <v/>
      </c>
      <c r="X82" s="55">
        <f>IF(X67=0,0,X78/X67*Assumptions!$B$31)</f>
        <v/>
      </c>
      <c r="Y82" s="55">
        <f>IF(Y67=0,0,Y78/Y67*Assumptions!$B$31)</f>
        <v/>
      </c>
      <c r="Z82" s="55">
        <f>IF(Z67=0,0,Z78/Z67*Assumptions!$B$31)</f>
        <v/>
      </c>
      <c r="AA82" s="55">
        <f>IF(AA67=0,0,AA78/AA67*Assumptions!$B$31)</f>
        <v/>
      </c>
      <c r="AB82" s="55">
        <f>IF(AB67=0,0,AB78/AB67*Assumptions!$B$31)</f>
        <v/>
      </c>
      <c r="AC82" s="55">
        <f>IF(AC67=0,0,AC78/AC67*Assumptions!$B$31)</f>
        <v/>
      </c>
      <c r="AD82" s="55">
        <f>IF(AD67=0,0,AD78/AD67*Assumptions!$B$31)</f>
        <v/>
      </c>
      <c r="AE82" s="55">
        <f>IF(AE67=0,0,AE78/AE67*Assumptions!$B$31)</f>
        <v/>
      </c>
    </row>
    <row r="83">
      <c r="A83" s="6" t="inlineStr">
        <is>
          <t xml:space="preserve">  Annual drawdown per card (limit x drawn x draws)</t>
        </is>
      </c>
      <c r="B83" s="23" t="inlineStr">
        <is>
          <t>USD/yr</t>
        </is>
      </c>
      <c r="C83" s="55">
        <f>C82*Assumptions!$B$155*Assumptions!$B$157</f>
        <v/>
      </c>
      <c r="D83" s="55">
        <f>D82*Assumptions!$B$155*Assumptions!$B$157</f>
        <v/>
      </c>
      <c r="E83" s="55">
        <f>E82*Assumptions!$B$155*Assumptions!$B$157</f>
        <v/>
      </c>
      <c r="F83" s="55">
        <f>F82*Assumptions!$B$155*Assumptions!$B$157</f>
        <v/>
      </c>
      <c r="G83" s="55">
        <f>G82*Assumptions!$B$155*Assumptions!$B$157</f>
        <v/>
      </c>
      <c r="H83" s="55">
        <f>H82*Assumptions!$B$155*Assumptions!$B$157</f>
        <v/>
      </c>
      <c r="I83" s="55">
        <f>I82*Assumptions!$B$155*Assumptions!$B$157</f>
        <v/>
      </c>
      <c r="J83" s="55">
        <f>J82*Assumptions!$B$155*Assumptions!$B$157</f>
        <v/>
      </c>
      <c r="K83" s="55">
        <f>K82*Assumptions!$B$155*Assumptions!$B$157</f>
        <v/>
      </c>
      <c r="L83" s="55">
        <f>L82*Assumptions!$B$155*Assumptions!$B$157</f>
        <v/>
      </c>
      <c r="M83" s="55">
        <f>M82*Assumptions!$B$155*Assumptions!$B$157</f>
        <v/>
      </c>
      <c r="N83" s="55">
        <f>N82*Assumptions!$B$155*Assumptions!$B$157</f>
        <v/>
      </c>
      <c r="O83" s="55">
        <f>O82*Assumptions!$B$155*Assumptions!$B$157</f>
        <v/>
      </c>
      <c r="P83" s="55">
        <f>P82*Assumptions!$B$155*Assumptions!$B$157</f>
        <v/>
      </c>
      <c r="Q83" s="55">
        <f>Q82*Assumptions!$B$155*Assumptions!$B$157</f>
        <v/>
      </c>
      <c r="R83" s="55">
        <f>R82*Assumptions!$B$155*Assumptions!$B$157</f>
        <v/>
      </c>
      <c r="S83" s="55">
        <f>S82*Assumptions!$B$155*Assumptions!$B$157</f>
        <v/>
      </c>
      <c r="T83" s="55">
        <f>T82*Assumptions!$B$155*Assumptions!$B$157</f>
        <v/>
      </c>
      <c r="U83" s="55">
        <f>U82*Assumptions!$B$155*Assumptions!$B$157</f>
        <v/>
      </c>
      <c r="V83" s="55">
        <f>V82*Assumptions!$B$155*Assumptions!$B$157</f>
        <v/>
      </c>
      <c r="W83" s="55">
        <f>W82*Assumptions!$B$155*Assumptions!$B$157</f>
        <v/>
      </c>
      <c r="X83" s="55">
        <f>X82*Assumptions!$B$155*Assumptions!$B$157</f>
        <v/>
      </c>
      <c r="Y83" s="55">
        <f>Y82*Assumptions!$B$155*Assumptions!$B$157</f>
        <v/>
      </c>
      <c r="Z83" s="55">
        <f>Z82*Assumptions!$B$155*Assumptions!$B$157</f>
        <v/>
      </c>
      <c r="AA83" s="55">
        <f>AA82*Assumptions!$B$155*Assumptions!$B$157</f>
        <v/>
      </c>
      <c r="AB83" s="55">
        <f>AB82*Assumptions!$B$155*Assumptions!$B$157</f>
        <v/>
      </c>
      <c r="AC83" s="55">
        <f>AC82*Assumptions!$B$155*Assumptions!$B$157</f>
        <v/>
      </c>
      <c r="AD83" s="55">
        <f>AD82*Assumptions!$B$155*Assumptions!$B$157</f>
        <v/>
      </c>
      <c r="AE83" s="55">
        <f>AE82*Assumptions!$B$155*Assumptions!$B$157</f>
        <v/>
      </c>
    </row>
    <row r="84">
      <c r="A84" s="6" t="inlineStr">
        <is>
          <t xml:space="preserve">  Card spend per card per month</t>
        </is>
      </c>
      <c r="B84" s="23" t="inlineStr">
        <is>
          <t>USD</t>
        </is>
      </c>
      <c r="C84" s="55">
        <f>C83/12*C16</f>
        <v/>
      </c>
      <c r="D84" s="55">
        <f>D83/12*D16</f>
        <v/>
      </c>
      <c r="E84" s="55">
        <f>E83/12*E16</f>
        <v/>
      </c>
      <c r="F84" s="55">
        <f>F83/12*F16</f>
        <v/>
      </c>
      <c r="G84" s="55">
        <f>G83/12*G16</f>
        <v/>
      </c>
      <c r="H84" s="55">
        <f>H83/12*H16</f>
        <v/>
      </c>
      <c r="I84" s="55">
        <f>I83/12*I16</f>
        <v/>
      </c>
      <c r="J84" s="55">
        <f>J83/12*J16</f>
        <v/>
      </c>
      <c r="K84" s="55">
        <f>K83/12*K16</f>
        <v/>
      </c>
      <c r="L84" s="55">
        <f>L83/12*L16</f>
        <v/>
      </c>
      <c r="M84" s="55">
        <f>M83/12*M16</f>
        <v/>
      </c>
      <c r="N84" s="55">
        <f>N83/12*N16</f>
        <v/>
      </c>
      <c r="O84" s="55">
        <f>O83/12*O16</f>
        <v/>
      </c>
      <c r="P84" s="55">
        <f>P83/12*P16</f>
        <v/>
      </c>
      <c r="Q84" s="55">
        <f>Q83/12*Q16</f>
        <v/>
      </c>
      <c r="R84" s="55">
        <f>R83/12*R16</f>
        <v/>
      </c>
      <c r="S84" s="55">
        <f>S83/12*S16</f>
        <v/>
      </c>
      <c r="T84" s="55">
        <f>T83/12*T16</f>
        <v/>
      </c>
      <c r="U84" s="55">
        <f>U83/12*U16</f>
        <v/>
      </c>
      <c r="V84" s="55">
        <f>V83/12*V16</f>
        <v/>
      </c>
      <c r="W84" s="55">
        <f>W83/12*W16</f>
        <v/>
      </c>
      <c r="X84" s="55">
        <f>X83/12*X16</f>
        <v/>
      </c>
      <c r="Y84" s="55">
        <f>Y83/12*Y16</f>
        <v/>
      </c>
      <c r="Z84" s="55">
        <f>Z83/12*Z16</f>
        <v/>
      </c>
      <c r="AA84" s="55">
        <f>AA83/12*AA16</f>
        <v/>
      </c>
      <c r="AB84" s="55">
        <f>AB83/12*AB16</f>
        <v/>
      </c>
      <c r="AC84" s="55">
        <f>AC83/12*AC16</f>
        <v/>
      </c>
      <c r="AD84" s="55">
        <f>AD83/12*AD16</f>
        <v/>
      </c>
      <c r="AE84" s="55">
        <f>AE83/12*AE16</f>
        <v/>
      </c>
    </row>
    <row r="85">
      <c r="A85" s="6" t="inlineStr">
        <is>
          <t xml:space="preserve">  Card spend</t>
        </is>
      </c>
      <c r="B85" s="23" t="inlineStr">
        <is>
          <t>AED</t>
        </is>
      </c>
      <c r="C85" s="45">
        <f>C81*C84*Assumptions!$B$7*C7</f>
        <v/>
      </c>
      <c r="D85" s="45">
        <f>D81*D84*Assumptions!$B$7*D7</f>
        <v/>
      </c>
      <c r="E85" s="45">
        <f>E81*E84*Assumptions!$B$7*E7</f>
        <v/>
      </c>
      <c r="F85" s="45">
        <f>F81*F84*Assumptions!$B$7*F7</f>
        <v/>
      </c>
      <c r="G85" s="45">
        <f>G81*G84*Assumptions!$B$7*G7</f>
        <v/>
      </c>
      <c r="H85" s="45">
        <f>H81*H84*Assumptions!$B$7*H7</f>
        <v/>
      </c>
      <c r="I85" s="45">
        <f>I81*I84*Assumptions!$B$7*I7</f>
        <v/>
      </c>
      <c r="J85" s="45">
        <f>J81*J84*Assumptions!$B$7*J7</f>
        <v/>
      </c>
      <c r="K85" s="45">
        <f>K81*K84*Assumptions!$B$7*K7</f>
        <v/>
      </c>
      <c r="L85" s="45">
        <f>L81*L84*Assumptions!$B$7*L7</f>
        <v/>
      </c>
      <c r="M85" s="45">
        <f>M81*M84*Assumptions!$B$7*M7</f>
        <v/>
      </c>
      <c r="N85" s="45">
        <f>N81*N84*Assumptions!$B$7*N7</f>
        <v/>
      </c>
      <c r="O85" s="45">
        <f>O81*O84*Assumptions!$B$7*O7</f>
        <v/>
      </c>
      <c r="P85" s="45">
        <f>P81*P84*Assumptions!$B$7*P7</f>
        <v/>
      </c>
      <c r="Q85" s="45">
        <f>Q81*Q84*Assumptions!$B$7*Q7</f>
        <v/>
      </c>
      <c r="R85" s="45">
        <f>R81*R84*Assumptions!$B$7*R7</f>
        <v/>
      </c>
      <c r="S85" s="45">
        <f>S81*S84*Assumptions!$B$7*S7</f>
        <v/>
      </c>
      <c r="T85" s="45">
        <f>T81*T84*Assumptions!$B$7*T7</f>
        <v/>
      </c>
      <c r="U85" s="45">
        <f>U81*U84*Assumptions!$B$7*U7</f>
        <v/>
      </c>
      <c r="V85" s="45">
        <f>V81*V84*Assumptions!$B$7*V7</f>
        <v/>
      </c>
      <c r="W85" s="45">
        <f>W81*W84*Assumptions!$B$7*W7</f>
        <v/>
      </c>
      <c r="X85" s="45">
        <f>X81*X84*Assumptions!$B$7*X7</f>
        <v/>
      </c>
      <c r="Y85" s="45">
        <f>Y81*Y84*Assumptions!$B$7*Y7</f>
        <v/>
      </c>
      <c r="Z85" s="45">
        <f>Z81*Z84*Assumptions!$B$7*Z7</f>
        <v/>
      </c>
      <c r="AA85" s="45">
        <f>AA81*AA84*Assumptions!$B$7*AA7</f>
        <v/>
      </c>
      <c r="AB85" s="45">
        <f>AB81*AB84*Assumptions!$B$7*AB7</f>
        <v/>
      </c>
      <c r="AC85" s="45">
        <f>AC81*AC84*Assumptions!$B$7*AC7</f>
        <v/>
      </c>
      <c r="AD85" s="45">
        <f>AD81*AD84*Assumptions!$B$7*AD7</f>
        <v/>
      </c>
      <c r="AE85" s="45">
        <f>AE81*AE84*Assumptions!$B$7*AE7</f>
        <v/>
      </c>
    </row>
    <row r="86">
      <c r="A86" s="6" t="inlineStr">
        <is>
          <t xml:space="preserve">  Card spend</t>
        </is>
      </c>
      <c r="B86" s="23" t="inlineStr">
        <is>
          <t>USD</t>
        </is>
      </c>
      <c r="C86" s="55">
        <f>C85/Assumptions!$B$7</f>
        <v/>
      </c>
      <c r="D86" s="55">
        <f>D85/Assumptions!$B$7</f>
        <v/>
      </c>
      <c r="E86" s="55">
        <f>E85/Assumptions!$B$7</f>
        <v/>
      </c>
      <c r="F86" s="55">
        <f>F85/Assumptions!$B$7</f>
        <v/>
      </c>
      <c r="G86" s="55">
        <f>G85/Assumptions!$B$7</f>
        <v/>
      </c>
      <c r="H86" s="55">
        <f>H85/Assumptions!$B$7</f>
        <v/>
      </c>
      <c r="I86" s="55">
        <f>I85/Assumptions!$B$7</f>
        <v/>
      </c>
      <c r="J86" s="55">
        <f>J85/Assumptions!$B$7</f>
        <v/>
      </c>
      <c r="K86" s="55">
        <f>K85/Assumptions!$B$7</f>
        <v/>
      </c>
      <c r="L86" s="55">
        <f>L85/Assumptions!$B$7</f>
        <v/>
      </c>
      <c r="M86" s="55">
        <f>M85/Assumptions!$B$7</f>
        <v/>
      </c>
      <c r="N86" s="55">
        <f>N85/Assumptions!$B$7</f>
        <v/>
      </c>
      <c r="O86" s="55">
        <f>O85/Assumptions!$B$7</f>
        <v/>
      </c>
      <c r="P86" s="55">
        <f>P85/Assumptions!$B$7</f>
        <v/>
      </c>
      <c r="Q86" s="55">
        <f>Q85/Assumptions!$B$7</f>
        <v/>
      </c>
      <c r="R86" s="55">
        <f>R85/Assumptions!$B$7</f>
        <v/>
      </c>
      <c r="S86" s="55">
        <f>S85/Assumptions!$B$7</f>
        <v/>
      </c>
      <c r="T86" s="55">
        <f>T85/Assumptions!$B$7</f>
        <v/>
      </c>
      <c r="U86" s="55">
        <f>U85/Assumptions!$B$7</f>
        <v/>
      </c>
      <c r="V86" s="55">
        <f>V85/Assumptions!$B$7</f>
        <v/>
      </c>
      <c r="W86" s="55">
        <f>W85/Assumptions!$B$7</f>
        <v/>
      </c>
      <c r="X86" s="55">
        <f>X85/Assumptions!$B$7</f>
        <v/>
      </c>
      <c r="Y86" s="55">
        <f>Y85/Assumptions!$B$7</f>
        <v/>
      </c>
      <c r="Z86" s="55">
        <f>Z85/Assumptions!$B$7</f>
        <v/>
      </c>
      <c r="AA86" s="55">
        <f>AA85/Assumptions!$B$7</f>
        <v/>
      </c>
      <c r="AB86" s="55">
        <f>AB85/Assumptions!$B$7</f>
        <v/>
      </c>
      <c r="AC86" s="55">
        <f>AC85/Assumptions!$B$7</f>
        <v/>
      </c>
      <c r="AD86" s="55">
        <f>AD85/Assumptions!$B$7</f>
        <v/>
      </c>
      <c r="AE86" s="55">
        <f>AE85/Assumptions!$B$7</f>
        <v/>
      </c>
    </row>
    <row r="87">
      <c r="A87" s="6" t="inlineStr">
        <is>
          <t xml:space="preserve">  Average transaction size (derived)</t>
        </is>
      </c>
      <c r="B87" s="23" t="inlineStr">
        <is>
          <t>AED</t>
        </is>
      </c>
      <c r="C87" s="45">
        <f>IF(Assumptions!$B$143=0,0,C82*Assumptions!$B$155*Assumptions!$B$7/Assumptions!$B$143)</f>
        <v/>
      </c>
      <c r="D87" s="45">
        <f>IF(Assumptions!$B$143=0,0,D82*Assumptions!$B$155*Assumptions!$B$7/Assumptions!$B$143)</f>
        <v/>
      </c>
      <c r="E87" s="45">
        <f>IF(Assumptions!$B$143=0,0,E82*Assumptions!$B$155*Assumptions!$B$7/Assumptions!$B$143)</f>
        <v/>
      </c>
      <c r="F87" s="45">
        <f>IF(Assumptions!$B$143=0,0,F82*Assumptions!$B$155*Assumptions!$B$7/Assumptions!$B$143)</f>
        <v/>
      </c>
      <c r="G87" s="45">
        <f>IF(Assumptions!$B$143=0,0,G82*Assumptions!$B$155*Assumptions!$B$7/Assumptions!$B$143)</f>
        <v/>
      </c>
      <c r="H87" s="45">
        <f>IF(Assumptions!$B$143=0,0,H82*Assumptions!$B$155*Assumptions!$B$7/Assumptions!$B$143)</f>
        <v/>
      </c>
      <c r="I87" s="45">
        <f>IF(Assumptions!$B$143=0,0,I82*Assumptions!$B$155*Assumptions!$B$7/Assumptions!$B$143)</f>
        <v/>
      </c>
      <c r="J87" s="45">
        <f>IF(Assumptions!$B$143=0,0,J82*Assumptions!$B$155*Assumptions!$B$7/Assumptions!$B$143)</f>
        <v/>
      </c>
      <c r="K87" s="45">
        <f>IF(Assumptions!$B$143=0,0,K82*Assumptions!$B$155*Assumptions!$B$7/Assumptions!$B$143)</f>
        <v/>
      </c>
      <c r="L87" s="45">
        <f>IF(Assumptions!$B$143=0,0,L82*Assumptions!$B$155*Assumptions!$B$7/Assumptions!$B$143)</f>
        <v/>
      </c>
      <c r="M87" s="45">
        <f>IF(Assumptions!$B$143=0,0,M82*Assumptions!$B$155*Assumptions!$B$7/Assumptions!$B$143)</f>
        <v/>
      </c>
      <c r="N87" s="45">
        <f>IF(Assumptions!$B$143=0,0,N82*Assumptions!$B$155*Assumptions!$B$7/Assumptions!$B$143)</f>
        <v/>
      </c>
      <c r="O87" s="45">
        <f>IF(Assumptions!$B$143=0,0,O82*Assumptions!$B$155*Assumptions!$B$7/Assumptions!$B$143)</f>
        <v/>
      </c>
      <c r="P87" s="45">
        <f>IF(Assumptions!$B$143=0,0,P82*Assumptions!$B$155*Assumptions!$B$7/Assumptions!$B$143)</f>
        <v/>
      </c>
      <c r="Q87" s="45">
        <f>IF(Assumptions!$B$143=0,0,Q82*Assumptions!$B$155*Assumptions!$B$7/Assumptions!$B$143)</f>
        <v/>
      </c>
      <c r="R87" s="45">
        <f>IF(Assumptions!$B$143=0,0,R82*Assumptions!$B$155*Assumptions!$B$7/Assumptions!$B$143)</f>
        <v/>
      </c>
      <c r="S87" s="45">
        <f>IF(Assumptions!$B$143=0,0,S82*Assumptions!$B$155*Assumptions!$B$7/Assumptions!$B$143)</f>
        <v/>
      </c>
      <c r="T87" s="45">
        <f>IF(Assumptions!$B$143=0,0,T82*Assumptions!$B$155*Assumptions!$B$7/Assumptions!$B$143)</f>
        <v/>
      </c>
      <c r="U87" s="45">
        <f>IF(Assumptions!$B$143=0,0,U82*Assumptions!$B$155*Assumptions!$B$7/Assumptions!$B$143)</f>
        <v/>
      </c>
      <c r="V87" s="45">
        <f>IF(Assumptions!$B$143=0,0,V82*Assumptions!$B$155*Assumptions!$B$7/Assumptions!$B$143)</f>
        <v/>
      </c>
      <c r="W87" s="45">
        <f>IF(Assumptions!$B$143=0,0,W82*Assumptions!$B$155*Assumptions!$B$7/Assumptions!$B$143)</f>
        <v/>
      </c>
      <c r="X87" s="45">
        <f>IF(Assumptions!$B$143=0,0,X82*Assumptions!$B$155*Assumptions!$B$7/Assumptions!$B$143)</f>
        <v/>
      </c>
      <c r="Y87" s="45">
        <f>IF(Assumptions!$B$143=0,0,Y82*Assumptions!$B$155*Assumptions!$B$7/Assumptions!$B$143)</f>
        <v/>
      </c>
      <c r="Z87" s="45">
        <f>IF(Assumptions!$B$143=0,0,Z82*Assumptions!$B$155*Assumptions!$B$7/Assumptions!$B$143)</f>
        <v/>
      </c>
      <c r="AA87" s="45">
        <f>IF(Assumptions!$B$143=0,0,AA82*Assumptions!$B$155*Assumptions!$B$7/Assumptions!$B$143)</f>
        <v/>
      </c>
      <c r="AB87" s="45">
        <f>IF(Assumptions!$B$143=0,0,AB82*Assumptions!$B$155*Assumptions!$B$7/Assumptions!$B$143)</f>
        <v/>
      </c>
      <c r="AC87" s="45">
        <f>IF(Assumptions!$B$143=0,0,AC82*Assumptions!$B$155*Assumptions!$B$7/Assumptions!$B$143)</f>
        <v/>
      </c>
      <c r="AD87" s="45">
        <f>IF(Assumptions!$B$143=0,0,AD82*Assumptions!$B$155*Assumptions!$B$7/Assumptions!$B$143)</f>
        <v/>
      </c>
      <c r="AE87" s="45">
        <f>IF(Assumptions!$B$143=0,0,AE82*Assumptions!$B$155*Assumptions!$B$7/Assumptions!$B$143)</f>
        <v/>
      </c>
    </row>
    <row r="88">
      <c r="A88" s="6" t="inlineStr">
        <is>
          <t xml:space="preserve">  Card authorisations (memo - drives cost, not revenue)</t>
        </is>
      </c>
      <c r="B88" s="23" t="inlineStr">
        <is>
          <t>auths</t>
        </is>
      </c>
      <c r="C88" s="45">
        <f>C81*Assumptions!$B$157*Assumptions!$B$143*C7/12*(1+Assumptions!$B$16)</f>
        <v/>
      </c>
      <c r="D88" s="45">
        <f>D81*Assumptions!$B$157*Assumptions!$B$143*D7/12*(1+Assumptions!$B$16)</f>
        <v/>
      </c>
      <c r="E88" s="45">
        <f>E81*Assumptions!$B$157*Assumptions!$B$143*E7/12*(1+Assumptions!$B$16)</f>
        <v/>
      </c>
      <c r="F88" s="45">
        <f>F81*Assumptions!$B$157*Assumptions!$B$143*F7/12*(1+Assumptions!$B$16)</f>
        <v/>
      </c>
      <c r="G88" s="45">
        <f>G81*Assumptions!$B$157*Assumptions!$B$143*G7/12*(1+Assumptions!$B$16)</f>
        <v/>
      </c>
      <c r="H88" s="45">
        <f>H81*Assumptions!$B$157*Assumptions!$B$143*H7/12*(1+Assumptions!$B$16)</f>
        <v/>
      </c>
      <c r="I88" s="45">
        <f>I81*Assumptions!$B$157*Assumptions!$B$143*I7/12*(1+Assumptions!$B$16)</f>
        <v/>
      </c>
      <c r="J88" s="45">
        <f>J81*Assumptions!$B$157*Assumptions!$B$143*J7/12*(1+Assumptions!$B$16)</f>
        <v/>
      </c>
      <c r="K88" s="45">
        <f>K81*Assumptions!$B$157*Assumptions!$B$143*K7/12*(1+Assumptions!$B$16)</f>
        <v/>
      </c>
      <c r="L88" s="45">
        <f>L81*Assumptions!$B$157*Assumptions!$B$143*L7/12*(1+Assumptions!$B$16)</f>
        <v/>
      </c>
      <c r="M88" s="45">
        <f>M81*Assumptions!$B$157*Assumptions!$B$143*M7/12*(1+Assumptions!$B$16)</f>
        <v/>
      </c>
      <c r="N88" s="45">
        <f>N81*Assumptions!$B$157*Assumptions!$B$143*N7/12*(1+Assumptions!$B$16)</f>
        <v/>
      </c>
      <c r="O88" s="45">
        <f>O81*Assumptions!$B$157*Assumptions!$B$143*O7/12*(1+Assumptions!$B$16)</f>
        <v/>
      </c>
      <c r="P88" s="45">
        <f>P81*Assumptions!$B$157*Assumptions!$B$143*P7/12*(1+Assumptions!$B$16)</f>
        <v/>
      </c>
      <c r="Q88" s="45">
        <f>Q81*Assumptions!$B$157*Assumptions!$B$143*Q7/12*(1+Assumptions!$B$16)</f>
        <v/>
      </c>
      <c r="R88" s="45">
        <f>R81*Assumptions!$B$157*Assumptions!$B$143*R7/12*(1+Assumptions!$B$16)</f>
        <v/>
      </c>
      <c r="S88" s="45">
        <f>S81*Assumptions!$B$157*Assumptions!$B$143*S7/12*(1+Assumptions!$B$16)</f>
        <v/>
      </c>
      <c r="T88" s="45">
        <f>T81*Assumptions!$B$157*Assumptions!$B$143*T7/12*(1+Assumptions!$B$16)</f>
        <v/>
      </c>
      <c r="U88" s="45">
        <f>U81*Assumptions!$B$157*Assumptions!$B$143*U7/12*(1+Assumptions!$B$16)</f>
        <v/>
      </c>
      <c r="V88" s="45">
        <f>V81*Assumptions!$B$157*Assumptions!$B$143*V7/12*(1+Assumptions!$B$16)</f>
        <v/>
      </c>
      <c r="W88" s="45">
        <f>W81*Assumptions!$B$157*Assumptions!$B$143*W7/12*(1+Assumptions!$B$16)</f>
        <v/>
      </c>
      <c r="X88" s="45">
        <f>X81*Assumptions!$B$157*Assumptions!$B$143*X7/12*(1+Assumptions!$B$16)</f>
        <v/>
      </c>
      <c r="Y88" s="45">
        <f>Y81*Assumptions!$B$157*Assumptions!$B$143*Y7/12*(1+Assumptions!$B$16)</f>
        <v/>
      </c>
      <c r="Z88" s="45">
        <f>Z81*Assumptions!$B$157*Assumptions!$B$143*Z7/12*(1+Assumptions!$B$16)</f>
        <v/>
      </c>
      <c r="AA88" s="45">
        <f>AA81*Assumptions!$B$157*Assumptions!$B$143*AA7/12*(1+Assumptions!$B$16)</f>
        <v/>
      </c>
      <c r="AB88" s="45">
        <f>AB81*Assumptions!$B$157*Assumptions!$B$143*AB7/12*(1+Assumptions!$B$16)</f>
        <v/>
      </c>
      <c r="AC88" s="45">
        <f>AC81*Assumptions!$B$157*Assumptions!$B$143*AC7/12*(1+Assumptions!$B$16)</f>
        <v/>
      </c>
      <c r="AD88" s="45">
        <f>AD81*Assumptions!$B$157*Assumptions!$B$143*AD7/12*(1+Assumptions!$B$16)</f>
        <v/>
      </c>
      <c r="AE88" s="45">
        <f>AE81*Assumptions!$B$157*Assumptions!$B$143*AE7/12*(1+Assumptions!$B$16)</f>
        <v/>
      </c>
    </row>
    <row r="89">
      <c r="A89" s="6" t="inlineStr">
        <is>
          <t xml:space="preserve">  Stream 1a - Entry fee, SIP</t>
        </is>
      </c>
      <c r="B89" s="23" t="inlineStr">
        <is>
          <t>USD</t>
        </is>
      </c>
      <c r="C89" s="55">
        <f>C71*Assumptions!$B$8</f>
        <v/>
      </c>
      <c r="D89" s="55">
        <f>D71*Assumptions!$B$8</f>
        <v/>
      </c>
      <c r="E89" s="55">
        <f>E71*Assumptions!$B$8</f>
        <v/>
      </c>
      <c r="F89" s="55">
        <f>F71*Assumptions!$B$8</f>
        <v/>
      </c>
      <c r="G89" s="55">
        <f>G71*Assumptions!$B$8</f>
        <v/>
      </c>
      <c r="H89" s="55">
        <f>H71*Assumptions!$B$8</f>
        <v/>
      </c>
      <c r="I89" s="55">
        <f>I71*Assumptions!$B$8</f>
        <v/>
      </c>
      <c r="J89" s="55">
        <f>J71*Assumptions!$B$8</f>
        <v/>
      </c>
      <c r="K89" s="55">
        <f>K71*Assumptions!$B$8</f>
        <v/>
      </c>
      <c r="L89" s="55">
        <f>L71*Assumptions!$B$8</f>
        <v/>
      </c>
      <c r="M89" s="55">
        <f>M71*Assumptions!$B$8</f>
        <v/>
      </c>
      <c r="N89" s="55">
        <f>N71*Assumptions!$B$8</f>
        <v/>
      </c>
      <c r="O89" s="55">
        <f>O71*Assumptions!$B$8</f>
        <v/>
      </c>
      <c r="P89" s="55">
        <f>P71*Assumptions!$B$8</f>
        <v/>
      </c>
      <c r="Q89" s="55">
        <f>Q71*Assumptions!$B$8</f>
        <v/>
      </c>
      <c r="R89" s="55">
        <f>R71*Assumptions!$B$8</f>
        <v/>
      </c>
      <c r="S89" s="55">
        <f>S71*Assumptions!$B$8</f>
        <v/>
      </c>
      <c r="T89" s="55">
        <f>T71*Assumptions!$B$8</f>
        <v/>
      </c>
      <c r="U89" s="55">
        <f>U71*Assumptions!$B$8</f>
        <v/>
      </c>
      <c r="V89" s="55">
        <f>V71*Assumptions!$B$8</f>
        <v/>
      </c>
      <c r="W89" s="55">
        <f>W71*Assumptions!$B$8</f>
        <v/>
      </c>
      <c r="X89" s="55">
        <f>X71*Assumptions!$B$8</f>
        <v/>
      </c>
      <c r="Y89" s="55">
        <f>Y71*Assumptions!$B$8</f>
        <v/>
      </c>
      <c r="Z89" s="55">
        <f>Z71*Assumptions!$B$8</f>
        <v/>
      </c>
      <c r="AA89" s="55">
        <f>AA71*Assumptions!$B$8</f>
        <v/>
      </c>
      <c r="AB89" s="55">
        <f>AB71*Assumptions!$B$8</f>
        <v/>
      </c>
      <c r="AC89" s="55">
        <f>AC71*Assumptions!$B$8</f>
        <v/>
      </c>
      <c r="AD89" s="55">
        <f>AD71*Assumptions!$B$8</f>
        <v/>
      </c>
      <c r="AE89" s="55">
        <f>AE71*Assumptions!$B$8</f>
        <v/>
      </c>
    </row>
    <row r="90">
      <c r="A90" s="6" t="inlineStr">
        <is>
          <t xml:space="preserve">  Stream 1b - Entry fee, SPOT</t>
        </is>
      </c>
      <c r="B90" s="23" t="inlineStr">
        <is>
          <t>USD</t>
        </is>
      </c>
      <c r="C90" s="55">
        <f>C72*Assumptions!$B$8</f>
        <v/>
      </c>
      <c r="D90" s="55">
        <f>D72*Assumptions!$B$8</f>
        <v/>
      </c>
      <c r="E90" s="55">
        <f>E72*Assumptions!$B$8</f>
        <v/>
      </c>
      <c r="F90" s="55">
        <f>F72*Assumptions!$B$8</f>
        <v/>
      </c>
      <c r="G90" s="55">
        <f>G72*Assumptions!$B$8</f>
        <v/>
      </c>
      <c r="H90" s="55">
        <f>H72*Assumptions!$B$8</f>
        <v/>
      </c>
      <c r="I90" s="55">
        <f>I72*Assumptions!$B$8</f>
        <v/>
      </c>
      <c r="J90" s="55">
        <f>J72*Assumptions!$B$8</f>
        <v/>
      </c>
      <c r="K90" s="55">
        <f>K72*Assumptions!$B$8</f>
        <v/>
      </c>
      <c r="L90" s="55">
        <f>L72*Assumptions!$B$8</f>
        <v/>
      </c>
      <c r="M90" s="55">
        <f>M72*Assumptions!$B$8</f>
        <v/>
      </c>
      <c r="N90" s="55">
        <f>N72*Assumptions!$B$8</f>
        <v/>
      </c>
      <c r="O90" s="55">
        <f>O72*Assumptions!$B$8</f>
        <v/>
      </c>
      <c r="P90" s="55">
        <f>P72*Assumptions!$B$8</f>
        <v/>
      </c>
      <c r="Q90" s="55">
        <f>Q72*Assumptions!$B$8</f>
        <v/>
      </c>
      <c r="R90" s="55">
        <f>R72*Assumptions!$B$8</f>
        <v/>
      </c>
      <c r="S90" s="55">
        <f>S72*Assumptions!$B$8</f>
        <v/>
      </c>
      <c r="T90" s="55">
        <f>T72*Assumptions!$B$8</f>
        <v/>
      </c>
      <c r="U90" s="55">
        <f>U72*Assumptions!$B$8</f>
        <v/>
      </c>
      <c r="V90" s="55">
        <f>V72*Assumptions!$B$8</f>
        <v/>
      </c>
      <c r="W90" s="55">
        <f>W72*Assumptions!$B$8</f>
        <v/>
      </c>
      <c r="X90" s="55">
        <f>X72*Assumptions!$B$8</f>
        <v/>
      </c>
      <c r="Y90" s="55">
        <f>Y72*Assumptions!$B$8</f>
        <v/>
      </c>
      <c r="Z90" s="55">
        <f>Z72*Assumptions!$B$8</f>
        <v/>
      </c>
      <c r="AA90" s="55">
        <f>AA72*Assumptions!$B$8</f>
        <v/>
      </c>
      <c r="AB90" s="55">
        <f>AB72*Assumptions!$B$8</f>
        <v/>
      </c>
      <c r="AC90" s="55">
        <f>AC72*Assumptions!$B$8</f>
        <v/>
      </c>
      <c r="AD90" s="55">
        <f>AD72*Assumptions!$B$8</f>
        <v/>
      </c>
      <c r="AE90" s="55">
        <f>AE72*Assumptions!$B$8</f>
        <v/>
      </c>
    </row>
    <row r="91">
      <c r="A91" s="6" t="inlineStr">
        <is>
          <t xml:space="preserve">  Stream 2 - Card interchange</t>
        </is>
      </c>
      <c r="B91" s="23" t="inlineStr">
        <is>
          <t>USD</t>
        </is>
      </c>
      <c r="C91" s="55">
        <f>C86*IF(Assumptions!$B$170=1,MIN(Assumptions!$B$14,1%),Assumptions!$B$14)*(1-Assumptions!$B$141)</f>
        <v/>
      </c>
      <c r="D91" s="55">
        <f>D86*IF(Assumptions!$B$170=1,MIN(Assumptions!$B$14,1%),Assumptions!$B$14)*(1-Assumptions!$B$141)</f>
        <v/>
      </c>
      <c r="E91" s="55">
        <f>E86*IF(Assumptions!$B$170=1,MIN(Assumptions!$B$14,1%),Assumptions!$B$14)*(1-Assumptions!$B$141)</f>
        <v/>
      </c>
      <c r="F91" s="55">
        <f>F86*IF(Assumptions!$B$170=1,MIN(Assumptions!$B$14,1%),Assumptions!$B$14)*(1-Assumptions!$B$141)</f>
        <v/>
      </c>
      <c r="G91" s="55">
        <f>G86*IF(Assumptions!$B$170=1,MIN(Assumptions!$B$14,1%),Assumptions!$B$14)*(1-Assumptions!$B$141)</f>
        <v/>
      </c>
      <c r="H91" s="55">
        <f>H86*IF(Assumptions!$B$170=1,MIN(Assumptions!$B$14,1%),Assumptions!$B$14)*(1-Assumptions!$B$141)</f>
        <v/>
      </c>
      <c r="I91" s="55">
        <f>I86*IF(Assumptions!$B$170=1,MIN(Assumptions!$B$14,1%),Assumptions!$B$14)*(1-Assumptions!$B$141)</f>
        <v/>
      </c>
      <c r="J91" s="55">
        <f>J86*IF(Assumptions!$B$170=1,MIN(Assumptions!$B$14,1%),Assumptions!$B$14)*(1-Assumptions!$B$141)</f>
        <v/>
      </c>
      <c r="K91" s="55">
        <f>K86*IF(Assumptions!$B$170=1,MIN(Assumptions!$B$14,1%),Assumptions!$B$14)*(1-Assumptions!$B$141)</f>
        <v/>
      </c>
      <c r="L91" s="55">
        <f>L86*IF(Assumptions!$B$170=1,MIN(Assumptions!$B$14,1%),Assumptions!$B$14)*(1-Assumptions!$B$141)</f>
        <v/>
      </c>
      <c r="M91" s="55">
        <f>M86*IF(Assumptions!$B$170=1,MIN(Assumptions!$B$14,1%),Assumptions!$B$14)*(1-Assumptions!$B$141)</f>
        <v/>
      </c>
      <c r="N91" s="55">
        <f>N86*IF(Assumptions!$B$170=1,MIN(Assumptions!$B$14,1%),Assumptions!$B$14)*(1-Assumptions!$B$141)</f>
        <v/>
      </c>
      <c r="O91" s="55">
        <f>O86*IF(Assumptions!$B$170=1,MIN(Assumptions!$B$14,1%),Assumptions!$B$14)*(1-Assumptions!$B$141)</f>
        <v/>
      </c>
      <c r="P91" s="55">
        <f>P86*IF(Assumptions!$B$170=1,MIN(Assumptions!$B$14,1%),Assumptions!$B$14)*(1-Assumptions!$B$141)</f>
        <v/>
      </c>
      <c r="Q91" s="55">
        <f>Q86*IF(Assumptions!$B$170=1,MIN(Assumptions!$B$14,1%),Assumptions!$B$14)*(1-Assumptions!$B$141)</f>
        <v/>
      </c>
      <c r="R91" s="55">
        <f>R86*IF(Assumptions!$B$170=1,MIN(Assumptions!$B$14,1%),Assumptions!$B$14)*(1-Assumptions!$B$141)</f>
        <v/>
      </c>
      <c r="S91" s="55">
        <f>S86*IF(Assumptions!$B$170=1,MIN(Assumptions!$B$14,1%),Assumptions!$B$14)*(1-Assumptions!$B$141)</f>
        <v/>
      </c>
      <c r="T91" s="55">
        <f>T86*IF(Assumptions!$B$170=1,MIN(Assumptions!$B$14,1%),Assumptions!$B$14)*(1-Assumptions!$B$141)</f>
        <v/>
      </c>
      <c r="U91" s="55">
        <f>U86*IF(Assumptions!$B$170=1,MIN(Assumptions!$B$14,1%),Assumptions!$B$14)*(1-Assumptions!$B$141)</f>
        <v/>
      </c>
      <c r="V91" s="55">
        <f>V86*IF(Assumptions!$B$170=1,MIN(Assumptions!$B$14,1%),Assumptions!$B$14)*(1-Assumptions!$B$141)</f>
        <v/>
      </c>
      <c r="W91" s="55">
        <f>W86*IF(Assumptions!$B$170=1,MIN(Assumptions!$B$14,1%),Assumptions!$B$14)*(1-Assumptions!$B$141)</f>
        <v/>
      </c>
      <c r="X91" s="55">
        <f>X86*IF(Assumptions!$B$170=1,MIN(Assumptions!$B$14,1%),Assumptions!$B$14)*(1-Assumptions!$B$141)</f>
        <v/>
      </c>
      <c r="Y91" s="55">
        <f>Y86*IF(Assumptions!$B$170=1,MIN(Assumptions!$B$14,1%),Assumptions!$B$14)*(1-Assumptions!$B$141)</f>
        <v/>
      </c>
      <c r="Z91" s="55">
        <f>Z86*IF(Assumptions!$B$170=1,MIN(Assumptions!$B$14,1%),Assumptions!$B$14)*(1-Assumptions!$B$141)</f>
        <v/>
      </c>
      <c r="AA91" s="55">
        <f>AA86*IF(Assumptions!$B$170=1,MIN(Assumptions!$B$14,1%),Assumptions!$B$14)*(1-Assumptions!$B$141)</f>
        <v/>
      </c>
      <c r="AB91" s="55">
        <f>AB86*IF(Assumptions!$B$170=1,MIN(Assumptions!$B$14,1%),Assumptions!$B$14)*(1-Assumptions!$B$141)</f>
        <v/>
      </c>
      <c r="AC91" s="55">
        <f>AC86*IF(Assumptions!$B$170=1,MIN(Assumptions!$B$14,1%),Assumptions!$B$14)*(1-Assumptions!$B$141)</f>
        <v/>
      </c>
      <c r="AD91" s="55">
        <f>AD86*IF(Assumptions!$B$170=1,MIN(Assumptions!$B$14,1%),Assumptions!$B$14)*(1-Assumptions!$B$141)</f>
        <v/>
      </c>
      <c r="AE91" s="55">
        <f>AE86*IF(Assumptions!$B$170=1,MIN(Assumptions!$B$14,1%),Assumptions!$B$14)*(1-Assumptions!$B$141)</f>
        <v/>
      </c>
    </row>
    <row r="92">
      <c r="A92" s="6" t="inlineStr">
        <is>
          <t xml:space="preserve">  Stream 3 - Family plan and Digital Will</t>
        </is>
      </c>
      <c r="B92" s="23" t="inlineStr">
        <is>
          <t>USD</t>
        </is>
      </c>
      <c r="C92" s="55">
        <f>IF(C2&gt;=Assumptions!$B$50,C67*Assumptions!$B$158*Assumptions!$B$25/12*C7,0)</f>
        <v/>
      </c>
      <c r="D92" s="55">
        <f>IF(D2&gt;=Assumptions!$B$50,D67*Assumptions!$B$158*Assumptions!$B$25/12*D7,0)</f>
        <v/>
      </c>
      <c r="E92" s="55">
        <f>IF(E2&gt;=Assumptions!$B$50,E67*Assumptions!$B$158*Assumptions!$B$25/12*E7,0)</f>
        <v/>
      </c>
      <c r="F92" s="55">
        <f>IF(F2&gt;=Assumptions!$B$50,F67*Assumptions!$B$158*Assumptions!$B$25/12*F7,0)</f>
        <v/>
      </c>
      <c r="G92" s="55">
        <f>IF(G2&gt;=Assumptions!$B$50,G67*Assumptions!$B$158*Assumptions!$B$25/12*G7,0)</f>
        <v/>
      </c>
      <c r="H92" s="55">
        <f>IF(H2&gt;=Assumptions!$B$50,H67*Assumptions!$B$158*Assumptions!$B$25/12*H7,0)</f>
        <v/>
      </c>
      <c r="I92" s="55">
        <f>IF(I2&gt;=Assumptions!$B$50,I67*Assumptions!$B$158*Assumptions!$B$25/12*I7,0)</f>
        <v/>
      </c>
      <c r="J92" s="55">
        <f>IF(J2&gt;=Assumptions!$B$50,J67*Assumptions!$B$158*Assumptions!$B$25/12*J7,0)</f>
        <v/>
      </c>
      <c r="K92" s="55">
        <f>IF(K2&gt;=Assumptions!$B$50,K67*Assumptions!$B$158*Assumptions!$B$25/12*K7,0)</f>
        <v/>
      </c>
      <c r="L92" s="55">
        <f>IF(L2&gt;=Assumptions!$B$50,L67*Assumptions!$B$158*Assumptions!$B$25/12*L7,0)</f>
        <v/>
      </c>
      <c r="M92" s="55">
        <f>IF(M2&gt;=Assumptions!$B$50,M67*Assumptions!$B$158*Assumptions!$B$25/12*M7,0)</f>
        <v/>
      </c>
      <c r="N92" s="55">
        <f>IF(N2&gt;=Assumptions!$B$50,N67*Assumptions!$B$158*Assumptions!$B$25/12*N7,0)</f>
        <v/>
      </c>
      <c r="O92" s="55">
        <f>IF(O2&gt;=Assumptions!$B$50,O67*Assumptions!$B$158*Assumptions!$B$25/12*O7,0)</f>
        <v/>
      </c>
      <c r="P92" s="55">
        <f>IF(P2&gt;=Assumptions!$B$50,P67*Assumptions!$B$158*Assumptions!$B$25/12*P7,0)</f>
        <v/>
      </c>
      <c r="Q92" s="55">
        <f>IF(Q2&gt;=Assumptions!$B$50,Q67*Assumptions!$B$158*Assumptions!$B$25/12*Q7,0)</f>
        <v/>
      </c>
      <c r="R92" s="55">
        <f>IF(R2&gt;=Assumptions!$B$50,R67*Assumptions!$B$158*Assumptions!$B$25/12*R7,0)</f>
        <v/>
      </c>
      <c r="S92" s="55">
        <f>IF(S2&gt;=Assumptions!$B$50,S67*Assumptions!$B$158*Assumptions!$B$25/12*S7,0)</f>
        <v/>
      </c>
      <c r="T92" s="55">
        <f>IF(T2&gt;=Assumptions!$B$50,T67*Assumptions!$B$158*Assumptions!$B$25/12*T7,0)</f>
        <v/>
      </c>
      <c r="U92" s="55">
        <f>IF(U2&gt;=Assumptions!$B$50,U67*Assumptions!$B$158*Assumptions!$B$25/12*U7,0)</f>
        <v/>
      </c>
      <c r="V92" s="55">
        <f>IF(V2&gt;=Assumptions!$B$50,V67*Assumptions!$B$158*Assumptions!$B$25/12*V7,0)</f>
        <v/>
      </c>
      <c r="W92" s="55">
        <f>IF(W2&gt;=Assumptions!$B$50,W67*Assumptions!$B$158*Assumptions!$B$25/12*W7,0)</f>
        <v/>
      </c>
      <c r="X92" s="55">
        <f>IF(X2&gt;=Assumptions!$B$50,X67*Assumptions!$B$158*Assumptions!$B$25/12*X7,0)</f>
        <v/>
      </c>
      <c r="Y92" s="55">
        <f>IF(Y2&gt;=Assumptions!$B$50,Y67*Assumptions!$B$158*Assumptions!$B$25/12*Y7,0)</f>
        <v/>
      </c>
      <c r="Z92" s="55">
        <f>IF(Z2&gt;=Assumptions!$B$50,Z67*Assumptions!$B$158*Assumptions!$B$25/12*Z7,0)</f>
        <v/>
      </c>
      <c r="AA92" s="55">
        <f>IF(AA2&gt;=Assumptions!$B$50,AA67*Assumptions!$B$158*Assumptions!$B$25/12*AA7,0)</f>
        <v/>
      </c>
      <c r="AB92" s="55">
        <f>IF(AB2&gt;=Assumptions!$B$50,AB67*Assumptions!$B$158*Assumptions!$B$25/12*AB7,0)</f>
        <v/>
      </c>
      <c r="AC92" s="55">
        <f>IF(AC2&gt;=Assumptions!$B$50,AC67*Assumptions!$B$158*Assumptions!$B$25/12*AC7,0)</f>
        <v/>
      </c>
      <c r="AD92" s="55">
        <f>IF(AD2&gt;=Assumptions!$B$50,AD67*Assumptions!$B$158*Assumptions!$B$25/12*AD7,0)</f>
        <v/>
      </c>
      <c r="AE92" s="55">
        <f>IF(AE2&gt;=Assumptions!$B$50,AE67*Assumptions!$B$158*Assumptions!$B$25/12*AE7,0)</f>
        <v/>
      </c>
    </row>
    <row r="93">
      <c r="A93" s="6" t="inlineStr">
        <is>
          <t xml:space="preserve">  Stream 4 - Cardholder fees (FX, ATM, events)</t>
        </is>
      </c>
      <c r="B93" s="23" t="inlineStr">
        <is>
          <t>USD</t>
        </is>
      </c>
      <c r="C93" s="55">
        <f>IF(C2&gt;=Assumptions!$B$52,C86*C17*Assumptions!$B$17+C81*(Assumptions!$B$147*MAX(0,Assumptions!$B$151-Assumptions!$B$18)+Assumptions!$B$148*MAX(0,Assumptions!$B$152-Assumptions!$B$18)+Assumptions!$B$149*MAX(0,Assumptions!$B$153-Assumptions!$B$18)+Assumptions!$B$150*MAX(0,Assumptions!$B$154-Assumptions!$B$18))*Assumptions!$B$19/Assumptions!$B$7*C7+C81*(Assumptions!$B$145*Assumptions!$B$20+Assumptions!$B$146*Assumptions!$B$21)/12/Assumptions!$B$7*C7,0)</f>
        <v/>
      </c>
      <c r="D93" s="55">
        <f>IF(D2&gt;=Assumptions!$B$52,D86*D17*Assumptions!$B$17+D81*(Assumptions!$B$147*MAX(0,Assumptions!$B$151-Assumptions!$B$18)+Assumptions!$B$148*MAX(0,Assumptions!$B$152-Assumptions!$B$18)+Assumptions!$B$149*MAX(0,Assumptions!$B$153-Assumptions!$B$18)+Assumptions!$B$150*MAX(0,Assumptions!$B$154-Assumptions!$B$18))*Assumptions!$B$19/Assumptions!$B$7*D7+D81*(Assumptions!$B$145*Assumptions!$B$20+Assumptions!$B$146*Assumptions!$B$21)/12/Assumptions!$B$7*D7,0)</f>
        <v/>
      </c>
      <c r="E93" s="55">
        <f>IF(E2&gt;=Assumptions!$B$52,E86*E17*Assumptions!$B$17+E81*(Assumptions!$B$147*MAX(0,Assumptions!$B$151-Assumptions!$B$18)+Assumptions!$B$148*MAX(0,Assumptions!$B$152-Assumptions!$B$18)+Assumptions!$B$149*MAX(0,Assumptions!$B$153-Assumptions!$B$18)+Assumptions!$B$150*MAX(0,Assumptions!$B$154-Assumptions!$B$18))*Assumptions!$B$19/Assumptions!$B$7*E7+E81*(Assumptions!$B$145*Assumptions!$B$20+Assumptions!$B$146*Assumptions!$B$21)/12/Assumptions!$B$7*E7,0)</f>
        <v/>
      </c>
      <c r="F93" s="55">
        <f>IF(F2&gt;=Assumptions!$B$52,F86*F17*Assumptions!$B$17+F81*(Assumptions!$B$147*MAX(0,Assumptions!$B$151-Assumptions!$B$18)+Assumptions!$B$148*MAX(0,Assumptions!$B$152-Assumptions!$B$18)+Assumptions!$B$149*MAX(0,Assumptions!$B$153-Assumptions!$B$18)+Assumptions!$B$150*MAX(0,Assumptions!$B$154-Assumptions!$B$18))*Assumptions!$B$19/Assumptions!$B$7*F7+F81*(Assumptions!$B$145*Assumptions!$B$20+Assumptions!$B$146*Assumptions!$B$21)/12/Assumptions!$B$7*F7,0)</f>
        <v/>
      </c>
      <c r="G93" s="55">
        <f>IF(G2&gt;=Assumptions!$B$52,G86*G17*Assumptions!$B$17+G81*(Assumptions!$B$147*MAX(0,Assumptions!$B$151-Assumptions!$B$18)+Assumptions!$B$148*MAX(0,Assumptions!$B$152-Assumptions!$B$18)+Assumptions!$B$149*MAX(0,Assumptions!$B$153-Assumptions!$B$18)+Assumptions!$B$150*MAX(0,Assumptions!$B$154-Assumptions!$B$18))*Assumptions!$B$19/Assumptions!$B$7*G7+G81*(Assumptions!$B$145*Assumptions!$B$20+Assumptions!$B$146*Assumptions!$B$21)/12/Assumptions!$B$7*G7,0)</f>
        <v/>
      </c>
      <c r="H93" s="55">
        <f>IF(H2&gt;=Assumptions!$B$52,H86*H17*Assumptions!$B$17+H81*(Assumptions!$B$147*MAX(0,Assumptions!$B$151-Assumptions!$B$18)+Assumptions!$B$148*MAX(0,Assumptions!$B$152-Assumptions!$B$18)+Assumptions!$B$149*MAX(0,Assumptions!$B$153-Assumptions!$B$18)+Assumptions!$B$150*MAX(0,Assumptions!$B$154-Assumptions!$B$18))*Assumptions!$B$19/Assumptions!$B$7*H7+H81*(Assumptions!$B$145*Assumptions!$B$20+Assumptions!$B$146*Assumptions!$B$21)/12/Assumptions!$B$7*H7,0)</f>
        <v/>
      </c>
      <c r="I93" s="55">
        <f>IF(I2&gt;=Assumptions!$B$52,I86*I17*Assumptions!$B$17+I81*(Assumptions!$B$147*MAX(0,Assumptions!$B$151-Assumptions!$B$18)+Assumptions!$B$148*MAX(0,Assumptions!$B$152-Assumptions!$B$18)+Assumptions!$B$149*MAX(0,Assumptions!$B$153-Assumptions!$B$18)+Assumptions!$B$150*MAX(0,Assumptions!$B$154-Assumptions!$B$18))*Assumptions!$B$19/Assumptions!$B$7*I7+I81*(Assumptions!$B$145*Assumptions!$B$20+Assumptions!$B$146*Assumptions!$B$21)/12/Assumptions!$B$7*I7,0)</f>
        <v/>
      </c>
      <c r="J93" s="55">
        <f>IF(J2&gt;=Assumptions!$B$52,J86*J17*Assumptions!$B$17+J81*(Assumptions!$B$147*MAX(0,Assumptions!$B$151-Assumptions!$B$18)+Assumptions!$B$148*MAX(0,Assumptions!$B$152-Assumptions!$B$18)+Assumptions!$B$149*MAX(0,Assumptions!$B$153-Assumptions!$B$18)+Assumptions!$B$150*MAX(0,Assumptions!$B$154-Assumptions!$B$18))*Assumptions!$B$19/Assumptions!$B$7*J7+J81*(Assumptions!$B$145*Assumptions!$B$20+Assumptions!$B$146*Assumptions!$B$21)/12/Assumptions!$B$7*J7,0)</f>
        <v/>
      </c>
      <c r="K93" s="55">
        <f>IF(K2&gt;=Assumptions!$B$52,K86*K17*Assumptions!$B$17+K81*(Assumptions!$B$147*MAX(0,Assumptions!$B$151-Assumptions!$B$18)+Assumptions!$B$148*MAX(0,Assumptions!$B$152-Assumptions!$B$18)+Assumptions!$B$149*MAX(0,Assumptions!$B$153-Assumptions!$B$18)+Assumptions!$B$150*MAX(0,Assumptions!$B$154-Assumptions!$B$18))*Assumptions!$B$19/Assumptions!$B$7*K7+K81*(Assumptions!$B$145*Assumptions!$B$20+Assumptions!$B$146*Assumptions!$B$21)/12/Assumptions!$B$7*K7,0)</f>
        <v/>
      </c>
      <c r="L93" s="55">
        <f>IF(L2&gt;=Assumptions!$B$52,L86*L17*Assumptions!$B$17+L81*(Assumptions!$B$147*MAX(0,Assumptions!$B$151-Assumptions!$B$18)+Assumptions!$B$148*MAX(0,Assumptions!$B$152-Assumptions!$B$18)+Assumptions!$B$149*MAX(0,Assumptions!$B$153-Assumptions!$B$18)+Assumptions!$B$150*MAX(0,Assumptions!$B$154-Assumptions!$B$18))*Assumptions!$B$19/Assumptions!$B$7*L7+L81*(Assumptions!$B$145*Assumptions!$B$20+Assumptions!$B$146*Assumptions!$B$21)/12/Assumptions!$B$7*L7,0)</f>
        <v/>
      </c>
      <c r="M93" s="55">
        <f>IF(M2&gt;=Assumptions!$B$52,M86*M17*Assumptions!$B$17+M81*(Assumptions!$B$147*MAX(0,Assumptions!$B$151-Assumptions!$B$18)+Assumptions!$B$148*MAX(0,Assumptions!$B$152-Assumptions!$B$18)+Assumptions!$B$149*MAX(0,Assumptions!$B$153-Assumptions!$B$18)+Assumptions!$B$150*MAX(0,Assumptions!$B$154-Assumptions!$B$18))*Assumptions!$B$19/Assumptions!$B$7*M7+M81*(Assumptions!$B$145*Assumptions!$B$20+Assumptions!$B$146*Assumptions!$B$21)/12/Assumptions!$B$7*M7,0)</f>
        <v/>
      </c>
      <c r="N93" s="55">
        <f>IF(N2&gt;=Assumptions!$B$52,N86*N17*Assumptions!$B$17+N81*(Assumptions!$B$147*MAX(0,Assumptions!$B$151-Assumptions!$B$18)+Assumptions!$B$148*MAX(0,Assumptions!$B$152-Assumptions!$B$18)+Assumptions!$B$149*MAX(0,Assumptions!$B$153-Assumptions!$B$18)+Assumptions!$B$150*MAX(0,Assumptions!$B$154-Assumptions!$B$18))*Assumptions!$B$19/Assumptions!$B$7*N7+N81*(Assumptions!$B$145*Assumptions!$B$20+Assumptions!$B$146*Assumptions!$B$21)/12/Assumptions!$B$7*N7,0)</f>
        <v/>
      </c>
      <c r="O93" s="55">
        <f>IF(O2&gt;=Assumptions!$B$52,O86*O17*Assumptions!$B$17+O81*(Assumptions!$B$147*MAX(0,Assumptions!$B$151-Assumptions!$B$18)+Assumptions!$B$148*MAX(0,Assumptions!$B$152-Assumptions!$B$18)+Assumptions!$B$149*MAX(0,Assumptions!$B$153-Assumptions!$B$18)+Assumptions!$B$150*MAX(0,Assumptions!$B$154-Assumptions!$B$18))*Assumptions!$B$19/Assumptions!$B$7*O7+O81*(Assumptions!$B$145*Assumptions!$B$20+Assumptions!$B$146*Assumptions!$B$21)/12/Assumptions!$B$7*O7,0)</f>
        <v/>
      </c>
      <c r="P93" s="55">
        <f>IF(P2&gt;=Assumptions!$B$52,P86*P17*Assumptions!$B$17+P81*(Assumptions!$B$147*MAX(0,Assumptions!$B$151-Assumptions!$B$18)+Assumptions!$B$148*MAX(0,Assumptions!$B$152-Assumptions!$B$18)+Assumptions!$B$149*MAX(0,Assumptions!$B$153-Assumptions!$B$18)+Assumptions!$B$150*MAX(0,Assumptions!$B$154-Assumptions!$B$18))*Assumptions!$B$19/Assumptions!$B$7*P7+P81*(Assumptions!$B$145*Assumptions!$B$20+Assumptions!$B$146*Assumptions!$B$21)/12/Assumptions!$B$7*P7,0)</f>
        <v/>
      </c>
      <c r="Q93" s="55">
        <f>IF(Q2&gt;=Assumptions!$B$52,Q86*Q17*Assumptions!$B$17+Q81*(Assumptions!$B$147*MAX(0,Assumptions!$B$151-Assumptions!$B$18)+Assumptions!$B$148*MAX(0,Assumptions!$B$152-Assumptions!$B$18)+Assumptions!$B$149*MAX(0,Assumptions!$B$153-Assumptions!$B$18)+Assumptions!$B$150*MAX(0,Assumptions!$B$154-Assumptions!$B$18))*Assumptions!$B$19/Assumptions!$B$7*Q7+Q81*(Assumptions!$B$145*Assumptions!$B$20+Assumptions!$B$146*Assumptions!$B$21)/12/Assumptions!$B$7*Q7,0)</f>
        <v/>
      </c>
      <c r="R93" s="55">
        <f>IF(R2&gt;=Assumptions!$B$52,R86*R17*Assumptions!$B$17+R81*(Assumptions!$B$147*MAX(0,Assumptions!$B$151-Assumptions!$B$18)+Assumptions!$B$148*MAX(0,Assumptions!$B$152-Assumptions!$B$18)+Assumptions!$B$149*MAX(0,Assumptions!$B$153-Assumptions!$B$18)+Assumptions!$B$150*MAX(0,Assumptions!$B$154-Assumptions!$B$18))*Assumptions!$B$19/Assumptions!$B$7*R7+R81*(Assumptions!$B$145*Assumptions!$B$20+Assumptions!$B$146*Assumptions!$B$21)/12/Assumptions!$B$7*R7,0)</f>
        <v/>
      </c>
      <c r="S93" s="55">
        <f>IF(S2&gt;=Assumptions!$B$52,S86*S17*Assumptions!$B$17+S81*(Assumptions!$B$147*MAX(0,Assumptions!$B$151-Assumptions!$B$18)+Assumptions!$B$148*MAX(0,Assumptions!$B$152-Assumptions!$B$18)+Assumptions!$B$149*MAX(0,Assumptions!$B$153-Assumptions!$B$18)+Assumptions!$B$150*MAX(0,Assumptions!$B$154-Assumptions!$B$18))*Assumptions!$B$19/Assumptions!$B$7*S7+S81*(Assumptions!$B$145*Assumptions!$B$20+Assumptions!$B$146*Assumptions!$B$21)/12/Assumptions!$B$7*S7,0)</f>
        <v/>
      </c>
      <c r="T93" s="55">
        <f>IF(T2&gt;=Assumptions!$B$52,T86*T17*Assumptions!$B$17+T81*(Assumptions!$B$147*MAX(0,Assumptions!$B$151-Assumptions!$B$18)+Assumptions!$B$148*MAX(0,Assumptions!$B$152-Assumptions!$B$18)+Assumptions!$B$149*MAX(0,Assumptions!$B$153-Assumptions!$B$18)+Assumptions!$B$150*MAX(0,Assumptions!$B$154-Assumptions!$B$18))*Assumptions!$B$19/Assumptions!$B$7*T7+T81*(Assumptions!$B$145*Assumptions!$B$20+Assumptions!$B$146*Assumptions!$B$21)/12/Assumptions!$B$7*T7,0)</f>
        <v/>
      </c>
      <c r="U93" s="55">
        <f>IF(U2&gt;=Assumptions!$B$52,U86*U17*Assumptions!$B$17+U81*(Assumptions!$B$147*MAX(0,Assumptions!$B$151-Assumptions!$B$18)+Assumptions!$B$148*MAX(0,Assumptions!$B$152-Assumptions!$B$18)+Assumptions!$B$149*MAX(0,Assumptions!$B$153-Assumptions!$B$18)+Assumptions!$B$150*MAX(0,Assumptions!$B$154-Assumptions!$B$18))*Assumptions!$B$19/Assumptions!$B$7*U7+U81*(Assumptions!$B$145*Assumptions!$B$20+Assumptions!$B$146*Assumptions!$B$21)/12/Assumptions!$B$7*U7,0)</f>
        <v/>
      </c>
      <c r="V93" s="55">
        <f>IF(V2&gt;=Assumptions!$B$52,V86*V17*Assumptions!$B$17+V81*(Assumptions!$B$147*MAX(0,Assumptions!$B$151-Assumptions!$B$18)+Assumptions!$B$148*MAX(0,Assumptions!$B$152-Assumptions!$B$18)+Assumptions!$B$149*MAX(0,Assumptions!$B$153-Assumptions!$B$18)+Assumptions!$B$150*MAX(0,Assumptions!$B$154-Assumptions!$B$18))*Assumptions!$B$19/Assumptions!$B$7*V7+V81*(Assumptions!$B$145*Assumptions!$B$20+Assumptions!$B$146*Assumptions!$B$21)/12/Assumptions!$B$7*V7,0)</f>
        <v/>
      </c>
      <c r="W93" s="55">
        <f>IF(W2&gt;=Assumptions!$B$52,W86*W17*Assumptions!$B$17+W81*(Assumptions!$B$147*MAX(0,Assumptions!$B$151-Assumptions!$B$18)+Assumptions!$B$148*MAX(0,Assumptions!$B$152-Assumptions!$B$18)+Assumptions!$B$149*MAX(0,Assumptions!$B$153-Assumptions!$B$18)+Assumptions!$B$150*MAX(0,Assumptions!$B$154-Assumptions!$B$18))*Assumptions!$B$19/Assumptions!$B$7*W7+W81*(Assumptions!$B$145*Assumptions!$B$20+Assumptions!$B$146*Assumptions!$B$21)/12/Assumptions!$B$7*W7,0)</f>
        <v/>
      </c>
      <c r="X93" s="55">
        <f>IF(X2&gt;=Assumptions!$B$52,X86*X17*Assumptions!$B$17+X81*(Assumptions!$B$147*MAX(0,Assumptions!$B$151-Assumptions!$B$18)+Assumptions!$B$148*MAX(0,Assumptions!$B$152-Assumptions!$B$18)+Assumptions!$B$149*MAX(0,Assumptions!$B$153-Assumptions!$B$18)+Assumptions!$B$150*MAX(0,Assumptions!$B$154-Assumptions!$B$18))*Assumptions!$B$19/Assumptions!$B$7*X7+X81*(Assumptions!$B$145*Assumptions!$B$20+Assumptions!$B$146*Assumptions!$B$21)/12/Assumptions!$B$7*X7,0)</f>
        <v/>
      </c>
      <c r="Y93" s="55">
        <f>IF(Y2&gt;=Assumptions!$B$52,Y86*Y17*Assumptions!$B$17+Y81*(Assumptions!$B$147*MAX(0,Assumptions!$B$151-Assumptions!$B$18)+Assumptions!$B$148*MAX(0,Assumptions!$B$152-Assumptions!$B$18)+Assumptions!$B$149*MAX(0,Assumptions!$B$153-Assumptions!$B$18)+Assumptions!$B$150*MAX(0,Assumptions!$B$154-Assumptions!$B$18))*Assumptions!$B$19/Assumptions!$B$7*Y7+Y81*(Assumptions!$B$145*Assumptions!$B$20+Assumptions!$B$146*Assumptions!$B$21)/12/Assumptions!$B$7*Y7,0)</f>
        <v/>
      </c>
      <c r="Z93" s="55">
        <f>IF(Z2&gt;=Assumptions!$B$52,Z86*Z17*Assumptions!$B$17+Z81*(Assumptions!$B$147*MAX(0,Assumptions!$B$151-Assumptions!$B$18)+Assumptions!$B$148*MAX(0,Assumptions!$B$152-Assumptions!$B$18)+Assumptions!$B$149*MAX(0,Assumptions!$B$153-Assumptions!$B$18)+Assumptions!$B$150*MAX(0,Assumptions!$B$154-Assumptions!$B$18))*Assumptions!$B$19/Assumptions!$B$7*Z7+Z81*(Assumptions!$B$145*Assumptions!$B$20+Assumptions!$B$146*Assumptions!$B$21)/12/Assumptions!$B$7*Z7,0)</f>
        <v/>
      </c>
      <c r="AA93" s="55">
        <f>IF(AA2&gt;=Assumptions!$B$52,AA86*AA17*Assumptions!$B$17+AA81*(Assumptions!$B$147*MAX(0,Assumptions!$B$151-Assumptions!$B$18)+Assumptions!$B$148*MAX(0,Assumptions!$B$152-Assumptions!$B$18)+Assumptions!$B$149*MAX(0,Assumptions!$B$153-Assumptions!$B$18)+Assumptions!$B$150*MAX(0,Assumptions!$B$154-Assumptions!$B$18))*Assumptions!$B$19/Assumptions!$B$7*AA7+AA81*(Assumptions!$B$145*Assumptions!$B$20+Assumptions!$B$146*Assumptions!$B$21)/12/Assumptions!$B$7*AA7,0)</f>
        <v/>
      </c>
      <c r="AB93" s="55">
        <f>IF(AB2&gt;=Assumptions!$B$52,AB86*AB17*Assumptions!$B$17+AB81*(Assumptions!$B$147*MAX(0,Assumptions!$B$151-Assumptions!$B$18)+Assumptions!$B$148*MAX(0,Assumptions!$B$152-Assumptions!$B$18)+Assumptions!$B$149*MAX(0,Assumptions!$B$153-Assumptions!$B$18)+Assumptions!$B$150*MAX(0,Assumptions!$B$154-Assumptions!$B$18))*Assumptions!$B$19/Assumptions!$B$7*AB7+AB81*(Assumptions!$B$145*Assumptions!$B$20+Assumptions!$B$146*Assumptions!$B$21)/12/Assumptions!$B$7*AB7,0)</f>
        <v/>
      </c>
      <c r="AC93" s="55">
        <f>IF(AC2&gt;=Assumptions!$B$52,AC86*AC17*Assumptions!$B$17+AC81*(Assumptions!$B$147*MAX(0,Assumptions!$B$151-Assumptions!$B$18)+Assumptions!$B$148*MAX(0,Assumptions!$B$152-Assumptions!$B$18)+Assumptions!$B$149*MAX(0,Assumptions!$B$153-Assumptions!$B$18)+Assumptions!$B$150*MAX(0,Assumptions!$B$154-Assumptions!$B$18))*Assumptions!$B$19/Assumptions!$B$7*AC7+AC81*(Assumptions!$B$145*Assumptions!$B$20+Assumptions!$B$146*Assumptions!$B$21)/12/Assumptions!$B$7*AC7,0)</f>
        <v/>
      </c>
      <c r="AD93" s="55">
        <f>IF(AD2&gt;=Assumptions!$B$52,AD86*AD17*Assumptions!$B$17+AD81*(Assumptions!$B$147*MAX(0,Assumptions!$B$151-Assumptions!$B$18)+Assumptions!$B$148*MAX(0,Assumptions!$B$152-Assumptions!$B$18)+Assumptions!$B$149*MAX(0,Assumptions!$B$153-Assumptions!$B$18)+Assumptions!$B$150*MAX(0,Assumptions!$B$154-Assumptions!$B$18))*Assumptions!$B$19/Assumptions!$B$7*AD7+AD81*(Assumptions!$B$145*Assumptions!$B$20+Assumptions!$B$146*Assumptions!$B$21)/12/Assumptions!$B$7*AD7,0)</f>
        <v/>
      </c>
      <c r="AE93" s="55">
        <f>IF(AE2&gt;=Assumptions!$B$52,AE86*AE17*Assumptions!$B$17+AE81*(Assumptions!$B$147*MAX(0,Assumptions!$B$151-Assumptions!$B$18)+Assumptions!$B$148*MAX(0,Assumptions!$B$152-Assumptions!$B$18)+Assumptions!$B$149*MAX(0,Assumptions!$B$153-Assumptions!$B$18)+Assumptions!$B$150*MAX(0,Assumptions!$B$154-Assumptions!$B$18))*Assumptions!$B$19/Assumptions!$B$7*AE7+AE81*(Assumptions!$B$145*Assumptions!$B$20+Assumptions!$B$146*Assumptions!$B$21)/12/Assumptions!$B$7*AE7,0)</f>
        <v/>
      </c>
    </row>
    <row r="94">
      <c r="A94" s="6" t="inlineStr">
        <is>
          <t xml:space="preserve">  Average drawn balance outstanding</t>
        </is>
      </c>
      <c r="B94" s="23" t="inlineStr">
        <is>
          <t>USD</t>
        </is>
      </c>
      <c r="C94" s="55">
        <f>IF(C2&gt;=Assumptions!$B$53,C81*C82*(1-Assumptions!$B$170)*Assumptions!$B$155*Assumptions!$B$156,0)</f>
        <v/>
      </c>
      <c r="D94" s="55">
        <f>IF(D2&gt;=Assumptions!$B$53,D81*D82*(1-Assumptions!$B$170)*Assumptions!$B$155*Assumptions!$B$156,0)</f>
        <v/>
      </c>
      <c r="E94" s="55">
        <f>IF(E2&gt;=Assumptions!$B$53,E81*E82*(1-Assumptions!$B$170)*Assumptions!$B$155*Assumptions!$B$156,0)</f>
        <v/>
      </c>
      <c r="F94" s="55">
        <f>IF(F2&gt;=Assumptions!$B$53,F81*F82*(1-Assumptions!$B$170)*Assumptions!$B$155*Assumptions!$B$156,0)</f>
        <v/>
      </c>
      <c r="G94" s="55">
        <f>IF(G2&gt;=Assumptions!$B$53,G81*G82*(1-Assumptions!$B$170)*Assumptions!$B$155*Assumptions!$B$156,0)</f>
        <v/>
      </c>
      <c r="H94" s="55">
        <f>IF(H2&gt;=Assumptions!$B$53,H81*H82*(1-Assumptions!$B$170)*Assumptions!$B$155*Assumptions!$B$156,0)</f>
        <v/>
      </c>
      <c r="I94" s="55">
        <f>IF(I2&gt;=Assumptions!$B$53,I81*I82*(1-Assumptions!$B$170)*Assumptions!$B$155*Assumptions!$B$156,0)</f>
        <v/>
      </c>
      <c r="J94" s="55">
        <f>IF(J2&gt;=Assumptions!$B$53,J81*J82*(1-Assumptions!$B$170)*Assumptions!$B$155*Assumptions!$B$156,0)</f>
        <v/>
      </c>
      <c r="K94" s="55">
        <f>IF(K2&gt;=Assumptions!$B$53,K81*K82*(1-Assumptions!$B$170)*Assumptions!$B$155*Assumptions!$B$156,0)</f>
        <v/>
      </c>
      <c r="L94" s="55">
        <f>IF(L2&gt;=Assumptions!$B$53,L81*L82*(1-Assumptions!$B$170)*Assumptions!$B$155*Assumptions!$B$156,0)</f>
        <v/>
      </c>
      <c r="M94" s="55">
        <f>IF(M2&gt;=Assumptions!$B$53,M81*M82*(1-Assumptions!$B$170)*Assumptions!$B$155*Assumptions!$B$156,0)</f>
        <v/>
      </c>
      <c r="N94" s="55">
        <f>IF(N2&gt;=Assumptions!$B$53,N81*N82*(1-Assumptions!$B$170)*Assumptions!$B$155*Assumptions!$B$156,0)</f>
        <v/>
      </c>
      <c r="O94" s="55">
        <f>IF(O2&gt;=Assumptions!$B$53,O81*O82*(1-Assumptions!$B$170)*Assumptions!$B$155*Assumptions!$B$156,0)</f>
        <v/>
      </c>
      <c r="P94" s="55">
        <f>IF(P2&gt;=Assumptions!$B$53,P81*P82*(1-Assumptions!$B$170)*Assumptions!$B$155*Assumptions!$B$156,0)</f>
        <v/>
      </c>
      <c r="Q94" s="55">
        <f>IF(Q2&gt;=Assumptions!$B$53,Q81*Q82*(1-Assumptions!$B$170)*Assumptions!$B$155*Assumptions!$B$156,0)</f>
        <v/>
      </c>
      <c r="R94" s="55">
        <f>IF(R2&gt;=Assumptions!$B$53,R81*R82*(1-Assumptions!$B$170)*Assumptions!$B$155*Assumptions!$B$156,0)</f>
        <v/>
      </c>
      <c r="S94" s="55">
        <f>IF(S2&gt;=Assumptions!$B$53,S81*S82*(1-Assumptions!$B$170)*Assumptions!$B$155*Assumptions!$B$156,0)</f>
        <v/>
      </c>
      <c r="T94" s="55">
        <f>IF(T2&gt;=Assumptions!$B$53,T81*T82*(1-Assumptions!$B$170)*Assumptions!$B$155*Assumptions!$B$156,0)</f>
        <v/>
      </c>
      <c r="U94" s="55">
        <f>IF(U2&gt;=Assumptions!$B$53,U81*U82*(1-Assumptions!$B$170)*Assumptions!$B$155*Assumptions!$B$156,0)</f>
        <v/>
      </c>
      <c r="V94" s="55">
        <f>IF(V2&gt;=Assumptions!$B$53,V81*V82*(1-Assumptions!$B$170)*Assumptions!$B$155*Assumptions!$B$156,0)</f>
        <v/>
      </c>
      <c r="W94" s="55">
        <f>IF(W2&gt;=Assumptions!$B$53,W81*W82*(1-Assumptions!$B$170)*Assumptions!$B$155*Assumptions!$B$156,0)</f>
        <v/>
      </c>
      <c r="X94" s="55">
        <f>IF(X2&gt;=Assumptions!$B$53,X81*X82*(1-Assumptions!$B$170)*Assumptions!$B$155*Assumptions!$B$156,0)</f>
        <v/>
      </c>
      <c r="Y94" s="55">
        <f>IF(Y2&gt;=Assumptions!$B$53,Y81*Y82*(1-Assumptions!$B$170)*Assumptions!$B$155*Assumptions!$B$156,0)</f>
        <v/>
      </c>
      <c r="Z94" s="55">
        <f>IF(Z2&gt;=Assumptions!$B$53,Z81*Z82*(1-Assumptions!$B$170)*Assumptions!$B$155*Assumptions!$B$156,0)</f>
        <v/>
      </c>
      <c r="AA94" s="55">
        <f>IF(AA2&gt;=Assumptions!$B$53,AA81*AA82*(1-Assumptions!$B$170)*Assumptions!$B$155*Assumptions!$B$156,0)</f>
        <v/>
      </c>
      <c r="AB94" s="55">
        <f>IF(AB2&gt;=Assumptions!$B$53,AB81*AB82*(1-Assumptions!$B$170)*Assumptions!$B$155*Assumptions!$B$156,0)</f>
        <v/>
      </c>
      <c r="AC94" s="55">
        <f>IF(AC2&gt;=Assumptions!$B$53,AC81*AC82*(1-Assumptions!$B$170)*Assumptions!$B$155*Assumptions!$B$156,0)</f>
        <v/>
      </c>
      <c r="AD94" s="55">
        <f>IF(AD2&gt;=Assumptions!$B$53,AD81*AD82*(1-Assumptions!$B$170)*Assumptions!$B$155*Assumptions!$B$156,0)</f>
        <v/>
      </c>
      <c r="AE94" s="55">
        <f>IF(AE2&gt;=Assumptions!$B$53,AE81*AE82*(1-Assumptions!$B$170)*Assumptions!$B$155*Assumptions!$B$156,0)</f>
        <v/>
      </c>
    </row>
    <row r="95">
      <c r="A95" s="6" t="inlineStr">
        <is>
          <t xml:space="preserve">  Stream 5 - Lending revenue share</t>
        </is>
      </c>
      <c r="B95" s="23" t="inlineStr">
        <is>
          <t>USD</t>
        </is>
      </c>
      <c r="C95" s="55">
        <f>IF(C2&gt;=Assumptions!$B$53,(C94*Assumptions!$B$29*Assumptions!$B$30+C81*C83*(1-Assumptions!$B$170)*Assumptions!$B$27*Assumptions!$B$28)*C7/12,0)</f>
        <v/>
      </c>
      <c r="D95" s="55">
        <f>IF(D2&gt;=Assumptions!$B$53,(D94*Assumptions!$B$29*Assumptions!$B$30+D81*D83*(1-Assumptions!$B$170)*Assumptions!$B$27*Assumptions!$B$28)*D7/12,0)</f>
        <v/>
      </c>
      <c r="E95" s="55">
        <f>IF(E2&gt;=Assumptions!$B$53,(E94*Assumptions!$B$29*Assumptions!$B$30+E81*E83*(1-Assumptions!$B$170)*Assumptions!$B$27*Assumptions!$B$28)*E7/12,0)</f>
        <v/>
      </c>
      <c r="F95" s="55">
        <f>IF(F2&gt;=Assumptions!$B$53,(F94*Assumptions!$B$29*Assumptions!$B$30+F81*F83*(1-Assumptions!$B$170)*Assumptions!$B$27*Assumptions!$B$28)*F7/12,0)</f>
        <v/>
      </c>
      <c r="G95" s="55">
        <f>IF(G2&gt;=Assumptions!$B$53,(G94*Assumptions!$B$29*Assumptions!$B$30+G81*G83*(1-Assumptions!$B$170)*Assumptions!$B$27*Assumptions!$B$28)*G7/12,0)</f>
        <v/>
      </c>
      <c r="H95" s="55">
        <f>IF(H2&gt;=Assumptions!$B$53,(H94*Assumptions!$B$29*Assumptions!$B$30+H81*H83*(1-Assumptions!$B$170)*Assumptions!$B$27*Assumptions!$B$28)*H7/12,0)</f>
        <v/>
      </c>
      <c r="I95" s="55">
        <f>IF(I2&gt;=Assumptions!$B$53,(I94*Assumptions!$B$29*Assumptions!$B$30+I81*I83*(1-Assumptions!$B$170)*Assumptions!$B$27*Assumptions!$B$28)*I7/12,0)</f>
        <v/>
      </c>
      <c r="J95" s="55">
        <f>IF(J2&gt;=Assumptions!$B$53,(J94*Assumptions!$B$29*Assumptions!$B$30+J81*J83*(1-Assumptions!$B$170)*Assumptions!$B$27*Assumptions!$B$28)*J7/12,0)</f>
        <v/>
      </c>
      <c r="K95" s="55">
        <f>IF(K2&gt;=Assumptions!$B$53,(K94*Assumptions!$B$29*Assumptions!$B$30+K81*K83*(1-Assumptions!$B$170)*Assumptions!$B$27*Assumptions!$B$28)*K7/12,0)</f>
        <v/>
      </c>
      <c r="L95" s="55">
        <f>IF(L2&gt;=Assumptions!$B$53,(L94*Assumptions!$B$29*Assumptions!$B$30+L81*L83*(1-Assumptions!$B$170)*Assumptions!$B$27*Assumptions!$B$28)*L7/12,0)</f>
        <v/>
      </c>
      <c r="M95" s="55">
        <f>IF(M2&gt;=Assumptions!$B$53,(M94*Assumptions!$B$29*Assumptions!$B$30+M81*M83*(1-Assumptions!$B$170)*Assumptions!$B$27*Assumptions!$B$28)*M7/12,0)</f>
        <v/>
      </c>
      <c r="N95" s="55">
        <f>IF(N2&gt;=Assumptions!$B$53,(N94*Assumptions!$B$29*Assumptions!$B$30+N81*N83*(1-Assumptions!$B$170)*Assumptions!$B$27*Assumptions!$B$28)*N7/12,0)</f>
        <v/>
      </c>
      <c r="O95" s="55">
        <f>IF(O2&gt;=Assumptions!$B$53,(O94*Assumptions!$B$29*Assumptions!$B$30+O81*O83*(1-Assumptions!$B$170)*Assumptions!$B$27*Assumptions!$B$28)*O7/12,0)</f>
        <v/>
      </c>
      <c r="P95" s="55">
        <f>IF(P2&gt;=Assumptions!$B$53,(P94*Assumptions!$B$29*Assumptions!$B$30+P81*P83*(1-Assumptions!$B$170)*Assumptions!$B$27*Assumptions!$B$28)*P7/12,0)</f>
        <v/>
      </c>
      <c r="Q95" s="55">
        <f>IF(Q2&gt;=Assumptions!$B$53,(Q94*Assumptions!$B$29*Assumptions!$B$30+Q81*Q83*(1-Assumptions!$B$170)*Assumptions!$B$27*Assumptions!$B$28)*Q7/12,0)</f>
        <v/>
      </c>
      <c r="R95" s="55">
        <f>IF(R2&gt;=Assumptions!$B$53,(R94*Assumptions!$B$29*Assumptions!$B$30+R81*R83*(1-Assumptions!$B$170)*Assumptions!$B$27*Assumptions!$B$28)*R7/12,0)</f>
        <v/>
      </c>
      <c r="S95" s="55">
        <f>IF(S2&gt;=Assumptions!$B$53,(S94*Assumptions!$B$29*Assumptions!$B$30+S81*S83*(1-Assumptions!$B$170)*Assumptions!$B$27*Assumptions!$B$28)*S7/12,0)</f>
        <v/>
      </c>
      <c r="T95" s="55">
        <f>IF(T2&gt;=Assumptions!$B$53,(T94*Assumptions!$B$29*Assumptions!$B$30+T81*T83*(1-Assumptions!$B$170)*Assumptions!$B$27*Assumptions!$B$28)*T7/12,0)</f>
        <v/>
      </c>
      <c r="U95" s="55">
        <f>IF(U2&gt;=Assumptions!$B$53,(U94*Assumptions!$B$29*Assumptions!$B$30+U81*U83*(1-Assumptions!$B$170)*Assumptions!$B$27*Assumptions!$B$28)*U7/12,0)</f>
        <v/>
      </c>
      <c r="V95" s="55">
        <f>IF(V2&gt;=Assumptions!$B$53,(V94*Assumptions!$B$29*Assumptions!$B$30+V81*V83*(1-Assumptions!$B$170)*Assumptions!$B$27*Assumptions!$B$28)*V7/12,0)</f>
        <v/>
      </c>
      <c r="W95" s="55">
        <f>IF(W2&gt;=Assumptions!$B$53,(W94*Assumptions!$B$29*Assumptions!$B$30+W81*W83*(1-Assumptions!$B$170)*Assumptions!$B$27*Assumptions!$B$28)*W7/12,0)</f>
        <v/>
      </c>
      <c r="X95" s="55">
        <f>IF(X2&gt;=Assumptions!$B$53,(X94*Assumptions!$B$29*Assumptions!$B$30+X81*X83*(1-Assumptions!$B$170)*Assumptions!$B$27*Assumptions!$B$28)*X7/12,0)</f>
        <v/>
      </c>
      <c r="Y95" s="55">
        <f>IF(Y2&gt;=Assumptions!$B$53,(Y94*Assumptions!$B$29*Assumptions!$B$30+Y81*Y83*(1-Assumptions!$B$170)*Assumptions!$B$27*Assumptions!$B$28)*Y7/12,0)</f>
        <v/>
      </c>
      <c r="Z95" s="55">
        <f>IF(Z2&gt;=Assumptions!$B$53,(Z94*Assumptions!$B$29*Assumptions!$B$30+Z81*Z83*(1-Assumptions!$B$170)*Assumptions!$B$27*Assumptions!$B$28)*Z7/12,0)</f>
        <v/>
      </c>
      <c r="AA95" s="55">
        <f>IF(AA2&gt;=Assumptions!$B$53,(AA94*Assumptions!$B$29*Assumptions!$B$30+AA81*AA83*(1-Assumptions!$B$170)*Assumptions!$B$27*Assumptions!$B$28)*AA7/12,0)</f>
        <v/>
      </c>
      <c r="AB95" s="55">
        <f>IF(AB2&gt;=Assumptions!$B$53,(AB94*Assumptions!$B$29*Assumptions!$B$30+AB81*AB83*(1-Assumptions!$B$170)*Assumptions!$B$27*Assumptions!$B$28)*AB7/12,0)</f>
        <v/>
      </c>
      <c r="AC95" s="55">
        <f>IF(AC2&gt;=Assumptions!$B$53,(AC94*Assumptions!$B$29*Assumptions!$B$30+AC81*AC83*(1-Assumptions!$B$170)*Assumptions!$B$27*Assumptions!$B$28)*AC7/12,0)</f>
        <v/>
      </c>
      <c r="AD95" s="55">
        <f>IF(AD2&gt;=Assumptions!$B$53,(AD94*Assumptions!$B$29*Assumptions!$B$30+AD81*AD83*(1-Assumptions!$B$170)*Assumptions!$B$27*Assumptions!$B$28)*AD7/12,0)</f>
        <v/>
      </c>
      <c r="AE95" s="55">
        <f>IF(AE2&gt;=Assumptions!$B$53,(AE94*Assumptions!$B$29*Assumptions!$B$30+AE81*AE83*(1-Assumptions!$B$170)*Assumptions!$B$27*Assumptions!$B$28)*AE7/12,0)</f>
        <v/>
      </c>
    </row>
    <row r="96">
      <c r="A96" s="6" t="inlineStr">
        <is>
          <t xml:space="preserve">  Redemption events (memo - drives cost, not revenue)</t>
        </is>
      </c>
      <c r="B96" s="23" t="inlineStr">
        <is>
          <t>events</t>
        </is>
      </c>
      <c r="C96" s="45">
        <f>IF(C2&gt;=Assumptions!$B$49,(C67+C69*Assumptions!$B$137)*Assumptions!$B$136*C7/12,0)</f>
        <v/>
      </c>
      <c r="D96" s="45">
        <f>IF(D2&gt;=Assumptions!$B$49,(D67+D69*Assumptions!$B$137)*Assumptions!$B$136*D7/12,0)</f>
        <v/>
      </c>
      <c r="E96" s="45">
        <f>IF(E2&gt;=Assumptions!$B$49,(E67+E69*Assumptions!$B$137)*Assumptions!$B$136*E7/12,0)</f>
        <v/>
      </c>
      <c r="F96" s="45">
        <f>IF(F2&gt;=Assumptions!$B$49,(F67+F69*Assumptions!$B$137)*Assumptions!$B$136*F7/12,0)</f>
        <v/>
      </c>
      <c r="G96" s="45">
        <f>IF(G2&gt;=Assumptions!$B$49,(G67+G69*Assumptions!$B$137)*Assumptions!$B$136*G7/12,0)</f>
        <v/>
      </c>
      <c r="H96" s="45">
        <f>IF(H2&gt;=Assumptions!$B$49,(H67+H69*Assumptions!$B$137)*Assumptions!$B$136*H7/12,0)</f>
        <v/>
      </c>
      <c r="I96" s="45">
        <f>IF(I2&gt;=Assumptions!$B$49,(I67+I69*Assumptions!$B$137)*Assumptions!$B$136*I7/12,0)</f>
        <v/>
      </c>
      <c r="J96" s="45">
        <f>IF(J2&gt;=Assumptions!$B$49,(J67+J69*Assumptions!$B$137)*Assumptions!$B$136*J7/12,0)</f>
        <v/>
      </c>
      <c r="K96" s="45">
        <f>IF(K2&gt;=Assumptions!$B$49,(K67+K69*Assumptions!$B$137)*Assumptions!$B$136*K7/12,0)</f>
        <v/>
      </c>
      <c r="L96" s="45">
        <f>IF(L2&gt;=Assumptions!$B$49,(L67+L69*Assumptions!$B$137)*Assumptions!$B$136*L7/12,0)</f>
        <v/>
      </c>
      <c r="M96" s="45">
        <f>IF(M2&gt;=Assumptions!$B$49,(M67+M69*Assumptions!$B$137)*Assumptions!$B$136*M7/12,0)</f>
        <v/>
      </c>
      <c r="N96" s="45">
        <f>IF(N2&gt;=Assumptions!$B$49,(N67+N69*Assumptions!$B$137)*Assumptions!$B$136*N7/12,0)</f>
        <v/>
      </c>
      <c r="O96" s="45">
        <f>IF(O2&gt;=Assumptions!$B$49,(O67+O69*Assumptions!$B$137)*Assumptions!$B$136*O7/12,0)</f>
        <v/>
      </c>
      <c r="P96" s="45">
        <f>IF(P2&gt;=Assumptions!$B$49,(P67+P69*Assumptions!$B$137)*Assumptions!$B$136*P7/12,0)</f>
        <v/>
      </c>
      <c r="Q96" s="45">
        <f>IF(Q2&gt;=Assumptions!$B$49,(Q67+Q69*Assumptions!$B$137)*Assumptions!$B$136*Q7/12,0)</f>
        <v/>
      </c>
      <c r="R96" s="45">
        <f>IF(R2&gt;=Assumptions!$B$49,(R67+R69*Assumptions!$B$137)*Assumptions!$B$136*R7/12,0)</f>
        <v/>
      </c>
      <c r="S96" s="45">
        <f>IF(S2&gt;=Assumptions!$B$49,(S67+S69*Assumptions!$B$137)*Assumptions!$B$136*S7/12,0)</f>
        <v/>
      </c>
      <c r="T96" s="45">
        <f>IF(T2&gt;=Assumptions!$B$49,(T67+T69*Assumptions!$B$137)*Assumptions!$B$136*T7/12,0)</f>
        <v/>
      </c>
      <c r="U96" s="45">
        <f>IF(U2&gt;=Assumptions!$B$49,(U67+U69*Assumptions!$B$137)*Assumptions!$B$136*U7/12,0)</f>
        <v/>
      </c>
      <c r="V96" s="45">
        <f>IF(V2&gt;=Assumptions!$B$49,(V67+V69*Assumptions!$B$137)*Assumptions!$B$136*V7/12,0)</f>
        <v/>
      </c>
      <c r="W96" s="45">
        <f>IF(W2&gt;=Assumptions!$B$49,(W67+W69*Assumptions!$B$137)*Assumptions!$B$136*W7/12,0)</f>
        <v/>
      </c>
      <c r="X96" s="45">
        <f>IF(X2&gt;=Assumptions!$B$49,(X67+X69*Assumptions!$B$137)*Assumptions!$B$136*X7/12,0)</f>
        <v/>
      </c>
      <c r="Y96" s="45">
        <f>IF(Y2&gt;=Assumptions!$B$49,(Y67+Y69*Assumptions!$B$137)*Assumptions!$B$136*Y7/12,0)</f>
        <v/>
      </c>
      <c r="Z96" s="45">
        <f>IF(Z2&gt;=Assumptions!$B$49,(Z67+Z69*Assumptions!$B$137)*Assumptions!$B$136*Z7/12,0)</f>
        <v/>
      </c>
      <c r="AA96" s="45">
        <f>IF(AA2&gt;=Assumptions!$B$49,(AA67+AA69*Assumptions!$B$137)*Assumptions!$B$136*AA7/12,0)</f>
        <v/>
      </c>
      <c r="AB96" s="45">
        <f>IF(AB2&gt;=Assumptions!$B$49,(AB67+AB69*Assumptions!$B$137)*Assumptions!$B$136*AB7/12,0)</f>
        <v/>
      </c>
      <c r="AC96" s="45">
        <f>IF(AC2&gt;=Assumptions!$B$49,(AC67+AC69*Assumptions!$B$137)*Assumptions!$B$136*AC7/12,0)</f>
        <v/>
      </c>
      <c r="AD96" s="45">
        <f>IF(AD2&gt;=Assumptions!$B$49,(AD67+AD69*Assumptions!$B$137)*Assumptions!$B$136*AD7/12,0)</f>
        <v/>
      </c>
      <c r="AE96" s="45">
        <f>IF(AE2&gt;=Assumptions!$B$49,(AE67+AE69*Assumptions!$B$137)*Assumptions!$B$136*AE7/12,0)</f>
        <v/>
      </c>
    </row>
    <row r="97">
      <c r="A97" s="3" t="inlineStr">
        <is>
          <t xml:space="preserve">  SUBTOTAL - Oman and Bahrain</t>
        </is>
      </c>
      <c r="B97" s="23" t="inlineStr">
        <is>
          <t>USD</t>
        </is>
      </c>
      <c r="C97" s="57">
        <f>C89+C90+C91+C92+C93+C95</f>
        <v/>
      </c>
      <c r="D97" s="57">
        <f>D89+D90+D91+D92+D93+D95</f>
        <v/>
      </c>
      <c r="E97" s="57">
        <f>E89+E90+E91+E92+E93+E95</f>
        <v/>
      </c>
      <c r="F97" s="57">
        <f>F89+F90+F91+F92+F93+F95</f>
        <v/>
      </c>
      <c r="G97" s="57">
        <f>G89+G90+G91+G92+G93+G95</f>
        <v/>
      </c>
      <c r="H97" s="57">
        <f>H89+H90+H91+H92+H93+H95</f>
        <v/>
      </c>
      <c r="I97" s="57">
        <f>I89+I90+I91+I92+I93+I95</f>
        <v/>
      </c>
      <c r="J97" s="57">
        <f>J89+J90+J91+J92+J93+J95</f>
        <v/>
      </c>
      <c r="K97" s="57">
        <f>K89+K90+K91+K92+K93+K95</f>
        <v/>
      </c>
      <c r="L97" s="57">
        <f>L89+L90+L91+L92+L93+L95</f>
        <v/>
      </c>
      <c r="M97" s="57">
        <f>M89+M90+M91+M92+M93+M95</f>
        <v/>
      </c>
      <c r="N97" s="57">
        <f>N89+N90+N91+N92+N93+N95</f>
        <v/>
      </c>
      <c r="O97" s="57">
        <f>O89+O90+O91+O92+O93+O95</f>
        <v/>
      </c>
      <c r="P97" s="57">
        <f>P89+P90+P91+P92+P93+P95</f>
        <v/>
      </c>
      <c r="Q97" s="57">
        <f>Q89+Q90+Q91+Q92+Q93+Q95</f>
        <v/>
      </c>
      <c r="R97" s="57">
        <f>R89+R90+R91+R92+R93+R95</f>
        <v/>
      </c>
      <c r="S97" s="57">
        <f>S89+S90+S91+S92+S93+S95</f>
        <v/>
      </c>
      <c r="T97" s="57">
        <f>T89+T90+T91+T92+T93+T95</f>
        <v/>
      </c>
      <c r="U97" s="57">
        <f>U89+U90+U91+U92+U93+U95</f>
        <v/>
      </c>
      <c r="V97" s="57">
        <f>V89+V90+V91+V92+V93+V95</f>
        <v/>
      </c>
      <c r="W97" s="57">
        <f>W89+W90+W91+W92+W93+W95</f>
        <v/>
      </c>
      <c r="X97" s="57">
        <f>X89+X90+X91+X92+X93+X95</f>
        <v/>
      </c>
      <c r="Y97" s="57">
        <f>Y89+Y90+Y91+Y92+Y93+Y95</f>
        <v/>
      </c>
      <c r="Z97" s="57">
        <f>Z89+Z90+Z91+Z92+Z93+Z95</f>
        <v/>
      </c>
      <c r="AA97" s="57">
        <f>AA89+AA90+AA91+AA92+AA93+AA95</f>
        <v/>
      </c>
      <c r="AB97" s="57">
        <f>AB89+AB90+AB91+AB92+AB93+AB95</f>
        <v/>
      </c>
      <c r="AC97" s="57">
        <f>AC89+AC90+AC91+AC92+AC93+AC95</f>
        <v/>
      </c>
      <c r="AD97" s="57">
        <f>AD89+AD90+AD91+AD92+AD93+AD95</f>
        <v/>
      </c>
      <c r="AE97" s="57">
        <f>AE89+AE90+AE91+AE92+AE93+AE95</f>
        <v/>
      </c>
    </row>
    <row r="99">
      <c r="A99" s="46" t="inlineStr">
        <is>
          <t>REGION: INDIA</t>
        </is>
      </c>
      <c r="B99" s="47" t="n"/>
      <c r="C99" s="47" t="n"/>
      <c r="D99" s="47" t="n"/>
      <c r="E99" s="47" t="n"/>
      <c r="F99" s="47" t="n"/>
      <c r="G99" s="47" t="n"/>
      <c r="H99" s="47" t="n"/>
      <c r="I99" s="47" t="n"/>
      <c r="J99" s="47" t="n"/>
      <c r="K99" s="47" t="n"/>
      <c r="L99" s="47" t="n"/>
      <c r="M99" s="47" t="n"/>
      <c r="N99" s="47" t="n"/>
      <c r="O99" s="47" t="n"/>
      <c r="P99" s="47" t="n"/>
      <c r="Q99" s="47" t="n"/>
      <c r="R99" s="47" t="n"/>
      <c r="S99" s="47" t="n"/>
      <c r="T99" s="47" t="n"/>
      <c r="U99" s="47" t="n"/>
      <c r="V99" s="47" t="n"/>
      <c r="W99" s="47" t="n"/>
      <c r="X99" s="47" t="n"/>
      <c r="Y99" s="47" t="n"/>
      <c r="Z99" s="47" t="n"/>
      <c r="AA99" s="47" t="n"/>
      <c r="AB99" s="47" t="n"/>
      <c r="AC99" s="47" t="n"/>
      <c r="AD99" s="47" t="n"/>
      <c r="AE99" s="47" t="n"/>
    </row>
    <row r="100">
      <c r="A100" s="6" t="inlineStr">
        <is>
          <t xml:space="preserve">  Direct-driven (this market's budget at its own CAC)</t>
        </is>
      </c>
      <c r="B100" s="23" t="inlineStr">
        <is>
          <t>accounts</t>
        </is>
      </c>
      <c r="C100" s="53">
        <f>INDEX(Assumptions!$B$100:$B$106,C5)*Assumptions!$B$128/12*C7/Assumptions!$B$125*(1+Assumptions!$B$131)*IF(C2&gt;=Assumptions!$B$57,1,0)</f>
        <v/>
      </c>
      <c r="D100" s="53">
        <f>INDEX(Assumptions!$B$100:$B$106,D5)*Assumptions!$B$128/12*D7/Assumptions!$B$125*(1+Assumptions!$B$131)*IF(D2&gt;=Assumptions!$B$57,1,0)</f>
        <v/>
      </c>
      <c r="E100" s="53">
        <f>INDEX(Assumptions!$B$100:$B$106,E5)*Assumptions!$B$128/12*E7/Assumptions!$B$125*(1+Assumptions!$B$131)*IF(E2&gt;=Assumptions!$B$57,1,0)</f>
        <v/>
      </c>
      <c r="F100" s="53">
        <f>INDEX(Assumptions!$B$100:$B$106,F5)*Assumptions!$B$128/12*F7/Assumptions!$B$125*(1+Assumptions!$B$131)*IF(F2&gt;=Assumptions!$B$57,1,0)</f>
        <v/>
      </c>
      <c r="G100" s="53">
        <f>INDEX(Assumptions!$B$100:$B$106,G5)*Assumptions!$B$128/12*G7/Assumptions!$B$125*(1+Assumptions!$B$131)*IF(G2&gt;=Assumptions!$B$57,1,0)</f>
        <v/>
      </c>
      <c r="H100" s="53">
        <f>INDEX(Assumptions!$B$100:$B$106,H5)*Assumptions!$B$128/12*H7/Assumptions!$B$125*(1+Assumptions!$B$131)*IF(H2&gt;=Assumptions!$B$57,1,0)</f>
        <v/>
      </c>
      <c r="I100" s="53">
        <f>INDEX(Assumptions!$B$100:$B$106,I5)*Assumptions!$B$128/12*I7/Assumptions!$B$125*(1+Assumptions!$B$131)*IF(I2&gt;=Assumptions!$B$57,1,0)</f>
        <v/>
      </c>
      <c r="J100" s="53">
        <f>INDEX(Assumptions!$B$100:$B$106,J5)*Assumptions!$B$128/12*J7/Assumptions!$B$125*(1+Assumptions!$B$131)*IF(J2&gt;=Assumptions!$B$57,1,0)</f>
        <v/>
      </c>
      <c r="K100" s="53">
        <f>INDEX(Assumptions!$B$100:$B$106,K5)*Assumptions!$B$128/12*K7/Assumptions!$B$125*(1+Assumptions!$B$131)*IF(K2&gt;=Assumptions!$B$57,1,0)</f>
        <v/>
      </c>
      <c r="L100" s="53">
        <f>INDEX(Assumptions!$B$100:$B$106,L5)*Assumptions!$B$128/12*L7/Assumptions!$B$125*(1+Assumptions!$B$131)*IF(L2&gt;=Assumptions!$B$57,1,0)</f>
        <v/>
      </c>
      <c r="M100" s="53">
        <f>INDEX(Assumptions!$B$100:$B$106,M5)*Assumptions!$B$128/12*M7/Assumptions!$B$125*(1+Assumptions!$B$131)*IF(M2&gt;=Assumptions!$B$57,1,0)</f>
        <v/>
      </c>
      <c r="N100" s="53">
        <f>INDEX(Assumptions!$B$100:$B$106,N5)*Assumptions!$B$128/12*N7/Assumptions!$B$125*(1+Assumptions!$B$131)*IF(N2&gt;=Assumptions!$B$57,1,0)</f>
        <v/>
      </c>
      <c r="O100" s="53">
        <f>INDEX(Assumptions!$B$100:$B$106,O5)*Assumptions!$B$128/12*O7/Assumptions!$B$125*(1+Assumptions!$B$131)*IF(O2&gt;=Assumptions!$B$57,1,0)</f>
        <v/>
      </c>
      <c r="P100" s="53">
        <f>INDEX(Assumptions!$B$100:$B$106,P5)*Assumptions!$B$128/12*P7/Assumptions!$B$125*(1+Assumptions!$B$131)*IF(P2&gt;=Assumptions!$B$57,1,0)</f>
        <v/>
      </c>
      <c r="Q100" s="53">
        <f>INDEX(Assumptions!$B$100:$B$106,Q5)*Assumptions!$B$128/12*Q7/Assumptions!$B$125*(1+Assumptions!$B$131)*IF(Q2&gt;=Assumptions!$B$57,1,0)</f>
        <v/>
      </c>
      <c r="R100" s="53">
        <f>INDEX(Assumptions!$B$100:$B$106,R5)*Assumptions!$B$128/12*R7/Assumptions!$B$125*(1+Assumptions!$B$131)*IF(R2&gt;=Assumptions!$B$57,1,0)</f>
        <v/>
      </c>
      <c r="S100" s="53">
        <f>INDEX(Assumptions!$B$100:$B$106,S5)*Assumptions!$B$128/12*S7/Assumptions!$B$125*(1+Assumptions!$B$131)*IF(S2&gt;=Assumptions!$B$57,1,0)</f>
        <v/>
      </c>
      <c r="T100" s="53">
        <f>INDEX(Assumptions!$B$100:$B$106,T5)*Assumptions!$B$128/12*T7/Assumptions!$B$125*(1+Assumptions!$B$131)*IF(T2&gt;=Assumptions!$B$57,1,0)</f>
        <v/>
      </c>
      <c r="U100" s="53">
        <f>INDEX(Assumptions!$B$100:$B$106,U5)*Assumptions!$B$128/12*U7/Assumptions!$B$125*(1+Assumptions!$B$131)*IF(U2&gt;=Assumptions!$B$57,1,0)</f>
        <v/>
      </c>
      <c r="V100" s="53">
        <f>INDEX(Assumptions!$B$100:$B$106,V5)*Assumptions!$B$128/12*V7/Assumptions!$B$125*(1+Assumptions!$B$131)*IF(V2&gt;=Assumptions!$B$57,1,0)</f>
        <v/>
      </c>
      <c r="W100" s="53">
        <f>INDEX(Assumptions!$B$100:$B$106,W5)*Assumptions!$B$128/12*W7/Assumptions!$B$125*(1+Assumptions!$B$131)*IF(W2&gt;=Assumptions!$B$57,1,0)</f>
        <v/>
      </c>
      <c r="X100" s="53">
        <f>INDEX(Assumptions!$B$100:$B$106,X5)*Assumptions!$B$128/12*X7/Assumptions!$B$125*(1+Assumptions!$B$131)*IF(X2&gt;=Assumptions!$B$57,1,0)</f>
        <v/>
      </c>
      <c r="Y100" s="53">
        <f>INDEX(Assumptions!$B$100:$B$106,Y5)*Assumptions!$B$128/12*Y7/Assumptions!$B$125*(1+Assumptions!$B$131)*IF(Y2&gt;=Assumptions!$B$57,1,0)</f>
        <v/>
      </c>
      <c r="Z100" s="53">
        <f>INDEX(Assumptions!$B$100:$B$106,Z5)*Assumptions!$B$128/12*Z7/Assumptions!$B$125*(1+Assumptions!$B$131)*IF(Z2&gt;=Assumptions!$B$57,1,0)</f>
        <v/>
      </c>
      <c r="AA100" s="53">
        <f>INDEX(Assumptions!$B$100:$B$106,AA5)*Assumptions!$B$128/12*AA7/Assumptions!$B$125*(1+Assumptions!$B$131)*IF(AA2&gt;=Assumptions!$B$57,1,0)</f>
        <v/>
      </c>
      <c r="AB100" s="53">
        <f>INDEX(Assumptions!$B$100:$B$106,AB5)*Assumptions!$B$128/12*AB7/Assumptions!$B$125*(1+Assumptions!$B$131)*IF(AB2&gt;=Assumptions!$B$57,1,0)</f>
        <v/>
      </c>
      <c r="AC100" s="53">
        <f>INDEX(Assumptions!$B$100:$B$106,AC5)*Assumptions!$B$128/12*AC7/Assumptions!$B$125*(1+Assumptions!$B$131)*IF(AC2&gt;=Assumptions!$B$57,1,0)</f>
        <v/>
      </c>
      <c r="AD100" s="53">
        <f>INDEX(Assumptions!$B$100:$B$106,AD5)*Assumptions!$B$128/12*AD7/Assumptions!$B$125*(1+Assumptions!$B$131)*IF(AD2&gt;=Assumptions!$B$57,1,0)</f>
        <v/>
      </c>
      <c r="AE100" s="53">
        <f>INDEX(Assumptions!$B$100:$B$106,AE5)*Assumptions!$B$128/12*AE7/Assumptions!$B$125*(1+Assumptions!$B$131)*IF(AE2&gt;=Assumptions!$B$57,1,0)</f>
        <v/>
      </c>
    </row>
    <row r="101">
      <c r="A101" s="6" t="inlineStr">
        <is>
          <t xml:space="preserve">  Referral-driven (from this market's own base)</t>
        </is>
      </c>
      <c r="B101" s="23" t="inlineStr">
        <is>
          <t>accounts</t>
        </is>
      </c>
      <c r="C101" s="54" t="n">
        <v>0</v>
      </c>
      <c r="D101" s="54">
        <f>IF(D2&gt;=Assumptions!$B$55,C105*Assumptions!$B$129/12*Assumptions!$B$130*D7,0)</f>
        <v/>
      </c>
      <c r="E101" s="54">
        <f>IF(E2&gt;=Assumptions!$B$55,D105*Assumptions!$B$129/12*Assumptions!$B$130*E7,0)</f>
        <v/>
      </c>
      <c r="F101" s="54">
        <f>IF(F2&gt;=Assumptions!$B$55,E105*Assumptions!$B$129/12*Assumptions!$B$130*F7,0)</f>
        <v/>
      </c>
      <c r="G101" s="54">
        <f>IF(G2&gt;=Assumptions!$B$55,F105*Assumptions!$B$129/12*Assumptions!$B$130*G7,0)</f>
        <v/>
      </c>
      <c r="H101" s="54">
        <f>IF(H2&gt;=Assumptions!$B$55,G105*Assumptions!$B$129/12*Assumptions!$B$130*H7,0)</f>
        <v/>
      </c>
      <c r="I101" s="54">
        <f>IF(I2&gt;=Assumptions!$B$55,H105*Assumptions!$B$129/12*Assumptions!$B$130*I7,0)</f>
        <v/>
      </c>
      <c r="J101" s="54">
        <f>IF(J2&gt;=Assumptions!$B$55,I105*Assumptions!$B$129/12*Assumptions!$B$130*J7,0)</f>
        <v/>
      </c>
      <c r="K101" s="54">
        <f>IF(K2&gt;=Assumptions!$B$55,J105*Assumptions!$B$129/12*Assumptions!$B$130*K7,0)</f>
        <v/>
      </c>
      <c r="L101" s="54">
        <f>IF(L2&gt;=Assumptions!$B$55,K105*Assumptions!$B$129/12*Assumptions!$B$130*L7,0)</f>
        <v/>
      </c>
      <c r="M101" s="54">
        <f>IF(M2&gt;=Assumptions!$B$55,L105*Assumptions!$B$129/12*Assumptions!$B$130*M7,0)</f>
        <v/>
      </c>
      <c r="N101" s="54">
        <f>IF(N2&gt;=Assumptions!$B$55,M105*Assumptions!$B$129/12*Assumptions!$B$130*N7,0)</f>
        <v/>
      </c>
      <c r="O101" s="54">
        <f>IF(O2&gt;=Assumptions!$B$55,N105*Assumptions!$B$129/12*Assumptions!$B$130*O7,0)</f>
        <v/>
      </c>
      <c r="P101" s="54">
        <f>IF(P2&gt;=Assumptions!$B$55,O105*Assumptions!$B$129/12*Assumptions!$B$130*P7,0)</f>
        <v/>
      </c>
      <c r="Q101" s="54">
        <f>IF(Q2&gt;=Assumptions!$B$55,P105*Assumptions!$B$129/12*Assumptions!$B$130*Q7,0)</f>
        <v/>
      </c>
      <c r="R101" s="54">
        <f>IF(R2&gt;=Assumptions!$B$55,Q105*Assumptions!$B$129/12*Assumptions!$B$130*R7,0)</f>
        <v/>
      </c>
      <c r="S101" s="54">
        <f>IF(S2&gt;=Assumptions!$B$55,R105*Assumptions!$B$129/12*Assumptions!$B$130*S7,0)</f>
        <v/>
      </c>
      <c r="T101" s="54">
        <f>IF(T2&gt;=Assumptions!$B$55,S105*Assumptions!$B$129/12*Assumptions!$B$130*T7,0)</f>
        <v/>
      </c>
      <c r="U101" s="54">
        <f>IF(U2&gt;=Assumptions!$B$55,T105*Assumptions!$B$129/12*Assumptions!$B$130*U7,0)</f>
        <v/>
      </c>
      <c r="V101" s="54">
        <f>IF(V2&gt;=Assumptions!$B$55,U105*Assumptions!$B$129/12*Assumptions!$B$130*V7,0)</f>
        <v/>
      </c>
      <c r="W101" s="54">
        <f>IF(W2&gt;=Assumptions!$B$55,V105*Assumptions!$B$129/12*Assumptions!$B$130*W7,0)</f>
        <v/>
      </c>
      <c r="X101" s="54">
        <f>IF(X2&gt;=Assumptions!$B$55,W105*Assumptions!$B$129/12*Assumptions!$B$130*X7,0)</f>
        <v/>
      </c>
      <c r="Y101" s="54">
        <f>IF(Y2&gt;=Assumptions!$B$55,X105*Assumptions!$B$129/12*Assumptions!$B$130*Y7,0)</f>
        <v/>
      </c>
      <c r="Z101" s="54">
        <f>IF(Z2&gt;=Assumptions!$B$55,Y105*Assumptions!$B$129/12*Assumptions!$B$130*Z7,0)</f>
        <v/>
      </c>
      <c r="AA101" s="54">
        <f>IF(AA2&gt;=Assumptions!$B$55,Z105*Assumptions!$B$129/12*Assumptions!$B$130*AA7,0)</f>
        <v/>
      </c>
      <c r="AB101" s="54">
        <f>IF(AB2&gt;=Assumptions!$B$55,AA105*Assumptions!$B$129/12*Assumptions!$B$130*AB7,0)</f>
        <v/>
      </c>
      <c r="AC101" s="54">
        <f>IF(AC2&gt;=Assumptions!$B$55,AB105*Assumptions!$B$129/12*Assumptions!$B$130*AC7,0)</f>
        <v/>
      </c>
      <c r="AD101" s="54">
        <f>IF(AD2&gt;=Assumptions!$B$55,AC105*Assumptions!$B$129/12*Assumptions!$B$130*AD7,0)</f>
        <v/>
      </c>
      <c r="AE101" s="54">
        <f>IF(AE2&gt;=Assumptions!$B$55,AD105*Assumptions!$B$129/12*Assumptions!$B$130*AE7,0)</f>
        <v/>
      </c>
    </row>
    <row r="102">
      <c r="A102" s="6" t="inlineStr">
        <is>
          <t xml:space="preserve">  Raw demand</t>
        </is>
      </c>
      <c r="B102" s="23" t="inlineStr">
        <is>
          <t>accounts</t>
        </is>
      </c>
      <c r="C102" s="54">
        <f>C100+C101+IF(C21=0,0,C20*Assumptions!$B$116/C21*IF(C2&gt;=Assumptions!$B$57,1,0))</f>
        <v/>
      </c>
      <c r="D102" s="54">
        <f>D100+D101+IF(D21=0,0,D20*Assumptions!$B$116/D21*IF(D2&gt;=Assumptions!$B$57,1,0))</f>
        <v/>
      </c>
      <c r="E102" s="54">
        <f>E100+E101+IF(E21=0,0,E20*Assumptions!$B$116/E21*IF(E2&gt;=Assumptions!$B$57,1,0))</f>
        <v/>
      </c>
      <c r="F102" s="54">
        <f>F100+F101+IF(F21=0,0,F20*Assumptions!$B$116/F21*IF(F2&gt;=Assumptions!$B$57,1,0))</f>
        <v/>
      </c>
      <c r="G102" s="54">
        <f>G100+G101+IF(G21=0,0,G20*Assumptions!$B$116/G21*IF(G2&gt;=Assumptions!$B$57,1,0))</f>
        <v/>
      </c>
      <c r="H102" s="54">
        <f>H100+H101+IF(H21=0,0,H20*Assumptions!$B$116/H21*IF(H2&gt;=Assumptions!$B$57,1,0))</f>
        <v/>
      </c>
      <c r="I102" s="54">
        <f>I100+I101+IF(I21=0,0,I20*Assumptions!$B$116/I21*IF(I2&gt;=Assumptions!$B$57,1,0))</f>
        <v/>
      </c>
      <c r="J102" s="54">
        <f>J100+J101+IF(J21=0,0,J20*Assumptions!$B$116/J21*IF(J2&gt;=Assumptions!$B$57,1,0))</f>
        <v/>
      </c>
      <c r="K102" s="54">
        <f>K100+K101+IF(K21=0,0,K20*Assumptions!$B$116/K21*IF(K2&gt;=Assumptions!$B$57,1,0))</f>
        <v/>
      </c>
      <c r="L102" s="54">
        <f>L100+L101+IF(L21=0,0,L20*Assumptions!$B$116/L21*IF(L2&gt;=Assumptions!$B$57,1,0))</f>
        <v/>
      </c>
      <c r="M102" s="54">
        <f>M100+M101+IF(M21=0,0,M20*Assumptions!$B$116/M21*IF(M2&gt;=Assumptions!$B$57,1,0))</f>
        <v/>
      </c>
      <c r="N102" s="54">
        <f>N100+N101+IF(N21=0,0,N20*Assumptions!$B$116/N21*IF(N2&gt;=Assumptions!$B$57,1,0))</f>
        <v/>
      </c>
      <c r="O102" s="54">
        <f>O100+O101+IF(O21=0,0,O20*Assumptions!$B$116/O21*IF(O2&gt;=Assumptions!$B$57,1,0))</f>
        <v/>
      </c>
      <c r="P102" s="54">
        <f>P100+P101+IF(P21=0,0,P20*Assumptions!$B$116/P21*IF(P2&gt;=Assumptions!$B$57,1,0))</f>
        <v/>
      </c>
      <c r="Q102" s="54">
        <f>Q100+Q101+IF(Q21=0,0,Q20*Assumptions!$B$116/Q21*IF(Q2&gt;=Assumptions!$B$57,1,0))</f>
        <v/>
      </c>
      <c r="R102" s="54">
        <f>R100+R101+IF(R21=0,0,R20*Assumptions!$B$116/R21*IF(R2&gt;=Assumptions!$B$57,1,0))</f>
        <v/>
      </c>
      <c r="S102" s="54">
        <f>S100+S101+IF(S21=0,0,S20*Assumptions!$B$116/S21*IF(S2&gt;=Assumptions!$B$57,1,0))</f>
        <v/>
      </c>
      <c r="T102" s="54">
        <f>T100+T101+IF(T21=0,0,T20*Assumptions!$B$116/T21*IF(T2&gt;=Assumptions!$B$57,1,0))</f>
        <v/>
      </c>
      <c r="U102" s="54">
        <f>U100+U101+IF(U21=0,0,U20*Assumptions!$B$116/U21*IF(U2&gt;=Assumptions!$B$57,1,0))</f>
        <v/>
      </c>
      <c r="V102" s="54">
        <f>V100+V101+IF(V21=0,0,V20*Assumptions!$B$116/V21*IF(V2&gt;=Assumptions!$B$57,1,0))</f>
        <v/>
      </c>
      <c r="W102" s="54">
        <f>W100+W101+IF(W21=0,0,W20*Assumptions!$B$116/W21*IF(W2&gt;=Assumptions!$B$57,1,0))</f>
        <v/>
      </c>
      <c r="X102" s="54">
        <f>X100+X101+IF(X21=0,0,X20*Assumptions!$B$116/X21*IF(X2&gt;=Assumptions!$B$57,1,0))</f>
        <v/>
      </c>
      <c r="Y102" s="54">
        <f>Y100+Y101+IF(Y21=0,0,Y20*Assumptions!$B$116/Y21*IF(Y2&gt;=Assumptions!$B$57,1,0))</f>
        <v/>
      </c>
      <c r="Z102" s="54">
        <f>Z100+Z101+IF(Z21=0,0,Z20*Assumptions!$B$116/Z21*IF(Z2&gt;=Assumptions!$B$57,1,0))</f>
        <v/>
      </c>
      <c r="AA102" s="54">
        <f>AA100+AA101+IF(AA21=0,0,AA20*Assumptions!$B$116/AA21*IF(AA2&gt;=Assumptions!$B$57,1,0))</f>
        <v/>
      </c>
      <c r="AB102" s="54">
        <f>AB100+AB101+IF(AB21=0,0,AB20*Assumptions!$B$116/AB21*IF(AB2&gt;=Assumptions!$B$57,1,0))</f>
        <v/>
      </c>
      <c r="AC102" s="54">
        <f>AC100+AC101+IF(AC21=0,0,AC20*Assumptions!$B$116/AC21*IF(AC2&gt;=Assumptions!$B$57,1,0))</f>
        <v/>
      </c>
      <c r="AD102" s="54">
        <f>AD100+AD101+IF(AD21=0,0,AD20*Assumptions!$B$116/AD21*IF(AD2&gt;=Assumptions!$B$57,1,0))</f>
        <v/>
      </c>
      <c r="AE102" s="54">
        <f>AE100+AE101+IF(AE21=0,0,AE20*Assumptions!$B$116/AE21*IF(AE2&gt;=Assumptions!$B$57,1,0))</f>
        <v/>
      </c>
    </row>
    <row r="103">
      <c r="A103" s="6" t="inlineStr">
        <is>
          <t xml:space="preserve">  Saturation (this region's own headroom)</t>
        </is>
      </c>
      <c r="B103" s="23" t="inlineStr">
        <is>
          <t>x</t>
        </is>
      </c>
      <c r="C103" s="51" t="n">
        <v>1</v>
      </c>
      <c r="D103" s="51">
        <f>MAX(0,1-C108/Assumptions!$B$86)</f>
        <v/>
      </c>
      <c r="E103" s="51">
        <f>MAX(0,1-D108/Assumptions!$B$86)</f>
        <v/>
      </c>
      <c r="F103" s="51">
        <f>MAX(0,1-E108/Assumptions!$B$86)</f>
        <v/>
      </c>
      <c r="G103" s="51">
        <f>MAX(0,1-F108/Assumptions!$B$86)</f>
        <v/>
      </c>
      <c r="H103" s="51">
        <f>MAX(0,1-G108/Assumptions!$B$86)</f>
        <v/>
      </c>
      <c r="I103" s="51">
        <f>MAX(0,1-H108/Assumptions!$B$86)</f>
        <v/>
      </c>
      <c r="J103" s="51">
        <f>MAX(0,1-I108/Assumptions!$B$86)</f>
        <v/>
      </c>
      <c r="K103" s="51">
        <f>MAX(0,1-J108/Assumptions!$B$86)</f>
        <v/>
      </c>
      <c r="L103" s="51">
        <f>MAX(0,1-K108/Assumptions!$B$86)</f>
        <v/>
      </c>
      <c r="M103" s="51">
        <f>MAX(0,1-L108/Assumptions!$B$86)</f>
        <v/>
      </c>
      <c r="N103" s="51">
        <f>MAX(0,1-M108/Assumptions!$B$86)</f>
        <v/>
      </c>
      <c r="O103" s="51">
        <f>MAX(0,1-N108/Assumptions!$B$86)</f>
        <v/>
      </c>
      <c r="P103" s="51">
        <f>MAX(0,1-O108/Assumptions!$B$86)</f>
        <v/>
      </c>
      <c r="Q103" s="51">
        <f>MAX(0,1-P108/Assumptions!$B$86)</f>
        <v/>
      </c>
      <c r="R103" s="51">
        <f>MAX(0,1-Q108/Assumptions!$B$86)</f>
        <v/>
      </c>
      <c r="S103" s="51">
        <f>MAX(0,1-R108/Assumptions!$B$86)</f>
        <v/>
      </c>
      <c r="T103" s="51">
        <f>MAX(0,1-S108/Assumptions!$B$86)</f>
        <v/>
      </c>
      <c r="U103" s="51">
        <f>MAX(0,1-T108/Assumptions!$B$86)</f>
        <v/>
      </c>
      <c r="V103" s="51">
        <f>MAX(0,1-U108/Assumptions!$B$86)</f>
        <v/>
      </c>
      <c r="W103" s="51">
        <f>MAX(0,1-V108/Assumptions!$B$86)</f>
        <v/>
      </c>
      <c r="X103" s="51">
        <f>MAX(0,1-W108/Assumptions!$B$86)</f>
        <v/>
      </c>
      <c r="Y103" s="51">
        <f>MAX(0,1-X108/Assumptions!$B$86)</f>
        <v/>
      </c>
      <c r="Z103" s="51">
        <f>MAX(0,1-Y108/Assumptions!$B$86)</f>
        <v/>
      </c>
      <c r="AA103" s="51">
        <f>MAX(0,1-Z108/Assumptions!$B$86)</f>
        <v/>
      </c>
      <c r="AB103" s="51">
        <f>MAX(0,1-AA108/Assumptions!$B$86)</f>
        <v/>
      </c>
      <c r="AC103" s="51">
        <f>MAX(0,1-AB108/Assumptions!$B$86)</f>
        <v/>
      </c>
      <c r="AD103" s="51">
        <f>MAX(0,1-AC108/Assumptions!$B$86)</f>
        <v/>
      </c>
      <c r="AE103" s="51">
        <f>MAX(0,1-AD108/Assumptions!$B$86)</f>
        <v/>
      </c>
    </row>
    <row r="104">
      <c r="A104" s="6" t="inlineStr">
        <is>
          <t xml:space="preserve">  New customers</t>
        </is>
      </c>
      <c r="B104" s="23" t="inlineStr">
        <is>
          <t>accounts</t>
        </is>
      </c>
      <c r="C104" s="54">
        <f>C102*C103*C15</f>
        <v/>
      </c>
      <c r="D104" s="54">
        <f>D102*D103*D15</f>
        <v/>
      </c>
      <c r="E104" s="54">
        <f>E102*E103*E15</f>
        <v/>
      </c>
      <c r="F104" s="54">
        <f>F102*F103*F15</f>
        <v/>
      </c>
      <c r="G104" s="54">
        <f>G102*G103*G15</f>
        <v/>
      </c>
      <c r="H104" s="54">
        <f>H102*H103*H15</f>
        <v/>
      </c>
      <c r="I104" s="54">
        <f>I102*I103*I15</f>
        <v/>
      </c>
      <c r="J104" s="54">
        <f>J102*J103*J15</f>
        <v/>
      </c>
      <c r="K104" s="54">
        <f>K102*K103*K15</f>
        <v/>
      </c>
      <c r="L104" s="54">
        <f>L102*L103*L15</f>
        <v/>
      </c>
      <c r="M104" s="54">
        <f>M102*M103*M15</f>
        <v/>
      </c>
      <c r="N104" s="54">
        <f>N102*N103*N15</f>
        <v/>
      </c>
      <c r="O104" s="54">
        <f>O102*O103*O15</f>
        <v/>
      </c>
      <c r="P104" s="54">
        <f>P102*P103*P15</f>
        <v/>
      </c>
      <c r="Q104" s="54">
        <f>Q102*Q103*Q15</f>
        <v/>
      </c>
      <c r="R104" s="54">
        <f>R102*R103*R15</f>
        <v/>
      </c>
      <c r="S104" s="54">
        <f>S102*S103*S15</f>
        <v/>
      </c>
      <c r="T104" s="54">
        <f>T102*T103*T15</f>
        <v/>
      </c>
      <c r="U104" s="54">
        <f>U102*U103*U15</f>
        <v/>
      </c>
      <c r="V104" s="54">
        <f>V102*V103*V15</f>
        <v/>
      </c>
      <c r="W104" s="54">
        <f>W102*W103*W15</f>
        <v/>
      </c>
      <c r="X104" s="54">
        <f>X102*X103*X15</f>
        <v/>
      </c>
      <c r="Y104" s="54">
        <f>Y102*Y103*Y15</f>
        <v/>
      </c>
      <c r="Z104" s="54">
        <f>Z102*Z103*Z15</f>
        <v/>
      </c>
      <c r="AA104" s="54">
        <f>AA102*AA103*AA15</f>
        <v/>
      </c>
      <c r="AB104" s="54">
        <f>AB102*AB103*AB15</f>
        <v/>
      </c>
      <c r="AC104" s="54">
        <f>AC102*AC103*AC15</f>
        <v/>
      </c>
      <c r="AD104" s="54">
        <f>AD102*AD103*AD15</f>
        <v/>
      </c>
      <c r="AE104" s="54">
        <f>AE102*AE103*AE15</f>
        <v/>
      </c>
    </row>
    <row r="105">
      <c r="A105" s="6" t="inlineStr">
        <is>
          <t xml:space="preserve">  Paying customers</t>
        </is>
      </c>
      <c r="B105" s="23" t="inlineStr">
        <is>
          <t>accounts</t>
        </is>
      </c>
      <c r="C105" s="28">
        <f>C104*(1-Assumptions!$B$121)^(C7/2)</f>
        <v/>
      </c>
      <c r="D105" s="28">
        <f>C105*(1-Assumptions!$B$121)^D7+D104*(1-Assumptions!$B$121)^(D7/2)</f>
        <v/>
      </c>
      <c r="E105" s="28">
        <f>D105*(1-Assumptions!$B$121)^E7+E104*(1-Assumptions!$B$121)^(E7/2)</f>
        <v/>
      </c>
      <c r="F105" s="28">
        <f>E105*(1-Assumptions!$B$121)^F7+F104*(1-Assumptions!$B$121)^(F7/2)</f>
        <v/>
      </c>
      <c r="G105" s="28">
        <f>F105*(1-Assumptions!$B$121)^G7+G104*(1-Assumptions!$B$121)^(G7/2)</f>
        <v/>
      </c>
      <c r="H105" s="28">
        <f>G105*(1-Assumptions!$B$121)^H7+H104*(1-Assumptions!$B$121)^(H7/2)</f>
        <v/>
      </c>
      <c r="I105" s="28">
        <f>H105*(1-Assumptions!$B$121)^I7+I104*(1-Assumptions!$B$121)^(I7/2)</f>
        <v/>
      </c>
      <c r="J105" s="28">
        <f>I105*(1-Assumptions!$B$121)^J7+J104*(1-Assumptions!$B$121)^(J7/2)</f>
        <v/>
      </c>
      <c r="K105" s="28">
        <f>J105*(1-Assumptions!$B$121)^K7+K104*(1-Assumptions!$B$121)^(K7/2)</f>
        <v/>
      </c>
      <c r="L105" s="28">
        <f>K105*(1-Assumptions!$B$121)^L7+L104*(1-Assumptions!$B$121)^(L7/2)</f>
        <v/>
      </c>
      <c r="M105" s="28">
        <f>L105*(1-Assumptions!$B$121)^M7+M104*(1-Assumptions!$B$121)^(M7/2)</f>
        <v/>
      </c>
      <c r="N105" s="28">
        <f>M105*(1-Assumptions!$B$121)^N7+N104*(1-Assumptions!$B$121)^(N7/2)</f>
        <v/>
      </c>
      <c r="O105" s="28">
        <f>N105*(1-Assumptions!$B$121)^O7+O104*(1-Assumptions!$B$121)^(O7/2)</f>
        <v/>
      </c>
      <c r="P105" s="28">
        <f>O105*(1-Assumptions!$B$121)^P7+P104*(1-Assumptions!$B$121)^(P7/2)</f>
        <v/>
      </c>
      <c r="Q105" s="28">
        <f>P105*(1-Assumptions!$B$121)^Q7+Q104*(1-Assumptions!$B$121)^(Q7/2)</f>
        <v/>
      </c>
      <c r="R105" s="28">
        <f>Q105*(1-Assumptions!$B$121)^R7+R104*(1-Assumptions!$B$121)^(R7/2)</f>
        <v/>
      </c>
      <c r="S105" s="28">
        <f>R105*(1-Assumptions!$B$121)^S7+S104*(1-Assumptions!$B$121)^(S7/2)</f>
        <v/>
      </c>
      <c r="T105" s="28">
        <f>S105*(1-Assumptions!$B$121)^T7+T104*(1-Assumptions!$B$121)^(T7/2)</f>
        <v/>
      </c>
      <c r="U105" s="28">
        <f>T105*(1-Assumptions!$B$121)^U7+U104*(1-Assumptions!$B$121)^(U7/2)</f>
        <v/>
      </c>
      <c r="V105" s="28">
        <f>U105*(1-Assumptions!$B$121)^V7+V104*(1-Assumptions!$B$121)^(V7/2)</f>
        <v/>
      </c>
      <c r="W105" s="28">
        <f>V105*(1-Assumptions!$B$121)^W7+W104*(1-Assumptions!$B$121)^(W7/2)</f>
        <v/>
      </c>
      <c r="X105" s="28">
        <f>W105*(1-Assumptions!$B$121)^X7+X104*(1-Assumptions!$B$121)^(X7/2)</f>
        <v/>
      </c>
      <c r="Y105" s="28">
        <f>X105*(1-Assumptions!$B$121)^Y7+Y104*(1-Assumptions!$B$121)^(Y7/2)</f>
        <v/>
      </c>
      <c r="Z105" s="28">
        <f>Y105*(1-Assumptions!$B$121)^Z7+Z104*(1-Assumptions!$B$121)^(Z7/2)</f>
        <v/>
      </c>
      <c r="AA105" s="28">
        <f>Z105*(1-Assumptions!$B$121)^AA7+AA104*(1-Assumptions!$B$121)^(AA7/2)</f>
        <v/>
      </c>
      <c r="AB105" s="28">
        <f>AA105*(1-Assumptions!$B$121)^AB7+AB104*(1-Assumptions!$B$121)^(AB7/2)</f>
        <v/>
      </c>
      <c r="AC105" s="28">
        <f>AB105*(1-Assumptions!$B$121)^AC7+AC104*(1-Assumptions!$B$121)^(AC7/2)</f>
        <v/>
      </c>
      <c r="AD105" s="28">
        <f>AC105*(1-Assumptions!$B$121)^AD7+AD104*(1-Assumptions!$B$121)^(AD7/2)</f>
        <v/>
      </c>
      <c r="AE105" s="28">
        <f>AD105*(1-Assumptions!$B$121)^AE7+AE104*(1-Assumptions!$B$121)^(AE7/2)</f>
        <v/>
      </c>
    </row>
    <row r="106">
      <c r="A106" s="6" t="inlineStr">
        <is>
          <t xml:space="preserve">  Churned this period</t>
        </is>
      </c>
      <c r="B106" s="23" t="inlineStr">
        <is>
          <t>accounts</t>
        </is>
      </c>
      <c r="C106" s="54">
        <f>C104-C105</f>
        <v/>
      </c>
      <c r="D106" s="54">
        <f>C105+D104-D105</f>
        <v/>
      </c>
      <c r="E106" s="54">
        <f>D105+E104-E105</f>
        <v/>
      </c>
      <c r="F106" s="54">
        <f>E105+F104-F105</f>
        <v/>
      </c>
      <c r="G106" s="54">
        <f>F105+G104-G105</f>
        <v/>
      </c>
      <c r="H106" s="54">
        <f>G105+H104-H105</f>
        <v/>
      </c>
      <c r="I106" s="54">
        <f>H105+I104-I105</f>
        <v/>
      </c>
      <c r="J106" s="54">
        <f>I105+J104-J105</f>
        <v/>
      </c>
      <c r="K106" s="54">
        <f>J105+K104-K105</f>
        <v/>
      </c>
      <c r="L106" s="54">
        <f>K105+L104-L105</f>
        <v/>
      </c>
      <c r="M106" s="54">
        <f>L105+M104-M105</f>
        <v/>
      </c>
      <c r="N106" s="54">
        <f>M105+N104-N105</f>
        <v/>
      </c>
      <c r="O106" s="54">
        <f>N105+O104-O105</f>
        <v/>
      </c>
      <c r="P106" s="54">
        <f>O105+P104-P105</f>
        <v/>
      </c>
      <c r="Q106" s="54">
        <f>P105+Q104-Q105</f>
        <v/>
      </c>
      <c r="R106" s="54">
        <f>Q105+R104-R105</f>
        <v/>
      </c>
      <c r="S106" s="54">
        <f>R105+S104-S105</f>
        <v/>
      </c>
      <c r="T106" s="54">
        <f>S105+T104-T105</f>
        <v/>
      </c>
      <c r="U106" s="54">
        <f>T105+U104-U105</f>
        <v/>
      </c>
      <c r="V106" s="54">
        <f>U105+V104-V105</f>
        <v/>
      </c>
      <c r="W106" s="54">
        <f>V105+W104-W105</f>
        <v/>
      </c>
      <c r="X106" s="54">
        <f>W105+X104-X105</f>
        <v/>
      </c>
      <c r="Y106" s="54">
        <f>X105+Y104-Y105</f>
        <v/>
      </c>
      <c r="Z106" s="54">
        <f>Y105+Z104-Z105</f>
        <v/>
      </c>
      <c r="AA106" s="54">
        <f>Z105+AA104-AA105</f>
        <v/>
      </c>
      <c r="AB106" s="54">
        <f>AA105+AB104-AB105</f>
        <v/>
      </c>
      <c r="AC106" s="54">
        <f>AB105+AC104-AC105</f>
        <v/>
      </c>
      <c r="AD106" s="54">
        <f>AC105+AD104-AD105</f>
        <v/>
      </c>
      <c r="AE106" s="54">
        <f>AD105+AE104-AE105</f>
        <v/>
      </c>
    </row>
    <row r="107">
      <c r="A107" s="6" t="inlineStr">
        <is>
          <t xml:space="preserve">  Holders (stopped paying, still hold gold)</t>
        </is>
      </c>
      <c r="B107" s="23" t="inlineStr">
        <is>
          <t>accounts</t>
        </is>
      </c>
      <c r="C107" s="45">
        <f>C106</f>
        <v/>
      </c>
      <c r="D107" s="45">
        <f>C107+D106</f>
        <v/>
      </c>
      <c r="E107" s="45">
        <f>D107+E106</f>
        <v/>
      </c>
      <c r="F107" s="45">
        <f>E107+F106</f>
        <v/>
      </c>
      <c r="G107" s="45">
        <f>F107+G106</f>
        <v/>
      </c>
      <c r="H107" s="45">
        <f>G107+H106</f>
        <v/>
      </c>
      <c r="I107" s="45">
        <f>H107+I106</f>
        <v/>
      </c>
      <c r="J107" s="45">
        <f>I107+J106</f>
        <v/>
      </c>
      <c r="K107" s="45">
        <f>J107+K106</f>
        <v/>
      </c>
      <c r="L107" s="45">
        <f>K107+L106</f>
        <v/>
      </c>
      <c r="M107" s="45">
        <f>L107+M106</f>
        <v/>
      </c>
      <c r="N107" s="45">
        <f>M107+N106</f>
        <v/>
      </c>
      <c r="O107" s="45">
        <f>N107+O106</f>
        <v/>
      </c>
      <c r="P107" s="45">
        <f>O107+P106</f>
        <v/>
      </c>
      <c r="Q107" s="45">
        <f>P107+Q106</f>
        <v/>
      </c>
      <c r="R107" s="45">
        <f>Q107+R106</f>
        <v/>
      </c>
      <c r="S107" s="45">
        <f>R107+S106</f>
        <v/>
      </c>
      <c r="T107" s="45">
        <f>S107+T106</f>
        <v/>
      </c>
      <c r="U107" s="45">
        <f>T107+U106</f>
        <v/>
      </c>
      <c r="V107" s="45">
        <f>U107+V106</f>
        <v/>
      </c>
      <c r="W107" s="45">
        <f>V107+W106</f>
        <v/>
      </c>
      <c r="X107" s="45">
        <f>W107+X106</f>
        <v/>
      </c>
      <c r="Y107" s="45">
        <f>X107+Y106</f>
        <v/>
      </c>
      <c r="Z107" s="45">
        <f>Y107+Z106</f>
        <v/>
      </c>
      <c r="AA107" s="45">
        <f>Z107+AA106</f>
        <v/>
      </c>
      <c r="AB107" s="45">
        <f>AA107+AB106</f>
        <v/>
      </c>
      <c r="AC107" s="45">
        <f>AB107+AC106</f>
        <v/>
      </c>
      <c r="AD107" s="45">
        <f>AC107+AD106</f>
        <v/>
      </c>
      <c r="AE107" s="45">
        <f>AD107+AE106</f>
        <v/>
      </c>
    </row>
    <row r="108">
      <c r="A108" s="6" t="inlineStr">
        <is>
          <t xml:space="preserve">  Cumulative ever acquired</t>
        </is>
      </c>
      <c r="B108" s="23" t="inlineStr">
        <is>
          <t>accounts</t>
        </is>
      </c>
      <c r="C108" s="45">
        <f>C104</f>
        <v/>
      </c>
      <c r="D108" s="45">
        <f>C108+D104</f>
        <v/>
      </c>
      <c r="E108" s="45">
        <f>D108+E104</f>
        <v/>
      </c>
      <c r="F108" s="45">
        <f>E108+F104</f>
        <v/>
      </c>
      <c r="G108" s="45">
        <f>F108+G104</f>
        <v/>
      </c>
      <c r="H108" s="45">
        <f>G108+H104</f>
        <v/>
      </c>
      <c r="I108" s="45">
        <f>H108+I104</f>
        <v/>
      </c>
      <c r="J108" s="45">
        <f>I108+J104</f>
        <v/>
      </c>
      <c r="K108" s="45">
        <f>J108+K104</f>
        <v/>
      </c>
      <c r="L108" s="45">
        <f>K108+L104</f>
        <v/>
      </c>
      <c r="M108" s="45">
        <f>L108+M104</f>
        <v/>
      </c>
      <c r="N108" s="45">
        <f>M108+N104</f>
        <v/>
      </c>
      <c r="O108" s="45">
        <f>N108+O104</f>
        <v/>
      </c>
      <c r="P108" s="45">
        <f>O108+P104</f>
        <v/>
      </c>
      <c r="Q108" s="45">
        <f>P108+Q104</f>
        <v/>
      </c>
      <c r="R108" s="45">
        <f>Q108+R104</f>
        <v/>
      </c>
      <c r="S108" s="45">
        <f>R108+S104</f>
        <v/>
      </c>
      <c r="T108" s="45">
        <f>S108+T104</f>
        <v/>
      </c>
      <c r="U108" s="45">
        <f>T108+U104</f>
        <v/>
      </c>
      <c r="V108" s="45">
        <f>U108+V104</f>
        <v/>
      </c>
      <c r="W108" s="45">
        <f>V108+W104</f>
        <v/>
      </c>
      <c r="X108" s="45">
        <f>W108+X104</f>
        <v/>
      </c>
      <c r="Y108" s="45">
        <f>X108+Y104</f>
        <v/>
      </c>
      <c r="Z108" s="45">
        <f>Y108+Z104</f>
        <v/>
      </c>
      <c r="AA108" s="45">
        <f>Z108+AA104</f>
        <v/>
      </c>
      <c r="AB108" s="45">
        <f>AA108+AB104</f>
        <v/>
      </c>
      <c r="AC108" s="45">
        <f>AB108+AC104</f>
        <v/>
      </c>
      <c r="AD108" s="45">
        <f>AC108+AD104</f>
        <v/>
      </c>
      <c r="AE108" s="45">
        <f>AD108+AE104</f>
        <v/>
      </c>
    </row>
    <row r="109">
      <c r="A109" s="6" t="inlineStr">
        <is>
          <t xml:space="preserve">  SIP contributions</t>
        </is>
      </c>
      <c r="B109" s="23" t="inlineStr">
        <is>
          <t>USD</t>
        </is>
      </c>
      <c r="C109" s="55">
        <f>IF(C2&gt;=Assumptions!$B$47,C105*Assumptions!$B$169*C7,0)</f>
        <v/>
      </c>
      <c r="D109" s="55">
        <f>IF(D2&gt;=Assumptions!$B$47,D105*Assumptions!$B$169*D7,0)</f>
        <v/>
      </c>
      <c r="E109" s="55">
        <f>IF(E2&gt;=Assumptions!$B$47,E105*Assumptions!$B$169*E7,0)</f>
        <v/>
      </c>
      <c r="F109" s="55">
        <f>IF(F2&gt;=Assumptions!$B$47,F105*Assumptions!$B$169*F7,0)</f>
        <v/>
      </c>
      <c r="G109" s="55">
        <f>IF(G2&gt;=Assumptions!$B$47,G105*Assumptions!$B$169*G7,0)</f>
        <v/>
      </c>
      <c r="H109" s="55">
        <f>IF(H2&gt;=Assumptions!$B$47,H105*Assumptions!$B$169*H7,0)</f>
        <v/>
      </c>
      <c r="I109" s="55">
        <f>IF(I2&gt;=Assumptions!$B$47,I105*Assumptions!$B$169*I7,0)</f>
        <v/>
      </c>
      <c r="J109" s="55">
        <f>IF(J2&gt;=Assumptions!$B$47,J105*Assumptions!$B$169*J7,0)</f>
        <v/>
      </c>
      <c r="K109" s="55">
        <f>IF(K2&gt;=Assumptions!$B$47,K105*Assumptions!$B$169*K7,0)</f>
        <v/>
      </c>
      <c r="L109" s="55">
        <f>IF(L2&gt;=Assumptions!$B$47,L105*Assumptions!$B$169*L7,0)</f>
        <v/>
      </c>
      <c r="M109" s="55">
        <f>IF(M2&gt;=Assumptions!$B$47,M105*Assumptions!$B$169*M7,0)</f>
        <v/>
      </c>
      <c r="N109" s="55">
        <f>IF(N2&gt;=Assumptions!$B$47,N105*Assumptions!$B$169*N7,0)</f>
        <v/>
      </c>
      <c r="O109" s="55">
        <f>IF(O2&gt;=Assumptions!$B$47,O105*Assumptions!$B$169*O7,0)</f>
        <v/>
      </c>
      <c r="P109" s="55">
        <f>IF(P2&gt;=Assumptions!$B$47,P105*Assumptions!$B$169*P7,0)</f>
        <v/>
      </c>
      <c r="Q109" s="55">
        <f>IF(Q2&gt;=Assumptions!$B$47,Q105*Assumptions!$B$169*Q7,0)</f>
        <v/>
      </c>
      <c r="R109" s="55">
        <f>IF(R2&gt;=Assumptions!$B$47,R105*Assumptions!$B$169*R7,0)</f>
        <v/>
      </c>
      <c r="S109" s="55">
        <f>IF(S2&gt;=Assumptions!$B$47,S105*Assumptions!$B$169*S7,0)</f>
        <v/>
      </c>
      <c r="T109" s="55">
        <f>IF(T2&gt;=Assumptions!$B$47,T105*Assumptions!$B$169*T7,0)</f>
        <v/>
      </c>
      <c r="U109" s="55">
        <f>IF(U2&gt;=Assumptions!$B$47,U105*Assumptions!$B$169*U7,0)</f>
        <v/>
      </c>
      <c r="V109" s="55">
        <f>IF(V2&gt;=Assumptions!$B$47,V105*Assumptions!$B$169*V7,0)</f>
        <v/>
      </c>
      <c r="W109" s="55">
        <f>IF(W2&gt;=Assumptions!$B$47,W105*Assumptions!$B$169*W7,0)</f>
        <v/>
      </c>
      <c r="X109" s="55">
        <f>IF(X2&gt;=Assumptions!$B$47,X105*Assumptions!$B$169*X7,0)</f>
        <v/>
      </c>
      <c r="Y109" s="55">
        <f>IF(Y2&gt;=Assumptions!$B$47,Y105*Assumptions!$B$169*Y7,0)</f>
        <v/>
      </c>
      <c r="Z109" s="55">
        <f>IF(Z2&gt;=Assumptions!$B$47,Z105*Assumptions!$B$169*Z7,0)</f>
        <v/>
      </c>
      <c r="AA109" s="55">
        <f>IF(AA2&gt;=Assumptions!$B$47,AA105*Assumptions!$B$169*AA7,0)</f>
        <v/>
      </c>
      <c r="AB109" s="55">
        <f>IF(AB2&gt;=Assumptions!$B$47,AB105*Assumptions!$B$169*AB7,0)</f>
        <v/>
      </c>
      <c r="AC109" s="55">
        <f>IF(AC2&gt;=Assumptions!$B$47,AC105*Assumptions!$B$169*AC7,0)</f>
        <v/>
      </c>
      <c r="AD109" s="55">
        <f>IF(AD2&gt;=Assumptions!$B$47,AD105*Assumptions!$B$169*AD7,0)</f>
        <v/>
      </c>
      <c r="AE109" s="55">
        <f>IF(AE2&gt;=Assumptions!$B$47,AE105*Assumptions!$B$169*AE7,0)</f>
        <v/>
      </c>
    </row>
    <row r="110">
      <c r="A110" s="6" t="inlineStr">
        <is>
          <t xml:space="preserve">  Spot purchase volume</t>
        </is>
      </c>
      <c r="B110" s="23" t="inlineStr">
        <is>
          <t>USD</t>
        </is>
      </c>
      <c r="C110" s="55">
        <f>IF(C2&gt;=Assumptions!$B$48,C105*Assumptions!$B$37*Assumptions!$B$138*Assumptions!$B$140*Assumptions!$B$34*Assumptions!$B$139/12*C7,0)</f>
        <v/>
      </c>
      <c r="D110" s="55">
        <f>IF(D2&gt;=Assumptions!$B$48,D105*Assumptions!$B$37*Assumptions!$B$138*Assumptions!$B$140*Assumptions!$B$34*Assumptions!$B$139/12*D7,0)</f>
        <v/>
      </c>
      <c r="E110" s="55">
        <f>IF(E2&gt;=Assumptions!$B$48,E105*Assumptions!$B$37*Assumptions!$B$138*Assumptions!$B$140*Assumptions!$B$34*Assumptions!$B$139/12*E7,0)</f>
        <v/>
      </c>
      <c r="F110" s="55">
        <f>IF(F2&gt;=Assumptions!$B$48,F105*Assumptions!$B$37*Assumptions!$B$138*Assumptions!$B$140*Assumptions!$B$34*Assumptions!$B$139/12*F7,0)</f>
        <v/>
      </c>
      <c r="G110" s="55">
        <f>IF(G2&gt;=Assumptions!$B$48,G105*Assumptions!$B$37*Assumptions!$B$138*Assumptions!$B$140*Assumptions!$B$34*Assumptions!$B$139/12*G7,0)</f>
        <v/>
      </c>
      <c r="H110" s="55">
        <f>IF(H2&gt;=Assumptions!$B$48,H105*Assumptions!$B$37*Assumptions!$B$138*Assumptions!$B$140*Assumptions!$B$34*Assumptions!$B$139/12*H7,0)</f>
        <v/>
      </c>
      <c r="I110" s="55">
        <f>IF(I2&gt;=Assumptions!$B$48,I105*Assumptions!$B$37*Assumptions!$B$138*Assumptions!$B$140*Assumptions!$B$34*Assumptions!$B$139/12*I7,0)</f>
        <v/>
      </c>
      <c r="J110" s="55">
        <f>IF(J2&gt;=Assumptions!$B$48,J105*Assumptions!$B$37*Assumptions!$B$138*Assumptions!$B$140*Assumptions!$B$34*Assumptions!$B$139/12*J7,0)</f>
        <v/>
      </c>
      <c r="K110" s="55">
        <f>IF(K2&gt;=Assumptions!$B$48,K105*Assumptions!$B$37*Assumptions!$B$138*Assumptions!$B$140*Assumptions!$B$34*Assumptions!$B$139/12*K7,0)</f>
        <v/>
      </c>
      <c r="L110" s="55">
        <f>IF(L2&gt;=Assumptions!$B$48,L105*Assumptions!$B$37*Assumptions!$B$138*Assumptions!$B$140*Assumptions!$B$34*Assumptions!$B$139/12*L7,0)</f>
        <v/>
      </c>
      <c r="M110" s="55">
        <f>IF(M2&gt;=Assumptions!$B$48,M105*Assumptions!$B$37*Assumptions!$B$138*Assumptions!$B$140*Assumptions!$B$34*Assumptions!$B$139/12*M7,0)</f>
        <v/>
      </c>
      <c r="N110" s="55">
        <f>IF(N2&gt;=Assumptions!$B$48,N105*Assumptions!$B$37*Assumptions!$B$138*Assumptions!$B$140*Assumptions!$B$34*Assumptions!$B$139/12*N7,0)</f>
        <v/>
      </c>
      <c r="O110" s="55">
        <f>IF(O2&gt;=Assumptions!$B$48,O105*Assumptions!$B$37*Assumptions!$B$138*Assumptions!$B$140*Assumptions!$B$34*Assumptions!$B$139/12*O7,0)</f>
        <v/>
      </c>
      <c r="P110" s="55">
        <f>IF(P2&gt;=Assumptions!$B$48,P105*Assumptions!$B$37*Assumptions!$B$138*Assumptions!$B$140*Assumptions!$B$34*Assumptions!$B$139/12*P7,0)</f>
        <v/>
      </c>
      <c r="Q110" s="55">
        <f>IF(Q2&gt;=Assumptions!$B$48,Q105*Assumptions!$B$37*Assumptions!$B$138*Assumptions!$B$140*Assumptions!$B$34*Assumptions!$B$139/12*Q7,0)</f>
        <v/>
      </c>
      <c r="R110" s="55">
        <f>IF(R2&gt;=Assumptions!$B$48,R105*Assumptions!$B$37*Assumptions!$B$138*Assumptions!$B$140*Assumptions!$B$34*Assumptions!$B$139/12*R7,0)</f>
        <v/>
      </c>
      <c r="S110" s="55">
        <f>IF(S2&gt;=Assumptions!$B$48,S105*Assumptions!$B$37*Assumptions!$B$138*Assumptions!$B$140*Assumptions!$B$34*Assumptions!$B$139/12*S7,0)</f>
        <v/>
      </c>
      <c r="T110" s="55">
        <f>IF(T2&gt;=Assumptions!$B$48,T105*Assumptions!$B$37*Assumptions!$B$138*Assumptions!$B$140*Assumptions!$B$34*Assumptions!$B$139/12*T7,0)</f>
        <v/>
      </c>
      <c r="U110" s="55">
        <f>IF(U2&gt;=Assumptions!$B$48,U105*Assumptions!$B$37*Assumptions!$B$138*Assumptions!$B$140*Assumptions!$B$34*Assumptions!$B$139/12*U7,0)</f>
        <v/>
      </c>
      <c r="V110" s="55">
        <f>IF(V2&gt;=Assumptions!$B$48,V105*Assumptions!$B$37*Assumptions!$B$138*Assumptions!$B$140*Assumptions!$B$34*Assumptions!$B$139/12*V7,0)</f>
        <v/>
      </c>
      <c r="W110" s="55">
        <f>IF(W2&gt;=Assumptions!$B$48,W105*Assumptions!$B$37*Assumptions!$B$138*Assumptions!$B$140*Assumptions!$B$34*Assumptions!$B$139/12*W7,0)</f>
        <v/>
      </c>
      <c r="X110" s="55">
        <f>IF(X2&gt;=Assumptions!$B$48,X105*Assumptions!$B$37*Assumptions!$B$138*Assumptions!$B$140*Assumptions!$B$34*Assumptions!$B$139/12*X7,0)</f>
        <v/>
      </c>
      <c r="Y110" s="55">
        <f>IF(Y2&gt;=Assumptions!$B$48,Y105*Assumptions!$B$37*Assumptions!$B$138*Assumptions!$B$140*Assumptions!$B$34*Assumptions!$B$139/12*Y7,0)</f>
        <v/>
      </c>
      <c r="Z110" s="55">
        <f>IF(Z2&gt;=Assumptions!$B$48,Z105*Assumptions!$B$37*Assumptions!$B$138*Assumptions!$B$140*Assumptions!$B$34*Assumptions!$B$139/12*Z7,0)</f>
        <v/>
      </c>
      <c r="AA110" s="55">
        <f>IF(AA2&gt;=Assumptions!$B$48,AA105*Assumptions!$B$37*Assumptions!$B$138*Assumptions!$B$140*Assumptions!$B$34*Assumptions!$B$139/12*AA7,0)</f>
        <v/>
      </c>
      <c r="AB110" s="55">
        <f>IF(AB2&gt;=Assumptions!$B$48,AB105*Assumptions!$B$37*Assumptions!$B$138*Assumptions!$B$140*Assumptions!$B$34*Assumptions!$B$139/12*AB7,0)</f>
        <v/>
      </c>
      <c r="AC110" s="55">
        <f>IF(AC2&gt;=Assumptions!$B$48,AC105*Assumptions!$B$37*Assumptions!$B$138*Assumptions!$B$140*Assumptions!$B$34*Assumptions!$B$139/12*AC7,0)</f>
        <v/>
      </c>
      <c r="AD110" s="55">
        <f>IF(AD2&gt;=Assumptions!$B$48,AD105*Assumptions!$B$37*Assumptions!$B$138*Assumptions!$B$140*Assumptions!$B$34*Assumptions!$B$139/12*AD7,0)</f>
        <v/>
      </c>
      <c r="AE110" s="55">
        <f>IF(AE2&gt;=Assumptions!$B$48,AE105*Assumptions!$B$37*Assumptions!$B$138*Assumptions!$B$140*Assumptions!$B$34*Assumptions!$B$139/12*AE7,0)</f>
        <v/>
      </c>
    </row>
    <row r="111">
      <c r="A111" s="6" t="inlineStr">
        <is>
          <t xml:space="preserve">  Grams purchased</t>
        </is>
      </c>
      <c r="B111" s="23" t="inlineStr">
        <is>
          <t>grams</t>
        </is>
      </c>
      <c r="C111" s="54">
        <f>(C109+C110)*(1-Assumptions!$B$8)/Assumptions!$B$6/(1+Assumptions!$B$9)</f>
        <v/>
      </c>
      <c r="D111" s="54">
        <f>(D109+D110)*(1-Assumptions!$B$8)/Assumptions!$B$6/(1+Assumptions!$B$9)</f>
        <v/>
      </c>
      <c r="E111" s="54">
        <f>(E109+E110)*(1-Assumptions!$B$8)/Assumptions!$B$6/(1+Assumptions!$B$9)</f>
        <v/>
      </c>
      <c r="F111" s="54">
        <f>(F109+F110)*(1-Assumptions!$B$8)/Assumptions!$B$6/(1+Assumptions!$B$9)</f>
        <v/>
      </c>
      <c r="G111" s="54">
        <f>(G109+G110)*(1-Assumptions!$B$8)/Assumptions!$B$6/(1+Assumptions!$B$9)</f>
        <v/>
      </c>
      <c r="H111" s="54">
        <f>(H109+H110)*(1-Assumptions!$B$8)/Assumptions!$B$6/(1+Assumptions!$B$9)</f>
        <v/>
      </c>
      <c r="I111" s="54">
        <f>(I109+I110)*(1-Assumptions!$B$8)/Assumptions!$B$6/(1+Assumptions!$B$9)</f>
        <v/>
      </c>
      <c r="J111" s="54">
        <f>(J109+J110)*(1-Assumptions!$B$8)/Assumptions!$B$6/(1+Assumptions!$B$9)</f>
        <v/>
      </c>
      <c r="K111" s="54">
        <f>(K109+K110)*(1-Assumptions!$B$8)/Assumptions!$B$6/(1+Assumptions!$B$9)</f>
        <v/>
      </c>
      <c r="L111" s="54">
        <f>(L109+L110)*(1-Assumptions!$B$8)/Assumptions!$B$6/(1+Assumptions!$B$9)</f>
        <v/>
      </c>
      <c r="M111" s="54">
        <f>(M109+M110)*(1-Assumptions!$B$8)/Assumptions!$B$6/(1+Assumptions!$B$9)</f>
        <v/>
      </c>
      <c r="N111" s="54">
        <f>(N109+N110)*(1-Assumptions!$B$8)/Assumptions!$B$6/(1+Assumptions!$B$9)</f>
        <v/>
      </c>
      <c r="O111" s="54">
        <f>(O109+O110)*(1-Assumptions!$B$8)/Assumptions!$B$6/(1+Assumptions!$B$9)</f>
        <v/>
      </c>
      <c r="P111" s="54">
        <f>(P109+P110)*(1-Assumptions!$B$8)/Assumptions!$B$6/(1+Assumptions!$B$9)</f>
        <v/>
      </c>
      <c r="Q111" s="54">
        <f>(Q109+Q110)*(1-Assumptions!$B$8)/Assumptions!$B$6/(1+Assumptions!$B$9)</f>
        <v/>
      </c>
      <c r="R111" s="54">
        <f>(R109+R110)*(1-Assumptions!$B$8)/Assumptions!$B$6/(1+Assumptions!$B$9)</f>
        <v/>
      </c>
      <c r="S111" s="54">
        <f>(S109+S110)*(1-Assumptions!$B$8)/Assumptions!$B$6/(1+Assumptions!$B$9)</f>
        <v/>
      </c>
      <c r="T111" s="54">
        <f>(T109+T110)*(1-Assumptions!$B$8)/Assumptions!$B$6/(1+Assumptions!$B$9)</f>
        <v/>
      </c>
      <c r="U111" s="54">
        <f>(U109+U110)*(1-Assumptions!$B$8)/Assumptions!$B$6/(1+Assumptions!$B$9)</f>
        <v/>
      </c>
      <c r="V111" s="54">
        <f>(V109+V110)*(1-Assumptions!$B$8)/Assumptions!$B$6/(1+Assumptions!$B$9)</f>
        <v/>
      </c>
      <c r="W111" s="54">
        <f>(W109+W110)*(1-Assumptions!$B$8)/Assumptions!$B$6/(1+Assumptions!$B$9)</f>
        <v/>
      </c>
      <c r="X111" s="54">
        <f>(X109+X110)*(1-Assumptions!$B$8)/Assumptions!$B$6/(1+Assumptions!$B$9)</f>
        <v/>
      </c>
      <c r="Y111" s="54">
        <f>(Y109+Y110)*(1-Assumptions!$B$8)/Assumptions!$B$6/(1+Assumptions!$B$9)</f>
        <v/>
      </c>
      <c r="Z111" s="54">
        <f>(Z109+Z110)*(1-Assumptions!$B$8)/Assumptions!$B$6/(1+Assumptions!$B$9)</f>
        <v/>
      </c>
      <c r="AA111" s="54">
        <f>(AA109+AA110)*(1-Assumptions!$B$8)/Assumptions!$B$6/(1+Assumptions!$B$9)</f>
        <v/>
      </c>
      <c r="AB111" s="54">
        <f>(AB109+AB110)*(1-Assumptions!$B$8)/Assumptions!$B$6/(1+Assumptions!$B$9)</f>
        <v/>
      </c>
      <c r="AC111" s="54">
        <f>(AC109+AC110)*(1-Assumptions!$B$8)/Assumptions!$B$6/(1+Assumptions!$B$9)</f>
        <v/>
      </c>
      <c r="AD111" s="54">
        <f>(AD109+AD110)*(1-Assumptions!$B$8)/Assumptions!$B$6/(1+Assumptions!$B$9)</f>
        <v/>
      </c>
      <c r="AE111" s="54">
        <f>(AE109+AE110)*(1-Assumptions!$B$8)/Assumptions!$B$6/(1+Assumptions!$B$9)</f>
        <v/>
      </c>
    </row>
    <row r="112">
      <c r="A112" s="6" t="inlineStr">
        <is>
          <t xml:space="preserve">  Collateral-eligible AUM decay rate (holder-weighted)</t>
        </is>
      </c>
      <c r="B112" s="23" t="inlineStr">
        <is>
          <t>%/period</t>
        </is>
      </c>
      <c r="C112" s="56">
        <f>(Assumptions!$B$135+Assumptions!$B$136*IF(C105+C107=0,1,(C105+C107*Assumptions!$B$137)/(C105+C107)))*C7/12</f>
        <v/>
      </c>
      <c r="D112" s="56">
        <f>(Assumptions!$B$135+Assumptions!$B$136*IF(D105+D107=0,1,(D105+D107*Assumptions!$B$137)/(D105+D107)))*D7/12</f>
        <v/>
      </c>
      <c r="E112" s="56">
        <f>(Assumptions!$B$135+Assumptions!$B$136*IF(E105+E107=0,1,(E105+E107*Assumptions!$B$137)/(E105+E107)))*E7/12</f>
        <v/>
      </c>
      <c r="F112" s="56">
        <f>(Assumptions!$B$135+Assumptions!$B$136*IF(F105+F107=0,1,(F105+F107*Assumptions!$B$137)/(F105+F107)))*F7/12</f>
        <v/>
      </c>
      <c r="G112" s="56">
        <f>(Assumptions!$B$135+Assumptions!$B$136*IF(G105+G107=0,1,(G105+G107*Assumptions!$B$137)/(G105+G107)))*G7/12</f>
        <v/>
      </c>
      <c r="H112" s="56">
        <f>(Assumptions!$B$135+Assumptions!$B$136*IF(H105+H107=0,1,(H105+H107*Assumptions!$B$137)/(H105+H107)))*H7/12</f>
        <v/>
      </c>
      <c r="I112" s="56">
        <f>(Assumptions!$B$135+Assumptions!$B$136*IF(I105+I107=0,1,(I105+I107*Assumptions!$B$137)/(I105+I107)))*I7/12</f>
        <v/>
      </c>
      <c r="J112" s="56">
        <f>(Assumptions!$B$135+Assumptions!$B$136*IF(J105+J107=0,1,(J105+J107*Assumptions!$B$137)/(J105+J107)))*J7/12</f>
        <v/>
      </c>
      <c r="K112" s="56">
        <f>(Assumptions!$B$135+Assumptions!$B$136*IF(K105+K107=0,1,(K105+K107*Assumptions!$B$137)/(K105+K107)))*K7/12</f>
        <v/>
      </c>
      <c r="L112" s="56">
        <f>(Assumptions!$B$135+Assumptions!$B$136*IF(L105+L107=0,1,(L105+L107*Assumptions!$B$137)/(L105+L107)))*L7/12</f>
        <v/>
      </c>
      <c r="M112" s="56">
        <f>(Assumptions!$B$135+Assumptions!$B$136*IF(M105+M107=0,1,(M105+M107*Assumptions!$B$137)/(M105+M107)))*M7/12</f>
        <v/>
      </c>
      <c r="N112" s="56">
        <f>(Assumptions!$B$135+Assumptions!$B$136*IF(N105+N107=0,1,(N105+N107*Assumptions!$B$137)/(N105+N107)))*N7/12</f>
        <v/>
      </c>
      <c r="O112" s="56">
        <f>(Assumptions!$B$135+Assumptions!$B$136*IF(O105+O107=0,1,(O105+O107*Assumptions!$B$137)/(O105+O107)))*O7/12</f>
        <v/>
      </c>
      <c r="P112" s="56">
        <f>(Assumptions!$B$135+Assumptions!$B$136*IF(P105+P107=0,1,(P105+P107*Assumptions!$B$137)/(P105+P107)))*P7/12</f>
        <v/>
      </c>
      <c r="Q112" s="56">
        <f>(Assumptions!$B$135+Assumptions!$B$136*IF(Q105+Q107=0,1,(Q105+Q107*Assumptions!$B$137)/(Q105+Q107)))*Q7/12</f>
        <v/>
      </c>
      <c r="R112" s="56">
        <f>(Assumptions!$B$135+Assumptions!$B$136*IF(R105+R107=0,1,(R105+R107*Assumptions!$B$137)/(R105+R107)))*R7/12</f>
        <v/>
      </c>
      <c r="S112" s="56">
        <f>(Assumptions!$B$135+Assumptions!$B$136*IF(S105+S107=0,1,(S105+S107*Assumptions!$B$137)/(S105+S107)))*S7/12</f>
        <v/>
      </c>
      <c r="T112" s="56">
        <f>(Assumptions!$B$135+Assumptions!$B$136*IF(T105+T107=0,1,(T105+T107*Assumptions!$B$137)/(T105+T107)))*T7/12</f>
        <v/>
      </c>
      <c r="U112" s="56">
        <f>(Assumptions!$B$135+Assumptions!$B$136*IF(U105+U107=0,1,(U105+U107*Assumptions!$B$137)/(U105+U107)))*U7/12</f>
        <v/>
      </c>
      <c r="V112" s="56">
        <f>(Assumptions!$B$135+Assumptions!$B$136*IF(V105+V107=0,1,(V105+V107*Assumptions!$B$137)/(V105+V107)))*V7/12</f>
        <v/>
      </c>
      <c r="W112" s="56">
        <f>(Assumptions!$B$135+Assumptions!$B$136*IF(W105+W107=0,1,(W105+W107*Assumptions!$B$137)/(W105+W107)))*W7/12</f>
        <v/>
      </c>
      <c r="X112" s="56">
        <f>(Assumptions!$B$135+Assumptions!$B$136*IF(X105+X107=0,1,(X105+X107*Assumptions!$B$137)/(X105+X107)))*X7/12</f>
        <v/>
      </c>
      <c r="Y112" s="56">
        <f>(Assumptions!$B$135+Assumptions!$B$136*IF(Y105+Y107=0,1,(Y105+Y107*Assumptions!$B$137)/(Y105+Y107)))*Y7/12</f>
        <v/>
      </c>
      <c r="Z112" s="56">
        <f>(Assumptions!$B$135+Assumptions!$B$136*IF(Z105+Z107=0,1,(Z105+Z107*Assumptions!$B$137)/(Z105+Z107)))*Z7/12</f>
        <v/>
      </c>
      <c r="AA112" s="56">
        <f>(Assumptions!$B$135+Assumptions!$B$136*IF(AA105+AA107=0,1,(AA105+AA107*Assumptions!$B$137)/(AA105+AA107)))*AA7/12</f>
        <v/>
      </c>
      <c r="AB112" s="56">
        <f>(Assumptions!$B$135+Assumptions!$B$136*IF(AB105+AB107=0,1,(AB105+AB107*Assumptions!$B$137)/(AB105+AB107)))*AB7/12</f>
        <v/>
      </c>
      <c r="AC112" s="56">
        <f>(Assumptions!$B$135+Assumptions!$B$136*IF(AC105+AC107=0,1,(AC105+AC107*Assumptions!$B$137)/(AC105+AC107)))*AC7/12</f>
        <v/>
      </c>
      <c r="AD112" s="56">
        <f>(Assumptions!$B$135+Assumptions!$B$136*IF(AD105+AD107=0,1,(AD105+AD107*Assumptions!$B$137)/(AD105+AD107)))*AD7/12</f>
        <v/>
      </c>
      <c r="AE112" s="56">
        <f>(Assumptions!$B$135+Assumptions!$B$136*IF(AE105+AE107=0,1,(AE105+AE107*Assumptions!$B$137)/(AE105+AE107)))*AE7/12</f>
        <v/>
      </c>
    </row>
    <row r="113">
      <c r="A113" s="6" t="inlineStr">
        <is>
          <t xml:space="preserve">  Redemption-only decay rate (metal actually leaving)</t>
        </is>
      </c>
      <c r="B113" s="23" t="inlineStr">
        <is>
          <t>%/period</t>
        </is>
      </c>
      <c r="C113" s="56">
        <f>Assumptions!$B$136*IF(C105+C107=0,1,(C105+C107*Assumptions!$B$137)/(C105+C107))*C7/12</f>
        <v/>
      </c>
      <c r="D113" s="56">
        <f>Assumptions!$B$136*IF(D105+D107=0,1,(D105+D107*Assumptions!$B$137)/(D105+D107))*D7/12</f>
        <v/>
      </c>
      <c r="E113" s="56">
        <f>Assumptions!$B$136*IF(E105+E107=0,1,(E105+E107*Assumptions!$B$137)/(E105+E107))*E7/12</f>
        <v/>
      </c>
      <c r="F113" s="56">
        <f>Assumptions!$B$136*IF(F105+F107=0,1,(F105+F107*Assumptions!$B$137)/(F105+F107))*F7/12</f>
        <v/>
      </c>
      <c r="G113" s="56">
        <f>Assumptions!$B$136*IF(G105+G107=0,1,(G105+G107*Assumptions!$B$137)/(G105+G107))*G7/12</f>
        <v/>
      </c>
      <c r="H113" s="56">
        <f>Assumptions!$B$136*IF(H105+H107=0,1,(H105+H107*Assumptions!$B$137)/(H105+H107))*H7/12</f>
        <v/>
      </c>
      <c r="I113" s="56">
        <f>Assumptions!$B$136*IF(I105+I107=0,1,(I105+I107*Assumptions!$B$137)/(I105+I107))*I7/12</f>
        <v/>
      </c>
      <c r="J113" s="56">
        <f>Assumptions!$B$136*IF(J105+J107=0,1,(J105+J107*Assumptions!$B$137)/(J105+J107))*J7/12</f>
        <v/>
      </c>
      <c r="K113" s="56">
        <f>Assumptions!$B$136*IF(K105+K107=0,1,(K105+K107*Assumptions!$B$137)/(K105+K107))*K7/12</f>
        <v/>
      </c>
      <c r="L113" s="56">
        <f>Assumptions!$B$136*IF(L105+L107=0,1,(L105+L107*Assumptions!$B$137)/(L105+L107))*L7/12</f>
        <v/>
      </c>
      <c r="M113" s="56">
        <f>Assumptions!$B$136*IF(M105+M107=0,1,(M105+M107*Assumptions!$B$137)/(M105+M107))*M7/12</f>
        <v/>
      </c>
      <c r="N113" s="56">
        <f>Assumptions!$B$136*IF(N105+N107=0,1,(N105+N107*Assumptions!$B$137)/(N105+N107))*N7/12</f>
        <v/>
      </c>
      <c r="O113" s="56">
        <f>Assumptions!$B$136*IF(O105+O107=0,1,(O105+O107*Assumptions!$B$137)/(O105+O107))*O7/12</f>
        <v/>
      </c>
      <c r="P113" s="56">
        <f>Assumptions!$B$136*IF(P105+P107=0,1,(P105+P107*Assumptions!$B$137)/(P105+P107))*P7/12</f>
        <v/>
      </c>
      <c r="Q113" s="56">
        <f>Assumptions!$B$136*IF(Q105+Q107=0,1,(Q105+Q107*Assumptions!$B$137)/(Q105+Q107))*Q7/12</f>
        <v/>
      </c>
      <c r="R113" s="56">
        <f>Assumptions!$B$136*IF(R105+R107=0,1,(R105+R107*Assumptions!$B$137)/(R105+R107))*R7/12</f>
        <v/>
      </c>
      <c r="S113" s="56">
        <f>Assumptions!$B$136*IF(S105+S107=0,1,(S105+S107*Assumptions!$B$137)/(S105+S107))*S7/12</f>
        <v/>
      </c>
      <c r="T113" s="56">
        <f>Assumptions!$B$136*IF(T105+T107=0,1,(T105+T107*Assumptions!$B$137)/(T105+T107))*T7/12</f>
        <v/>
      </c>
      <c r="U113" s="56">
        <f>Assumptions!$B$136*IF(U105+U107=0,1,(U105+U107*Assumptions!$B$137)/(U105+U107))*U7/12</f>
        <v/>
      </c>
      <c r="V113" s="56">
        <f>Assumptions!$B$136*IF(V105+V107=0,1,(V105+V107*Assumptions!$B$137)/(V105+V107))*V7/12</f>
        <v/>
      </c>
      <c r="W113" s="56">
        <f>Assumptions!$B$136*IF(W105+W107=0,1,(W105+W107*Assumptions!$B$137)/(W105+W107))*W7/12</f>
        <v/>
      </c>
      <c r="X113" s="56">
        <f>Assumptions!$B$136*IF(X105+X107=0,1,(X105+X107*Assumptions!$B$137)/(X105+X107))*X7/12</f>
        <v/>
      </c>
      <c r="Y113" s="56">
        <f>Assumptions!$B$136*IF(Y105+Y107=0,1,(Y105+Y107*Assumptions!$B$137)/(Y105+Y107))*Y7/12</f>
        <v/>
      </c>
      <c r="Z113" s="56">
        <f>Assumptions!$B$136*IF(Z105+Z107=0,1,(Z105+Z107*Assumptions!$B$137)/(Z105+Z107))*Z7/12</f>
        <v/>
      </c>
      <c r="AA113" s="56">
        <f>Assumptions!$B$136*IF(AA105+AA107=0,1,(AA105+AA107*Assumptions!$B$137)/(AA105+AA107))*AA7/12</f>
        <v/>
      </c>
      <c r="AB113" s="56">
        <f>Assumptions!$B$136*IF(AB105+AB107=0,1,(AB105+AB107*Assumptions!$B$137)/(AB105+AB107))*AB7/12</f>
        <v/>
      </c>
      <c r="AC113" s="56">
        <f>Assumptions!$B$136*IF(AC105+AC107=0,1,(AC105+AC107*Assumptions!$B$137)/(AC105+AC107))*AC7/12</f>
        <v/>
      </c>
      <c r="AD113" s="56">
        <f>Assumptions!$B$136*IF(AD105+AD107=0,1,(AD105+AD107*Assumptions!$B$137)/(AD105+AD107))*AD7/12</f>
        <v/>
      </c>
      <c r="AE113" s="56">
        <f>Assumptions!$B$136*IF(AE105+AE107=0,1,(AE105+AE107*Assumptions!$B$137)/(AE105+AE107))*AE7/12</f>
        <v/>
      </c>
    </row>
    <row r="114">
      <c r="A114" s="6" t="inlineStr">
        <is>
          <t xml:space="preserve">  Grams held (collateral-eligible)</t>
        </is>
      </c>
      <c r="B114" s="23" t="inlineStr">
        <is>
          <t>grams</t>
        </is>
      </c>
      <c r="C114" s="45">
        <f>C111</f>
        <v/>
      </c>
      <c r="D114" s="45">
        <f>C114*(1-D112)+D111</f>
        <v/>
      </c>
      <c r="E114" s="45">
        <f>D114*(1-E112)+E111</f>
        <v/>
      </c>
      <c r="F114" s="45">
        <f>E114*(1-F112)+F111</f>
        <v/>
      </c>
      <c r="G114" s="45">
        <f>F114*(1-G112)+G111</f>
        <v/>
      </c>
      <c r="H114" s="45">
        <f>G114*(1-H112)+H111</f>
        <v/>
      </c>
      <c r="I114" s="45">
        <f>H114*(1-I112)+I111</f>
        <v/>
      </c>
      <c r="J114" s="45">
        <f>I114*(1-J112)+J111</f>
        <v/>
      </c>
      <c r="K114" s="45">
        <f>J114*(1-K112)+K111</f>
        <v/>
      </c>
      <c r="L114" s="45">
        <f>K114*(1-L112)+L111</f>
        <v/>
      </c>
      <c r="M114" s="45">
        <f>L114*(1-M112)+M111</f>
        <v/>
      </c>
      <c r="N114" s="45">
        <f>M114*(1-N112)+N111</f>
        <v/>
      </c>
      <c r="O114" s="45">
        <f>N114*(1-O112)+O111</f>
        <v/>
      </c>
      <c r="P114" s="45">
        <f>O114*(1-P112)+P111</f>
        <v/>
      </c>
      <c r="Q114" s="45">
        <f>P114*(1-Q112)+Q111</f>
        <v/>
      </c>
      <c r="R114" s="45">
        <f>Q114*(1-R112)+R111</f>
        <v/>
      </c>
      <c r="S114" s="45">
        <f>R114*(1-S112)+S111</f>
        <v/>
      </c>
      <c r="T114" s="45">
        <f>S114*(1-T112)+T111</f>
        <v/>
      </c>
      <c r="U114" s="45">
        <f>T114*(1-U112)+U111</f>
        <v/>
      </c>
      <c r="V114" s="45">
        <f>U114*(1-V112)+V111</f>
        <v/>
      </c>
      <c r="W114" s="45">
        <f>V114*(1-W112)+W111</f>
        <v/>
      </c>
      <c r="X114" s="45">
        <f>W114*(1-X112)+X111</f>
        <v/>
      </c>
      <c r="Y114" s="45">
        <f>X114*(1-Y112)+Y111</f>
        <v/>
      </c>
      <c r="Z114" s="45">
        <f>Y114*(1-Z112)+Z111</f>
        <v/>
      </c>
      <c r="AA114" s="45">
        <f>Z114*(1-AA112)+AA111</f>
        <v/>
      </c>
      <c r="AB114" s="45">
        <f>AA114*(1-AB112)+AB111</f>
        <v/>
      </c>
      <c r="AC114" s="45">
        <f>AB114*(1-AC112)+AC111</f>
        <v/>
      </c>
      <c r="AD114" s="45">
        <f>AC114*(1-AD112)+AD111</f>
        <v/>
      </c>
      <c r="AE114" s="45">
        <f>AD114*(1-AE112)+AE111</f>
        <v/>
      </c>
    </row>
    <row r="115">
      <c r="A115" s="6" t="inlineStr">
        <is>
          <t xml:space="preserve">  Grams under custody (vaulted, incl. self-custodied)</t>
        </is>
      </c>
      <c r="B115" s="23" t="inlineStr">
        <is>
          <t>grams</t>
        </is>
      </c>
      <c r="C115" s="45">
        <f>C111</f>
        <v/>
      </c>
      <c r="D115" s="45">
        <f>C115*(1-D113)+D111</f>
        <v/>
      </c>
      <c r="E115" s="45">
        <f>D115*(1-E113)+E111</f>
        <v/>
      </c>
      <c r="F115" s="45">
        <f>E115*(1-F113)+F111</f>
        <v/>
      </c>
      <c r="G115" s="45">
        <f>F115*(1-G113)+G111</f>
        <v/>
      </c>
      <c r="H115" s="45">
        <f>G115*(1-H113)+H111</f>
        <v/>
      </c>
      <c r="I115" s="45">
        <f>H115*(1-I113)+I111</f>
        <v/>
      </c>
      <c r="J115" s="45">
        <f>I115*(1-J113)+J111</f>
        <v/>
      </c>
      <c r="K115" s="45">
        <f>J115*(1-K113)+K111</f>
        <v/>
      </c>
      <c r="L115" s="45">
        <f>K115*(1-L113)+L111</f>
        <v/>
      </c>
      <c r="M115" s="45">
        <f>L115*(1-M113)+M111</f>
        <v/>
      </c>
      <c r="N115" s="45">
        <f>M115*(1-N113)+N111</f>
        <v/>
      </c>
      <c r="O115" s="45">
        <f>N115*(1-O113)+O111</f>
        <v/>
      </c>
      <c r="P115" s="45">
        <f>O115*(1-P113)+P111</f>
        <v/>
      </c>
      <c r="Q115" s="45">
        <f>P115*(1-Q113)+Q111</f>
        <v/>
      </c>
      <c r="R115" s="45">
        <f>Q115*(1-R113)+R111</f>
        <v/>
      </c>
      <c r="S115" s="45">
        <f>R115*(1-S113)+S111</f>
        <v/>
      </c>
      <c r="T115" s="45">
        <f>S115*(1-T113)+T111</f>
        <v/>
      </c>
      <c r="U115" s="45">
        <f>T115*(1-U113)+U111</f>
        <v/>
      </c>
      <c r="V115" s="45">
        <f>U115*(1-V113)+V111</f>
        <v/>
      </c>
      <c r="W115" s="45">
        <f>V115*(1-W113)+W111</f>
        <v/>
      </c>
      <c r="X115" s="45">
        <f>W115*(1-X113)+X111</f>
        <v/>
      </c>
      <c r="Y115" s="45">
        <f>X115*(1-Y113)+Y111</f>
        <v/>
      </c>
      <c r="Z115" s="45">
        <f>Y115*(1-Z113)+Z111</f>
        <v/>
      </c>
      <c r="AA115" s="45">
        <f>Z115*(1-AA113)+AA111</f>
        <v/>
      </c>
      <c r="AB115" s="45">
        <f>AA115*(1-AB113)+AB111</f>
        <v/>
      </c>
      <c r="AC115" s="45">
        <f>AB115*(1-AC113)+AC111</f>
        <v/>
      </c>
      <c r="AD115" s="45">
        <f>AC115*(1-AD113)+AD111</f>
        <v/>
      </c>
      <c r="AE115" s="45">
        <f>AD115*(1-AE113)+AE111</f>
        <v/>
      </c>
    </row>
    <row r="116">
      <c r="A116" s="6" t="inlineStr">
        <is>
          <t xml:space="preserve">  AUM</t>
        </is>
      </c>
      <c r="B116" s="23" t="inlineStr">
        <is>
          <t>USD</t>
        </is>
      </c>
      <c r="C116" s="57">
        <f>C114*Assumptions!$B$6</f>
        <v/>
      </c>
      <c r="D116" s="57">
        <f>D114*Assumptions!$B$6</f>
        <v/>
      </c>
      <c r="E116" s="57">
        <f>E114*Assumptions!$B$6</f>
        <v/>
      </c>
      <c r="F116" s="57">
        <f>F114*Assumptions!$B$6</f>
        <v/>
      </c>
      <c r="G116" s="57">
        <f>G114*Assumptions!$B$6</f>
        <v/>
      </c>
      <c r="H116" s="57">
        <f>H114*Assumptions!$B$6</f>
        <v/>
      </c>
      <c r="I116" s="57">
        <f>I114*Assumptions!$B$6</f>
        <v/>
      </c>
      <c r="J116" s="57">
        <f>J114*Assumptions!$B$6</f>
        <v/>
      </c>
      <c r="K116" s="57">
        <f>K114*Assumptions!$B$6</f>
        <v/>
      </c>
      <c r="L116" s="57">
        <f>L114*Assumptions!$B$6</f>
        <v/>
      </c>
      <c r="M116" s="57">
        <f>M114*Assumptions!$B$6</f>
        <v/>
      </c>
      <c r="N116" s="57">
        <f>N114*Assumptions!$B$6</f>
        <v/>
      </c>
      <c r="O116" s="57">
        <f>O114*Assumptions!$B$6</f>
        <v/>
      </c>
      <c r="P116" s="57">
        <f>P114*Assumptions!$B$6</f>
        <v/>
      </c>
      <c r="Q116" s="57">
        <f>Q114*Assumptions!$B$6</f>
        <v/>
      </c>
      <c r="R116" s="57">
        <f>R114*Assumptions!$B$6</f>
        <v/>
      </c>
      <c r="S116" s="57">
        <f>S114*Assumptions!$B$6</f>
        <v/>
      </c>
      <c r="T116" s="57">
        <f>T114*Assumptions!$B$6</f>
        <v/>
      </c>
      <c r="U116" s="57">
        <f>U114*Assumptions!$B$6</f>
        <v/>
      </c>
      <c r="V116" s="57">
        <f>V114*Assumptions!$B$6</f>
        <v/>
      </c>
      <c r="W116" s="57">
        <f>W114*Assumptions!$B$6</f>
        <v/>
      </c>
      <c r="X116" s="57">
        <f>X114*Assumptions!$B$6</f>
        <v/>
      </c>
      <c r="Y116" s="57">
        <f>Y114*Assumptions!$B$6</f>
        <v/>
      </c>
      <c r="Z116" s="57">
        <f>Z114*Assumptions!$B$6</f>
        <v/>
      </c>
      <c r="AA116" s="57">
        <f>AA114*Assumptions!$B$6</f>
        <v/>
      </c>
      <c r="AB116" s="57">
        <f>AB114*Assumptions!$B$6</f>
        <v/>
      </c>
      <c r="AC116" s="57">
        <f>AC114*Assumptions!$B$6</f>
        <v/>
      </c>
      <c r="AD116" s="57">
        <f>AD114*Assumptions!$B$6</f>
        <v/>
      </c>
      <c r="AE116" s="57">
        <f>AE114*Assumptions!$B$6</f>
        <v/>
      </c>
    </row>
    <row r="117">
      <c r="A117" s="6" t="inlineStr">
        <is>
          <t xml:space="preserve">  Card-eligible base</t>
        </is>
      </c>
      <c r="B117" s="23" t="inlineStr">
        <is>
          <t>accounts</t>
        </is>
      </c>
      <c r="C117" s="54">
        <f>C105+C107*Assumptions!$B$171</f>
        <v/>
      </c>
      <c r="D117" s="54">
        <f>D105+D107*Assumptions!$B$171</f>
        <v/>
      </c>
      <c r="E117" s="54">
        <f>E105+E107*Assumptions!$B$171</f>
        <v/>
      </c>
      <c r="F117" s="54">
        <f>F105+F107*Assumptions!$B$171</f>
        <v/>
      </c>
      <c r="G117" s="54">
        <f>G105+G107*Assumptions!$B$171</f>
        <v/>
      </c>
      <c r="H117" s="54">
        <f>H105+H107*Assumptions!$B$171</f>
        <v/>
      </c>
      <c r="I117" s="54">
        <f>I105+I107*Assumptions!$B$171</f>
        <v/>
      </c>
      <c r="J117" s="54">
        <f>J105+J107*Assumptions!$B$171</f>
        <v/>
      </c>
      <c r="K117" s="54">
        <f>K105+K107*Assumptions!$B$171</f>
        <v/>
      </c>
      <c r="L117" s="54">
        <f>L105+L107*Assumptions!$B$171</f>
        <v/>
      </c>
      <c r="M117" s="54">
        <f>M105+M107*Assumptions!$B$171</f>
        <v/>
      </c>
      <c r="N117" s="54">
        <f>N105+N107*Assumptions!$B$171</f>
        <v/>
      </c>
      <c r="O117" s="54">
        <f>O105+O107*Assumptions!$B$171</f>
        <v/>
      </c>
      <c r="P117" s="54">
        <f>P105+P107*Assumptions!$B$171</f>
        <v/>
      </c>
      <c r="Q117" s="54">
        <f>Q105+Q107*Assumptions!$B$171</f>
        <v/>
      </c>
      <c r="R117" s="54">
        <f>R105+R107*Assumptions!$B$171</f>
        <v/>
      </c>
      <c r="S117" s="54">
        <f>S105+S107*Assumptions!$B$171</f>
        <v/>
      </c>
      <c r="T117" s="54">
        <f>T105+T107*Assumptions!$B$171</f>
        <v/>
      </c>
      <c r="U117" s="54">
        <f>U105+U107*Assumptions!$B$171</f>
        <v/>
      </c>
      <c r="V117" s="54">
        <f>V105+V107*Assumptions!$B$171</f>
        <v/>
      </c>
      <c r="W117" s="54">
        <f>W105+W107*Assumptions!$B$171</f>
        <v/>
      </c>
      <c r="X117" s="54">
        <f>X105+X107*Assumptions!$B$171</f>
        <v/>
      </c>
      <c r="Y117" s="54">
        <f>Y105+Y107*Assumptions!$B$171</f>
        <v/>
      </c>
      <c r="Z117" s="54">
        <f>Z105+Z107*Assumptions!$B$171</f>
        <v/>
      </c>
      <c r="AA117" s="54">
        <f>AA105+AA107*Assumptions!$B$171</f>
        <v/>
      </c>
      <c r="AB117" s="54">
        <f>AB105+AB107*Assumptions!$B$171</f>
        <v/>
      </c>
      <c r="AC117" s="54">
        <f>AC105+AC107*Assumptions!$B$171</f>
        <v/>
      </c>
      <c r="AD117" s="54">
        <f>AD105+AD107*Assumptions!$B$171</f>
        <v/>
      </c>
      <c r="AE117" s="54">
        <f>AE105+AE107*Assumptions!$B$171</f>
        <v/>
      </c>
    </row>
    <row r="118">
      <c r="A118" s="6" t="inlineStr">
        <is>
          <t xml:space="preserve">  Cleared the six-payment gate</t>
        </is>
      </c>
      <c r="B118" s="23" t="inlineStr">
        <is>
          <t>accounts</t>
        </is>
      </c>
      <c r="C118" s="45">
        <f>IF(C7&gt;1,C117*Assumptions!$B$133,IF(C2&gt;Assumptions!$B$134,INDEX($C$117:$AE$117,1,C2-Assumptions!$B$134)*Assumptions!$B$133,0))</f>
        <v/>
      </c>
      <c r="D118" s="45">
        <f>IF(D7&gt;1,D117*Assumptions!$B$133,IF(D2&gt;Assumptions!$B$134,INDEX($C$117:$AE$117,1,D2-Assumptions!$B$134)*Assumptions!$B$133,0))</f>
        <v/>
      </c>
      <c r="E118" s="45">
        <f>IF(E7&gt;1,E117*Assumptions!$B$133,IF(E2&gt;Assumptions!$B$134,INDEX($C$117:$AE$117,1,E2-Assumptions!$B$134)*Assumptions!$B$133,0))</f>
        <v/>
      </c>
      <c r="F118" s="45">
        <f>IF(F7&gt;1,F117*Assumptions!$B$133,IF(F2&gt;Assumptions!$B$134,INDEX($C$117:$AE$117,1,F2-Assumptions!$B$134)*Assumptions!$B$133,0))</f>
        <v/>
      </c>
      <c r="G118" s="45">
        <f>IF(G7&gt;1,G117*Assumptions!$B$133,IF(G2&gt;Assumptions!$B$134,INDEX($C$117:$AE$117,1,G2-Assumptions!$B$134)*Assumptions!$B$133,0))</f>
        <v/>
      </c>
      <c r="H118" s="45">
        <f>IF(H7&gt;1,H117*Assumptions!$B$133,IF(H2&gt;Assumptions!$B$134,INDEX($C$117:$AE$117,1,H2-Assumptions!$B$134)*Assumptions!$B$133,0))</f>
        <v/>
      </c>
      <c r="I118" s="45">
        <f>IF(I7&gt;1,I117*Assumptions!$B$133,IF(I2&gt;Assumptions!$B$134,INDEX($C$117:$AE$117,1,I2-Assumptions!$B$134)*Assumptions!$B$133,0))</f>
        <v/>
      </c>
      <c r="J118" s="45">
        <f>IF(J7&gt;1,J117*Assumptions!$B$133,IF(J2&gt;Assumptions!$B$134,INDEX($C$117:$AE$117,1,J2-Assumptions!$B$134)*Assumptions!$B$133,0))</f>
        <v/>
      </c>
      <c r="K118" s="45">
        <f>IF(K7&gt;1,K117*Assumptions!$B$133,IF(K2&gt;Assumptions!$B$134,INDEX($C$117:$AE$117,1,K2-Assumptions!$B$134)*Assumptions!$B$133,0))</f>
        <v/>
      </c>
      <c r="L118" s="45">
        <f>IF(L7&gt;1,L117*Assumptions!$B$133,IF(L2&gt;Assumptions!$B$134,INDEX($C$117:$AE$117,1,L2-Assumptions!$B$134)*Assumptions!$B$133,0))</f>
        <v/>
      </c>
      <c r="M118" s="45">
        <f>IF(M7&gt;1,M117*Assumptions!$B$133,IF(M2&gt;Assumptions!$B$134,INDEX($C$117:$AE$117,1,M2-Assumptions!$B$134)*Assumptions!$B$133,0))</f>
        <v/>
      </c>
      <c r="N118" s="45">
        <f>IF(N7&gt;1,N117*Assumptions!$B$133,IF(N2&gt;Assumptions!$B$134,INDEX($C$117:$AE$117,1,N2-Assumptions!$B$134)*Assumptions!$B$133,0))</f>
        <v/>
      </c>
      <c r="O118" s="45">
        <f>IF(O7&gt;1,O117*Assumptions!$B$133,IF(O2&gt;Assumptions!$B$134,INDEX($C$117:$AE$117,1,O2-Assumptions!$B$134)*Assumptions!$B$133,0))</f>
        <v/>
      </c>
      <c r="P118" s="45">
        <f>IF(P7&gt;1,P117*Assumptions!$B$133,IF(P2&gt;Assumptions!$B$134,INDEX($C$117:$AE$117,1,P2-Assumptions!$B$134)*Assumptions!$B$133,0))</f>
        <v/>
      </c>
      <c r="Q118" s="45">
        <f>IF(Q7&gt;1,Q117*Assumptions!$B$133,IF(Q2&gt;Assumptions!$B$134,INDEX($C$117:$AE$117,1,Q2-Assumptions!$B$134)*Assumptions!$B$133,0))</f>
        <v/>
      </c>
      <c r="R118" s="45">
        <f>IF(R7&gt;1,R117*Assumptions!$B$133,IF(R2&gt;Assumptions!$B$134,INDEX($C$117:$AE$117,1,R2-Assumptions!$B$134)*Assumptions!$B$133,0))</f>
        <v/>
      </c>
      <c r="S118" s="45">
        <f>IF(S7&gt;1,S117*Assumptions!$B$133,IF(S2&gt;Assumptions!$B$134,INDEX($C$117:$AE$117,1,S2-Assumptions!$B$134)*Assumptions!$B$133,0))</f>
        <v/>
      </c>
      <c r="T118" s="45">
        <f>IF(T7&gt;1,T117*Assumptions!$B$133,IF(T2&gt;Assumptions!$B$134,INDEX($C$117:$AE$117,1,T2-Assumptions!$B$134)*Assumptions!$B$133,0))</f>
        <v/>
      </c>
      <c r="U118" s="45">
        <f>IF(U7&gt;1,U117*Assumptions!$B$133,IF(U2&gt;Assumptions!$B$134,INDEX($C$117:$AE$117,1,U2-Assumptions!$B$134)*Assumptions!$B$133,0))</f>
        <v/>
      </c>
      <c r="V118" s="45">
        <f>IF(V7&gt;1,V117*Assumptions!$B$133,IF(V2&gt;Assumptions!$B$134,INDEX($C$117:$AE$117,1,V2-Assumptions!$B$134)*Assumptions!$B$133,0))</f>
        <v/>
      </c>
      <c r="W118" s="45">
        <f>IF(W7&gt;1,W117*Assumptions!$B$133,IF(W2&gt;Assumptions!$B$134,INDEX($C$117:$AE$117,1,W2-Assumptions!$B$134)*Assumptions!$B$133,0))</f>
        <v/>
      </c>
      <c r="X118" s="45">
        <f>IF(X7&gt;1,X117*Assumptions!$B$133,IF(X2&gt;Assumptions!$B$134,INDEX($C$117:$AE$117,1,X2-Assumptions!$B$134)*Assumptions!$B$133,0))</f>
        <v/>
      </c>
      <c r="Y118" s="45">
        <f>IF(Y7&gt;1,Y117*Assumptions!$B$133,IF(Y2&gt;Assumptions!$B$134,INDEX($C$117:$AE$117,1,Y2-Assumptions!$B$134)*Assumptions!$B$133,0))</f>
        <v/>
      </c>
      <c r="Z118" s="45">
        <f>IF(Z7&gt;1,Z117*Assumptions!$B$133,IF(Z2&gt;Assumptions!$B$134,INDEX($C$117:$AE$117,1,Z2-Assumptions!$B$134)*Assumptions!$B$133,0))</f>
        <v/>
      </c>
      <c r="AA118" s="45">
        <f>IF(AA7&gt;1,AA117*Assumptions!$B$133,IF(AA2&gt;Assumptions!$B$134,INDEX($C$117:$AE$117,1,AA2-Assumptions!$B$134)*Assumptions!$B$133,0))</f>
        <v/>
      </c>
      <c r="AB118" s="45">
        <f>IF(AB7&gt;1,AB117*Assumptions!$B$133,IF(AB2&gt;Assumptions!$B$134,INDEX($C$117:$AE$117,1,AB2-Assumptions!$B$134)*Assumptions!$B$133,0))</f>
        <v/>
      </c>
      <c r="AC118" s="45">
        <f>IF(AC7&gt;1,AC117*Assumptions!$B$133,IF(AC2&gt;Assumptions!$B$134,INDEX($C$117:$AE$117,1,AC2-Assumptions!$B$134)*Assumptions!$B$133,0))</f>
        <v/>
      </c>
      <c r="AD118" s="45">
        <f>IF(AD7&gt;1,AD117*Assumptions!$B$133,IF(AD2&gt;Assumptions!$B$134,INDEX($C$117:$AE$117,1,AD2-Assumptions!$B$134)*Assumptions!$B$133,0))</f>
        <v/>
      </c>
      <c r="AE118" s="45">
        <f>IF(AE7&gt;1,AE117*Assumptions!$B$133,IF(AE2&gt;Assumptions!$B$134,INDEX($C$117:$AE$117,1,AE2-Assumptions!$B$134)*Assumptions!$B$133,0))</f>
        <v/>
      </c>
    </row>
    <row r="119">
      <c r="A119" s="6" t="inlineStr">
        <is>
          <t xml:space="preserve">  Active cards</t>
        </is>
      </c>
      <c r="B119" s="23" t="inlineStr">
        <is>
          <t>cards</t>
        </is>
      </c>
      <c r="C119" s="28">
        <f>IF(C2&gt;=Assumptions!$B$51,C118*Assumptions!$B$142,0)</f>
        <v/>
      </c>
      <c r="D119" s="28">
        <f>IF(D2&gt;=Assumptions!$B$51,D118*Assumptions!$B$142,0)</f>
        <v/>
      </c>
      <c r="E119" s="28">
        <f>IF(E2&gt;=Assumptions!$B$51,E118*Assumptions!$B$142,0)</f>
        <v/>
      </c>
      <c r="F119" s="28">
        <f>IF(F2&gt;=Assumptions!$B$51,F118*Assumptions!$B$142,0)</f>
        <v/>
      </c>
      <c r="G119" s="28">
        <f>IF(G2&gt;=Assumptions!$B$51,G118*Assumptions!$B$142,0)</f>
        <v/>
      </c>
      <c r="H119" s="28">
        <f>IF(H2&gt;=Assumptions!$B$51,H118*Assumptions!$B$142,0)</f>
        <v/>
      </c>
      <c r="I119" s="28">
        <f>IF(I2&gt;=Assumptions!$B$51,I118*Assumptions!$B$142,0)</f>
        <v/>
      </c>
      <c r="J119" s="28">
        <f>IF(J2&gt;=Assumptions!$B$51,J118*Assumptions!$B$142,0)</f>
        <v/>
      </c>
      <c r="K119" s="28">
        <f>IF(K2&gt;=Assumptions!$B$51,K118*Assumptions!$B$142,0)</f>
        <v/>
      </c>
      <c r="L119" s="28">
        <f>IF(L2&gt;=Assumptions!$B$51,L118*Assumptions!$B$142,0)</f>
        <v/>
      </c>
      <c r="M119" s="28">
        <f>IF(M2&gt;=Assumptions!$B$51,M118*Assumptions!$B$142,0)</f>
        <v/>
      </c>
      <c r="N119" s="28">
        <f>IF(N2&gt;=Assumptions!$B$51,N118*Assumptions!$B$142,0)</f>
        <v/>
      </c>
      <c r="O119" s="28">
        <f>IF(O2&gt;=Assumptions!$B$51,O118*Assumptions!$B$142,0)</f>
        <v/>
      </c>
      <c r="P119" s="28">
        <f>IF(P2&gt;=Assumptions!$B$51,P118*Assumptions!$B$142,0)</f>
        <v/>
      </c>
      <c r="Q119" s="28">
        <f>IF(Q2&gt;=Assumptions!$B$51,Q118*Assumptions!$B$142,0)</f>
        <v/>
      </c>
      <c r="R119" s="28">
        <f>IF(R2&gt;=Assumptions!$B$51,R118*Assumptions!$B$142,0)</f>
        <v/>
      </c>
      <c r="S119" s="28">
        <f>IF(S2&gt;=Assumptions!$B$51,S118*Assumptions!$B$142,0)</f>
        <v/>
      </c>
      <c r="T119" s="28">
        <f>IF(T2&gt;=Assumptions!$B$51,T118*Assumptions!$B$142,0)</f>
        <v/>
      </c>
      <c r="U119" s="28">
        <f>IF(U2&gt;=Assumptions!$B$51,U118*Assumptions!$B$142,0)</f>
        <v/>
      </c>
      <c r="V119" s="28">
        <f>IF(V2&gt;=Assumptions!$B$51,V118*Assumptions!$B$142,0)</f>
        <v/>
      </c>
      <c r="W119" s="28">
        <f>IF(W2&gt;=Assumptions!$B$51,W118*Assumptions!$B$142,0)</f>
        <v/>
      </c>
      <c r="X119" s="28">
        <f>IF(X2&gt;=Assumptions!$B$51,X118*Assumptions!$B$142,0)</f>
        <v/>
      </c>
      <c r="Y119" s="28">
        <f>IF(Y2&gt;=Assumptions!$B$51,Y118*Assumptions!$B$142,0)</f>
        <v/>
      </c>
      <c r="Z119" s="28">
        <f>IF(Z2&gt;=Assumptions!$B$51,Z118*Assumptions!$B$142,0)</f>
        <v/>
      </c>
      <c r="AA119" s="28">
        <f>IF(AA2&gt;=Assumptions!$B$51,AA118*Assumptions!$B$142,0)</f>
        <v/>
      </c>
      <c r="AB119" s="28">
        <f>IF(AB2&gt;=Assumptions!$B$51,AB118*Assumptions!$B$142,0)</f>
        <v/>
      </c>
      <c r="AC119" s="28">
        <f>IF(AC2&gt;=Assumptions!$B$51,AC118*Assumptions!$B$142,0)</f>
        <v/>
      </c>
      <c r="AD119" s="28">
        <f>IF(AD2&gt;=Assumptions!$B$51,AD118*Assumptions!$B$142,0)</f>
        <v/>
      </c>
      <c r="AE119" s="28">
        <f>IF(AE2&gt;=Assumptions!$B$51,AE118*Assumptions!$B$142,0)</f>
        <v/>
      </c>
    </row>
    <row r="120">
      <c r="A120" s="6" t="inlineStr">
        <is>
          <t xml:space="preserve">  Credit limit per customer (gold x LTV)</t>
        </is>
      </c>
      <c r="B120" s="23" t="inlineStr">
        <is>
          <t>USD</t>
        </is>
      </c>
      <c r="C120" s="55">
        <f>IF(C105=0,0,C116/C105*Assumptions!$B$31)</f>
        <v/>
      </c>
      <c r="D120" s="55">
        <f>IF(D105=0,0,D116/D105*Assumptions!$B$31)</f>
        <v/>
      </c>
      <c r="E120" s="55">
        <f>IF(E105=0,0,E116/E105*Assumptions!$B$31)</f>
        <v/>
      </c>
      <c r="F120" s="55">
        <f>IF(F105=0,0,F116/F105*Assumptions!$B$31)</f>
        <v/>
      </c>
      <c r="G120" s="55">
        <f>IF(G105=0,0,G116/G105*Assumptions!$B$31)</f>
        <v/>
      </c>
      <c r="H120" s="55">
        <f>IF(H105=0,0,H116/H105*Assumptions!$B$31)</f>
        <v/>
      </c>
      <c r="I120" s="55">
        <f>IF(I105=0,0,I116/I105*Assumptions!$B$31)</f>
        <v/>
      </c>
      <c r="J120" s="55">
        <f>IF(J105=0,0,J116/J105*Assumptions!$B$31)</f>
        <v/>
      </c>
      <c r="K120" s="55">
        <f>IF(K105=0,0,K116/K105*Assumptions!$B$31)</f>
        <v/>
      </c>
      <c r="L120" s="55">
        <f>IF(L105=0,0,L116/L105*Assumptions!$B$31)</f>
        <v/>
      </c>
      <c r="M120" s="55">
        <f>IF(M105=0,0,M116/M105*Assumptions!$B$31)</f>
        <v/>
      </c>
      <c r="N120" s="55">
        <f>IF(N105=0,0,N116/N105*Assumptions!$B$31)</f>
        <v/>
      </c>
      <c r="O120" s="55">
        <f>IF(O105=0,0,O116/O105*Assumptions!$B$31)</f>
        <v/>
      </c>
      <c r="P120" s="55">
        <f>IF(P105=0,0,P116/P105*Assumptions!$B$31)</f>
        <v/>
      </c>
      <c r="Q120" s="55">
        <f>IF(Q105=0,0,Q116/Q105*Assumptions!$B$31)</f>
        <v/>
      </c>
      <c r="R120" s="55">
        <f>IF(R105=0,0,R116/R105*Assumptions!$B$31)</f>
        <v/>
      </c>
      <c r="S120" s="55">
        <f>IF(S105=0,0,S116/S105*Assumptions!$B$31)</f>
        <v/>
      </c>
      <c r="T120" s="55">
        <f>IF(T105=0,0,T116/T105*Assumptions!$B$31)</f>
        <v/>
      </c>
      <c r="U120" s="55">
        <f>IF(U105=0,0,U116/U105*Assumptions!$B$31)</f>
        <v/>
      </c>
      <c r="V120" s="55">
        <f>IF(V105=0,0,V116/V105*Assumptions!$B$31)</f>
        <v/>
      </c>
      <c r="W120" s="55">
        <f>IF(W105=0,0,W116/W105*Assumptions!$B$31)</f>
        <v/>
      </c>
      <c r="X120" s="55">
        <f>IF(X105=0,0,X116/X105*Assumptions!$B$31)</f>
        <v/>
      </c>
      <c r="Y120" s="55">
        <f>IF(Y105=0,0,Y116/Y105*Assumptions!$B$31)</f>
        <v/>
      </c>
      <c r="Z120" s="55">
        <f>IF(Z105=0,0,Z116/Z105*Assumptions!$B$31)</f>
        <v/>
      </c>
      <c r="AA120" s="55">
        <f>IF(AA105=0,0,AA116/AA105*Assumptions!$B$31)</f>
        <v/>
      </c>
      <c r="AB120" s="55">
        <f>IF(AB105=0,0,AB116/AB105*Assumptions!$B$31)</f>
        <v/>
      </c>
      <c r="AC120" s="55">
        <f>IF(AC105=0,0,AC116/AC105*Assumptions!$B$31)</f>
        <v/>
      </c>
      <c r="AD120" s="55">
        <f>IF(AD105=0,0,AD116/AD105*Assumptions!$B$31)</f>
        <v/>
      </c>
      <c r="AE120" s="55">
        <f>IF(AE105=0,0,AE116/AE105*Assumptions!$B$31)</f>
        <v/>
      </c>
    </row>
    <row r="121">
      <c r="A121" s="6" t="inlineStr">
        <is>
          <t xml:space="preserve">  Annual drawdown per card (limit x drawn x draws)</t>
        </is>
      </c>
      <c r="B121" s="23" t="inlineStr">
        <is>
          <t>USD/yr</t>
        </is>
      </c>
      <c r="C121" s="55">
        <f>C120*Assumptions!$B$155*Assumptions!$B$157</f>
        <v/>
      </c>
      <c r="D121" s="55">
        <f>D120*Assumptions!$B$155*Assumptions!$B$157</f>
        <v/>
      </c>
      <c r="E121" s="55">
        <f>E120*Assumptions!$B$155*Assumptions!$B$157</f>
        <v/>
      </c>
      <c r="F121" s="55">
        <f>F120*Assumptions!$B$155*Assumptions!$B$157</f>
        <v/>
      </c>
      <c r="G121" s="55">
        <f>G120*Assumptions!$B$155*Assumptions!$B$157</f>
        <v/>
      </c>
      <c r="H121" s="55">
        <f>H120*Assumptions!$B$155*Assumptions!$B$157</f>
        <v/>
      </c>
      <c r="I121" s="55">
        <f>I120*Assumptions!$B$155*Assumptions!$B$157</f>
        <v/>
      </c>
      <c r="J121" s="55">
        <f>J120*Assumptions!$B$155*Assumptions!$B$157</f>
        <v/>
      </c>
      <c r="K121" s="55">
        <f>K120*Assumptions!$B$155*Assumptions!$B$157</f>
        <v/>
      </c>
      <c r="L121" s="55">
        <f>L120*Assumptions!$B$155*Assumptions!$B$157</f>
        <v/>
      </c>
      <c r="M121" s="55">
        <f>M120*Assumptions!$B$155*Assumptions!$B$157</f>
        <v/>
      </c>
      <c r="N121" s="55">
        <f>N120*Assumptions!$B$155*Assumptions!$B$157</f>
        <v/>
      </c>
      <c r="O121" s="55">
        <f>O120*Assumptions!$B$155*Assumptions!$B$157</f>
        <v/>
      </c>
      <c r="P121" s="55">
        <f>P120*Assumptions!$B$155*Assumptions!$B$157</f>
        <v/>
      </c>
      <c r="Q121" s="55">
        <f>Q120*Assumptions!$B$155*Assumptions!$B$157</f>
        <v/>
      </c>
      <c r="R121" s="55">
        <f>R120*Assumptions!$B$155*Assumptions!$B$157</f>
        <v/>
      </c>
      <c r="S121" s="55">
        <f>S120*Assumptions!$B$155*Assumptions!$B$157</f>
        <v/>
      </c>
      <c r="T121" s="55">
        <f>T120*Assumptions!$B$155*Assumptions!$B$157</f>
        <v/>
      </c>
      <c r="U121" s="55">
        <f>U120*Assumptions!$B$155*Assumptions!$B$157</f>
        <v/>
      </c>
      <c r="V121" s="55">
        <f>V120*Assumptions!$B$155*Assumptions!$B$157</f>
        <v/>
      </c>
      <c r="W121" s="55">
        <f>W120*Assumptions!$B$155*Assumptions!$B$157</f>
        <v/>
      </c>
      <c r="X121" s="55">
        <f>X120*Assumptions!$B$155*Assumptions!$B$157</f>
        <v/>
      </c>
      <c r="Y121" s="55">
        <f>Y120*Assumptions!$B$155*Assumptions!$B$157</f>
        <v/>
      </c>
      <c r="Z121" s="55">
        <f>Z120*Assumptions!$B$155*Assumptions!$B$157</f>
        <v/>
      </c>
      <c r="AA121" s="55">
        <f>AA120*Assumptions!$B$155*Assumptions!$B$157</f>
        <v/>
      </c>
      <c r="AB121" s="55">
        <f>AB120*Assumptions!$B$155*Assumptions!$B$157</f>
        <v/>
      </c>
      <c r="AC121" s="55">
        <f>AC120*Assumptions!$B$155*Assumptions!$B$157</f>
        <v/>
      </c>
      <c r="AD121" s="55">
        <f>AD120*Assumptions!$B$155*Assumptions!$B$157</f>
        <v/>
      </c>
      <c r="AE121" s="55">
        <f>AE120*Assumptions!$B$155*Assumptions!$B$157</f>
        <v/>
      </c>
    </row>
    <row r="122">
      <c r="A122" s="6" t="inlineStr">
        <is>
          <t xml:space="preserve">  Card spend per card per month</t>
        </is>
      </c>
      <c r="B122" s="23" t="inlineStr">
        <is>
          <t>USD</t>
        </is>
      </c>
      <c r="C122" s="55">
        <f>C121/12*C16</f>
        <v/>
      </c>
      <c r="D122" s="55">
        <f>D121/12*D16</f>
        <v/>
      </c>
      <c r="E122" s="55">
        <f>E121/12*E16</f>
        <v/>
      </c>
      <c r="F122" s="55">
        <f>F121/12*F16</f>
        <v/>
      </c>
      <c r="G122" s="55">
        <f>G121/12*G16</f>
        <v/>
      </c>
      <c r="H122" s="55">
        <f>H121/12*H16</f>
        <v/>
      </c>
      <c r="I122" s="55">
        <f>I121/12*I16</f>
        <v/>
      </c>
      <c r="J122" s="55">
        <f>J121/12*J16</f>
        <v/>
      </c>
      <c r="K122" s="55">
        <f>K121/12*K16</f>
        <v/>
      </c>
      <c r="L122" s="55">
        <f>L121/12*L16</f>
        <v/>
      </c>
      <c r="M122" s="55">
        <f>M121/12*M16</f>
        <v/>
      </c>
      <c r="N122" s="55">
        <f>N121/12*N16</f>
        <v/>
      </c>
      <c r="O122" s="55">
        <f>O121/12*O16</f>
        <v/>
      </c>
      <c r="P122" s="55">
        <f>P121/12*P16</f>
        <v/>
      </c>
      <c r="Q122" s="55">
        <f>Q121/12*Q16</f>
        <v/>
      </c>
      <c r="R122" s="55">
        <f>R121/12*R16</f>
        <v/>
      </c>
      <c r="S122" s="55">
        <f>S121/12*S16</f>
        <v/>
      </c>
      <c r="T122" s="55">
        <f>T121/12*T16</f>
        <v/>
      </c>
      <c r="U122" s="55">
        <f>U121/12*U16</f>
        <v/>
      </c>
      <c r="V122" s="55">
        <f>V121/12*V16</f>
        <v/>
      </c>
      <c r="W122" s="55">
        <f>W121/12*W16</f>
        <v/>
      </c>
      <c r="X122" s="55">
        <f>X121/12*X16</f>
        <v/>
      </c>
      <c r="Y122" s="55">
        <f>Y121/12*Y16</f>
        <v/>
      </c>
      <c r="Z122" s="55">
        <f>Z121/12*Z16</f>
        <v/>
      </c>
      <c r="AA122" s="55">
        <f>AA121/12*AA16</f>
        <v/>
      </c>
      <c r="AB122" s="55">
        <f>AB121/12*AB16</f>
        <v/>
      </c>
      <c r="AC122" s="55">
        <f>AC121/12*AC16</f>
        <v/>
      </c>
      <c r="AD122" s="55">
        <f>AD121/12*AD16</f>
        <v/>
      </c>
      <c r="AE122" s="55">
        <f>AE121/12*AE16</f>
        <v/>
      </c>
    </row>
    <row r="123">
      <c r="A123" s="6" t="inlineStr">
        <is>
          <t xml:space="preserve">  Card spend</t>
        </is>
      </c>
      <c r="B123" s="23" t="inlineStr">
        <is>
          <t>AED</t>
        </is>
      </c>
      <c r="C123" s="45">
        <f>C119*C122*Assumptions!$B$7*C7</f>
        <v/>
      </c>
      <c r="D123" s="45">
        <f>D119*D122*Assumptions!$B$7*D7</f>
        <v/>
      </c>
      <c r="E123" s="45">
        <f>E119*E122*Assumptions!$B$7*E7</f>
        <v/>
      </c>
      <c r="F123" s="45">
        <f>F119*F122*Assumptions!$B$7*F7</f>
        <v/>
      </c>
      <c r="G123" s="45">
        <f>G119*G122*Assumptions!$B$7*G7</f>
        <v/>
      </c>
      <c r="H123" s="45">
        <f>H119*H122*Assumptions!$B$7*H7</f>
        <v/>
      </c>
      <c r="I123" s="45">
        <f>I119*I122*Assumptions!$B$7*I7</f>
        <v/>
      </c>
      <c r="J123" s="45">
        <f>J119*J122*Assumptions!$B$7*J7</f>
        <v/>
      </c>
      <c r="K123" s="45">
        <f>K119*K122*Assumptions!$B$7*K7</f>
        <v/>
      </c>
      <c r="L123" s="45">
        <f>L119*L122*Assumptions!$B$7*L7</f>
        <v/>
      </c>
      <c r="M123" s="45">
        <f>M119*M122*Assumptions!$B$7*M7</f>
        <v/>
      </c>
      <c r="N123" s="45">
        <f>N119*N122*Assumptions!$B$7*N7</f>
        <v/>
      </c>
      <c r="O123" s="45">
        <f>O119*O122*Assumptions!$B$7*O7</f>
        <v/>
      </c>
      <c r="P123" s="45">
        <f>P119*P122*Assumptions!$B$7*P7</f>
        <v/>
      </c>
      <c r="Q123" s="45">
        <f>Q119*Q122*Assumptions!$B$7*Q7</f>
        <v/>
      </c>
      <c r="R123" s="45">
        <f>R119*R122*Assumptions!$B$7*R7</f>
        <v/>
      </c>
      <c r="S123" s="45">
        <f>S119*S122*Assumptions!$B$7*S7</f>
        <v/>
      </c>
      <c r="T123" s="45">
        <f>T119*T122*Assumptions!$B$7*T7</f>
        <v/>
      </c>
      <c r="U123" s="45">
        <f>U119*U122*Assumptions!$B$7*U7</f>
        <v/>
      </c>
      <c r="V123" s="45">
        <f>V119*V122*Assumptions!$B$7*V7</f>
        <v/>
      </c>
      <c r="W123" s="45">
        <f>W119*W122*Assumptions!$B$7*W7</f>
        <v/>
      </c>
      <c r="X123" s="45">
        <f>X119*X122*Assumptions!$B$7*X7</f>
        <v/>
      </c>
      <c r="Y123" s="45">
        <f>Y119*Y122*Assumptions!$B$7*Y7</f>
        <v/>
      </c>
      <c r="Z123" s="45">
        <f>Z119*Z122*Assumptions!$B$7*Z7</f>
        <v/>
      </c>
      <c r="AA123" s="45">
        <f>AA119*AA122*Assumptions!$B$7*AA7</f>
        <v/>
      </c>
      <c r="AB123" s="45">
        <f>AB119*AB122*Assumptions!$B$7*AB7</f>
        <v/>
      </c>
      <c r="AC123" s="45">
        <f>AC119*AC122*Assumptions!$B$7*AC7</f>
        <v/>
      </c>
      <c r="AD123" s="45">
        <f>AD119*AD122*Assumptions!$B$7*AD7</f>
        <v/>
      </c>
      <c r="AE123" s="45">
        <f>AE119*AE122*Assumptions!$B$7*AE7</f>
        <v/>
      </c>
    </row>
    <row r="124">
      <c r="A124" s="6" t="inlineStr">
        <is>
          <t xml:space="preserve">  Card spend</t>
        </is>
      </c>
      <c r="B124" s="23" t="inlineStr">
        <is>
          <t>USD</t>
        </is>
      </c>
      <c r="C124" s="55">
        <f>C123/Assumptions!$B$7</f>
        <v/>
      </c>
      <c r="D124" s="55">
        <f>D123/Assumptions!$B$7</f>
        <v/>
      </c>
      <c r="E124" s="55">
        <f>E123/Assumptions!$B$7</f>
        <v/>
      </c>
      <c r="F124" s="55">
        <f>F123/Assumptions!$B$7</f>
        <v/>
      </c>
      <c r="G124" s="55">
        <f>G123/Assumptions!$B$7</f>
        <v/>
      </c>
      <c r="H124" s="55">
        <f>H123/Assumptions!$B$7</f>
        <v/>
      </c>
      <c r="I124" s="55">
        <f>I123/Assumptions!$B$7</f>
        <v/>
      </c>
      <c r="J124" s="55">
        <f>J123/Assumptions!$B$7</f>
        <v/>
      </c>
      <c r="K124" s="55">
        <f>K123/Assumptions!$B$7</f>
        <v/>
      </c>
      <c r="L124" s="55">
        <f>L123/Assumptions!$B$7</f>
        <v/>
      </c>
      <c r="M124" s="55">
        <f>M123/Assumptions!$B$7</f>
        <v/>
      </c>
      <c r="N124" s="55">
        <f>N123/Assumptions!$B$7</f>
        <v/>
      </c>
      <c r="O124" s="55">
        <f>O123/Assumptions!$B$7</f>
        <v/>
      </c>
      <c r="P124" s="55">
        <f>P123/Assumptions!$B$7</f>
        <v/>
      </c>
      <c r="Q124" s="55">
        <f>Q123/Assumptions!$B$7</f>
        <v/>
      </c>
      <c r="R124" s="55">
        <f>R123/Assumptions!$B$7</f>
        <v/>
      </c>
      <c r="S124" s="55">
        <f>S123/Assumptions!$B$7</f>
        <v/>
      </c>
      <c r="T124" s="55">
        <f>T123/Assumptions!$B$7</f>
        <v/>
      </c>
      <c r="U124" s="55">
        <f>U123/Assumptions!$B$7</f>
        <v/>
      </c>
      <c r="V124" s="55">
        <f>V123/Assumptions!$B$7</f>
        <v/>
      </c>
      <c r="W124" s="55">
        <f>W123/Assumptions!$B$7</f>
        <v/>
      </c>
      <c r="X124" s="55">
        <f>X123/Assumptions!$B$7</f>
        <v/>
      </c>
      <c r="Y124" s="55">
        <f>Y123/Assumptions!$B$7</f>
        <v/>
      </c>
      <c r="Z124" s="55">
        <f>Z123/Assumptions!$B$7</f>
        <v/>
      </c>
      <c r="AA124" s="55">
        <f>AA123/Assumptions!$B$7</f>
        <v/>
      </c>
      <c r="AB124" s="55">
        <f>AB123/Assumptions!$B$7</f>
        <v/>
      </c>
      <c r="AC124" s="55">
        <f>AC123/Assumptions!$B$7</f>
        <v/>
      </c>
      <c r="AD124" s="55">
        <f>AD123/Assumptions!$B$7</f>
        <v/>
      </c>
      <c r="AE124" s="55">
        <f>AE123/Assumptions!$B$7</f>
        <v/>
      </c>
    </row>
    <row r="125">
      <c r="A125" s="6" t="inlineStr">
        <is>
          <t xml:space="preserve">  Average transaction size (derived)</t>
        </is>
      </c>
      <c r="B125" s="23" t="inlineStr">
        <is>
          <t>AED</t>
        </is>
      </c>
      <c r="C125" s="45">
        <f>IF(Assumptions!$B$143=0,0,C120*Assumptions!$B$155*Assumptions!$B$7/Assumptions!$B$143)</f>
        <v/>
      </c>
      <c r="D125" s="45">
        <f>IF(Assumptions!$B$143=0,0,D120*Assumptions!$B$155*Assumptions!$B$7/Assumptions!$B$143)</f>
        <v/>
      </c>
      <c r="E125" s="45">
        <f>IF(Assumptions!$B$143=0,0,E120*Assumptions!$B$155*Assumptions!$B$7/Assumptions!$B$143)</f>
        <v/>
      </c>
      <c r="F125" s="45">
        <f>IF(Assumptions!$B$143=0,0,F120*Assumptions!$B$155*Assumptions!$B$7/Assumptions!$B$143)</f>
        <v/>
      </c>
      <c r="G125" s="45">
        <f>IF(Assumptions!$B$143=0,0,G120*Assumptions!$B$155*Assumptions!$B$7/Assumptions!$B$143)</f>
        <v/>
      </c>
      <c r="H125" s="45">
        <f>IF(Assumptions!$B$143=0,0,H120*Assumptions!$B$155*Assumptions!$B$7/Assumptions!$B$143)</f>
        <v/>
      </c>
      <c r="I125" s="45">
        <f>IF(Assumptions!$B$143=0,0,I120*Assumptions!$B$155*Assumptions!$B$7/Assumptions!$B$143)</f>
        <v/>
      </c>
      <c r="J125" s="45">
        <f>IF(Assumptions!$B$143=0,0,J120*Assumptions!$B$155*Assumptions!$B$7/Assumptions!$B$143)</f>
        <v/>
      </c>
      <c r="K125" s="45">
        <f>IF(Assumptions!$B$143=0,0,K120*Assumptions!$B$155*Assumptions!$B$7/Assumptions!$B$143)</f>
        <v/>
      </c>
      <c r="L125" s="45">
        <f>IF(Assumptions!$B$143=0,0,L120*Assumptions!$B$155*Assumptions!$B$7/Assumptions!$B$143)</f>
        <v/>
      </c>
      <c r="M125" s="45">
        <f>IF(Assumptions!$B$143=0,0,M120*Assumptions!$B$155*Assumptions!$B$7/Assumptions!$B$143)</f>
        <v/>
      </c>
      <c r="N125" s="45">
        <f>IF(Assumptions!$B$143=0,0,N120*Assumptions!$B$155*Assumptions!$B$7/Assumptions!$B$143)</f>
        <v/>
      </c>
      <c r="O125" s="45">
        <f>IF(Assumptions!$B$143=0,0,O120*Assumptions!$B$155*Assumptions!$B$7/Assumptions!$B$143)</f>
        <v/>
      </c>
      <c r="P125" s="45">
        <f>IF(Assumptions!$B$143=0,0,P120*Assumptions!$B$155*Assumptions!$B$7/Assumptions!$B$143)</f>
        <v/>
      </c>
      <c r="Q125" s="45">
        <f>IF(Assumptions!$B$143=0,0,Q120*Assumptions!$B$155*Assumptions!$B$7/Assumptions!$B$143)</f>
        <v/>
      </c>
      <c r="R125" s="45">
        <f>IF(Assumptions!$B$143=0,0,R120*Assumptions!$B$155*Assumptions!$B$7/Assumptions!$B$143)</f>
        <v/>
      </c>
      <c r="S125" s="45">
        <f>IF(Assumptions!$B$143=0,0,S120*Assumptions!$B$155*Assumptions!$B$7/Assumptions!$B$143)</f>
        <v/>
      </c>
      <c r="T125" s="45">
        <f>IF(Assumptions!$B$143=0,0,T120*Assumptions!$B$155*Assumptions!$B$7/Assumptions!$B$143)</f>
        <v/>
      </c>
      <c r="U125" s="45">
        <f>IF(Assumptions!$B$143=0,0,U120*Assumptions!$B$155*Assumptions!$B$7/Assumptions!$B$143)</f>
        <v/>
      </c>
      <c r="V125" s="45">
        <f>IF(Assumptions!$B$143=0,0,V120*Assumptions!$B$155*Assumptions!$B$7/Assumptions!$B$143)</f>
        <v/>
      </c>
      <c r="W125" s="45">
        <f>IF(Assumptions!$B$143=0,0,W120*Assumptions!$B$155*Assumptions!$B$7/Assumptions!$B$143)</f>
        <v/>
      </c>
      <c r="X125" s="45">
        <f>IF(Assumptions!$B$143=0,0,X120*Assumptions!$B$155*Assumptions!$B$7/Assumptions!$B$143)</f>
        <v/>
      </c>
      <c r="Y125" s="45">
        <f>IF(Assumptions!$B$143=0,0,Y120*Assumptions!$B$155*Assumptions!$B$7/Assumptions!$B$143)</f>
        <v/>
      </c>
      <c r="Z125" s="45">
        <f>IF(Assumptions!$B$143=0,0,Z120*Assumptions!$B$155*Assumptions!$B$7/Assumptions!$B$143)</f>
        <v/>
      </c>
      <c r="AA125" s="45">
        <f>IF(Assumptions!$B$143=0,0,AA120*Assumptions!$B$155*Assumptions!$B$7/Assumptions!$B$143)</f>
        <v/>
      </c>
      <c r="AB125" s="45">
        <f>IF(Assumptions!$B$143=0,0,AB120*Assumptions!$B$155*Assumptions!$B$7/Assumptions!$B$143)</f>
        <v/>
      </c>
      <c r="AC125" s="45">
        <f>IF(Assumptions!$B$143=0,0,AC120*Assumptions!$B$155*Assumptions!$B$7/Assumptions!$B$143)</f>
        <v/>
      </c>
      <c r="AD125" s="45">
        <f>IF(Assumptions!$B$143=0,0,AD120*Assumptions!$B$155*Assumptions!$B$7/Assumptions!$B$143)</f>
        <v/>
      </c>
      <c r="AE125" s="45">
        <f>IF(Assumptions!$B$143=0,0,AE120*Assumptions!$B$155*Assumptions!$B$7/Assumptions!$B$143)</f>
        <v/>
      </c>
    </row>
    <row r="126">
      <c r="A126" s="6" t="inlineStr">
        <is>
          <t xml:space="preserve">  Card authorisations (memo - drives cost, not revenue)</t>
        </is>
      </c>
      <c r="B126" s="23" t="inlineStr">
        <is>
          <t>auths</t>
        </is>
      </c>
      <c r="C126" s="45">
        <f>C119*Assumptions!$B$157*Assumptions!$B$143*C7/12*(1+Assumptions!$B$16)</f>
        <v/>
      </c>
      <c r="D126" s="45">
        <f>D119*Assumptions!$B$157*Assumptions!$B$143*D7/12*(1+Assumptions!$B$16)</f>
        <v/>
      </c>
      <c r="E126" s="45">
        <f>E119*Assumptions!$B$157*Assumptions!$B$143*E7/12*(1+Assumptions!$B$16)</f>
        <v/>
      </c>
      <c r="F126" s="45">
        <f>F119*Assumptions!$B$157*Assumptions!$B$143*F7/12*(1+Assumptions!$B$16)</f>
        <v/>
      </c>
      <c r="G126" s="45">
        <f>G119*Assumptions!$B$157*Assumptions!$B$143*G7/12*(1+Assumptions!$B$16)</f>
        <v/>
      </c>
      <c r="H126" s="45">
        <f>H119*Assumptions!$B$157*Assumptions!$B$143*H7/12*(1+Assumptions!$B$16)</f>
        <v/>
      </c>
      <c r="I126" s="45">
        <f>I119*Assumptions!$B$157*Assumptions!$B$143*I7/12*(1+Assumptions!$B$16)</f>
        <v/>
      </c>
      <c r="J126" s="45">
        <f>J119*Assumptions!$B$157*Assumptions!$B$143*J7/12*(1+Assumptions!$B$16)</f>
        <v/>
      </c>
      <c r="K126" s="45">
        <f>K119*Assumptions!$B$157*Assumptions!$B$143*K7/12*(1+Assumptions!$B$16)</f>
        <v/>
      </c>
      <c r="L126" s="45">
        <f>L119*Assumptions!$B$157*Assumptions!$B$143*L7/12*(1+Assumptions!$B$16)</f>
        <v/>
      </c>
      <c r="M126" s="45">
        <f>M119*Assumptions!$B$157*Assumptions!$B$143*M7/12*(1+Assumptions!$B$16)</f>
        <v/>
      </c>
      <c r="N126" s="45">
        <f>N119*Assumptions!$B$157*Assumptions!$B$143*N7/12*(1+Assumptions!$B$16)</f>
        <v/>
      </c>
      <c r="O126" s="45">
        <f>O119*Assumptions!$B$157*Assumptions!$B$143*O7/12*(1+Assumptions!$B$16)</f>
        <v/>
      </c>
      <c r="P126" s="45">
        <f>P119*Assumptions!$B$157*Assumptions!$B$143*P7/12*(1+Assumptions!$B$16)</f>
        <v/>
      </c>
      <c r="Q126" s="45">
        <f>Q119*Assumptions!$B$157*Assumptions!$B$143*Q7/12*(1+Assumptions!$B$16)</f>
        <v/>
      </c>
      <c r="R126" s="45">
        <f>R119*Assumptions!$B$157*Assumptions!$B$143*R7/12*(1+Assumptions!$B$16)</f>
        <v/>
      </c>
      <c r="S126" s="45">
        <f>S119*Assumptions!$B$157*Assumptions!$B$143*S7/12*(1+Assumptions!$B$16)</f>
        <v/>
      </c>
      <c r="T126" s="45">
        <f>T119*Assumptions!$B$157*Assumptions!$B$143*T7/12*(1+Assumptions!$B$16)</f>
        <v/>
      </c>
      <c r="U126" s="45">
        <f>U119*Assumptions!$B$157*Assumptions!$B$143*U7/12*(1+Assumptions!$B$16)</f>
        <v/>
      </c>
      <c r="V126" s="45">
        <f>V119*Assumptions!$B$157*Assumptions!$B$143*V7/12*(1+Assumptions!$B$16)</f>
        <v/>
      </c>
      <c r="W126" s="45">
        <f>W119*Assumptions!$B$157*Assumptions!$B$143*W7/12*(1+Assumptions!$B$16)</f>
        <v/>
      </c>
      <c r="X126" s="45">
        <f>X119*Assumptions!$B$157*Assumptions!$B$143*X7/12*(1+Assumptions!$B$16)</f>
        <v/>
      </c>
      <c r="Y126" s="45">
        <f>Y119*Assumptions!$B$157*Assumptions!$B$143*Y7/12*(1+Assumptions!$B$16)</f>
        <v/>
      </c>
      <c r="Z126" s="45">
        <f>Z119*Assumptions!$B$157*Assumptions!$B$143*Z7/12*(1+Assumptions!$B$16)</f>
        <v/>
      </c>
      <c r="AA126" s="45">
        <f>AA119*Assumptions!$B$157*Assumptions!$B$143*AA7/12*(1+Assumptions!$B$16)</f>
        <v/>
      </c>
      <c r="AB126" s="45">
        <f>AB119*Assumptions!$B$157*Assumptions!$B$143*AB7/12*(1+Assumptions!$B$16)</f>
        <v/>
      </c>
      <c r="AC126" s="45">
        <f>AC119*Assumptions!$B$157*Assumptions!$B$143*AC7/12*(1+Assumptions!$B$16)</f>
        <v/>
      </c>
      <c r="AD126" s="45">
        <f>AD119*Assumptions!$B$157*Assumptions!$B$143*AD7/12*(1+Assumptions!$B$16)</f>
        <v/>
      </c>
      <c r="AE126" s="45">
        <f>AE119*Assumptions!$B$157*Assumptions!$B$143*AE7/12*(1+Assumptions!$B$16)</f>
        <v/>
      </c>
    </row>
    <row r="127">
      <c r="A127" s="6" t="inlineStr">
        <is>
          <t xml:space="preserve">  Stream 1a - Entry fee, SIP</t>
        </is>
      </c>
      <c r="B127" s="23" t="inlineStr">
        <is>
          <t>USD</t>
        </is>
      </c>
      <c r="C127" s="55">
        <f>C109*Assumptions!$B$8</f>
        <v/>
      </c>
      <c r="D127" s="55">
        <f>D109*Assumptions!$B$8</f>
        <v/>
      </c>
      <c r="E127" s="55">
        <f>E109*Assumptions!$B$8</f>
        <v/>
      </c>
      <c r="F127" s="55">
        <f>F109*Assumptions!$B$8</f>
        <v/>
      </c>
      <c r="G127" s="55">
        <f>G109*Assumptions!$B$8</f>
        <v/>
      </c>
      <c r="H127" s="55">
        <f>H109*Assumptions!$B$8</f>
        <v/>
      </c>
      <c r="I127" s="55">
        <f>I109*Assumptions!$B$8</f>
        <v/>
      </c>
      <c r="J127" s="55">
        <f>J109*Assumptions!$B$8</f>
        <v/>
      </c>
      <c r="K127" s="55">
        <f>K109*Assumptions!$B$8</f>
        <v/>
      </c>
      <c r="L127" s="55">
        <f>L109*Assumptions!$B$8</f>
        <v/>
      </c>
      <c r="M127" s="55">
        <f>M109*Assumptions!$B$8</f>
        <v/>
      </c>
      <c r="N127" s="55">
        <f>N109*Assumptions!$B$8</f>
        <v/>
      </c>
      <c r="O127" s="55">
        <f>O109*Assumptions!$B$8</f>
        <v/>
      </c>
      <c r="P127" s="55">
        <f>P109*Assumptions!$B$8</f>
        <v/>
      </c>
      <c r="Q127" s="55">
        <f>Q109*Assumptions!$B$8</f>
        <v/>
      </c>
      <c r="R127" s="55">
        <f>R109*Assumptions!$B$8</f>
        <v/>
      </c>
      <c r="S127" s="55">
        <f>S109*Assumptions!$B$8</f>
        <v/>
      </c>
      <c r="T127" s="55">
        <f>T109*Assumptions!$B$8</f>
        <v/>
      </c>
      <c r="U127" s="55">
        <f>U109*Assumptions!$B$8</f>
        <v/>
      </c>
      <c r="V127" s="55">
        <f>V109*Assumptions!$B$8</f>
        <v/>
      </c>
      <c r="W127" s="55">
        <f>W109*Assumptions!$B$8</f>
        <v/>
      </c>
      <c r="X127" s="55">
        <f>X109*Assumptions!$B$8</f>
        <v/>
      </c>
      <c r="Y127" s="55">
        <f>Y109*Assumptions!$B$8</f>
        <v/>
      </c>
      <c r="Z127" s="55">
        <f>Z109*Assumptions!$B$8</f>
        <v/>
      </c>
      <c r="AA127" s="55">
        <f>AA109*Assumptions!$B$8</f>
        <v/>
      </c>
      <c r="AB127" s="55">
        <f>AB109*Assumptions!$B$8</f>
        <v/>
      </c>
      <c r="AC127" s="55">
        <f>AC109*Assumptions!$B$8</f>
        <v/>
      </c>
      <c r="AD127" s="55">
        <f>AD109*Assumptions!$B$8</f>
        <v/>
      </c>
      <c r="AE127" s="55">
        <f>AE109*Assumptions!$B$8</f>
        <v/>
      </c>
    </row>
    <row r="128">
      <c r="A128" s="6" t="inlineStr">
        <is>
          <t xml:space="preserve">  Stream 1b - Entry fee, SPOT</t>
        </is>
      </c>
      <c r="B128" s="23" t="inlineStr">
        <is>
          <t>USD</t>
        </is>
      </c>
      <c r="C128" s="55">
        <f>C110*Assumptions!$B$8</f>
        <v/>
      </c>
      <c r="D128" s="55">
        <f>D110*Assumptions!$B$8</f>
        <v/>
      </c>
      <c r="E128" s="55">
        <f>E110*Assumptions!$B$8</f>
        <v/>
      </c>
      <c r="F128" s="55">
        <f>F110*Assumptions!$B$8</f>
        <v/>
      </c>
      <c r="G128" s="55">
        <f>G110*Assumptions!$B$8</f>
        <v/>
      </c>
      <c r="H128" s="55">
        <f>H110*Assumptions!$B$8</f>
        <v/>
      </c>
      <c r="I128" s="55">
        <f>I110*Assumptions!$B$8</f>
        <v/>
      </c>
      <c r="J128" s="55">
        <f>J110*Assumptions!$B$8</f>
        <v/>
      </c>
      <c r="K128" s="55">
        <f>K110*Assumptions!$B$8</f>
        <v/>
      </c>
      <c r="L128" s="55">
        <f>L110*Assumptions!$B$8</f>
        <v/>
      </c>
      <c r="M128" s="55">
        <f>M110*Assumptions!$B$8</f>
        <v/>
      </c>
      <c r="N128" s="55">
        <f>N110*Assumptions!$B$8</f>
        <v/>
      </c>
      <c r="O128" s="55">
        <f>O110*Assumptions!$B$8</f>
        <v/>
      </c>
      <c r="P128" s="55">
        <f>P110*Assumptions!$B$8</f>
        <v/>
      </c>
      <c r="Q128" s="55">
        <f>Q110*Assumptions!$B$8</f>
        <v/>
      </c>
      <c r="R128" s="55">
        <f>R110*Assumptions!$B$8</f>
        <v/>
      </c>
      <c r="S128" s="55">
        <f>S110*Assumptions!$B$8</f>
        <v/>
      </c>
      <c r="T128" s="55">
        <f>T110*Assumptions!$B$8</f>
        <v/>
      </c>
      <c r="U128" s="55">
        <f>U110*Assumptions!$B$8</f>
        <v/>
      </c>
      <c r="V128" s="55">
        <f>V110*Assumptions!$B$8</f>
        <v/>
      </c>
      <c r="W128" s="55">
        <f>W110*Assumptions!$B$8</f>
        <v/>
      </c>
      <c r="X128" s="55">
        <f>X110*Assumptions!$B$8</f>
        <v/>
      </c>
      <c r="Y128" s="55">
        <f>Y110*Assumptions!$B$8</f>
        <v/>
      </c>
      <c r="Z128" s="55">
        <f>Z110*Assumptions!$B$8</f>
        <v/>
      </c>
      <c r="AA128" s="55">
        <f>AA110*Assumptions!$B$8</f>
        <v/>
      </c>
      <c r="AB128" s="55">
        <f>AB110*Assumptions!$B$8</f>
        <v/>
      </c>
      <c r="AC128" s="55">
        <f>AC110*Assumptions!$B$8</f>
        <v/>
      </c>
      <c r="AD128" s="55">
        <f>AD110*Assumptions!$B$8</f>
        <v/>
      </c>
      <c r="AE128" s="55">
        <f>AE110*Assumptions!$B$8</f>
        <v/>
      </c>
    </row>
    <row r="129">
      <c r="A129" s="6" t="inlineStr">
        <is>
          <t xml:space="preserve">  Stream 2 - Card interchange</t>
        </is>
      </c>
      <c r="B129" s="23" t="inlineStr">
        <is>
          <t>USD</t>
        </is>
      </c>
      <c r="C129" s="55">
        <f>C124*IF(Assumptions!$B$170=1,MIN(Assumptions!$B$14,1%),Assumptions!$B$14)*(1-Assumptions!$B$141)</f>
        <v/>
      </c>
      <c r="D129" s="55">
        <f>D124*IF(Assumptions!$B$170=1,MIN(Assumptions!$B$14,1%),Assumptions!$B$14)*(1-Assumptions!$B$141)</f>
        <v/>
      </c>
      <c r="E129" s="55">
        <f>E124*IF(Assumptions!$B$170=1,MIN(Assumptions!$B$14,1%),Assumptions!$B$14)*(1-Assumptions!$B$141)</f>
        <v/>
      </c>
      <c r="F129" s="55">
        <f>F124*IF(Assumptions!$B$170=1,MIN(Assumptions!$B$14,1%),Assumptions!$B$14)*(1-Assumptions!$B$141)</f>
        <v/>
      </c>
      <c r="G129" s="55">
        <f>G124*IF(Assumptions!$B$170=1,MIN(Assumptions!$B$14,1%),Assumptions!$B$14)*(1-Assumptions!$B$141)</f>
        <v/>
      </c>
      <c r="H129" s="55">
        <f>H124*IF(Assumptions!$B$170=1,MIN(Assumptions!$B$14,1%),Assumptions!$B$14)*(1-Assumptions!$B$141)</f>
        <v/>
      </c>
      <c r="I129" s="55">
        <f>I124*IF(Assumptions!$B$170=1,MIN(Assumptions!$B$14,1%),Assumptions!$B$14)*(1-Assumptions!$B$141)</f>
        <v/>
      </c>
      <c r="J129" s="55">
        <f>J124*IF(Assumptions!$B$170=1,MIN(Assumptions!$B$14,1%),Assumptions!$B$14)*(1-Assumptions!$B$141)</f>
        <v/>
      </c>
      <c r="K129" s="55">
        <f>K124*IF(Assumptions!$B$170=1,MIN(Assumptions!$B$14,1%),Assumptions!$B$14)*(1-Assumptions!$B$141)</f>
        <v/>
      </c>
      <c r="L129" s="55">
        <f>L124*IF(Assumptions!$B$170=1,MIN(Assumptions!$B$14,1%),Assumptions!$B$14)*(1-Assumptions!$B$141)</f>
        <v/>
      </c>
      <c r="M129" s="55">
        <f>M124*IF(Assumptions!$B$170=1,MIN(Assumptions!$B$14,1%),Assumptions!$B$14)*(1-Assumptions!$B$141)</f>
        <v/>
      </c>
      <c r="N129" s="55">
        <f>N124*IF(Assumptions!$B$170=1,MIN(Assumptions!$B$14,1%),Assumptions!$B$14)*(1-Assumptions!$B$141)</f>
        <v/>
      </c>
      <c r="O129" s="55">
        <f>O124*IF(Assumptions!$B$170=1,MIN(Assumptions!$B$14,1%),Assumptions!$B$14)*(1-Assumptions!$B$141)</f>
        <v/>
      </c>
      <c r="P129" s="55">
        <f>P124*IF(Assumptions!$B$170=1,MIN(Assumptions!$B$14,1%),Assumptions!$B$14)*(1-Assumptions!$B$141)</f>
        <v/>
      </c>
      <c r="Q129" s="55">
        <f>Q124*IF(Assumptions!$B$170=1,MIN(Assumptions!$B$14,1%),Assumptions!$B$14)*(1-Assumptions!$B$141)</f>
        <v/>
      </c>
      <c r="R129" s="55">
        <f>R124*IF(Assumptions!$B$170=1,MIN(Assumptions!$B$14,1%),Assumptions!$B$14)*(1-Assumptions!$B$141)</f>
        <v/>
      </c>
      <c r="S129" s="55">
        <f>S124*IF(Assumptions!$B$170=1,MIN(Assumptions!$B$14,1%),Assumptions!$B$14)*(1-Assumptions!$B$141)</f>
        <v/>
      </c>
      <c r="T129" s="55">
        <f>T124*IF(Assumptions!$B$170=1,MIN(Assumptions!$B$14,1%),Assumptions!$B$14)*(1-Assumptions!$B$141)</f>
        <v/>
      </c>
      <c r="U129" s="55">
        <f>U124*IF(Assumptions!$B$170=1,MIN(Assumptions!$B$14,1%),Assumptions!$B$14)*(1-Assumptions!$B$141)</f>
        <v/>
      </c>
      <c r="V129" s="55">
        <f>V124*IF(Assumptions!$B$170=1,MIN(Assumptions!$B$14,1%),Assumptions!$B$14)*(1-Assumptions!$B$141)</f>
        <v/>
      </c>
      <c r="W129" s="55">
        <f>W124*IF(Assumptions!$B$170=1,MIN(Assumptions!$B$14,1%),Assumptions!$B$14)*(1-Assumptions!$B$141)</f>
        <v/>
      </c>
      <c r="X129" s="55">
        <f>X124*IF(Assumptions!$B$170=1,MIN(Assumptions!$B$14,1%),Assumptions!$B$14)*(1-Assumptions!$B$141)</f>
        <v/>
      </c>
      <c r="Y129" s="55">
        <f>Y124*IF(Assumptions!$B$170=1,MIN(Assumptions!$B$14,1%),Assumptions!$B$14)*(1-Assumptions!$B$141)</f>
        <v/>
      </c>
      <c r="Z129" s="55">
        <f>Z124*IF(Assumptions!$B$170=1,MIN(Assumptions!$B$14,1%),Assumptions!$B$14)*(1-Assumptions!$B$141)</f>
        <v/>
      </c>
      <c r="AA129" s="55">
        <f>AA124*IF(Assumptions!$B$170=1,MIN(Assumptions!$B$14,1%),Assumptions!$B$14)*(1-Assumptions!$B$141)</f>
        <v/>
      </c>
      <c r="AB129" s="55">
        <f>AB124*IF(Assumptions!$B$170=1,MIN(Assumptions!$B$14,1%),Assumptions!$B$14)*(1-Assumptions!$B$141)</f>
        <v/>
      </c>
      <c r="AC129" s="55">
        <f>AC124*IF(Assumptions!$B$170=1,MIN(Assumptions!$B$14,1%),Assumptions!$B$14)*(1-Assumptions!$B$141)</f>
        <v/>
      </c>
      <c r="AD129" s="55">
        <f>AD124*IF(Assumptions!$B$170=1,MIN(Assumptions!$B$14,1%),Assumptions!$B$14)*(1-Assumptions!$B$141)</f>
        <v/>
      </c>
      <c r="AE129" s="55">
        <f>AE124*IF(Assumptions!$B$170=1,MIN(Assumptions!$B$14,1%),Assumptions!$B$14)*(1-Assumptions!$B$141)</f>
        <v/>
      </c>
    </row>
    <row r="130">
      <c r="A130" s="6" t="inlineStr">
        <is>
          <t xml:space="preserve">  Stream 3 - Family plan and Digital Will</t>
        </is>
      </c>
      <c r="B130" s="23" t="inlineStr">
        <is>
          <t>USD</t>
        </is>
      </c>
      <c r="C130" s="55">
        <f>IF(C2&gt;=Assumptions!$B$50,C105*Assumptions!$B$158*Assumptions!$B$25/12*C7,0)</f>
        <v/>
      </c>
      <c r="D130" s="55">
        <f>IF(D2&gt;=Assumptions!$B$50,D105*Assumptions!$B$158*Assumptions!$B$25/12*D7,0)</f>
        <v/>
      </c>
      <c r="E130" s="55">
        <f>IF(E2&gt;=Assumptions!$B$50,E105*Assumptions!$B$158*Assumptions!$B$25/12*E7,0)</f>
        <v/>
      </c>
      <c r="F130" s="55">
        <f>IF(F2&gt;=Assumptions!$B$50,F105*Assumptions!$B$158*Assumptions!$B$25/12*F7,0)</f>
        <v/>
      </c>
      <c r="G130" s="55">
        <f>IF(G2&gt;=Assumptions!$B$50,G105*Assumptions!$B$158*Assumptions!$B$25/12*G7,0)</f>
        <v/>
      </c>
      <c r="H130" s="55">
        <f>IF(H2&gt;=Assumptions!$B$50,H105*Assumptions!$B$158*Assumptions!$B$25/12*H7,0)</f>
        <v/>
      </c>
      <c r="I130" s="55">
        <f>IF(I2&gt;=Assumptions!$B$50,I105*Assumptions!$B$158*Assumptions!$B$25/12*I7,0)</f>
        <v/>
      </c>
      <c r="J130" s="55">
        <f>IF(J2&gt;=Assumptions!$B$50,J105*Assumptions!$B$158*Assumptions!$B$25/12*J7,0)</f>
        <v/>
      </c>
      <c r="K130" s="55">
        <f>IF(K2&gt;=Assumptions!$B$50,K105*Assumptions!$B$158*Assumptions!$B$25/12*K7,0)</f>
        <v/>
      </c>
      <c r="L130" s="55">
        <f>IF(L2&gt;=Assumptions!$B$50,L105*Assumptions!$B$158*Assumptions!$B$25/12*L7,0)</f>
        <v/>
      </c>
      <c r="M130" s="55">
        <f>IF(M2&gt;=Assumptions!$B$50,M105*Assumptions!$B$158*Assumptions!$B$25/12*M7,0)</f>
        <v/>
      </c>
      <c r="N130" s="55">
        <f>IF(N2&gt;=Assumptions!$B$50,N105*Assumptions!$B$158*Assumptions!$B$25/12*N7,0)</f>
        <v/>
      </c>
      <c r="O130" s="55">
        <f>IF(O2&gt;=Assumptions!$B$50,O105*Assumptions!$B$158*Assumptions!$B$25/12*O7,0)</f>
        <v/>
      </c>
      <c r="P130" s="55">
        <f>IF(P2&gt;=Assumptions!$B$50,P105*Assumptions!$B$158*Assumptions!$B$25/12*P7,0)</f>
        <v/>
      </c>
      <c r="Q130" s="55">
        <f>IF(Q2&gt;=Assumptions!$B$50,Q105*Assumptions!$B$158*Assumptions!$B$25/12*Q7,0)</f>
        <v/>
      </c>
      <c r="R130" s="55">
        <f>IF(R2&gt;=Assumptions!$B$50,R105*Assumptions!$B$158*Assumptions!$B$25/12*R7,0)</f>
        <v/>
      </c>
      <c r="S130" s="55">
        <f>IF(S2&gt;=Assumptions!$B$50,S105*Assumptions!$B$158*Assumptions!$B$25/12*S7,0)</f>
        <v/>
      </c>
      <c r="T130" s="55">
        <f>IF(T2&gt;=Assumptions!$B$50,T105*Assumptions!$B$158*Assumptions!$B$25/12*T7,0)</f>
        <v/>
      </c>
      <c r="U130" s="55">
        <f>IF(U2&gt;=Assumptions!$B$50,U105*Assumptions!$B$158*Assumptions!$B$25/12*U7,0)</f>
        <v/>
      </c>
      <c r="V130" s="55">
        <f>IF(V2&gt;=Assumptions!$B$50,V105*Assumptions!$B$158*Assumptions!$B$25/12*V7,0)</f>
        <v/>
      </c>
      <c r="W130" s="55">
        <f>IF(W2&gt;=Assumptions!$B$50,W105*Assumptions!$B$158*Assumptions!$B$25/12*W7,0)</f>
        <v/>
      </c>
      <c r="X130" s="55">
        <f>IF(X2&gt;=Assumptions!$B$50,X105*Assumptions!$B$158*Assumptions!$B$25/12*X7,0)</f>
        <v/>
      </c>
      <c r="Y130" s="55">
        <f>IF(Y2&gt;=Assumptions!$B$50,Y105*Assumptions!$B$158*Assumptions!$B$25/12*Y7,0)</f>
        <v/>
      </c>
      <c r="Z130" s="55">
        <f>IF(Z2&gt;=Assumptions!$B$50,Z105*Assumptions!$B$158*Assumptions!$B$25/12*Z7,0)</f>
        <v/>
      </c>
      <c r="AA130" s="55">
        <f>IF(AA2&gt;=Assumptions!$B$50,AA105*Assumptions!$B$158*Assumptions!$B$25/12*AA7,0)</f>
        <v/>
      </c>
      <c r="AB130" s="55">
        <f>IF(AB2&gt;=Assumptions!$B$50,AB105*Assumptions!$B$158*Assumptions!$B$25/12*AB7,0)</f>
        <v/>
      </c>
      <c r="AC130" s="55">
        <f>IF(AC2&gt;=Assumptions!$B$50,AC105*Assumptions!$B$158*Assumptions!$B$25/12*AC7,0)</f>
        <v/>
      </c>
      <c r="AD130" s="55">
        <f>IF(AD2&gt;=Assumptions!$B$50,AD105*Assumptions!$B$158*Assumptions!$B$25/12*AD7,0)</f>
        <v/>
      </c>
      <c r="AE130" s="55">
        <f>IF(AE2&gt;=Assumptions!$B$50,AE105*Assumptions!$B$158*Assumptions!$B$25/12*AE7,0)</f>
        <v/>
      </c>
    </row>
    <row r="131">
      <c r="A131" s="6" t="inlineStr">
        <is>
          <t xml:space="preserve">  Stream 4 - Cardholder fees (FX, ATM, events)</t>
        </is>
      </c>
      <c r="B131" s="23" t="inlineStr">
        <is>
          <t>USD</t>
        </is>
      </c>
      <c r="C131" s="55">
        <f>IF(C2&gt;=Assumptions!$B$52,C124*C17*Assumptions!$B$17+C119*(Assumptions!$B$147*MAX(0,Assumptions!$B$151-Assumptions!$B$18)+Assumptions!$B$148*MAX(0,Assumptions!$B$152-Assumptions!$B$18)+Assumptions!$B$149*MAX(0,Assumptions!$B$153-Assumptions!$B$18)+Assumptions!$B$150*MAX(0,Assumptions!$B$154-Assumptions!$B$18))*Assumptions!$B$19/Assumptions!$B$7*C7+C119*(Assumptions!$B$145*Assumptions!$B$20+Assumptions!$B$146*Assumptions!$B$21)/12/Assumptions!$B$7*C7,0)</f>
        <v/>
      </c>
      <c r="D131" s="55">
        <f>IF(D2&gt;=Assumptions!$B$52,D124*D17*Assumptions!$B$17+D119*(Assumptions!$B$147*MAX(0,Assumptions!$B$151-Assumptions!$B$18)+Assumptions!$B$148*MAX(0,Assumptions!$B$152-Assumptions!$B$18)+Assumptions!$B$149*MAX(0,Assumptions!$B$153-Assumptions!$B$18)+Assumptions!$B$150*MAX(0,Assumptions!$B$154-Assumptions!$B$18))*Assumptions!$B$19/Assumptions!$B$7*D7+D119*(Assumptions!$B$145*Assumptions!$B$20+Assumptions!$B$146*Assumptions!$B$21)/12/Assumptions!$B$7*D7,0)</f>
        <v/>
      </c>
      <c r="E131" s="55">
        <f>IF(E2&gt;=Assumptions!$B$52,E124*E17*Assumptions!$B$17+E119*(Assumptions!$B$147*MAX(0,Assumptions!$B$151-Assumptions!$B$18)+Assumptions!$B$148*MAX(0,Assumptions!$B$152-Assumptions!$B$18)+Assumptions!$B$149*MAX(0,Assumptions!$B$153-Assumptions!$B$18)+Assumptions!$B$150*MAX(0,Assumptions!$B$154-Assumptions!$B$18))*Assumptions!$B$19/Assumptions!$B$7*E7+E119*(Assumptions!$B$145*Assumptions!$B$20+Assumptions!$B$146*Assumptions!$B$21)/12/Assumptions!$B$7*E7,0)</f>
        <v/>
      </c>
      <c r="F131" s="55">
        <f>IF(F2&gt;=Assumptions!$B$52,F124*F17*Assumptions!$B$17+F119*(Assumptions!$B$147*MAX(0,Assumptions!$B$151-Assumptions!$B$18)+Assumptions!$B$148*MAX(0,Assumptions!$B$152-Assumptions!$B$18)+Assumptions!$B$149*MAX(0,Assumptions!$B$153-Assumptions!$B$18)+Assumptions!$B$150*MAX(0,Assumptions!$B$154-Assumptions!$B$18))*Assumptions!$B$19/Assumptions!$B$7*F7+F119*(Assumptions!$B$145*Assumptions!$B$20+Assumptions!$B$146*Assumptions!$B$21)/12/Assumptions!$B$7*F7,0)</f>
        <v/>
      </c>
      <c r="G131" s="55">
        <f>IF(G2&gt;=Assumptions!$B$52,G124*G17*Assumptions!$B$17+G119*(Assumptions!$B$147*MAX(0,Assumptions!$B$151-Assumptions!$B$18)+Assumptions!$B$148*MAX(0,Assumptions!$B$152-Assumptions!$B$18)+Assumptions!$B$149*MAX(0,Assumptions!$B$153-Assumptions!$B$18)+Assumptions!$B$150*MAX(0,Assumptions!$B$154-Assumptions!$B$18))*Assumptions!$B$19/Assumptions!$B$7*G7+G119*(Assumptions!$B$145*Assumptions!$B$20+Assumptions!$B$146*Assumptions!$B$21)/12/Assumptions!$B$7*G7,0)</f>
        <v/>
      </c>
      <c r="H131" s="55">
        <f>IF(H2&gt;=Assumptions!$B$52,H124*H17*Assumptions!$B$17+H119*(Assumptions!$B$147*MAX(0,Assumptions!$B$151-Assumptions!$B$18)+Assumptions!$B$148*MAX(0,Assumptions!$B$152-Assumptions!$B$18)+Assumptions!$B$149*MAX(0,Assumptions!$B$153-Assumptions!$B$18)+Assumptions!$B$150*MAX(0,Assumptions!$B$154-Assumptions!$B$18))*Assumptions!$B$19/Assumptions!$B$7*H7+H119*(Assumptions!$B$145*Assumptions!$B$20+Assumptions!$B$146*Assumptions!$B$21)/12/Assumptions!$B$7*H7,0)</f>
        <v/>
      </c>
      <c r="I131" s="55">
        <f>IF(I2&gt;=Assumptions!$B$52,I124*I17*Assumptions!$B$17+I119*(Assumptions!$B$147*MAX(0,Assumptions!$B$151-Assumptions!$B$18)+Assumptions!$B$148*MAX(0,Assumptions!$B$152-Assumptions!$B$18)+Assumptions!$B$149*MAX(0,Assumptions!$B$153-Assumptions!$B$18)+Assumptions!$B$150*MAX(0,Assumptions!$B$154-Assumptions!$B$18))*Assumptions!$B$19/Assumptions!$B$7*I7+I119*(Assumptions!$B$145*Assumptions!$B$20+Assumptions!$B$146*Assumptions!$B$21)/12/Assumptions!$B$7*I7,0)</f>
        <v/>
      </c>
      <c r="J131" s="55">
        <f>IF(J2&gt;=Assumptions!$B$52,J124*J17*Assumptions!$B$17+J119*(Assumptions!$B$147*MAX(0,Assumptions!$B$151-Assumptions!$B$18)+Assumptions!$B$148*MAX(0,Assumptions!$B$152-Assumptions!$B$18)+Assumptions!$B$149*MAX(0,Assumptions!$B$153-Assumptions!$B$18)+Assumptions!$B$150*MAX(0,Assumptions!$B$154-Assumptions!$B$18))*Assumptions!$B$19/Assumptions!$B$7*J7+J119*(Assumptions!$B$145*Assumptions!$B$20+Assumptions!$B$146*Assumptions!$B$21)/12/Assumptions!$B$7*J7,0)</f>
        <v/>
      </c>
      <c r="K131" s="55">
        <f>IF(K2&gt;=Assumptions!$B$52,K124*K17*Assumptions!$B$17+K119*(Assumptions!$B$147*MAX(0,Assumptions!$B$151-Assumptions!$B$18)+Assumptions!$B$148*MAX(0,Assumptions!$B$152-Assumptions!$B$18)+Assumptions!$B$149*MAX(0,Assumptions!$B$153-Assumptions!$B$18)+Assumptions!$B$150*MAX(0,Assumptions!$B$154-Assumptions!$B$18))*Assumptions!$B$19/Assumptions!$B$7*K7+K119*(Assumptions!$B$145*Assumptions!$B$20+Assumptions!$B$146*Assumptions!$B$21)/12/Assumptions!$B$7*K7,0)</f>
        <v/>
      </c>
      <c r="L131" s="55">
        <f>IF(L2&gt;=Assumptions!$B$52,L124*L17*Assumptions!$B$17+L119*(Assumptions!$B$147*MAX(0,Assumptions!$B$151-Assumptions!$B$18)+Assumptions!$B$148*MAX(0,Assumptions!$B$152-Assumptions!$B$18)+Assumptions!$B$149*MAX(0,Assumptions!$B$153-Assumptions!$B$18)+Assumptions!$B$150*MAX(0,Assumptions!$B$154-Assumptions!$B$18))*Assumptions!$B$19/Assumptions!$B$7*L7+L119*(Assumptions!$B$145*Assumptions!$B$20+Assumptions!$B$146*Assumptions!$B$21)/12/Assumptions!$B$7*L7,0)</f>
        <v/>
      </c>
      <c r="M131" s="55">
        <f>IF(M2&gt;=Assumptions!$B$52,M124*M17*Assumptions!$B$17+M119*(Assumptions!$B$147*MAX(0,Assumptions!$B$151-Assumptions!$B$18)+Assumptions!$B$148*MAX(0,Assumptions!$B$152-Assumptions!$B$18)+Assumptions!$B$149*MAX(0,Assumptions!$B$153-Assumptions!$B$18)+Assumptions!$B$150*MAX(0,Assumptions!$B$154-Assumptions!$B$18))*Assumptions!$B$19/Assumptions!$B$7*M7+M119*(Assumptions!$B$145*Assumptions!$B$20+Assumptions!$B$146*Assumptions!$B$21)/12/Assumptions!$B$7*M7,0)</f>
        <v/>
      </c>
      <c r="N131" s="55">
        <f>IF(N2&gt;=Assumptions!$B$52,N124*N17*Assumptions!$B$17+N119*(Assumptions!$B$147*MAX(0,Assumptions!$B$151-Assumptions!$B$18)+Assumptions!$B$148*MAX(0,Assumptions!$B$152-Assumptions!$B$18)+Assumptions!$B$149*MAX(0,Assumptions!$B$153-Assumptions!$B$18)+Assumptions!$B$150*MAX(0,Assumptions!$B$154-Assumptions!$B$18))*Assumptions!$B$19/Assumptions!$B$7*N7+N119*(Assumptions!$B$145*Assumptions!$B$20+Assumptions!$B$146*Assumptions!$B$21)/12/Assumptions!$B$7*N7,0)</f>
        <v/>
      </c>
      <c r="O131" s="55">
        <f>IF(O2&gt;=Assumptions!$B$52,O124*O17*Assumptions!$B$17+O119*(Assumptions!$B$147*MAX(0,Assumptions!$B$151-Assumptions!$B$18)+Assumptions!$B$148*MAX(0,Assumptions!$B$152-Assumptions!$B$18)+Assumptions!$B$149*MAX(0,Assumptions!$B$153-Assumptions!$B$18)+Assumptions!$B$150*MAX(0,Assumptions!$B$154-Assumptions!$B$18))*Assumptions!$B$19/Assumptions!$B$7*O7+O119*(Assumptions!$B$145*Assumptions!$B$20+Assumptions!$B$146*Assumptions!$B$21)/12/Assumptions!$B$7*O7,0)</f>
        <v/>
      </c>
      <c r="P131" s="55">
        <f>IF(P2&gt;=Assumptions!$B$52,P124*P17*Assumptions!$B$17+P119*(Assumptions!$B$147*MAX(0,Assumptions!$B$151-Assumptions!$B$18)+Assumptions!$B$148*MAX(0,Assumptions!$B$152-Assumptions!$B$18)+Assumptions!$B$149*MAX(0,Assumptions!$B$153-Assumptions!$B$18)+Assumptions!$B$150*MAX(0,Assumptions!$B$154-Assumptions!$B$18))*Assumptions!$B$19/Assumptions!$B$7*P7+P119*(Assumptions!$B$145*Assumptions!$B$20+Assumptions!$B$146*Assumptions!$B$21)/12/Assumptions!$B$7*P7,0)</f>
        <v/>
      </c>
      <c r="Q131" s="55">
        <f>IF(Q2&gt;=Assumptions!$B$52,Q124*Q17*Assumptions!$B$17+Q119*(Assumptions!$B$147*MAX(0,Assumptions!$B$151-Assumptions!$B$18)+Assumptions!$B$148*MAX(0,Assumptions!$B$152-Assumptions!$B$18)+Assumptions!$B$149*MAX(0,Assumptions!$B$153-Assumptions!$B$18)+Assumptions!$B$150*MAX(0,Assumptions!$B$154-Assumptions!$B$18))*Assumptions!$B$19/Assumptions!$B$7*Q7+Q119*(Assumptions!$B$145*Assumptions!$B$20+Assumptions!$B$146*Assumptions!$B$21)/12/Assumptions!$B$7*Q7,0)</f>
        <v/>
      </c>
      <c r="R131" s="55">
        <f>IF(R2&gt;=Assumptions!$B$52,R124*R17*Assumptions!$B$17+R119*(Assumptions!$B$147*MAX(0,Assumptions!$B$151-Assumptions!$B$18)+Assumptions!$B$148*MAX(0,Assumptions!$B$152-Assumptions!$B$18)+Assumptions!$B$149*MAX(0,Assumptions!$B$153-Assumptions!$B$18)+Assumptions!$B$150*MAX(0,Assumptions!$B$154-Assumptions!$B$18))*Assumptions!$B$19/Assumptions!$B$7*R7+R119*(Assumptions!$B$145*Assumptions!$B$20+Assumptions!$B$146*Assumptions!$B$21)/12/Assumptions!$B$7*R7,0)</f>
        <v/>
      </c>
      <c r="S131" s="55">
        <f>IF(S2&gt;=Assumptions!$B$52,S124*S17*Assumptions!$B$17+S119*(Assumptions!$B$147*MAX(0,Assumptions!$B$151-Assumptions!$B$18)+Assumptions!$B$148*MAX(0,Assumptions!$B$152-Assumptions!$B$18)+Assumptions!$B$149*MAX(0,Assumptions!$B$153-Assumptions!$B$18)+Assumptions!$B$150*MAX(0,Assumptions!$B$154-Assumptions!$B$18))*Assumptions!$B$19/Assumptions!$B$7*S7+S119*(Assumptions!$B$145*Assumptions!$B$20+Assumptions!$B$146*Assumptions!$B$21)/12/Assumptions!$B$7*S7,0)</f>
        <v/>
      </c>
      <c r="T131" s="55">
        <f>IF(T2&gt;=Assumptions!$B$52,T124*T17*Assumptions!$B$17+T119*(Assumptions!$B$147*MAX(0,Assumptions!$B$151-Assumptions!$B$18)+Assumptions!$B$148*MAX(0,Assumptions!$B$152-Assumptions!$B$18)+Assumptions!$B$149*MAX(0,Assumptions!$B$153-Assumptions!$B$18)+Assumptions!$B$150*MAX(0,Assumptions!$B$154-Assumptions!$B$18))*Assumptions!$B$19/Assumptions!$B$7*T7+T119*(Assumptions!$B$145*Assumptions!$B$20+Assumptions!$B$146*Assumptions!$B$21)/12/Assumptions!$B$7*T7,0)</f>
        <v/>
      </c>
      <c r="U131" s="55">
        <f>IF(U2&gt;=Assumptions!$B$52,U124*U17*Assumptions!$B$17+U119*(Assumptions!$B$147*MAX(0,Assumptions!$B$151-Assumptions!$B$18)+Assumptions!$B$148*MAX(0,Assumptions!$B$152-Assumptions!$B$18)+Assumptions!$B$149*MAX(0,Assumptions!$B$153-Assumptions!$B$18)+Assumptions!$B$150*MAX(0,Assumptions!$B$154-Assumptions!$B$18))*Assumptions!$B$19/Assumptions!$B$7*U7+U119*(Assumptions!$B$145*Assumptions!$B$20+Assumptions!$B$146*Assumptions!$B$21)/12/Assumptions!$B$7*U7,0)</f>
        <v/>
      </c>
      <c r="V131" s="55">
        <f>IF(V2&gt;=Assumptions!$B$52,V124*V17*Assumptions!$B$17+V119*(Assumptions!$B$147*MAX(0,Assumptions!$B$151-Assumptions!$B$18)+Assumptions!$B$148*MAX(0,Assumptions!$B$152-Assumptions!$B$18)+Assumptions!$B$149*MAX(0,Assumptions!$B$153-Assumptions!$B$18)+Assumptions!$B$150*MAX(0,Assumptions!$B$154-Assumptions!$B$18))*Assumptions!$B$19/Assumptions!$B$7*V7+V119*(Assumptions!$B$145*Assumptions!$B$20+Assumptions!$B$146*Assumptions!$B$21)/12/Assumptions!$B$7*V7,0)</f>
        <v/>
      </c>
      <c r="W131" s="55">
        <f>IF(W2&gt;=Assumptions!$B$52,W124*W17*Assumptions!$B$17+W119*(Assumptions!$B$147*MAX(0,Assumptions!$B$151-Assumptions!$B$18)+Assumptions!$B$148*MAX(0,Assumptions!$B$152-Assumptions!$B$18)+Assumptions!$B$149*MAX(0,Assumptions!$B$153-Assumptions!$B$18)+Assumptions!$B$150*MAX(0,Assumptions!$B$154-Assumptions!$B$18))*Assumptions!$B$19/Assumptions!$B$7*W7+W119*(Assumptions!$B$145*Assumptions!$B$20+Assumptions!$B$146*Assumptions!$B$21)/12/Assumptions!$B$7*W7,0)</f>
        <v/>
      </c>
      <c r="X131" s="55">
        <f>IF(X2&gt;=Assumptions!$B$52,X124*X17*Assumptions!$B$17+X119*(Assumptions!$B$147*MAX(0,Assumptions!$B$151-Assumptions!$B$18)+Assumptions!$B$148*MAX(0,Assumptions!$B$152-Assumptions!$B$18)+Assumptions!$B$149*MAX(0,Assumptions!$B$153-Assumptions!$B$18)+Assumptions!$B$150*MAX(0,Assumptions!$B$154-Assumptions!$B$18))*Assumptions!$B$19/Assumptions!$B$7*X7+X119*(Assumptions!$B$145*Assumptions!$B$20+Assumptions!$B$146*Assumptions!$B$21)/12/Assumptions!$B$7*X7,0)</f>
        <v/>
      </c>
      <c r="Y131" s="55">
        <f>IF(Y2&gt;=Assumptions!$B$52,Y124*Y17*Assumptions!$B$17+Y119*(Assumptions!$B$147*MAX(0,Assumptions!$B$151-Assumptions!$B$18)+Assumptions!$B$148*MAX(0,Assumptions!$B$152-Assumptions!$B$18)+Assumptions!$B$149*MAX(0,Assumptions!$B$153-Assumptions!$B$18)+Assumptions!$B$150*MAX(0,Assumptions!$B$154-Assumptions!$B$18))*Assumptions!$B$19/Assumptions!$B$7*Y7+Y119*(Assumptions!$B$145*Assumptions!$B$20+Assumptions!$B$146*Assumptions!$B$21)/12/Assumptions!$B$7*Y7,0)</f>
        <v/>
      </c>
      <c r="Z131" s="55">
        <f>IF(Z2&gt;=Assumptions!$B$52,Z124*Z17*Assumptions!$B$17+Z119*(Assumptions!$B$147*MAX(0,Assumptions!$B$151-Assumptions!$B$18)+Assumptions!$B$148*MAX(0,Assumptions!$B$152-Assumptions!$B$18)+Assumptions!$B$149*MAX(0,Assumptions!$B$153-Assumptions!$B$18)+Assumptions!$B$150*MAX(0,Assumptions!$B$154-Assumptions!$B$18))*Assumptions!$B$19/Assumptions!$B$7*Z7+Z119*(Assumptions!$B$145*Assumptions!$B$20+Assumptions!$B$146*Assumptions!$B$21)/12/Assumptions!$B$7*Z7,0)</f>
        <v/>
      </c>
      <c r="AA131" s="55">
        <f>IF(AA2&gt;=Assumptions!$B$52,AA124*AA17*Assumptions!$B$17+AA119*(Assumptions!$B$147*MAX(0,Assumptions!$B$151-Assumptions!$B$18)+Assumptions!$B$148*MAX(0,Assumptions!$B$152-Assumptions!$B$18)+Assumptions!$B$149*MAX(0,Assumptions!$B$153-Assumptions!$B$18)+Assumptions!$B$150*MAX(0,Assumptions!$B$154-Assumptions!$B$18))*Assumptions!$B$19/Assumptions!$B$7*AA7+AA119*(Assumptions!$B$145*Assumptions!$B$20+Assumptions!$B$146*Assumptions!$B$21)/12/Assumptions!$B$7*AA7,0)</f>
        <v/>
      </c>
      <c r="AB131" s="55">
        <f>IF(AB2&gt;=Assumptions!$B$52,AB124*AB17*Assumptions!$B$17+AB119*(Assumptions!$B$147*MAX(0,Assumptions!$B$151-Assumptions!$B$18)+Assumptions!$B$148*MAX(0,Assumptions!$B$152-Assumptions!$B$18)+Assumptions!$B$149*MAX(0,Assumptions!$B$153-Assumptions!$B$18)+Assumptions!$B$150*MAX(0,Assumptions!$B$154-Assumptions!$B$18))*Assumptions!$B$19/Assumptions!$B$7*AB7+AB119*(Assumptions!$B$145*Assumptions!$B$20+Assumptions!$B$146*Assumptions!$B$21)/12/Assumptions!$B$7*AB7,0)</f>
        <v/>
      </c>
      <c r="AC131" s="55">
        <f>IF(AC2&gt;=Assumptions!$B$52,AC124*AC17*Assumptions!$B$17+AC119*(Assumptions!$B$147*MAX(0,Assumptions!$B$151-Assumptions!$B$18)+Assumptions!$B$148*MAX(0,Assumptions!$B$152-Assumptions!$B$18)+Assumptions!$B$149*MAX(0,Assumptions!$B$153-Assumptions!$B$18)+Assumptions!$B$150*MAX(0,Assumptions!$B$154-Assumptions!$B$18))*Assumptions!$B$19/Assumptions!$B$7*AC7+AC119*(Assumptions!$B$145*Assumptions!$B$20+Assumptions!$B$146*Assumptions!$B$21)/12/Assumptions!$B$7*AC7,0)</f>
        <v/>
      </c>
      <c r="AD131" s="55">
        <f>IF(AD2&gt;=Assumptions!$B$52,AD124*AD17*Assumptions!$B$17+AD119*(Assumptions!$B$147*MAX(0,Assumptions!$B$151-Assumptions!$B$18)+Assumptions!$B$148*MAX(0,Assumptions!$B$152-Assumptions!$B$18)+Assumptions!$B$149*MAX(0,Assumptions!$B$153-Assumptions!$B$18)+Assumptions!$B$150*MAX(0,Assumptions!$B$154-Assumptions!$B$18))*Assumptions!$B$19/Assumptions!$B$7*AD7+AD119*(Assumptions!$B$145*Assumptions!$B$20+Assumptions!$B$146*Assumptions!$B$21)/12/Assumptions!$B$7*AD7,0)</f>
        <v/>
      </c>
      <c r="AE131" s="55">
        <f>IF(AE2&gt;=Assumptions!$B$52,AE124*AE17*Assumptions!$B$17+AE119*(Assumptions!$B$147*MAX(0,Assumptions!$B$151-Assumptions!$B$18)+Assumptions!$B$148*MAX(0,Assumptions!$B$152-Assumptions!$B$18)+Assumptions!$B$149*MAX(0,Assumptions!$B$153-Assumptions!$B$18)+Assumptions!$B$150*MAX(0,Assumptions!$B$154-Assumptions!$B$18))*Assumptions!$B$19/Assumptions!$B$7*AE7+AE119*(Assumptions!$B$145*Assumptions!$B$20+Assumptions!$B$146*Assumptions!$B$21)/12/Assumptions!$B$7*AE7,0)</f>
        <v/>
      </c>
    </row>
    <row r="132">
      <c r="A132" s="6" t="inlineStr">
        <is>
          <t xml:space="preserve">  Average drawn balance outstanding</t>
        </is>
      </c>
      <c r="B132" s="23" t="inlineStr">
        <is>
          <t>USD</t>
        </is>
      </c>
      <c r="C132" s="55">
        <f>IF(C2&gt;=Assumptions!$B$53,C119*C120*(1-Assumptions!$B$170)*Assumptions!$B$155*Assumptions!$B$156,0)</f>
        <v/>
      </c>
      <c r="D132" s="55">
        <f>IF(D2&gt;=Assumptions!$B$53,D119*D120*(1-Assumptions!$B$170)*Assumptions!$B$155*Assumptions!$B$156,0)</f>
        <v/>
      </c>
      <c r="E132" s="55">
        <f>IF(E2&gt;=Assumptions!$B$53,E119*E120*(1-Assumptions!$B$170)*Assumptions!$B$155*Assumptions!$B$156,0)</f>
        <v/>
      </c>
      <c r="F132" s="55">
        <f>IF(F2&gt;=Assumptions!$B$53,F119*F120*(1-Assumptions!$B$170)*Assumptions!$B$155*Assumptions!$B$156,0)</f>
        <v/>
      </c>
      <c r="G132" s="55">
        <f>IF(G2&gt;=Assumptions!$B$53,G119*G120*(1-Assumptions!$B$170)*Assumptions!$B$155*Assumptions!$B$156,0)</f>
        <v/>
      </c>
      <c r="H132" s="55">
        <f>IF(H2&gt;=Assumptions!$B$53,H119*H120*(1-Assumptions!$B$170)*Assumptions!$B$155*Assumptions!$B$156,0)</f>
        <v/>
      </c>
      <c r="I132" s="55">
        <f>IF(I2&gt;=Assumptions!$B$53,I119*I120*(1-Assumptions!$B$170)*Assumptions!$B$155*Assumptions!$B$156,0)</f>
        <v/>
      </c>
      <c r="J132" s="55">
        <f>IF(J2&gt;=Assumptions!$B$53,J119*J120*(1-Assumptions!$B$170)*Assumptions!$B$155*Assumptions!$B$156,0)</f>
        <v/>
      </c>
      <c r="K132" s="55">
        <f>IF(K2&gt;=Assumptions!$B$53,K119*K120*(1-Assumptions!$B$170)*Assumptions!$B$155*Assumptions!$B$156,0)</f>
        <v/>
      </c>
      <c r="L132" s="55">
        <f>IF(L2&gt;=Assumptions!$B$53,L119*L120*(1-Assumptions!$B$170)*Assumptions!$B$155*Assumptions!$B$156,0)</f>
        <v/>
      </c>
      <c r="M132" s="55">
        <f>IF(M2&gt;=Assumptions!$B$53,M119*M120*(1-Assumptions!$B$170)*Assumptions!$B$155*Assumptions!$B$156,0)</f>
        <v/>
      </c>
      <c r="N132" s="55">
        <f>IF(N2&gt;=Assumptions!$B$53,N119*N120*(1-Assumptions!$B$170)*Assumptions!$B$155*Assumptions!$B$156,0)</f>
        <v/>
      </c>
      <c r="O132" s="55">
        <f>IF(O2&gt;=Assumptions!$B$53,O119*O120*(1-Assumptions!$B$170)*Assumptions!$B$155*Assumptions!$B$156,0)</f>
        <v/>
      </c>
      <c r="P132" s="55">
        <f>IF(P2&gt;=Assumptions!$B$53,P119*P120*(1-Assumptions!$B$170)*Assumptions!$B$155*Assumptions!$B$156,0)</f>
        <v/>
      </c>
      <c r="Q132" s="55">
        <f>IF(Q2&gt;=Assumptions!$B$53,Q119*Q120*(1-Assumptions!$B$170)*Assumptions!$B$155*Assumptions!$B$156,0)</f>
        <v/>
      </c>
      <c r="R132" s="55">
        <f>IF(R2&gt;=Assumptions!$B$53,R119*R120*(1-Assumptions!$B$170)*Assumptions!$B$155*Assumptions!$B$156,0)</f>
        <v/>
      </c>
      <c r="S132" s="55">
        <f>IF(S2&gt;=Assumptions!$B$53,S119*S120*(1-Assumptions!$B$170)*Assumptions!$B$155*Assumptions!$B$156,0)</f>
        <v/>
      </c>
      <c r="T132" s="55">
        <f>IF(T2&gt;=Assumptions!$B$53,T119*T120*(1-Assumptions!$B$170)*Assumptions!$B$155*Assumptions!$B$156,0)</f>
        <v/>
      </c>
      <c r="U132" s="55">
        <f>IF(U2&gt;=Assumptions!$B$53,U119*U120*(1-Assumptions!$B$170)*Assumptions!$B$155*Assumptions!$B$156,0)</f>
        <v/>
      </c>
      <c r="V132" s="55">
        <f>IF(V2&gt;=Assumptions!$B$53,V119*V120*(1-Assumptions!$B$170)*Assumptions!$B$155*Assumptions!$B$156,0)</f>
        <v/>
      </c>
      <c r="W132" s="55">
        <f>IF(W2&gt;=Assumptions!$B$53,W119*W120*(1-Assumptions!$B$170)*Assumptions!$B$155*Assumptions!$B$156,0)</f>
        <v/>
      </c>
      <c r="X132" s="55">
        <f>IF(X2&gt;=Assumptions!$B$53,X119*X120*(1-Assumptions!$B$170)*Assumptions!$B$155*Assumptions!$B$156,0)</f>
        <v/>
      </c>
      <c r="Y132" s="55">
        <f>IF(Y2&gt;=Assumptions!$B$53,Y119*Y120*(1-Assumptions!$B$170)*Assumptions!$B$155*Assumptions!$B$156,0)</f>
        <v/>
      </c>
      <c r="Z132" s="55">
        <f>IF(Z2&gt;=Assumptions!$B$53,Z119*Z120*(1-Assumptions!$B$170)*Assumptions!$B$155*Assumptions!$B$156,0)</f>
        <v/>
      </c>
      <c r="AA132" s="55">
        <f>IF(AA2&gt;=Assumptions!$B$53,AA119*AA120*(1-Assumptions!$B$170)*Assumptions!$B$155*Assumptions!$B$156,0)</f>
        <v/>
      </c>
      <c r="AB132" s="55">
        <f>IF(AB2&gt;=Assumptions!$B$53,AB119*AB120*(1-Assumptions!$B$170)*Assumptions!$B$155*Assumptions!$B$156,0)</f>
        <v/>
      </c>
      <c r="AC132" s="55">
        <f>IF(AC2&gt;=Assumptions!$B$53,AC119*AC120*(1-Assumptions!$B$170)*Assumptions!$B$155*Assumptions!$B$156,0)</f>
        <v/>
      </c>
      <c r="AD132" s="55">
        <f>IF(AD2&gt;=Assumptions!$B$53,AD119*AD120*(1-Assumptions!$B$170)*Assumptions!$B$155*Assumptions!$B$156,0)</f>
        <v/>
      </c>
      <c r="AE132" s="55">
        <f>IF(AE2&gt;=Assumptions!$B$53,AE119*AE120*(1-Assumptions!$B$170)*Assumptions!$B$155*Assumptions!$B$156,0)</f>
        <v/>
      </c>
    </row>
    <row r="133">
      <c r="A133" s="6" t="inlineStr">
        <is>
          <t xml:space="preserve">  Stream 5 - Lending revenue share</t>
        </is>
      </c>
      <c r="B133" s="23" t="inlineStr">
        <is>
          <t>USD</t>
        </is>
      </c>
      <c r="C133" s="55">
        <f>IF(C2&gt;=Assumptions!$B$53,(C132*Assumptions!$B$29*Assumptions!$B$30+C119*C121*(1-Assumptions!$B$170)*Assumptions!$B$27*Assumptions!$B$28)*C7/12,0)</f>
        <v/>
      </c>
      <c r="D133" s="55">
        <f>IF(D2&gt;=Assumptions!$B$53,(D132*Assumptions!$B$29*Assumptions!$B$30+D119*D121*(1-Assumptions!$B$170)*Assumptions!$B$27*Assumptions!$B$28)*D7/12,0)</f>
        <v/>
      </c>
      <c r="E133" s="55">
        <f>IF(E2&gt;=Assumptions!$B$53,(E132*Assumptions!$B$29*Assumptions!$B$30+E119*E121*(1-Assumptions!$B$170)*Assumptions!$B$27*Assumptions!$B$28)*E7/12,0)</f>
        <v/>
      </c>
      <c r="F133" s="55">
        <f>IF(F2&gt;=Assumptions!$B$53,(F132*Assumptions!$B$29*Assumptions!$B$30+F119*F121*(1-Assumptions!$B$170)*Assumptions!$B$27*Assumptions!$B$28)*F7/12,0)</f>
        <v/>
      </c>
      <c r="G133" s="55">
        <f>IF(G2&gt;=Assumptions!$B$53,(G132*Assumptions!$B$29*Assumptions!$B$30+G119*G121*(1-Assumptions!$B$170)*Assumptions!$B$27*Assumptions!$B$28)*G7/12,0)</f>
        <v/>
      </c>
      <c r="H133" s="55">
        <f>IF(H2&gt;=Assumptions!$B$53,(H132*Assumptions!$B$29*Assumptions!$B$30+H119*H121*(1-Assumptions!$B$170)*Assumptions!$B$27*Assumptions!$B$28)*H7/12,0)</f>
        <v/>
      </c>
      <c r="I133" s="55">
        <f>IF(I2&gt;=Assumptions!$B$53,(I132*Assumptions!$B$29*Assumptions!$B$30+I119*I121*(1-Assumptions!$B$170)*Assumptions!$B$27*Assumptions!$B$28)*I7/12,0)</f>
        <v/>
      </c>
      <c r="J133" s="55">
        <f>IF(J2&gt;=Assumptions!$B$53,(J132*Assumptions!$B$29*Assumptions!$B$30+J119*J121*(1-Assumptions!$B$170)*Assumptions!$B$27*Assumptions!$B$28)*J7/12,0)</f>
        <v/>
      </c>
      <c r="K133" s="55">
        <f>IF(K2&gt;=Assumptions!$B$53,(K132*Assumptions!$B$29*Assumptions!$B$30+K119*K121*(1-Assumptions!$B$170)*Assumptions!$B$27*Assumptions!$B$28)*K7/12,0)</f>
        <v/>
      </c>
      <c r="L133" s="55">
        <f>IF(L2&gt;=Assumptions!$B$53,(L132*Assumptions!$B$29*Assumptions!$B$30+L119*L121*(1-Assumptions!$B$170)*Assumptions!$B$27*Assumptions!$B$28)*L7/12,0)</f>
        <v/>
      </c>
      <c r="M133" s="55">
        <f>IF(M2&gt;=Assumptions!$B$53,(M132*Assumptions!$B$29*Assumptions!$B$30+M119*M121*(1-Assumptions!$B$170)*Assumptions!$B$27*Assumptions!$B$28)*M7/12,0)</f>
        <v/>
      </c>
      <c r="N133" s="55">
        <f>IF(N2&gt;=Assumptions!$B$53,(N132*Assumptions!$B$29*Assumptions!$B$30+N119*N121*(1-Assumptions!$B$170)*Assumptions!$B$27*Assumptions!$B$28)*N7/12,0)</f>
        <v/>
      </c>
      <c r="O133" s="55">
        <f>IF(O2&gt;=Assumptions!$B$53,(O132*Assumptions!$B$29*Assumptions!$B$30+O119*O121*(1-Assumptions!$B$170)*Assumptions!$B$27*Assumptions!$B$28)*O7/12,0)</f>
        <v/>
      </c>
      <c r="P133" s="55">
        <f>IF(P2&gt;=Assumptions!$B$53,(P132*Assumptions!$B$29*Assumptions!$B$30+P119*P121*(1-Assumptions!$B$170)*Assumptions!$B$27*Assumptions!$B$28)*P7/12,0)</f>
        <v/>
      </c>
      <c r="Q133" s="55">
        <f>IF(Q2&gt;=Assumptions!$B$53,(Q132*Assumptions!$B$29*Assumptions!$B$30+Q119*Q121*(1-Assumptions!$B$170)*Assumptions!$B$27*Assumptions!$B$28)*Q7/12,0)</f>
        <v/>
      </c>
      <c r="R133" s="55">
        <f>IF(R2&gt;=Assumptions!$B$53,(R132*Assumptions!$B$29*Assumptions!$B$30+R119*R121*(1-Assumptions!$B$170)*Assumptions!$B$27*Assumptions!$B$28)*R7/12,0)</f>
        <v/>
      </c>
      <c r="S133" s="55">
        <f>IF(S2&gt;=Assumptions!$B$53,(S132*Assumptions!$B$29*Assumptions!$B$30+S119*S121*(1-Assumptions!$B$170)*Assumptions!$B$27*Assumptions!$B$28)*S7/12,0)</f>
        <v/>
      </c>
      <c r="T133" s="55">
        <f>IF(T2&gt;=Assumptions!$B$53,(T132*Assumptions!$B$29*Assumptions!$B$30+T119*T121*(1-Assumptions!$B$170)*Assumptions!$B$27*Assumptions!$B$28)*T7/12,0)</f>
        <v/>
      </c>
      <c r="U133" s="55">
        <f>IF(U2&gt;=Assumptions!$B$53,(U132*Assumptions!$B$29*Assumptions!$B$30+U119*U121*(1-Assumptions!$B$170)*Assumptions!$B$27*Assumptions!$B$28)*U7/12,0)</f>
        <v/>
      </c>
      <c r="V133" s="55">
        <f>IF(V2&gt;=Assumptions!$B$53,(V132*Assumptions!$B$29*Assumptions!$B$30+V119*V121*(1-Assumptions!$B$170)*Assumptions!$B$27*Assumptions!$B$28)*V7/12,0)</f>
        <v/>
      </c>
      <c r="W133" s="55">
        <f>IF(W2&gt;=Assumptions!$B$53,(W132*Assumptions!$B$29*Assumptions!$B$30+W119*W121*(1-Assumptions!$B$170)*Assumptions!$B$27*Assumptions!$B$28)*W7/12,0)</f>
        <v/>
      </c>
      <c r="X133" s="55">
        <f>IF(X2&gt;=Assumptions!$B$53,(X132*Assumptions!$B$29*Assumptions!$B$30+X119*X121*(1-Assumptions!$B$170)*Assumptions!$B$27*Assumptions!$B$28)*X7/12,0)</f>
        <v/>
      </c>
      <c r="Y133" s="55">
        <f>IF(Y2&gt;=Assumptions!$B$53,(Y132*Assumptions!$B$29*Assumptions!$B$30+Y119*Y121*(1-Assumptions!$B$170)*Assumptions!$B$27*Assumptions!$B$28)*Y7/12,0)</f>
        <v/>
      </c>
      <c r="Z133" s="55">
        <f>IF(Z2&gt;=Assumptions!$B$53,(Z132*Assumptions!$B$29*Assumptions!$B$30+Z119*Z121*(1-Assumptions!$B$170)*Assumptions!$B$27*Assumptions!$B$28)*Z7/12,0)</f>
        <v/>
      </c>
      <c r="AA133" s="55">
        <f>IF(AA2&gt;=Assumptions!$B$53,(AA132*Assumptions!$B$29*Assumptions!$B$30+AA119*AA121*(1-Assumptions!$B$170)*Assumptions!$B$27*Assumptions!$B$28)*AA7/12,0)</f>
        <v/>
      </c>
      <c r="AB133" s="55">
        <f>IF(AB2&gt;=Assumptions!$B$53,(AB132*Assumptions!$B$29*Assumptions!$B$30+AB119*AB121*(1-Assumptions!$B$170)*Assumptions!$B$27*Assumptions!$B$28)*AB7/12,0)</f>
        <v/>
      </c>
      <c r="AC133" s="55">
        <f>IF(AC2&gt;=Assumptions!$B$53,(AC132*Assumptions!$B$29*Assumptions!$B$30+AC119*AC121*(1-Assumptions!$B$170)*Assumptions!$B$27*Assumptions!$B$28)*AC7/12,0)</f>
        <v/>
      </c>
      <c r="AD133" s="55">
        <f>IF(AD2&gt;=Assumptions!$B$53,(AD132*Assumptions!$B$29*Assumptions!$B$30+AD119*AD121*(1-Assumptions!$B$170)*Assumptions!$B$27*Assumptions!$B$28)*AD7/12,0)</f>
        <v/>
      </c>
      <c r="AE133" s="55">
        <f>IF(AE2&gt;=Assumptions!$B$53,(AE132*Assumptions!$B$29*Assumptions!$B$30+AE119*AE121*(1-Assumptions!$B$170)*Assumptions!$B$27*Assumptions!$B$28)*AE7/12,0)</f>
        <v/>
      </c>
    </row>
    <row r="134">
      <c r="A134" s="6" t="inlineStr">
        <is>
          <t xml:space="preserve">  Redemption events (memo - drives cost, not revenue)</t>
        </is>
      </c>
      <c r="B134" s="23" t="inlineStr">
        <is>
          <t>events</t>
        </is>
      </c>
      <c r="C134" s="45">
        <f>IF(C2&gt;=Assumptions!$B$49,(C105+C107*Assumptions!$B$137)*Assumptions!$B$136*C7/12,0)</f>
        <v/>
      </c>
      <c r="D134" s="45">
        <f>IF(D2&gt;=Assumptions!$B$49,(D105+D107*Assumptions!$B$137)*Assumptions!$B$136*D7/12,0)</f>
        <v/>
      </c>
      <c r="E134" s="45">
        <f>IF(E2&gt;=Assumptions!$B$49,(E105+E107*Assumptions!$B$137)*Assumptions!$B$136*E7/12,0)</f>
        <v/>
      </c>
      <c r="F134" s="45">
        <f>IF(F2&gt;=Assumptions!$B$49,(F105+F107*Assumptions!$B$137)*Assumptions!$B$136*F7/12,0)</f>
        <v/>
      </c>
      <c r="G134" s="45">
        <f>IF(G2&gt;=Assumptions!$B$49,(G105+G107*Assumptions!$B$137)*Assumptions!$B$136*G7/12,0)</f>
        <v/>
      </c>
      <c r="H134" s="45">
        <f>IF(H2&gt;=Assumptions!$B$49,(H105+H107*Assumptions!$B$137)*Assumptions!$B$136*H7/12,0)</f>
        <v/>
      </c>
      <c r="I134" s="45">
        <f>IF(I2&gt;=Assumptions!$B$49,(I105+I107*Assumptions!$B$137)*Assumptions!$B$136*I7/12,0)</f>
        <v/>
      </c>
      <c r="J134" s="45">
        <f>IF(J2&gt;=Assumptions!$B$49,(J105+J107*Assumptions!$B$137)*Assumptions!$B$136*J7/12,0)</f>
        <v/>
      </c>
      <c r="K134" s="45">
        <f>IF(K2&gt;=Assumptions!$B$49,(K105+K107*Assumptions!$B$137)*Assumptions!$B$136*K7/12,0)</f>
        <v/>
      </c>
      <c r="L134" s="45">
        <f>IF(L2&gt;=Assumptions!$B$49,(L105+L107*Assumptions!$B$137)*Assumptions!$B$136*L7/12,0)</f>
        <v/>
      </c>
      <c r="M134" s="45">
        <f>IF(M2&gt;=Assumptions!$B$49,(M105+M107*Assumptions!$B$137)*Assumptions!$B$136*M7/12,0)</f>
        <v/>
      </c>
      <c r="N134" s="45">
        <f>IF(N2&gt;=Assumptions!$B$49,(N105+N107*Assumptions!$B$137)*Assumptions!$B$136*N7/12,0)</f>
        <v/>
      </c>
      <c r="O134" s="45">
        <f>IF(O2&gt;=Assumptions!$B$49,(O105+O107*Assumptions!$B$137)*Assumptions!$B$136*O7/12,0)</f>
        <v/>
      </c>
      <c r="P134" s="45">
        <f>IF(P2&gt;=Assumptions!$B$49,(P105+P107*Assumptions!$B$137)*Assumptions!$B$136*P7/12,0)</f>
        <v/>
      </c>
      <c r="Q134" s="45">
        <f>IF(Q2&gt;=Assumptions!$B$49,(Q105+Q107*Assumptions!$B$137)*Assumptions!$B$136*Q7/12,0)</f>
        <v/>
      </c>
      <c r="R134" s="45">
        <f>IF(R2&gt;=Assumptions!$B$49,(R105+R107*Assumptions!$B$137)*Assumptions!$B$136*R7/12,0)</f>
        <v/>
      </c>
      <c r="S134" s="45">
        <f>IF(S2&gt;=Assumptions!$B$49,(S105+S107*Assumptions!$B$137)*Assumptions!$B$136*S7/12,0)</f>
        <v/>
      </c>
      <c r="T134" s="45">
        <f>IF(T2&gt;=Assumptions!$B$49,(T105+T107*Assumptions!$B$137)*Assumptions!$B$136*T7/12,0)</f>
        <v/>
      </c>
      <c r="U134" s="45">
        <f>IF(U2&gt;=Assumptions!$B$49,(U105+U107*Assumptions!$B$137)*Assumptions!$B$136*U7/12,0)</f>
        <v/>
      </c>
      <c r="V134" s="45">
        <f>IF(V2&gt;=Assumptions!$B$49,(V105+V107*Assumptions!$B$137)*Assumptions!$B$136*V7/12,0)</f>
        <v/>
      </c>
      <c r="W134" s="45">
        <f>IF(W2&gt;=Assumptions!$B$49,(W105+W107*Assumptions!$B$137)*Assumptions!$B$136*W7/12,0)</f>
        <v/>
      </c>
      <c r="X134" s="45">
        <f>IF(X2&gt;=Assumptions!$B$49,(X105+X107*Assumptions!$B$137)*Assumptions!$B$136*X7/12,0)</f>
        <v/>
      </c>
      <c r="Y134" s="45">
        <f>IF(Y2&gt;=Assumptions!$B$49,(Y105+Y107*Assumptions!$B$137)*Assumptions!$B$136*Y7/12,0)</f>
        <v/>
      </c>
      <c r="Z134" s="45">
        <f>IF(Z2&gt;=Assumptions!$B$49,(Z105+Z107*Assumptions!$B$137)*Assumptions!$B$136*Z7/12,0)</f>
        <v/>
      </c>
      <c r="AA134" s="45">
        <f>IF(AA2&gt;=Assumptions!$B$49,(AA105+AA107*Assumptions!$B$137)*Assumptions!$B$136*AA7/12,0)</f>
        <v/>
      </c>
      <c r="AB134" s="45">
        <f>IF(AB2&gt;=Assumptions!$B$49,(AB105+AB107*Assumptions!$B$137)*Assumptions!$B$136*AB7/12,0)</f>
        <v/>
      </c>
      <c r="AC134" s="45">
        <f>IF(AC2&gt;=Assumptions!$B$49,(AC105+AC107*Assumptions!$B$137)*Assumptions!$B$136*AC7/12,0)</f>
        <v/>
      </c>
      <c r="AD134" s="45">
        <f>IF(AD2&gt;=Assumptions!$B$49,(AD105+AD107*Assumptions!$B$137)*Assumptions!$B$136*AD7/12,0)</f>
        <v/>
      </c>
      <c r="AE134" s="45">
        <f>IF(AE2&gt;=Assumptions!$B$49,(AE105+AE107*Assumptions!$B$137)*Assumptions!$B$136*AE7/12,0)</f>
        <v/>
      </c>
    </row>
    <row r="135">
      <c r="A135" s="3" t="inlineStr">
        <is>
          <t xml:space="preserve">  SUBTOTAL - India</t>
        </is>
      </c>
      <c r="B135" s="23" t="inlineStr">
        <is>
          <t>USD</t>
        </is>
      </c>
      <c r="C135" s="57">
        <f>C127+C128+C129+C130+C131+C133</f>
        <v/>
      </c>
      <c r="D135" s="57">
        <f>D127+D128+D129+D130+D131+D133</f>
        <v/>
      </c>
      <c r="E135" s="57">
        <f>E127+E128+E129+E130+E131+E133</f>
        <v/>
      </c>
      <c r="F135" s="57">
        <f>F127+F128+F129+F130+F131+F133</f>
        <v/>
      </c>
      <c r="G135" s="57">
        <f>G127+G128+G129+G130+G131+G133</f>
        <v/>
      </c>
      <c r="H135" s="57">
        <f>H127+H128+H129+H130+H131+H133</f>
        <v/>
      </c>
      <c r="I135" s="57">
        <f>I127+I128+I129+I130+I131+I133</f>
        <v/>
      </c>
      <c r="J135" s="57">
        <f>J127+J128+J129+J130+J131+J133</f>
        <v/>
      </c>
      <c r="K135" s="57">
        <f>K127+K128+K129+K130+K131+K133</f>
        <v/>
      </c>
      <c r="L135" s="57">
        <f>L127+L128+L129+L130+L131+L133</f>
        <v/>
      </c>
      <c r="M135" s="57">
        <f>M127+M128+M129+M130+M131+M133</f>
        <v/>
      </c>
      <c r="N135" s="57">
        <f>N127+N128+N129+N130+N131+N133</f>
        <v/>
      </c>
      <c r="O135" s="57">
        <f>O127+O128+O129+O130+O131+O133</f>
        <v/>
      </c>
      <c r="P135" s="57">
        <f>P127+P128+P129+P130+P131+P133</f>
        <v/>
      </c>
      <c r="Q135" s="57">
        <f>Q127+Q128+Q129+Q130+Q131+Q133</f>
        <v/>
      </c>
      <c r="R135" s="57">
        <f>R127+R128+R129+R130+R131+R133</f>
        <v/>
      </c>
      <c r="S135" s="57">
        <f>S127+S128+S129+S130+S131+S133</f>
        <v/>
      </c>
      <c r="T135" s="57">
        <f>T127+T128+T129+T130+T131+T133</f>
        <v/>
      </c>
      <c r="U135" s="57">
        <f>U127+U128+U129+U130+U131+U133</f>
        <v/>
      </c>
      <c r="V135" s="57">
        <f>V127+V128+V129+V130+V131+V133</f>
        <v/>
      </c>
      <c r="W135" s="57">
        <f>W127+W128+W129+W130+W131+W133</f>
        <v/>
      </c>
      <c r="X135" s="57">
        <f>X127+X128+X129+X130+X131+X133</f>
        <v/>
      </c>
      <c r="Y135" s="57">
        <f>Y127+Y128+Y129+Y130+Y131+Y133</f>
        <v/>
      </c>
      <c r="Z135" s="57">
        <f>Z127+Z128+Z129+Z130+Z131+Z133</f>
        <v/>
      </c>
      <c r="AA135" s="57">
        <f>AA127+AA128+AA129+AA130+AA131+AA133</f>
        <v/>
      </c>
      <c r="AB135" s="57">
        <f>AB127+AB128+AB129+AB130+AB131+AB133</f>
        <v/>
      </c>
      <c r="AC135" s="57">
        <f>AC127+AC128+AC129+AC130+AC131+AC133</f>
        <v/>
      </c>
      <c r="AD135" s="57">
        <f>AD127+AD128+AD129+AD130+AD131+AD133</f>
        <v/>
      </c>
      <c r="AE135" s="57">
        <f>AE127+AE128+AE129+AE130+AE131+AE133</f>
        <v/>
      </c>
    </row>
    <row r="137">
      <c r="A137" s="46" t="inlineStr">
        <is>
          <t>NON-REGIONAL</t>
        </is>
      </c>
      <c r="B137" s="47" t="n"/>
      <c r="C137" s="47" t="n"/>
      <c r="D137" s="47" t="n"/>
      <c r="E137" s="47" t="n"/>
      <c r="F137" s="47" t="n"/>
      <c r="G137" s="47" t="n"/>
      <c r="H137" s="47" t="n"/>
      <c r="I137" s="47" t="n"/>
      <c r="J137" s="47" t="n"/>
      <c r="K137" s="47" t="n"/>
      <c r="L137" s="47" t="n"/>
      <c r="M137" s="47" t="n"/>
      <c r="N137" s="47" t="n"/>
      <c r="O137" s="47" t="n"/>
      <c r="P137" s="47" t="n"/>
      <c r="Q137" s="47" t="n"/>
      <c r="R137" s="47" t="n"/>
      <c r="S137" s="47" t="n"/>
      <c r="T137" s="47" t="n"/>
      <c r="U137" s="47" t="n"/>
      <c r="V137" s="47" t="n"/>
      <c r="W137" s="47" t="n"/>
      <c r="X137" s="47" t="n"/>
      <c r="Y137" s="47" t="n"/>
      <c r="Z137" s="47" t="n"/>
      <c r="AA137" s="47" t="n"/>
      <c r="AB137" s="47" t="n"/>
      <c r="AC137" s="47" t="n"/>
      <c r="AD137" s="47" t="n"/>
      <c r="AE137" s="47" t="n"/>
    </row>
    <row r="138">
      <c r="A138" s="6" t="inlineStr">
        <is>
          <t xml:space="preserve">  Partner AUM</t>
        </is>
      </c>
      <c r="B138" s="23" t="inlineStr">
        <is>
          <t>USD</t>
        </is>
      </c>
      <c r="C138" s="58">
        <f>IF(C2&gt;=Assumptions!$B$54,INDEX(Assumptions!$B$159:$B$165,C5)*Assumptions!$B$166,0)</f>
        <v/>
      </c>
      <c r="D138" s="58">
        <f>IF(D2&gt;=Assumptions!$B$54,INDEX(Assumptions!$B$159:$B$165,D5)*Assumptions!$B$166,0)</f>
        <v/>
      </c>
      <c r="E138" s="58">
        <f>IF(E2&gt;=Assumptions!$B$54,INDEX(Assumptions!$B$159:$B$165,E5)*Assumptions!$B$166,0)</f>
        <v/>
      </c>
      <c r="F138" s="58">
        <f>IF(F2&gt;=Assumptions!$B$54,INDEX(Assumptions!$B$159:$B$165,F5)*Assumptions!$B$166,0)</f>
        <v/>
      </c>
      <c r="G138" s="58">
        <f>IF(G2&gt;=Assumptions!$B$54,INDEX(Assumptions!$B$159:$B$165,G5)*Assumptions!$B$166,0)</f>
        <v/>
      </c>
      <c r="H138" s="58">
        <f>IF(H2&gt;=Assumptions!$B$54,INDEX(Assumptions!$B$159:$B$165,H5)*Assumptions!$B$166,0)</f>
        <v/>
      </c>
      <c r="I138" s="58">
        <f>IF(I2&gt;=Assumptions!$B$54,INDEX(Assumptions!$B$159:$B$165,I5)*Assumptions!$B$166,0)</f>
        <v/>
      </c>
      <c r="J138" s="58">
        <f>IF(J2&gt;=Assumptions!$B$54,INDEX(Assumptions!$B$159:$B$165,J5)*Assumptions!$B$166,0)</f>
        <v/>
      </c>
      <c r="K138" s="58">
        <f>IF(K2&gt;=Assumptions!$B$54,INDEX(Assumptions!$B$159:$B$165,K5)*Assumptions!$B$166,0)</f>
        <v/>
      </c>
      <c r="L138" s="58">
        <f>IF(L2&gt;=Assumptions!$B$54,INDEX(Assumptions!$B$159:$B$165,L5)*Assumptions!$B$166,0)</f>
        <v/>
      </c>
      <c r="M138" s="58">
        <f>IF(M2&gt;=Assumptions!$B$54,INDEX(Assumptions!$B$159:$B$165,M5)*Assumptions!$B$166,0)</f>
        <v/>
      </c>
      <c r="N138" s="58">
        <f>IF(N2&gt;=Assumptions!$B$54,INDEX(Assumptions!$B$159:$B$165,N5)*Assumptions!$B$166,0)</f>
        <v/>
      </c>
      <c r="O138" s="58">
        <f>IF(O2&gt;=Assumptions!$B$54,INDEX(Assumptions!$B$159:$B$165,O5)*Assumptions!$B$166,0)</f>
        <v/>
      </c>
      <c r="P138" s="58">
        <f>IF(P2&gt;=Assumptions!$B$54,INDEX(Assumptions!$B$159:$B$165,P5)*Assumptions!$B$166,0)</f>
        <v/>
      </c>
      <c r="Q138" s="58">
        <f>IF(Q2&gt;=Assumptions!$B$54,INDEX(Assumptions!$B$159:$B$165,Q5)*Assumptions!$B$166,0)</f>
        <v/>
      </c>
      <c r="R138" s="58">
        <f>IF(R2&gt;=Assumptions!$B$54,INDEX(Assumptions!$B$159:$B$165,R5)*Assumptions!$B$166,0)</f>
        <v/>
      </c>
      <c r="S138" s="58">
        <f>IF(S2&gt;=Assumptions!$B$54,INDEX(Assumptions!$B$159:$B$165,S5)*Assumptions!$B$166,0)</f>
        <v/>
      </c>
      <c r="T138" s="58">
        <f>IF(T2&gt;=Assumptions!$B$54,INDEX(Assumptions!$B$159:$B$165,T5)*Assumptions!$B$166,0)</f>
        <v/>
      </c>
      <c r="U138" s="58">
        <f>IF(U2&gt;=Assumptions!$B$54,INDEX(Assumptions!$B$159:$B$165,U5)*Assumptions!$B$166,0)</f>
        <v/>
      </c>
      <c r="V138" s="58">
        <f>IF(V2&gt;=Assumptions!$B$54,INDEX(Assumptions!$B$159:$B$165,V5)*Assumptions!$B$166,0)</f>
        <v/>
      </c>
      <c r="W138" s="58">
        <f>IF(W2&gt;=Assumptions!$B$54,INDEX(Assumptions!$B$159:$B$165,W5)*Assumptions!$B$166,0)</f>
        <v/>
      </c>
      <c r="X138" s="58">
        <f>IF(X2&gt;=Assumptions!$B$54,INDEX(Assumptions!$B$159:$B$165,X5)*Assumptions!$B$166,0)</f>
        <v/>
      </c>
      <c r="Y138" s="58">
        <f>IF(Y2&gt;=Assumptions!$B$54,INDEX(Assumptions!$B$159:$B$165,Y5)*Assumptions!$B$166,0)</f>
        <v/>
      </c>
      <c r="Z138" s="58">
        <f>IF(Z2&gt;=Assumptions!$B$54,INDEX(Assumptions!$B$159:$B$165,Z5)*Assumptions!$B$166,0)</f>
        <v/>
      </c>
      <c r="AA138" s="58">
        <f>IF(AA2&gt;=Assumptions!$B$54,INDEX(Assumptions!$B$159:$B$165,AA5)*Assumptions!$B$166,0)</f>
        <v/>
      </c>
      <c r="AB138" s="58">
        <f>IF(AB2&gt;=Assumptions!$B$54,INDEX(Assumptions!$B$159:$B$165,AB5)*Assumptions!$B$166,0)</f>
        <v/>
      </c>
      <c r="AC138" s="58">
        <f>IF(AC2&gt;=Assumptions!$B$54,INDEX(Assumptions!$B$159:$B$165,AC5)*Assumptions!$B$166,0)</f>
        <v/>
      </c>
      <c r="AD138" s="58">
        <f>IF(AD2&gt;=Assumptions!$B$54,INDEX(Assumptions!$B$159:$B$165,AD5)*Assumptions!$B$166,0)</f>
        <v/>
      </c>
      <c r="AE138" s="58">
        <f>IF(AE2&gt;=Assumptions!$B$54,INDEX(Assumptions!$B$159:$B$165,AE5)*Assumptions!$B$166,0)</f>
        <v/>
      </c>
    </row>
    <row r="139">
      <c r="A139" s="6" t="inlineStr">
        <is>
          <t>Stream 6 - B2B platform fee</t>
        </is>
      </c>
      <c r="B139" s="23" t="inlineStr">
        <is>
          <t>USD</t>
        </is>
      </c>
      <c r="C139" s="57">
        <f>C138*Assumptions!$B$26*C7/12</f>
        <v/>
      </c>
      <c r="D139" s="57">
        <f>D138*Assumptions!$B$26*D7/12</f>
        <v/>
      </c>
      <c r="E139" s="57">
        <f>E138*Assumptions!$B$26*E7/12</f>
        <v/>
      </c>
      <c r="F139" s="57">
        <f>F138*Assumptions!$B$26*F7/12</f>
        <v/>
      </c>
      <c r="G139" s="57">
        <f>G138*Assumptions!$B$26*G7/12</f>
        <v/>
      </c>
      <c r="H139" s="57">
        <f>H138*Assumptions!$B$26*H7/12</f>
        <v/>
      </c>
      <c r="I139" s="57">
        <f>I138*Assumptions!$B$26*I7/12</f>
        <v/>
      </c>
      <c r="J139" s="57">
        <f>J138*Assumptions!$B$26*J7/12</f>
        <v/>
      </c>
      <c r="K139" s="57">
        <f>K138*Assumptions!$B$26*K7/12</f>
        <v/>
      </c>
      <c r="L139" s="57">
        <f>L138*Assumptions!$B$26*L7/12</f>
        <v/>
      </c>
      <c r="M139" s="57">
        <f>M138*Assumptions!$B$26*M7/12</f>
        <v/>
      </c>
      <c r="N139" s="57">
        <f>N138*Assumptions!$B$26*N7/12</f>
        <v/>
      </c>
      <c r="O139" s="57">
        <f>O138*Assumptions!$B$26*O7/12</f>
        <v/>
      </c>
      <c r="P139" s="57">
        <f>P138*Assumptions!$B$26*P7/12</f>
        <v/>
      </c>
      <c r="Q139" s="57">
        <f>Q138*Assumptions!$B$26*Q7/12</f>
        <v/>
      </c>
      <c r="R139" s="57">
        <f>R138*Assumptions!$B$26*R7/12</f>
        <v/>
      </c>
      <c r="S139" s="57">
        <f>S138*Assumptions!$B$26*S7/12</f>
        <v/>
      </c>
      <c r="T139" s="57">
        <f>T138*Assumptions!$B$26*T7/12</f>
        <v/>
      </c>
      <c r="U139" s="57">
        <f>U138*Assumptions!$B$26*U7/12</f>
        <v/>
      </c>
      <c r="V139" s="57">
        <f>V138*Assumptions!$B$26*V7/12</f>
        <v/>
      </c>
      <c r="W139" s="57">
        <f>W138*Assumptions!$B$26*W7/12</f>
        <v/>
      </c>
      <c r="X139" s="57">
        <f>X138*Assumptions!$B$26*X7/12</f>
        <v/>
      </c>
      <c r="Y139" s="57">
        <f>Y138*Assumptions!$B$26*Y7/12</f>
        <v/>
      </c>
      <c r="Z139" s="57">
        <f>Z138*Assumptions!$B$26*Z7/12</f>
        <v/>
      </c>
      <c r="AA139" s="57">
        <f>AA138*Assumptions!$B$26*AA7/12</f>
        <v/>
      </c>
      <c r="AB139" s="57">
        <f>AB138*Assumptions!$B$26*AB7/12</f>
        <v/>
      </c>
      <c r="AC139" s="57">
        <f>AC138*Assumptions!$B$26*AC7/12</f>
        <v/>
      </c>
      <c r="AD139" s="57">
        <f>AD138*Assumptions!$B$26*AD7/12</f>
        <v/>
      </c>
      <c r="AE139" s="57">
        <f>AE138*Assumptions!$B$26*AE7/12</f>
        <v/>
      </c>
    </row>
    <row r="140">
      <c r="A140" s="9" t="inlineStr">
        <is>
          <t>Stream 6 is NOT regional: partners are institutions with their own customer books, not retail customers of a region. It is reported separately rather than allocated, because any allocation would be invented.</t>
        </is>
      </c>
    </row>
    <row r="142">
      <c r="A142" s="46" t="inlineStr">
        <is>
          <t>WHOLE-BOOK TOTALS</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3" t="inlineStr">
        <is>
          <t>PAYING CUSTOMERS</t>
        </is>
      </c>
      <c r="B143" s="23" t="inlineStr">
        <is>
          <t>-</t>
        </is>
      </c>
      <c r="C143" s="45">
        <f>C29+C67+C105</f>
        <v/>
      </c>
      <c r="D143" s="45">
        <f>D29+D67+D105</f>
        <v/>
      </c>
      <c r="E143" s="45">
        <f>E29+E67+E105</f>
        <v/>
      </c>
      <c r="F143" s="45">
        <f>F29+F67+F105</f>
        <v/>
      </c>
      <c r="G143" s="45">
        <f>G29+G67+G105</f>
        <v/>
      </c>
      <c r="H143" s="45">
        <f>H29+H67+H105</f>
        <v/>
      </c>
      <c r="I143" s="45">
        <f>I29+I67+I105</f>
        <v/>
      </c>
      <c r="J143" s="45">
        <f>J29+J67+J105</f>
        <v/>
      </c>
      <c r="K143" s="45">
        <f>K29+K67+K105</f>
        <v/>
      </c>
      <c r="L143" s="45">
        <f>L29+L67+L105</f>
        <v/>
      </c>
      <c r="M143" s="45">
        <f>M29+M67+M105</f>
        <v/>
      </c>
      <c r="N143" s="45">
        <f>N29+N67+N105</f>
        <v/>
      </c>
      <c r="O143" s="45">
        <f>O29+O67+O105</f>
        <v/>
      </c>
      <c r="P143" s="45">
        <f>P29+P67+P105</f>
        <v/>
      </c>
      <c r="Q143" s="45">
        <f>Q29+Q67+Q105</f>
        <v/>
      </c>
      <c r="R143" s="45">
        <f>R29+R67+R105</f>
        <v/>
      </c>
      <c r="S143" s="45">
        <f>S29+S67+S105</f>
        <v/>
      </c>
      <c r="T143" s="45">
        <f>T29+T67+T105</f>
        <v/>
      </c>
      <c r="U143" s="45">
        <f>U29+U67+U105</f>
        <v/>
      </c>
      <c r="V143" s="45">
        <f>V29+V67+V105</f>
        <v/>
      </c>
      <c r="W143" s="45">
        <f>W29+W67+W105</f>
        <v/>
      </c>
      <c r="X143" s="45">
        <f>X29+X67+X105</f>
        <v/>
      </c>
      <c r="Y143" s="45">
        <f>Y29+Y67+Y105</f>
        <v/>
      </c>
      <c r="Z143" s="45">
        <f>Z29+Z67+Z105</f>
        <v/>
      </c>
      <c r="AA143" s="45">
        <f>AA29+AA67+AA105</f>
        <v/>
      </c>
      <c r="AB143" s="45">
        <f>AB29+AB67+AB105</f>
        <v/>
      </c>
      <c r="AC143" s="45">
        <f>AC29+AC67+AC105</f>
        <v/>
      </c>
      <c r="AD143" s="45">
        <f>AD29+AD67+AD105</f>
        <v/>
      </c>
      <c r="AE143" s="45">
        <f>AE29+AE67+AE105</f>
        <v/>
      </c>
    </row>
    <row r="144">
      <c r="A144" s="3" t="inlineStr">
        <is>
          <t>HOLDERS (stopped paying, still hold gold)</t>
        </is>
      </c>
      <c r="B144" s="23" t="inlineStr">
        <is>
          <t>-</t>
        </is>
      </c>
      <c r="C144" s="45">
        <f>C31+C69+C107</f>
        <v/>
      </c>
      <c r="D144" s="45">
        <f>D31+D69+D107</f>
        <v/>
      </c>
      <c r="E144" s="45">
        <f>E31+E69+E107</f>
        <v/>
      </c>
      <c r="F144" s="45">
        <f>F31+F69+F107</f>
        <v/>
      </c>
      <c r="G144" s="45">
        <f>G31+G69+G107</f>
        <v/>
      </c>
      <c r="H144" s="45">
        <f>H31+H69+H107</f>
        <v/>
      </c>
      <c r="I144" s="45">
        <f>I31+I69+I107</f>
        <v/>
      </c>
      <c r="J144" s="45">
        <f>J31+J69+J107</f>
        <v/>
      </c>
      <c r="K144" s="45">
        <f>K31+K69+K107</f>
        <v/>
      </c>
      <c r="L144" s="45">
        <f>L31+L69+L107</f>
        <v/>
      </c>
      <c r="M144" s="45">
        <f>M31+M69+M107</f>
        <v/>
      </c>
      <c r="N144" s="45">
        <f>N31+N69+N107</f>
        <v/>
      </c>
      <c r="O144" s="45">
        <f>O31+O69+O107</f>
        <v/>
      </c>
      <c r="P144" s="45">
        <f>P31+P69+P107</f>
        <v/>
      </c>
      <c r="Q144" s="45">
        <f>Q31+Q69+Q107</f>
        <v/>
      </c>
      <c r="R144" s="45">
        <f>R31+R69+R107</f>
        <v/>
      </c>
      <c r="S144" s="45">
        <f>S31+S69+S107</f>
        <v/>
      </c>
      <c r="T144" s="45">
        <f>T31+T69+T107</f>
        <v/>
      </c>
      <c r="U144" s="45">
        <f>U31+U69+U107</f>
        <v/>
      </c>
      <c r="V144" s="45">
        <f>V31+V69+V107</f>
        <v/>
      </c>
      <c r="W144" s="45">
        <f>W31+W69+W107</f>
        <v/>
      </c>
      <c r="X144" s="45">
        <f>X31+X69+X107</f>
        <v/>
      </c>
      <c r="Y144" s="45">
        <f>Y31+Y69+Y107</f>
        <v/>
      </c>
      <c r="Z144" s="45">
        <f>Z31+Z69+Z107</f>
        <v/>
      </c>
      <c r="AA144" s="45">
        <f>AA31+AA69+AA107</f>
        <v/>
      </c>
      <c r="AB144" s="45">
        <f>AB31+AB69+AB107</f>
        <v/>
      </c>
      <c r="AC144" s="45">
        <f>AC31+AC69+AC107</f>
        <v/>
      </c>
      <c r="AD144" s="45">
        <f>AD31+AD69+AD107</f>
        <v/>
      </c>
      <c r="AE144" s="45">
        <f>AE31+AE69+AE107</f>
        <v/>
      </c>
    </row>
    <row r="145">
      <c r="A145" s="6" t="inlineStr">
        <is>
          <t>Cumulative ever acquired</t>
        </is>
      </c>
      <c r="B145" s="23" t="inlineStr">
        <is>
          <t>-</t>
        </is>
      </c>
      <c r="C145" s="45">
        <f>C32+C70+C108</f>
        <v/>
      </c>
      <c r="D145" s="45">
        <f>D32+D70+D108</f>
        <v/>
      </c>
      <c r="E145" s="45">
        <f>E32+E70+E108</f>
        <v/>
      </c>
      <c r="F145" s="45">
        <f>F32+F70+F108</f>
        <v/>
      </c>
      <c r="G145" s="45">
        <f>G32+G70+G108</f>
        <v/>
      </c>
      <c r="H145" s="45">
        <f>H32+H70+H108</f>
        <v/>
      </c>
      <c r="I145" s="45">
        <f>I32+I70+I108</f>
        <v/>
      </c>
      <c r="J145" s="45">
        <f>J32+J70+J108</f>
        <v/>
      </c>
      <c r="K145" s="45">
        <f>K32+K70+K108</f>
        <v/>
      </c>
      <c r="L145" s="45">
        <f>L32+L70+L108</f>
        <v/>
      </c>
      <c r="M145" s="45">
        <f>M32+M70+M108</f>
        <v/>
      </c>
      <c r="N145" s="45">
        <f>N32+N70+N108</f>
        <v/>
      </c>
      <c r="O145" s="45">
        <f>O32+O70+O108</f>
        <v/>
      </c>
      <c r="P145" s="45">
        <f>P32+P70+P108</f>
        <v/>
      </c>
      <c r="Q145" s="45">
        <f>Q32+Q70+Q108</f>
        <v/>
      </c>
      <c r="R145" s="45">
        <f>R32+R70+R108</f>
        <v/>
      </c>
      <c r="S145" s="45">
        <f>S32+S70+S108</f>
        <v/>
      </c>
      <c r="T145" s="45">
        <f>T32+T70+T108</f>
        <v/>
      </c>
      <c r="U145" s="45">
        <f>U32+U70+U108</f>
        <v/>
      </c>
      <c r="V145" s="45">
        <f>V32+V70+V108</f>
        <v/>
      </c>
      <c r="W145" s="45">
        <f>W32+W70+W108</f>
        <v/>
      </c>
      <c r="X145" s="45">
        <f>X32+X70+X108</f>
        <v/>
      </c>
      <c r="Y145" s="45">
        <f>Y32+Y70+Y108</f>
        <v/>
      </c>
      <c r="Z145" s="45">
        <f>Z32+Z70+Z108</f>
        <v/>
      </c>
      <c r="AA145" s="45">
        <f>AA32+AA70+AA108</f>
        <v/>
      </c>
      <c r="AB145" s="45">
        <f>AB32+AB70+AB108</f>
        <v/>
      </c>
      <c r="AC145" s="45">
        <f>AC32+AC70+AC108</f>
        <v/>
      </c>
      <c r="AD145" s="45">
        <f>AD32+AD70+AD108</f>
        <v/>
      </c>
      <c r="AE145" s="45">
        <f>AE32+AE70+AE108</f>
        <v/>
      </c>
    </row>
    <row r="146">
      <c r="A146" s="3" t="inlineStr">
        <is>
          <t>NEW CUSTOMERS</t>
        </is>
      </c>
      <c r="B146" s="23" t="inlineStr">
        <is>
          <t>-</t>
        </is>
      </c>
      <c r="C146" s="45">
        <f>C28+C66+C104</f>
        <v/>
      </c>
      <c r="D146" s="45">
        <f>D28+D66+D104</f>
        <v/>
      </c>
      <c r="E146" s="45">
        <f>E28+E66+E104</f>
        <v/>
      </c>
      <c r="F146" s="45">
        <f>F28+F66+F104</f>
        <v/>
      </c>
      <c r="G146" s="45">
        <f>G28+G66+G104</f>
        <v/>
      </c>
      <c r="H146" s="45">
        <f>H28+H66+H104</f>
        <v/>
      </c>
      <c r="I146" s="45">
        <f>I28+I66+I104</f>
        <v/>
      </c>
      <c r="J146" s="45">
        <f>J28+J66+J104</f>
        <v/>
      </c>
      <c r="K146" s="45">
        <f>K28+K66+K104</f>
        <v/>
      </c>
      <c r="L146" s="45">
        <f>L28+L66+L104</f>
        <v/>
      </c>
      <c r="M146" s="45">
        <f>M28+M66+M104</f>
        <v/>
      </c>
      <c r="N146" s="45">
        <f>N28+N66+N104</f>
        <v/>
      </c>
      <c r="O146" s="45">
        <f>O28+O66+O104</f>
        <v/>
      </c>
      <c r="P146" s="45">
        <f>P28+P66+P104</f>
        <v/>
      </c>
      <c r="Q146" s="45">
        <f>Q28+Q66+Q104</f>
        <v/>
      </c>
      <c r="R146" s="45">
        <f>R28+R66+R104</f>
        <v/>
      </c>
      <c r="S146" s="45">
        <f>S28+S66+S104</f>
        <v/>
      </c>
      <c r="T146" s="45">
        <f>T28+T66+T104</f>
        <v/>
      </c>
      <c r="U146" s="45">
        <f>U28+U66+U104</f>
        <v/>
      </c>
      <c r="V146" s="45">
        <f>V28+V66+V104</f>
        <v/>
      </c>
      <c r="W146" s="45">
        <f>W28+W66+W104</f>
        <v/>
      </c>
      <c r="X146" s="45">
        <f>X28+X66+X104</f>
        <v/>
      </c>
      <c r="Y146" s="45">
        <f>Y28+Y66+Y104</f>
        <v/>
      </c>
      <c r="Z146" s="45">
        <f>Z28+Z66+Z104</f>
        <v/>
      </c>
      <c r="AA146" s="45">
        <f>AA28+AA66+AA104</f>
        <v/>
      </c>
      <c r="AB146" s="45">
        <f>AB28+AB66+AB104</f>
        <v/>
      </c>
      <c r="AC146" s="45">
        <f>AC28+AC66+AC104</f>
        <v/>
      </c>
      <c r="AD146" s="45">
        <f>AD28+AD66+AD104</f>
        <v/>
      </c>
      <c r="AE146" s="45">
        <f>AE28+AE66+AE104</f>
        <v/>
      </c>
    </row>
    <row r="147">
      <c r="A147" s="3" t="inlineStr">
        <is>
          <t>ACTIVE CARDS</t>
        </is>
      </c>
      <c r="B147" s="23" t="inlineStr">
        <is>
          <t>-</t>
        </is>
      </c>
      <c r="C147" s="45">
        <f>C43+C81+C119</f>
        <v/>
      </c>
      <c r="D147" s="45">
        <f>D43+D81+D119</f>
        <v/>
      </c>
      <c r="E147" s="45">
        <f>E43+E81+E119</f>
        <v/>
      </c>
      <c r="F147" s="45">
        <f>F43+F81+F119</f>
        <v/>
      </c>
      <c r="G147" s="45">
        <f>G43+G81+G119</f>
        <v/>
      </c>
      <c r="H147" s="45">
        <f>H43+H81+H119</f>
        <v/>
      </c>
      <c r="I147" s="45">
        <f>I43+I81+I119</f>
        <v/>
      </c>
      <c r="J147" s="45">
        <f>J43+J81+J119</f>
        <v/>
      </c>
      <c r="K147" s="45">
        <f>K43+K81+K119</f>
        <v/>
      </c>
      <c r="L147" s="45">
        <f>L43+L81+L119</f>
        <v/>
      </c>
      <c r="M147" s="45">
        <f>M43+M81+M119</f>
        <v/>
      </c>
      <c r="N147" s="45">
        <f>N43+N81+N119</f>
        <v/>
      </c>
      <c r="O147" s="45">
        <f>O43+O81+O119</f>
        <v/>
      </c>
      <c r="P147" s="45">
        <f>P43+P81+P119</f>
        <v/>
      </c>
      <c r="Q147" s="45">
        <f>Q43+Q81+Q119</f>
        <v/>
      </c>
      <c r="R147" s="45">
        <f>R43+R81+R119</f>
        <v/>
      </c>
      <c r="S147" s="45">
        <f>S43+S81+S119</f>
        <v/>
      </c>
      <c r="T147" s="45">
        <f>T43+T81+T119</f>
        <v/>
      </c>
      <c r="U147" s="45">
        <f>U43+U81+U119</f>
        <v/>
      </c>
      <c r="V147" s="45">
        <f>V43+V81+V119</f>
        <v/>
      </c>
      <c r="W147" s="45">
        <f>W43+W81+W119</f>
        <v/>
      </c>
      <c r="X147" s="45">
        <f>X43+X81+X119</f>
        <v/>
      </c>
      <c r="Y147" s="45">
        <f>Y43+Y81+Y119</f>
        <v/>
      </c>
      <c r="Z147" s="45">
        <f>Z43+Z81+Z119</f>
        <v/>
      </c>
      <c r="AA147" s="45">
        <f>AA43+AA81+AA119</f>
        <v/>
      </c>
      <c r="AB147" s="45">
        <f>AB43+AB81+AB119</f>
        <v/>
      </c>
      <c r="AC147" s="45">
        <f>AC43+AC81+AC119</f>
        <v/>
      </c>
      <c r="AD147" s="45">
        <f>AD43+AD81+AD119</f>
        <v/>
      </c>
      <c r="AE147" s="45">
        <f>AE43+AE81+AE119</f>
        <v/>
      </c>
    </row>
    <row r="148">
      <c r="A148" s="6" t="inlineStr">
        <is>
          <t>GRAMS HELD</t>
        </is>
      </c>
      <c r="B148" s="23" t="inlineStr">
        <is>
          <t>-</t>
        </is>
      </c>
      <c r="C148" s="45">
        <f>C38+C76+C114</f>
        <v/>
      </c>
      <c r="D148" s="45">
        <f>D38+D76+D114</f>
        <v/>
      </c>
      <c r="E148" s="45">
        <f>E38+E76+E114</f>
        <v/>
      </c>
      <c r="F148" s="45">
        <f>F38+F76+F114</f>
        <v/>
      </c>
      <c r="G148" s="45">
        <f>G38+G76+G114</f>
        <v/>
      </c>
      <c r="H148" s="45">
        <f>H38+H76+H114</f>
        <v/>
      </c>
      <c r="I148" s="45">
        <f>I38+I76+I114</f>
        <v/>
      </c>
      <c r="J148" s="45">
        <f>J38+J76+J114</f>
        <v/>
      </c>
      <c r="K148" s="45">
        <f>K38+K76+K114</f>
        <v/>
      </c>
      <c r="L148" s="45">
        <f>L38+L76+L114</f>
        <v/>
      </c>
      <c r="M148" s="45">
        <f>M38+M76+M114</f>
        <v/>
      </c>
      <c r="N148" s="45">
        <f>N38+N76+N114</f>
        <v/>
      </c>
      <c r="O148" s="45">
        <f>O38+O76+O114</f>
        <v/>
      </c>
      <c r="P148" s="45">
        <f>P38+P76+P114</f>
        <v/>
      </c>
      <c r="Q148" s="45">
        <f>Q38+Q76+Q114</f>
        <v/>
      </c>
      <c r="R148" s="45">
        <f>R38+R76+R114</f>
        <v/>
      </c>
      <c r="S148" s="45">
        <f>S38+S76+S114</f>
        <v/>
      </c>
      <c r="T148" s="45">
        <f>T38+T76+T114</f>
        <v/>
      </c>
      <c r="U148" s="45">
        <f>U38+U76+U114</f>
        <v/>
      </c>
      <c r="V148" s="45">
        <f>V38+V76+V114</f>
        <v/>
      </c>
      <c r="W148" s="45">
        <f>W38+W76+W114</f>
        <v/>
      </c>
      <c r="X148" s="45">
        <f>X38+X76+X114</f>
        <v/>
      </c>
      <c r="Y148" s="45">
        <f>Y38+Y76+Y114</f>
        <v/>
      </c>
      <c r="Z148" s="45">
        <f>Z38+Z76+Z114</f>
        <v/>
      </c>
      <c r="AA148" s="45">
        <f>AA38+AA76+AA114</f>
        <v/>
      </c>
      <c r="AB148" s="45">
        <f>AB38+AB76+AB114</f>
        <v/>
      </c>
      <c r="AC148" s="45">
        <f>AC38+AC76+AC114</f>
        <v/>
      </c>
      <c r="AD148" s="45">
        <f>AD38+AD76+AD114</f>
        <v/>
      </c>
      <c r="AE148" s="45">
        <f>AE38+AE76+AE114</f>
        <v/>
      </c>
    </row>
    <row r="149">
      <c r="A149" s="3" t="inlineStr">
        <is>
          <t>GRAMS UNDER CUSTODY</t>
        </is>
      </c>
      <c r="B149" s="23" t="inlineStr">
        <is>
          <t>-</t>
        </is>
      </c>
      <c r="C149" s="45">
        <f>C39+C77+C115</f>
        <v/>
      </c>
      <c r="D149" s="45">
        <f>D39+D77+D115</f>
        <v/>
      </c>
      <c r="E149" s="45">
        <f>E39+E77+E115</f>
        <v/>
      </c>
      <c r="F149" s="45">
        <f>F39+F77+F115</f>
        <v/>
      </c>
      <c r="G149" s="45">
        <f>G39+G77+G115</f>
        <v/>
      </c>
      <c r="H149" s="45">
        <f>H39+H77+H115</f>
        <v/>
      </c>
      <c r="I149" s="45">
        <f>I39+I77+I115</f>
        <v/>
      </c>
      <c r="J149" s="45">
        <f>J39+J77+J115</f>
        <v/>
      </c>
      <c r="K149" s="45">
        <f>K39+K77+K115</f>
        <v/>
      </c>
      <c r="L149" s="45">
        <f>L39+L77+L115</f>
        <v/>
      </c>
      <c r="M149" s="45">
        <f>M39+M77+M115</f>
        <v/>
      </c>
      <c r="N149" s="45">
        <f>N39+N77+N115</f>
        <v/>
      </c>
      <c r="O149" s="45">
        <f>O39+O77+O115</f>
        <v/>
      </c>
      <c r="P149" s="45">
        <f>P39+P77+P115</f>
        <v/>
      </c>
      <c r="Q149" s="45">
        <f>Q39+Q77+Q115</f>
        <v/>
      </c>
      <c r="R149" s="45">
        <f>R39+R77+R115</f>
        <v/>
      </c>
      <c r="S149" s="45">
        <f>S39+S77+S115</f>
        <v/>
      </c>
      <c r="T149" s="45">
        <f>T39+T77+T115</f>
        <v/>
      </c>
      <c r="U149" s="45">
        <f>U39+U77+U115</f>
        <v/>
      </c>
      <c r="V149" s="45">
        <f>V39+V77+V115</f>
        <v/>
      </c>
      <c r="W149" s="45">
        <f>W39+W77+W115</f>
        <v/>
      </c>
      <c r="X149" s="45">
        <f>X39+X77+X115</f>
        <v/>
      </c>
      <c r="Y149" s="45">
        <f>Y39+Y77+Y115</f>
        <v/>
      </c>
      <c r="Z149" s="45">
        <f>Z39+Z77+Z115</f>
        <v/>
      </c>
      <c r="AA149" s="45">
        <f>AA39+AA77+AA115</f>
        <v/>
      </c>
      <c r="AB149" s="45">
        <f>AB39+AB77+AB115</f>
        <v/>
      </c>
      <c r="AC149" s="45">
        <f>AC39+AC77+AC115</f>
        <v/>
      </c>
      <c r="AD149" s="45">
        <f>AD39+AD77+AD115</f>
        <v/>
      </c>
      <c r="AE149" s="45">
        <f>AE39+AE77+AE115</f>
        <v/>
      </c>
    </row>
    <row r="150">
      <c r="A150" s="6" t="inlineStr">
        <is>
          <t>Grams purchased</t>
        </is>
      </c>
      <c r="B150" s="23" t="inlineStr">
        <is>
          <t>-</t>
        </is>
      </c>
      <c r="C150" s="54">
        <f>C35+C73+C111</f>
        <v/>
      </c>
      <c r="D150" s="54">
        <f>D35+D73+D111</f>
        <v/>
      </c>
      <c r="E150" s="54">
        <f>E35+E73+E111</f>
        <v/>
      </c>
      <c r="F150" s="54">
        <f>F35+F73+F111</f>
        <v/>
      </c>
      <c r="G150" s="54">
        <f>G35+G73+G111</f>
        <v/>
      </c>
      <c r="H150" s="54">
        <f>H35+H73+H111</f>
        <v/>
      </c>
      <c r="I150" s="54">
        <f>I35+I73+I111</f>
        <v/>
      </c>
      <c r="J150" s="54">
        <f>J35+J73+J111</f>
        <v/>
      </c>
      <c r="K150" s="54">
        <f>K35+K73+K111</f>
        <v/>
      </c>
      <c r="L150" s="54">
        <f>L35+L73+L111</f>
        <v/>
      </c>
      <c r="M150" s="54">
        <f>M35+M73+M111</f>
        <v/>
      </c>
      <c r="N150" s="54">
        <f>N35+N73+N111</f>
        <v/>
      </c>
      <c r="O150" s="54">
        <f>O35+O73+O111</f>
        <v/>
      </c>
      <c r="P150" s="54">
        <f>P35+P73+P111</f>
        <v/>
      </c>
      <c r="Q150" s="54">
        <f>Q35+Q73+Q111</f>
        <v/>
      </c>
      <c r="R150" s="54">
        <f>R35+R73+R111</f>
        <v/>
      </c>
      <c r="S150" s="54">
        <f>S35+S73+S111</f>
        <v/>
      </c>
      <c r="T150" s="54">
        <f>T35+T73+T111</f>
        <v/>
      </c>
      <c r="U150" s="54">
        <f>U35+U73+U111</f>
        <v/>
      </c>
      <c r="V150" s="54">
        <f>V35+V73+V111</f>
        <v/>
      </c>
      <c r="W150" s="54">
        <f>W35+W73+W111</f>
        <v/>
      </c>
      <c r="X150" s="54">
        <f>X35+X73+X111</f>
        <v/>
      </c>
      <c r="Y150" s="54">
        <f>Y35+Y73+Y111</f>
        <v/>
      </c>
      <c r="Z150" s="54">
        <f>Z35+Z73+Z111</f>
        <v/>
      </c>
      <c r="AA150" s="54">
        <f>AA35+AA73+AA111</f>
        <v/>
      </c>
      <c r="AB150" s="54">
        <f>AB35+AB73+AB111</f>
        <v/>
      </c>
      <c r="AC150" s="54">
        <f>AC35+AC73+AC111</f>
        <v/>
      </c>
      <c r="AD150" s="54">
        <f>AD35+AD73+AD111</f>
        <v/>
      </c>
      <c r="AE150" s="54">
        <f>AE35+AE73+AE111</f>
        <v/>
      </c>
    </row>
    <row r="151">
      <c r="A151" s="3" t="inlineStr">
        <is>
          <t>COLLATERAL-ELIGIBLE AUM</t>
        </is>
      </c>
      <c r="B151" s="23" t="inlineStr">
        <is>
          <t>-</t>
        </is>
      </c>
      <c r="C151" s="55">
        <f>C40+C78+C116</f>
        <v/>
      </c>
      <c r="D151" s="55">
        <f>D40+D78+D116</f>
        <v/>
      </c>
      <c r="E151" s="55">
        <f>E40+E78+E116</f>
        <v/>
      </c>
      <c r="F151" s="55">
        <f>F40+F78+F116</f>
        <v/>
      </c>
      <c r="G151" s="55">
        <f>G40+G78+G116</f>
        <v/>
      </c>
      <c r="H151" s="55">
        <f>H40+H78+H116</f>
        <v/>
      </c>
      <c r="I151" s="55">
        <f>I40+I78+I116</f>
        <v/>
      </c>
      <c r="J151" s="55">
        <f>J40+J78+J116</f>
        <v/>
      </c>
      <c r="K151" s="55">
        <f>K40+K78+K116</f>
        <v/>
      </c>
      <c r="L151" s="55">
        <f>L40+L78+L116</f>
        <v/>
      </c>
      <c r="M151" s="55">
        <f>M40+M78+M116</f>
        <v/>
      </c>
      <c r="N151" s="55">
        <f>N40+N78+N116</f>
        <v/>
      </c>
      <c r="O151" s="55">
        <f>O40+O78+O116</f>
        <v/>
      </c>
      <c r="P151" s="55">
        <f>P40+P78+P116</f>
        <v/>
      </c>
      <c r="Q151" s="55">
        <f>Q40+Q78+Q116</f>
        <v/>
      </c>
      <c r="R151" s="55">
        <f>R40+R78+R116</f>
        <v/>
      </c>
      <c r="S151" s="55">
        <f>S40+S78+S116</f>
        <v/>
      </c>
      <c r="T151" s="55">
        <f>T40+T78+T116</f>
        <v/>
      </c>
      <c r="U151" s="55">
        <f>U40+U78+U116</f>
        <v/>
      </c>
      <c r="V151" s="55">
        <f>V40+V78+V116</f>
        <v/>
      </c>
      <c r="W151" s="55">
        <f>W40+W78+W116</f>
        <v/>
      </c>
      <c r="X151" s="55">
        <f>X40+X78+X116</f>
        <v/>
      </c>
      <c r="Y151" s="55">
        <f>Y40+Y78+Y116</f>
        <v/>
      </c>
      <c r="Z151" s="55">
        <f>Z40+Z78+Z116</f>
        <v/>
      </c>
      <c r="AA151" s="55">
        <f>AA40+AA78+AA116</f>
        <v/>
      </c>
      <c r="AB151" s="55">
        <f>AB40+AB78+AB116</f>
        <v/>
      </c>
      <c r="AC151" s="55">
        <f>AC40+AC78+AC116</f>
        <v/>
      </c>
      <c r="AD151" s="55">
        <f>AD40+AD78+AD116</f>
        <v/>
      </c>
      <c r="AE151" s="55">
        <f>AE40+AE78+AE116</f>
        <v/>
      </c>
    </row>
    <row r="152">
      <c r="A152" s="6" t="inlineStr">
        <is>
          <t>Cleared the six-payment gate</t>
        </is>
      </c>
      <c r="B152" s="23" t="inlineStr">
        <is>
          <t>-</t>
        </is>
      </c>
      <c r="C152" s="45">
        <f>C42+C80+C118</f>
        <v/>
      </c>
      <c r="D152" s="45">
        <f>D42+D80+D118</f>
        <v/>
      </c>
      <c r="E152" s="45">
        <f>E42+E80+E118</f>
        <v/>
      </c>
      <c r="F152" s="45">
        <f>F42+F80+F118</f>
        <v/>
      </c>
      <c r="G152" s="45">
        <f>G42+G80+G118</f>
        <v/>
      </c>
      <c r="H152" s="45">
        <f>H42+H80+H118</f>
        <v/>
      </c>
      <c r="I152" s="45">
        <f>I42+I80+I118</f>
        <v/>
      </c>
      <c r="J152" s="45">
        <f>J42+J80+J118</f>
        <v/>
      </c>
      <c r="K152" s="45">
        <f>K42+K80+K118</f>
        <v/>
      </c>
      <c r="L152" s="45">
        <f>L42+L80+L118</f>
        <v/>
      </c>
      <c r="M152" s="45">
        <f>M42+M80+M118</f>
        <v/>
      </c>
      <c r="N152" s="45">
        <f>N42+N80+N118</f>
        <v/>
      </c>
      <c r="O152" s="45">
        <f>O42+O80+O118</f>
        <v/>
      </c>
      <c r="P152" s="45">
        <f>P42+P80+P118</f>
        <v/>
      </c>
      <c r="Q152" s="45">
        <f>Q42+Q80+Q118</f>
        <v/>
      </c>
      <c r="R152" s="45">
        <f>R42+R80+R118</f>
        <v/>
      </c>
      <c r="S152" s="45">
        <f>S42+S80+S118</f>
        <v/>
      </c>
      <c r="T152" s="45">
        <f>T42+T80+T118</f>
        <v/>
      </c>
      <c r="U152" s="45">
        <f>U42+U80+U118</f>
        <v/>
      </c>
      <c r="V152" s="45">
        <f>V42+V80+V118</f>
        <v/>
      </c>
      <c r="W152" s="45">
        <f>W42+W80+W118</f>
        <v/>
      </c>
      <c r="X152" s="45">
        <f>X42+X80+X118</f>
        <v/>
      </c>
      <c r="Y152" s="45">
        <f>Y42+Y80+Y118</f>
        <v/>
      </c>
      <c r="Z152" s="45">
        <f>Z42+Z80+Z118</f>
        <v/>
      </c>
      <c r="AA152" s="45">
        <f>AA42+AA80+AA118</f>
        <v/>
      </c>
      <c r="AB152" s="45">
        <f>AB42+AB80+AB118</f>
        <v/>
      </c>
      <c r="AC152" s="45">
        <f>AC42+AC80+AC118</f>
        <v/>
      </c>
      <c r="AD152" s="45">
        <f>AD42+AD80+AD118</f>
        <v/>
      </c>
      <c r="AE152" s="45">
        <f>AE42+AE80+AE118</f>
        <v/>
      </c>
    </row>
    <row r="153">
      <c r="A153" s="6" t="inlineStr">
        <is>
          <t>SIP contributions</t>
        </is>
      </c>
      <c r="B153" s="23" t="inlineStr">
        <is>
          <t>-</t>
        </is>
      </c>
      <c r="C153" s="55">
        <f>C33+C71+C109</f>
        <v/>
      </c>
      <c r="D153" s="55">
        <f>D33+D71+D109</f>
        <v/>
      </c>
      <c r="E153" s="55">
        <f>E33+E71+E109</f>
        <v/>
      </c>
      <c r="F153" s="55">
        <f>F33+F71+F109</f>
        <v/>
      </c>
      <c r="G153" s="55">
        <f>G33+G71+G109</f>
        <v/>
      </c>
      <c r="H153" s="55">
        <f>H33+H71+H109</f>
        <v/>
      </c>
      <c r="I153" s="55">
        <f>I33+I71+I109</f>
        <v/>
      </c>
      <c r="J153" s="55">
        <f>J33+J71+J109</f>
        <v/>
      </c>
      <c r="K153" s="55">
        <f>K33+K71+K109</f>
        <v/>
      </c>
      <c r="L153" s="55">
        <f>L33+L71+L109</f>
        <v/>
      </c>
      <c r="M153" s="55">
        <f>M33+M71+M109</f>
        <v/>
      </c>
      <c r="N153" s="55">
        <f>N33+N71+N109</f>
        <v/>
      </c>
      <c r="O153" s="55">
        <f>O33+O71+O109</f>
        <v/>
      </c>
      <c r="P153" s="55">
        <f>P33+P71+P109</f>
        <v/>
      </c>
      <c r="Q153" s="55">
        <f>Q33+Q71+Q109</f>
        <v/>
      </c>
      <c r="R153" s="55">
        <f>R33+R71+R109</f>
        <v/>
      </c>
      <c r="S153" s="55">
        <f>S33+S71+S109</f>
        <v/>
      </c>
      <c r="T153" s="55">
        <f>T33+T71+T109</f>
        <v/>
      </c>
      <c r="U153" s="55">
        <f>U33+U71+U109</f>
        <v/>
      </c>
      <c r="V153" s="55">
        <f>V33+V71+V109</f>
        <v/>
      </c>
      <c r="W153" s="55">
        <f>W33+W71+W109</f>
        <v/>
      </c>
      <c r="X153" s="55">
        <f>X33+X71+X109</f>
        <v/>
      </c>
      <c r="Y153" s="55">
        <f>Y33+Y71+Y109</f>
        <v/>
      </c>
      <c r="Z153" s="55">
        <f>Z33+Z71+Z109</f>
        <v/>
      </c>
      <c r="AA153" s="55">
        <f>AA33+AA71+AA109</f>
        <v/>
      </c>
      <c r="AB153" s="55">
        <f>AB33+AB71+AB109</f>
        <v/>
      </c>
      <c r="AC153" s="55">
        <f>AC33+AC71+AC109</f>
        <v/>
      </c>
      <c r="AD153" s="55">
        <f>AD33+AD71+AD109</f>
        <v/>
      </c>
      <c r="AE153" s="55">
        <f>AE33+AE71+AE109</f>
        <v/>
      </c>
    </row>
    <row r="154">
      <c r="A154" s="6" t="inlineStr">
        <is>
          <t>Spot purchase volume</t>
        </is>
      </c>
      <c r="B154" s="23" t="inlineStr">
        <is>
          <t>-</t>
        </is>
      </c>
      <c r="C154" s="55">
        <f>C34+C72+C110</f>
        <v/>
      </c>
      <c r="D154" s="55">
        <f>D34+D72+D110</f>
        <v/>
      </c>
      <c r="E154" s="55">
        <f>E34+E72+E110</f>
        <v/>
      </c>
      <c r="F154" s="55">
        <f>F34+F72+F110</f>
        <v/>
      </c>
      <c r="G154" s="55">
        <f>G34+G72+G110</f>
        <v/>
      </c>
      <c r="H154" s="55">
        <f>H34+H72+H110</f>
        <v/>
      </c>
      <c r="I154" s="55">
        <f>I34+I72+I110</f>
        <v/>
      </c>
      <c r="J154" s="55">
        <f>J34+J72+J110</f>
        <v/>
      </c>
      <c r="K154" s="55">
        <f>K34+K72+K110</f>
        <v/>
      </c>
      <c r="L154" s="55">
        <f>L34+L72+L110</f>
        <v/>
      </c>
      <c r="M154" s="55">
        <f>M34+M72+M110</f>
        <v/>
      </c>
      <c r="N154" s="55">
        <f>N34+N72+N110</f>
        <v/>
      </c>
      <c r="O154" s="55">
        <f>O34+O72+O110</f>
        <v/>
      </c>
      <c r="P154" s="55">
        <f>P34+P72+P110</f>
        <v/>
      </c>
      <c r="Q154" s="55">
        <f>Q34+Q72+Q110</f>
        <v/>
      </c>
      <c r="R154" s="55">
        <f>R34+R72+R110</f>
        <v/>
      </c>
      <c r="S154" s="55">
        <f>S34+S72+S110</f>
        <v/>
      </c>
      <c r="T154" s="55">
        <f>T34+T72+T110</f>
        <v/>
      </c>
      <c r="U154" s="55">
        <f>U34+U72+U110</f>
        <v/>
      </c>
      <c r="V154" s="55">
        <f>V34+V72+V110</f>
        <v/>
      </c>
      <c r="W154" s="55">
        <f>W34+W72+W110</f>
        <v/>
      </c>
      <c r="X154" s="55">
        <f>X34+X72+X110</f>
        <v/>
      </c>
      <c r="Y154" s="55">
        <f>Y34+Y72+Y110</f>
        <v/>
      </c>
      <c r="Z154" s="55">
        <f>Z34+Z72+Z110</f>
        <v/>
      </c>
      <c r="AA154" s="55">
        <f>AA34+AA72+AA110</f>
        <v/>
      </c>
      <c r="AB154" s="55">
        <f>AB34+AB72+AB110</f>
        <v/>
      </c>
      <c r="AC154" s="55">
        <f>AC34+AC72+AC110</f>
        <v/>
      </c>
      <c r="AD154" s="55">
        <f>AD34+AD72+AD110</f>
        <v/>
      </c>
      <c r="AE154" s="55">
        <f>AE34+AE72+AE110</f>
        <v/>
      </c>
    </row>
    <row r="155">
      <c r="A155" s="6" t="inlineStr">
        <is>
          <t>Card spend</t>
        </is>
      </c>
      <c r="B155" s="23" t="inlineStr">
        <is>
          <t>-</t>
        </is>
      </c>
      <c r="C155" s="55">
        <f>C48+C86+C124</f>
        <v/>
      </c>
      <c r="D155" s="55">
        <f>D48+D86+D124</f>
        <v/>
      </c>
      <c r="E155" s="55">
        <f>E48+E86+E124</f>
        <v/>
      </c>
      <c r="F155" s="55">
        <f>F48+F86+F124</f>
        <v/>
      </c>
      <c r="G155" s="55">
        <f>G48+G86+G124</f>
        <v/>
      </c>
      <c r="H155" s="55">
        <f>H48+H86+H124</f>
        <v/>
      </c>
      <c r="I155" s="55">
        <f>I48+I86+I124</f>
        <v/>
      </c>
      <c r="J155" s="55">
        <f>J48+J86+J124</f>
        <v/>
      </c>
      <c r="K155" s="55">
        <f>K48+K86+K124</f>
        <v/>
      </c>
      <c r="L155" s="55">
        <f>L48+L86+L124</f>
        <v/>
      </c>
      <c r="M155" s="55">
        <f>M48+M86+M124</f>
        <v/>
      </c>
      <c r="N155" s="55">
        <f>N48+N86+N124</f>
        <v/>
      </c>
      <c r="O155" s="55">
        <f>O48+O86+O124</f>
        <v/>
      </c>
      <c r="P155" s="55">
        <f>P48+P86+P124</f>
        <v/>
      </c>
      <c r="Q155" s="55">
        <f>Q48+Q86+Q124</f>
        <v/>
      </c>
      <c r="R155" s="55">
        <f>R48+R86+R124</f>
        <v/>
      </c>
      <c r="S155" s="55">
        <f>S48+S86+S124</f>
        <v/>
      </c>
      <c r="T155" s="55">
        <f>T48+T86+T124</f>
        <v/>
      </c>
      <c r="U155" s="55">
        <f>U48+U86+U124</f>
        <v/>
      </c>
      <c r="V155" s="55">
        <f>V48+V86+V124</f>
        <v/>
      </c>
      <c r="W155" s="55">
        <f>W48+W86+W124</f>
        <v/>
      </c>
      <c r="X155" s="55">
        <f>X48+X86+X124</f>
        <v/>
      </c>
      <c r="Y155" s="55">
        <f>Y48+Y86+Y124</f>
        <v/>
      </c>
      <c r="Z155" s="55">
        <f>Z48+Z86+Z124</f>
        <v/>
      </c>
      <c r="AA155" s="55">
        <f>AA48+AA86+AA124</f>
        <v/>
      </c>
      <c r="AB155" s="55">
        <f>AB48+AB86+AB124</f>
        <v/>
      </c>
      <c r="AC155" s="55">
        <f>AC48+AC86+AC124</f>
        <v/>
      </c>
      <c r="AD155" s="55">
        <f>AD48+AD86+AD124</f>
        <v/>
      </c>
      <c r="AE155" s="55">
        <f>AE48+AE86+AE124</f>
        <v/>
      </c>
    </row>
    <row r="156">
      <c r="A156" s="6" t="inlineStr">
        <is>
          <t>GOLD UNDER CUSTODY (comparable headline)</t>
        </is>
      </c>
      <c r="B156" s="23" t="inlineStr">
        <is>
          <t>USD</t>
        </is>
      </c>
      <c r="C156" s="57">
        <f>C149*Assumptions!$B$6</f>
        <v/>
      </c>
      <c r="D156" s="57">
        <f>D149*Assumptions!$B$6</f>
        <v/>
      </c>
      <c r="E156" s="57">
        <f>E149*Assumptions!$B$6</f>
        <v/>
      </c>
      <c r="F156" s="57">
        <f>F149*Assumptions!$B$6</f>
        <v/>
      </c>
      <c r="G156" s="57">
        <f>G149*Assumptions!$B$6</f>
        <v/>
      </c>
      <c r="H156" s="57">
        <f>H149*Assumptions!$B$6</f>
        <v/>
      </c>
      <c r="I156" s="57">
        <f>I149*Assumptions!$B$6</f>
        <v/>
      </c>
      <c r="J156" s="57">
        <f>J149*Assumptions!$B$6</f>
        <v/>
      </c>
      <c r="K156" s="57">
        <f>K149*Assumptions!$B$6</f>
        <v/>
      </c>
      <c r="L156" s="57">
        <f>L149*Assumptions!$B$6</f>
        <v/>
      </c>
      <c r="M156" s="57">
        <f>M149*Assumptions!$B$6</f>
        <v/>
      </c>
      <c r="N156" s="57">
        <f>N149*Assumptions!$B$6</f>
        <v/>
      </c>
      <c r="O156" s="57">
        <f>O149*Assumptions!$B$6</f>
        <v/>
      </c>
      <c r="P156" s="57">
        <f>P149*Assumptions!$B$6</f>
        <v/>
      </c>
      <c r="Q156" s="57">
        <f>Q149*Assumptions!$B$6</f>
        <v/>
      </c>
      <c r="R156" s="57">
        <f>R149*Assumptions!$B$6</f>
        <v/>
      </c>
      <c r="S156" s="57">
        <f>S149*Assumptions!$B$6</f>
        <v/>
      </c>
      <c r="T156" s="57">
        <f>T149*Assumptions!$B$6</f>
        <v/>
      </c>
      <c r="U156" s="57">
        <f>U149*Assumptions!$B$6</f>
        <v/>
      </c>
      <c r="V156" s="57">
        <f>V149*Assumptions!$B$6</f>
        <v/>
      </c>
      <c r="W156" s="57">
        <f>W149*Assumptions!$B$6</f>
        <v/>
      </c>
      <c r="X156" s="57">
        <f>X149*Assumptions!$B$6</f>
        <v/>
      </c>
      <c r="Y156" s="57">
        <f>Y149*Assumptions!$B$6</f>
        <v/>
      </c>
      <c r="Z156" s="57">
        <f>Z149*Assumptions!$B$6</f>
        <v/>
      </c>
      <c r="AA156" s="57">
        <f>AA149*Assumptions!$B$6</f>
        <v/>
      </c>
      <c r="AB156" s="57">
        <f>AB149*Assumptions!$B$6</f>
        <v/>
      </c>
      <c r="AC156" s="57">
        <f>AC149*Assumptions!$B$6</f>
        <v/>
      </c>
      <c r="AD156" s="57">
        <f>AD149*Assumptions!$B$6</f>
        <v/>
      </c>
      <c r="AE156" s="57">
        <f>AE149*Assumptions!$B$6</f>
        <v/>
      </c>
    </row>
    <row r="157">
      <c r="A157"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58">
      <c r="A158" s="6" t="inlineStr">
        <is>
          <t>CHECK: paying + holders = cumulative ever acquired</t>
        </is>
      </c>
      <c r="B158" s="23" t="inlineStr">
        <is>
          <t>delta</t>
        </is>
      </c>
      <c r="C158" s="59">
        <f>C143+C144-C145</f>
        <v/>
      </c>
      <c r="D158" s="59">
        <f>D143+D144-D145</f>
        <v/>
      </c>
      <c r="E158" s="59">
        <f>E143+E144-E145</f>
        <v/>
      </c>
      <c r="F158" s="59">
        <f>F143+F144-F145</f>
        <v/>
      </c>
      <c r="G158" s="59">
        <f>G143+G144-G145</f>
        <v/>
      </c>
      <c r="H158" s="59">
        <f>H143+H144-H145</f>
        <v/>
      </c>
      <c r="I158" s="59">
        <f>I143+I144-I145</f>
        <v/>
      </c>
      <c r="J158" s="59">
        <f>J143+J144-J145</f>
        <v/>
      </c>
      <c r="K158" s="59">
        <f>K143+K144-K145</f>
        <v/>
      </c>
      <c r="L158" s="59">
        <f>L143+L144-L145</f>
        <v/>
      </c>
      <c r="M158" s="59">
        <f>M143+M144-M145</f>
        <v/>
      </c>
      <c r="N158" s="59">
        <f>N143+N144-N145</f>
        <v/>
      </c>
      <c r="O158" s="59">
        <f>O143+O144-O145</f>
        <v/>
      </c>
      <c r="P158" s="59">
        <f>P143+P144-P145</f>
        <v/>
      </c>
      <c r="Q158" s="59">
        <f>Q143+Q144-Q145</f>
        <v/>
      </c>
      <c r="R158" s="59">
        <f>R143+R144-R145</f>
        <v/>
      </c>
      <c r="S158" s="59">
        <f>S143+S144-S145</f>
        <v/>
      </c>
      <c r="T158" s="59">
        <f>T143+T144-T145</f>
        <v/>
      </c>
      <c r="U158" s="59">
        <f>U143+U144-U145</f>
        <v/>
      </c>
      <c r="V158" s="59">
        <f>V143+V144-V145</f>
        <v/>
      </c>
      <c r="W158" s="59">
        <f>W143+W144-W145</f>
        <v/>
      </c>
      <c r="X158" s="59">
        <f>X143+X144-X145</f>
        <v/>
      </c>
      <c r="Y158" s="59">
        <f>Y143+Y144-Y145</f>
        <v/>
      </c>
      <c r="Z158" s="59">
        <f>Z143+Z144-Z145</f>
        <v/>
      </c>
      <c r="AA158" s="59">
        <f>AA143+AA144-AA145</f>
        <v/>
      </c>
      <c r="AB158" s="59">
        <f>AB143+AB144-AB145</f>
        <v/>
      </c>
      <c r="AC158" s="59">
        <f>AC143+AC144-AC145</f>
        <v/>
      </c>
      <c r="AD158" s="59">
        <f>AD143+AD144-AD145</f>
        <v/>
      </c>
      <c r="AE158" s="59">
        <f>AE143+AE144-AE145</f>
        <v/>
      </c>
    </row>
    <row r="159">
      <c r="A159" s="6" t="inlineStr">
        <is>
          <t>CHECK: custody &gt;= collateral-eligible (must be &gt;= 0)</t>
        </is>
      </c>
      <c r="B159" s="23" t="inlineStr">
        <is>
          <t>grams</t>
        </is>
      </c>
      <c r="C159" s="59">
        <f>C149-C148</f>
        <v/>
      </c>
      <c r="D159" s="59">
        <f>D149-D148</f>
        <v/>
      </c>
      <c r="E159" s="59">
        <f>E149-E148</f>
        <v/>
      </c>
      <c r="F159" s="59">
        <f>F149-F148</f>
        <v/>
      </c>
      <c r="G159" s="59">
        <f>G149-G148</f>
        <v/>
      </c>
      <c r="H159" s="59">
        <f>H149-H148</f>
        <v/>
      </c>
      <c r="I159" s="59">
        <f>I149-I148</f>
        <v/>
      </c>
      <c r="J159" s="59">
        <f>J149-J148</f>
        <v/>
      </c>
      <c r="K159" s="59">
        <f>K149-K148</f>
        <v/>
      </c>
      <c r="L159" s="59">
        <f>L149-L148</f>
        <v/>
      </c>
      <c r="M159" s="59">
        <f>M149-M148</f>
        <v/>
      </c>
      <c r="N159" s="59">
        <f>N149-N148</f>
        <v/>
      </c>
      <c r="O159" s="59">
        <f>O149-O148</f>
        <v/>
      </c>
      <c r="P159" s="59">
        <f>P149-P148</f>
        <v/>
      </c>
      <c r="Q159" s="59">
        <f>Q149-Q148</f>
        <v/>
      </c>
      <c r="R159" s="59">
        <f>R149-R148</f>
        <v/>
      </c>
      <c r="S159" s="59">
        <f>S149-S148</f>
        <v/>
      </c>
      <c r="T159" s="59">
        <f>T149-T148</f>
        <v/>
      </c>
      <c r="U159" s="59">
        <f>U149-U148</f>
        <v/>
      </c>
      <c r="V159" s="59">
        <f>V149-V148</f>
        <v/>
      </c>
      <c r="W159" s="59">
        <f>W149-W148</f>
        <v/>
      </c>
      <c r="X159" s="59">
        <f>X149-X148</f>
        <v/>
      </c>
      <c r="Y159" s="59">
        <f>Y149-Y148</f>
        <v/>
      </c>
      <c r="Z159" s="59">
        <f>Z149-Z148</f>
        <v/>
      </c>
      <c r="AA159" s="59">
        <f>AA149-AA148</f>
        <v/>
      </c>
      <c r="AB159" s="59">
        <f>AB149-AB148</f>
        <v/>
      </c>
      <c r="AC159" s="59">
        <f>AC149-AC148</f>
        <v/>
      </c>
      <c r="AD159" s="59">
        <f>AD149-AD148</f>
        <v/>
      </c>
      <c r="AE159" s="59">
        <f>AE149-AE148</f>
        <v/>
      </c>
    </row>
    <row r="160">
      <c r="A160" s="6" t="inlineStr">
        <is>
          <t xml:space="preserve">  Collateral-eligible AUM per paying customer (memo)</t>
        </is>
      </c>
      <c r="B160" s="23" t="inlineStr">
        <is>
          <t>USD</t>
        </is>
      </c>
      <c r="C160" s="55">
        <f>IF(C143=0,0,C151/C143)</f>
        <v/>
      </c>
      <c r="D160" s="55">
        <f>IF(D143=0,0,D151/D143)</f>
        <v/>
      </c>
      <c r="E160" s="55">
        <f>IF(E143=0,0,E151/E143)</f>
        <v/>
      </c>
      <c r="F160" s="55">
        <f>IF(F143=0,0,F151/F143)</f>
        <v/>
      </c>
      <c r="G160" s="55">
        <f>IF(G143=0,0,G151/G143)</f>
        <v/>
      </c>
      <c r="H160" s="55">
        <f>IF(H143=0,0,H151/H143)</f>
        <v/>
      </c>
      <c r="I160" s="55">
        <f>IF(I143=0,0,I151/I143)</f>
        <v/>
      </c>
      <c r="J160" s="55">
        <f>IF(J143=0,0,J151/J143)</f>
        <v/>
      </c>
      <c r="K160" s="55">
        <f>IF(K143=0,0,K151/K143)</f>
        <v/>
      </c>
      <c r="L160" s="55">
        <f>IF(L143=0,0,L151/L143)</f>
        <v/>
      </c>
      <c r="M160" s="55">
        <f>IF(M143=0,0,M151/M143)</f>
        <v/>
      </c>
      <c r="N160" s="55">
        <f>IF(N143=0,0,N151/N143)</f>
        <v/>
      </c>
      <c r="O160" s="55">
        <f>IF(O143=0,0,O151/O143)</f>
        <v/>
      </c>
      <c r="P160" s="55">
        <f>IF(P143=0,0,P151/P143)</f>
        <v/>
      </c>
      <c r="Q160" s="55">
        <f>IF(Q143=0,0,Q151/Q143)</f>
        <v/>
      </c>
      <c r="R160" s="55">
        <f>IF(R143=0,0,R151/R143)</f>
        <v/>
      </c>
      <c r="S160" s="55">
        <f>IF(S143=0,0,S151/S143)</f>
        <v/>
      </c>
      <c r="T160" s="55">
        <f>IF(T143=0,0,T151/T143)</f>
        <v/>
      </c>
      <c r="U160" s="55">
        <f>IF(U143=0,0,U151/U143)</f>
        <v/>
      </c>
      <c r="V160" s="55">
        <f>IF(V143=0,0,V151/V143)</f>
        <v/>
      </c>
      <c r="W160" s="55">
        <f>IF(W143=0,0,W151/W143)</f>
        <v/>
      </c>
      <c r="X160" s="55">
        <f>IF(X143=0,0,X151/X143)</f>
        <v/>
      </c>
      <c r="Y160" s="55">
        <f>IF(Y143=0,0,Y151/Y143)</f>
        <v/>
      </c>
      <c r="Z160" s="55">
        <f>IF(Z143=0,0,Z151/Z143)</f>
        <v/>
      </c>
      <c r="AA160" s="55">
        <f>IF(AA143=0,0,AA151/AA143)</f>
        <v/>
      </c>
      <c r="AB160" s="55">
        <f>IF(AB143=0,0,AB151/AB143)</f>
        <v/>
      </c>
      <c r="AC160" s="55">
        <f>IF(AC143=0,0,AC151/AC143)</f>
        <v/>
      </c>
      <c r="AD160" s="55">
        <f>IF(AD143=0,0,AD151/AD143)</f>
        <v/>
      </c>
      <c r="AE160" s="55">
        <f>IF(AE143=0,0,AE151/AE143)</f>
        <v/>
      </c>
    </row>
    <row r="161">
      <c r="A161" s="6" t="inlineStr">
        <is>
          <t xml:space="preserve">  Total credit capacity across cardholders (memo)</t>
        </is>
      </c>
      <c r="B161" s="23" t="inlineStr">
        <is>
          <t>USD</t>
        </is>
      </c>
      <c r="C161" s="55">
        <f>C43*C44+C81*C82+C119*C120</f>
        <v/>
      </c>
      <c r="D161" s="55">
        <f>D43*D44+D81*D82+D119*D120</f>
        <v/>
      </c>
      <c r="E161" s="55">
        <f>E43*E44+E81*E82+E119*E120</f>
        <v/>
      </c>
      <c r="F161" s="55">
        <f>F43*F44+F81*F82+F119*F120</f>
        <v/>
      </c>
      <c r="G161" s="55">
        <f>G43*G44+G81*G82+G119*G120</f>
        <v/>
      </c>
      <c r="H161" s="55">
        <f>H43*H44+H81*H82+H119*H120</f>
        <v/>
      </c>
      <c r="I161" s="55">
        <f>I43*I44+I81*I82+I119*I120</f>
        <v/>
      </c>
      <c r="J161" s="55">
        <f>J43*J44+J81*J82+J119*J120</f>
        <v/>
      </c>
      <c r="K161" s="55">
        <f>K43*K44+K81*K82+K119*K120</f>
        <v/>
      </c>
      <c r="L161" s="55">
        <f>L43*L44+L81*L82+L119*L120</f>
        <v/>
      </c>
      <c r="M161" s="55">
        <f>M43*M44+M81*M82+M119*M120</f>
        <v/>
      </c>
      <c r="N161" s="55">
        <f>N43*N44+N81*N82+N119*N120</f>
        <v/>
      </c>
      <c r="O161" s="55">
        <f>O43*O44+O81*O82+O119*O120</f>
        <v/>
      </c>
      <c r="P161" s="55">
        <f>P43*P44+P81*P82+P119*P120</f>
        <v/>
      </c>
      <c r="Q161" s="55">
        <f>Q43*Q44+Q81*Q82+Q119*Q120</f>
        <v/>
      </c>
      <c r="R161" s="55">
        <f>R43*R44+R81*R82+R119*R120</f>
        <v/>
      </c>
      <c r="S161" s="55">
        <f>S43*S44+S81*S82+S119*S120</f>
        <v/>
      </c>
      <c r="T161" s="55">
        <f>T43*T44+T81*T82+T119*T120</f>
        <v/>
      </c>
      <c r="U161" s="55">
        <f>U43*U44+U81*U82+U119*U120</f>
        <v/>
      </c>
      <c r="V161" s="55">
        <f>V43*V44+V81*V82+V119*V120</f>
        <v/>
      </c>
      <c r="W161" s="55">
        <f>W43*W44+W81*W82+W119*W120</f>
        <v/>
      </c>
      <c r="X161" s="55">
        <f>X43*X44+X81*X82+X119*X120</f>
        <v/>
      </c>
      <c r="Y161" s="55">
        <f>Y43*Y44+Y81*Y82+Y119*Y120</f>
        <v/>
      </c>
      <c r="Z161" s="55">
        <f>Z43*Z44+Z81*Z82+Z119*Z120</f>
        <v/>
      </c>
      <c r="AA161" s="55">
        <f>AA43*AA44+AA81*AA82+AA119*AA120</f>
        <v/>
      </c>
      <c r="AB161" s="55">
        <f>AB43*AB44+AB81*AB82+AB119*AB120</f>
        <v/>
      </c>
      <c r="AC161" s="55">
        <f>AC43*AC44+AC81*AC82+AC119*AC120</f>
        <v/>
      </c>
      <c r="AD161" s="55">
        <f>AD43*AD44+AD81*AD82+AD119*AD120</f>
        <v/>
      </c>
      <c r="AE161" s="55">
        <f>AE43*AE44+AE81*AE82+AE119*AE120</f>
        <v/>
      </c>
    </row>
    <row r="162">
      <c r="A162" s="6" t="inlineStr">
        <is>
          <t xml:space="preserve">  CHECK: card spend vs credit capacity (must be &lt;= 1.00)</t>
        </is>
      </c>
      <c r="B162" s="23" t="inlineStr">
        <is>
          <t>x</t>
        </is>
      </c>
      <c r="C162" s="60">
        <f>IF(C161=0,0,((C48+C86+C124)/C7)/C161)</f>
        <v/>
      </c>
      <c r="D162" s="60">
        <f>IF(D161=0,0,((D48+D86+D124)/D7)/D161)</f>
        <v/>
      </c>
      <c r="E162" s="60">
        <f>IF(E161=0,0,((E48+E86+E124)/E7)/E161)</f>
        <v/>
      </c>
      <c r="F162" s="60">
        <f>IF(F161=0,0,((F48+F86+F124)/F7)/F161)</f>
        <v/>
      </c>
      <c r="G162" s="60">
        <f>IF(G161=0,0,((G48+G86+G124)/G7)/G161)</f>
        <v/>
      </c>
      <c r="H162" s="60">
        <f>IF(H161=0,0,((H48+H86+H124)/H7)/H161)</f>
        <v/>
      </c>
      <c r="I162" s="60">
        <f>IF(I161=0,0,((I48+I86+I124)/I7)/I161)</f>
        <v/>
      </c>
      <c r="J162" s="60">
        <f>IF(J161=0,0,((J48+J86+J124)/J7)/J161)</f>
        <v/>
      </c>
      <c r="K162" s="60">
        <f>IF(K161=0,0,((K48+K86+K124)/K7)/K161)</f>
        <v/>
      </c>
      <c r="L162" s="60">
        <f>IF(L161=0,0,((L48+L86+L124)/L7)/L161)</f>
        <v/>
      </c>
      <c r="M162" s="60">
        <f>IF(M161=0,0,((M48+M86+M124)/M7)/M161)</f>
        <v/>
      </c>
      <c r="N162" s="60">
        <f>IF(N161=0,0,((N48+N86+N124)/N7)/N161)</f>
        <v/>
      </c>
      <c r="O162" s="60">
        <f>IF(O161=0,0,((O48+O86+O124)/O7)/O161)</f>
        <v/>
      </c>
      <c r="P162" s="60">
        <f>IF(P161=0,0,((P48+P86+P124)/P7)/P161)</f>
        <v/>
      </c>
      <c r="Q162" s="60">
        <f>IF(Q161=0,0,((Q48+Q86+Q124)/Q7)/Q161)</f>
        <v/>
      </c>
      <c r="R162" s="60">
        <f>IF(R161=0,0,((R48+R86+R124)/R7)/R161)</f>
        <v/>
      </c>
      <c r="S162" s="60">
        <f>IF(S161=0,0,((S48+S86+S124)/S7)/S161)</f>
        <v/>
      </c>
      <c r="T162" s="60">
        <f>IF(T161=0,0,((T48+T86+T124)/T7)/T161)</f>
        <v/>
      </c>
      <c r="U162" s="60">
        <f>IF(U161=0,0,((U48+U86+U124)/U7)/U161)</f>
        <v/>
      </c>
      <c r="V162" s="60">
        <f>IF(V161=0,0,((V48+V86+V124)/V7)/V161)</f>
        <v/>
      </c>
      <c r="W162" s="60">
        <f>IF(W161=0,0,((W48+W86+W124)/W7)/W161)</f>
        <v/>
      </c>
      <c r="X162" s="60">
        <f>IF(X161=0,0,((X48+X86+X124)/X7)/X161)</f>
        <v/>
      </c>
      <c r="Y162" s="60">
        <f>IF(Y161=0,0,((Y48+Y86+Y124)/Y7)/Y161)</f>
        <v/>
      </c>
      <c r="Z162" s="60">
        <f>IF(Z161=0,0,((Z48+Z86+Z124)/Z7)/Z161)</f>
        <v/>
      </c>
      <c r="AA162" s="60">
        <f>IF(AA161=0,0,((AA48+AA86+AA124)/AA7)/AA161)</f>
        <v/>
      </c>
      <c r="AB162" s="60">
        <f>IF(AB161=0,0,((AB48+AB86+AB124)/AB7)/AB161)</f>
        <v/>
      </c>
      <c r="AC162" s="60">
        <f>IF(AC161=0,0,((AC48+AC86+AC124)/AC7)/AC161)</f>
        <v/>
      </c>
      <c r="AD162" s="60">
        <f>IF(AD161=0,0,((AD48+AD86+AD124)/AD7)/AD161)</f>
        <v/>
      </c>
      <c r="AE162" s="60">
        <f>IF(AE161=0,0,((AE48+AE86+AE124)/AE7)/AE161)</f>
        <v/>
      </c>
    </row>
    <row r="164">
      <c r="A164" s="6" t="inlineStr">
        <is>
          <t>Stream 1a - Entry fee, SIP</t>
        </is>
      </c>
      <c r="B164" s="23" t="inlineStr">
        <is>
          <t>USD</t>
        </is>
      </c>
      <c r="C164" s="55">
        <f>C51+C89+C127</f>
        <v/>
      </c>
      <c r="D164" s="55">
        <f>D51+D89+D127</f>
        <v/>
      </c>
      <c r="E164" s="55">
        <f>E51+E89+E127</f>
        <v/>
      </c>
      <c r="F164" s="55">
        <f>F51+F89+F127</f>
        <v/>
      </c>
      <c r="G164" s="55">
        <f>G51+G89+G127</f>
        <v/>
      </c>
      <c r="H164" s="55">
        <f>H51+H89+H127</f>
        <v/>
      </c>
      <c r="I164" s="55">
        <f>I51+I89+I127</f>
        <v/>
      </c>
      <c r="J164" s="55">
        <f>J51+J89+J127</f>
        <v/>
      </c>
      <c r="K164" s="55">
        <f>K51+K89+K127</f>
        <v/>
      </c>
      <c r="L164" s="55">
        <f>L51+L89+L127</f>
        <v/>
      </c>
      <c r="M164" s="55">
        <f>M51+M89+M127</f>
        <v/>
      </c>
      <c r="N164" s="55">
        <f>N51+N89+N127</f>
        <v/>
      </c>
      <c r="O164" s="55">
        <f>O51+O89+O127</f>
        <v/>
      </c>
      <c r="P164" s="55">
        <f>P51+P89+P127</f>
        <v/>
      </c>
      <c r="Q164" s="55">
        <f>Q51+Q89+Q127</f>
        <v/>
      </c>
      <c r="R164" s="55">
        <f>R51+R89+R127</f>
        <v/>
      </c>
      <c r="S164" s="55">
        <f>S51+S89+S127</f>
        <v/>
      </c>
      <c r="T164" s="55">
        <f>T51+T89+T127</f>
        <v/>
      </c>
      <c r="U164" s="55">
        <f>U51+U89+U127</f>
        <v/>
      </c>
      <c r="V164" s="55">
        <f>V51+V89+V127</f>
        <v/>
      </c>
      <c r="W164" s="55">
        <f>W51+W89+W127</f>
        <v/>
      </c>
      <c r="X164" s="55">
        <f>X51+X89+X127</f>
        <v/>
      </c>
      <c r="Y164" s="55">
        <f>Y51+Y89+Y127</f>
        <v/>
      </c>
      <c r="Z164" s="55">
        <f>Z51+Z89+Z127</f>
        <v/>
      </c>
      <c r="AA164" s="55">
        <f>AA51+AA89+AA127</f>
        <v/>
      </c>
      <c r="AB164" s="55">
        <f>AB51+AB89+AB127</f>
        <v/>
      </c>
      <c r="AC164" s="55">
        <f>AC51+AC89+AC127</f>
        <v/>
      </c>
      <c r="AD164" s="55">
        <f>AD51+AD89+AD127</f>
        <v/>
      </c>
      <c r="AE164" s="55">
        <f>AE51+AE89+AE127</f>
        <v/>
      </c>
    </row>
    <row r="165">
      <c r="A165" s="6" t="inlineStr">
        <is>
          <t>Stream 1b - Entry fee, SPOT</t>
        </is>
      </c>
      <c r="B165" s="23" t="inlineStr">
        <is>
          <t>USD</t>
        </is>
      </c>
      <c r="C165" s="55">
        <f>C52+C90+C128</f>
        <v/>
      </c>
      <c r="D165" s="55">
        <f>D52+D90+D128</f>
        <v/>
      </c>
      <c r="E165" s="55">
        <f>E52+E90+E128</f>
        <v/>
      </c>
      <c r="F165" s="55">
        <f>F52+F90+F128</f>
        <v/>
      </c>
      <c r="G165" s="55">
        <f>G52+G90+G128</f>
        <v/>
      </c>
      <c r="H165" s="55">
        <f>H52+H90+H128</f>
        <v/>
      </c>
      <c r="I165" s="55">
        <f>I52+I90+I128</f>
        <v/>
      </c>
      <c r="J165" s="55">
        <f>J52+J90+J128</f>
        <v/>
      </c>
      <c r="K165" s="55">
        <f>K52+K90+K128</f>
        <v/>
      </c>
      <c r="L165" s="55">
        <f>L52+L90+L128</f>
        <v/>
      </c>
      <c r="M165" s="55">
        <f>M52+M90+M128</f>
        <v/>
      </c>
      <c r="N165" s="55">
        <f>N52+N90+N128</f>
        <v/>
      </c>
      <c r="O165" s="55">
        <f>O52+O90+O128</f>
        <v/>
      </c>
      <c r="P165" s="55">
        <f>P52+P90+P128</f>
        <v/>
      </c>
      <c r="Q165" s="55">
        <f>Q52+Q90+Q128</f>
        <v/>
      </c>
      <c r="R165" s="55">
        <f>R52+R90+R128</f>
        <v/>
      </c>
      <c r="S165" s="55">
        <f>S52+S90+S128</f>
        <v/>
      </c>
      <c r="T165" s="55">
        <f>T52+T90+T128</f>
        <v/>
      </c>
      <c r="U165" s="55">
        <f>U52+U90+U128</f>
        <v/>
      </c>
      <c r="V165" s="55">
        <f>V52+V90+V128</f>
        <v/>
      </c>
      <c r="W165" s="55">
        <f>W52+W90+W128</f>
        <v/>
      </c>
      <c r="X165" s="55">
        <f>X52+X90+X128</f>
        <v/>
      </c>
      <c r="Y165" s="55">
        <f>Y52+Y90+Y128</f>
        <v/>
      </c>
      <c r="Z165" s="55">
        <f>Z52+Z90+Z128</f>
        <v/>
      </c>
      <c r="AA165" s="55">
        <f>AA52+AA90+AA128</f>
        <v/>
      </c>
      <c r="AB165" s="55">
        <f>AB52+AB90+AB128</f>
        <v/>
      </c>
      <c r="AC165" s="55">
        <f>AC52+AC90+AC128</f>
        <v/>
      </c>
      <c r="AD165" s="55">
        <f>AD52+AD90+AD128</f>
        <v/>
      </c>
      <c r="AE165" s="55">
        <f>AE52+AE90+AE128</f>
        <v/>
      </c>
    </row>
    <row r="166">
      <c r="A166" s="6" t="inlineStr">
        <is>
          <t>Stream 2 - Card interchange</t>
        </is>
      </c>
      <c r="B166" s="23" t="inlineStr">
        <is>
          <t>USD</t>
        </is>
      </c>
      <c r="C166" s="55">
        <f>C53+C91+C129</f>
        <v/>
      </c>
      <c r="D166" s="55">
        <f>D53+D91+D129</f>
        <v/>
      </c>
      <c r="E166" s="55">
        <f>E53+E91+E129</f>
        <v/>
      </c>
      <c r="F166" s="55">
        <f>F53+F91+F129</f>
        <v/>
      </c>
      <c r="G166" s="55">
        <f>G53+G91+G129</f>
        <v/>
      </c>
      <c r="H166" s="55">
        <f>H53+H91+H129</f>
        <v/>
      </c>
      <c r="I166" s="55">
        <f>I53+I91+I129</f>
        <v/>
      </c>
      <c r="J166" s="55">
        <f>J53+J91+J129</f>
        <v/>
      </c>
      <c r="K166" s="55">
        <f>K53+K91+K129</f>
        <v/>
      </c>
      <c r="L166" s="55">
        <f>L53+L91+L129</f>
        <v/>
      </c>
      <c r="M166" s="55">
        <f>M53+M91+M129</f>
        <v/>
      </c>
      <c r="N166" s="55">
        <f>N53+N91+N129</f>
        <v/>
      </c>
      <c r="O166" s="55">
        <f>O53+O91+O129</f>
        <v/>
      </c>
      <c r="P166" s="55">
        <f>P53+P91+P129</f>
        <v/>
      </c>
      <c r="Q166" s="55">
        <f>Q53+Q91+Q129</f>
        <v/>
      </c>
      <c r="R166" s="55">
        <f>R53+R91+R129</f>
        <v/>
      </c>
      <c r="S166" s="55">
        <f>S53+S91+S129</f>
        <v/>
      </c>
      <c r="T166" s="55">
        <f>T53+T91+T129</f>
        <v/>
      </c>
      <c r="U166" s="55">
        <f>U53+U91+U129</f>
        <v/>
      </c>
      <c r="V166" s="55">
        <f>V53+V91+V129</f>
        <v/>
      </c>
      <c r="W166" s="55">
        <f>W53+W91+W129</f>
        <v/>
      </c>
      <c r="X166" s="55">
        <f>X53+X91+X129</f>
        <v/>
      </c>
      <c r="Y166" s="55">
        <f>Y53+Y91+Y129</f>
        <v/>
      </c>
      <c r="Z166" s="55">
        <f>Z53+Z91+Z129</f>
        <v/>
      </c>
      <c r="AA166" s="55">
        <f>AA53+AA91+AA129</f>
        <v/>
      </c>
      <c r="AB166" s="55">
        <f>AB53+AB91+AB129</f>
        <v/>
      </c>
      <c r="AC166" s="55">
        <f>AC53+AC91+AC129</f>
        <v/>
      </c>
      <c r="AD166" s="55">
        <f>AD53+AD91+AD129</f>
        <v/>
      </c>
      <c r="AE166" s="55">
        <f>AE53+AE91+AE129</f>
        <v/>
      </c>
    </row>
    <row r="167">
      <c r="A167" s="6" t="inlineStr">
        <is>
          <t>Stream 3 - Family plan and Digital Will</t>
        </is>
      </c>
      <c r="B167" s="23" t="inlineStr">
        <is>
          <t>USD</t>
        </is>
      </c>
      <c r="C167" s="55">
        <f>C54+C92+C130</f>
        <v/>
      </c>
      <c r="D167" s="55">
        <f>D54+D92+D130</f>
        <v/>
      </c>
      <c r="E167" s="55">
        <f>E54+E92+E130</f>
        <v/>
      </c>
      <c r="F167" s="55">
        <f>F54+F92+F130</f>
        <v/>
      </c>
      <c r="G167" s="55">
        <f>G54+G92+G130</f>
        <v/>
      </c>
      <c r="H167" s="55">
        <f>H54+H92+H130</f>
        <v/>
      </c>
      <c r="I167" s="55">
        <f>I54+I92+I130</f>
        <v/>
      </c>
      <c r="J167" s="55">
        <f>J54+J92+J130</f>
        <v/>
      </c>
      <c r="K167" s="55">
        <f>K54+K92+K130</f>
        <v/>
      </c>
      <c r="L167" s="55">
        <f>L54+L92+L130</f>
        <v/>
      </c>
      <c r="M167" s="55">
        <f>M54+M92+M130</f>
        <v/>
      </c>
      <c r="N167" s="55">
        <f>N54+N92+N130</f>
        <v/>
      </c>
      <c r="O167" s="55">
        <f>O54+O92+O130</f>
        <v/>
      </c>
      <c r="P167" s="55">
        <f>P54+P92+P130</f>
        <v/>
      </c>
      <c r="Q167" s="55">
        <f>Q54+Q92+Q130</f>
        <v/>
      </c>
      <c r="R167" s="55">
        <f>R54+R92+R130</f>
        <v/>
      </c>
      <c r="S167" s="55">
        <f>S54+S92+S130</f>
        <v/>
      </c>
      <c r="T167" s="55">
        <f>T54+T92+T130</f>
        <v/>
      </c>
      <c r="U167" s="55">
        <f>U54+U92+U130</f>
        <v/>
      </c>
      <c r="V167" s="55">
        <f>V54+V92+V130</f>
        <v/>
      </c>
      <c r="W167" s="55">
        <f>W54+W92+W130</f>
        <v/>
      </c>
      <c r="X167" s="55">
        <f>X54+X92+X130</f>
        <v/>
      </c>
      <c r="Y167" s="55">
        <f>Y54+Y92+Y130</f>
        <v/>
      </c>
      <c r="Z167" s="55">
        <f>Z54+Z92+Z130</f>
        <v/>
      </c>
      <c r="AA167" s="55">
        <f>AA54+AA92+AA130</f>
        <v/>
      </c>
      <c r="AB167" s="55">
        <f>AB54+AB92+AB130</f>
        <v/>
      </c>
      <c r="AC167" s="55">
        <f>AC54+AC92+AC130</f>
        <v/>
      </c>
      <c r="AD167" s="55">
        <f>AD54+AD92+AD130</f>
        <v/>
      </c>
      <c r="AE167" s="55">
        <f>AE54+AE92+AE130</f>
        <v/>
      </c>
    </row>
    <row r="168">
      <c r="A168" s="6" t="inlineStr">
        <is>
          <t>Stream 4 - Cardholder fees</t>
        </is>
      </c>
      <c r="B168" s="23" t="inlineStr">
        <is>
          <t>USD</t>
        </is>
      </c>
      <c r="C168" s="55">
        <f>C55+C93+C131</f>
        <v/>
      </c>
      <c r="D168" s="55">
        <f>D55+D93+D131</f>
        <v/>
      </c>
      <c r="E168" s="55">
        <f>E55+E93+E131</f>
        <v/>
      </c>
      <c r="F168" s="55">
        <f>F55+F93+F131</f>
        <v/>
      </c>
      <c r="G168" s="55">
        <f>G55+G93+G131</f>
        <v/>
      </c>
      <c r="H168" s="55">
        <f>H55+H93+H131</f>
        <v/>
      </c>
      <c r="I168" s="55">
        <f>I55+I93+I131</f>
        <v/>
      </c>
      <c r="J168" s="55">
        <f>J55+J93+J131</f>
        <v/>
      </c>
      <c r="K168" s="55">
        <f>K55+K93+K131</f>
        <v/>
      </c>
      <c r="L168" s="55">
        <f>L55+L93+L131</f>
        <v/>
      </c>
      <c r="M168" s="55">
        <f>M55+M93+M131</f>
        <v/>
      </c>
      <c r="N168" s="55">
        <f>N55+N93+N131</f>
        <v/>
      </c>
      <c r="O168" s="55">
        <f>O55+O93+O131</f>
        <v/>
      </c>
      <c r="P168" s="55">
        <f>P55+P93+P131</f>
        <v/>
      </c>
      <c r="Q168" s="55">
        <f>Q55+Q93+Q131</f>
        <v/>
      </c>
      <c r="R168" s="55">
        <f>R55+R93+R131</f>
        <v/>
      </c>
      <c r="S168" s="55">
        <f>S55+S93+S131</f>
        <v/>
      </c>
      <c r="T168" s="55">
        <f>T55+T93+T131</f>
        <v/>
      </c>
      <c r="U168" s="55">
        <f>U55+U93+U131</f>
        <v/>
      </c>
      <c r="V168" s="55">
        <f>V55+V93+V131</f>
        <v/>
      </c>
      <c r="W168" s="55">
        <f>W55+W93+W131</f>
        <v/>
      </c>
      <c r="X168" s="55">
        <f>X55+X93+X131</f>
        <v/>
      </c>
      <c r="Y168" s="55">
        <f>Y55+Y93+Y131</f>
        <v/>
      </c>
      <c r="Z168" s="55">
        <f>Z55+Z93+Z131</f>
        <v/>
      </c>
      <c r="AA168" s="55">
        <f>AA55+AA93+AA131</f>
        <v/>
      </c>
      <c r="AB168" s="55">
        <f>AB55+AB93+AB131</f>
        <v/>
      </c>
      <c r="AC168" s="55">
        <f>AC55+AC93+AC131</f>
        <v/>
      </c>
      <c r="AD168" s="55">
        <f>AD55+AD93+AD131</f>
        <v/>
      </c>
      <c r="AE168" s="55">
        <f>AE55+AE93+AE131</f>
        <v/>
      </c>
    </row>
    <row r="169">
      <c r="A169" s="6" t="inlineStr">
        <is>
          <t>Stream 5 - Lending revenue share</t>
        </is>
      </c>
      <c r="B169" s="23" t="inlineStr">
        <is>
          <t>USD</t>
        </is>
      </c>
      <c r="C169" s="55">
        <f>C57+C95+C133</f>
        <v/>
      </c>
      <c r="D169" s="55">
        <f>D57+D95+D133</f>
        <v/>
      </c>
      <c r="E169" s="55">
        <f>E57+E95+E133</f>
        <v/>
      </c>
      <c r="F169" s="55">
        <f>F57+F95+F133</f>
        <v/>
      </c>
      <c r="G169" s="55">
        <f>G57+G95+G133</f>
        <v/>
      </c>
      <c r="H169" s="55">
        <f>H57+H95+H133</f>
        <v/>
      </c>
      <c r="I169" s="55">
        <f>I57+I95+I133</f>
        <v/>
      </c>
      <c r="J169" s="55">
        <f>J57+J95+J133</f>
        <v/>
      </c>
      <c r="K169" s="55">
        <f>K57+K95+K133</f>
        <v/>
      </c>
      <c r="L169" s="55">
        <f>L57+L95+L133</f>
        <v/>
      </c>
      <c r="M169" s="55">
        <f>M57+M95+M133</f>
        <v/>
      </c>
      <c r="N169" s="55">
        <f>N57+N95+N133</f>
        <v/>
      </c>
      <c r="O169" s="55">
        <f>O57+O95+O133</f>
        <v/>
      </c>
      <c r="P169" s="55">
        <f>P57+P95+P133</f>
        <v/>
      </c>
      <c r="Q169" s="55">
        <f>Q57+Q95+Q133</f>
        <v/>
      </c>
      <c r="R169" s="55">
        <f>R57+R95+R133</f>
        <v/>
      </c>
      <c r="S169" s="55">
        <f>S57+S95+S133</f>
        <v/>
      </c>
      <c r="T169" s="55">
        <f>T57+T95+T133</f>
        <v/>
      </c>
      <c r="U169" s="55">
        <f>U57+U95+U133</f>
        <v/>
      </c>
      <c r="V169" s="55">
        <f>V57+V95+V133</f>
        <v/>
      </c>
      <c r="W169" s="55">
        <f>W57+W95+W133</f>
        <v/>
      </c>
      <c r="X169" s="55">
        <f>X57+X95+X133</f>
        <v/>
      </c>
      <c r="Y169" s="55">
        <f>Y57+Y95+Y133</f>
        <v/>
      </c>
      <c r="Z169" s="55">
        <f>Z57+Z95+Z133</f>
        <v/>
      </c>
      <c r="AA169" s="55">
        <f>AA57+AA95+AA133</f>
        <v/>
      </c>
      <c r="AB169" s="55">
        <f>AB57+AB95+AB133</f>
        <v/>
      </c>
      <c r="AC169" s="55">
        <f>AC57+AC95+AC133</f>
        <v/>
      </c>
      <c r="AD169" s="55">
        <f>AD57+AD95+AD133</f>
        <v/>
      </c>
      <c r="AE169" s="55">
        <f>AE57+AE95+AE133</f>
        <v/>
      </c>
    </row>
    <row r="170">
      <c r="A170" s="6" t="inlineStr">
        <is>
          <t>Redemption events (memo - drives cost, not revenue)</t>
        </is>
      </c>
      <c r="B170" s="23" t="inlineStr">
        <is>
          <t>events</t>
        </is>
      </c>
      <c r="C170" s="45">
        <f>C58+C96+C134</f>
        <v/>
      </c>
      <c r="D170" s="45">
        <f>D58+D96+D134</f>
        <v/>
      </c>
      <c r="E170" s="45">
        <f>E58+E96+E134</f>
        <v/>
      </c>
      <c r="F170" s="45">
        <f>F58+F96+F134</f>
        <v/>
      </c>
      <c r="G170" s="45">
        <f>G58+G96+G134</f>
        <v/>
      </c>
      <c r="H170" s="45">
        <f>H58+H96+H134</f>
        <v/>
      </c>
      <c r="I170" s="45">
        <f>I58+I96+I134</f>
        <v/>
      </c>
      <c r="J170" s="45">
        <f>J58+J96+J134</f>
        <v/>
      </c>
      <c r="K170" s="45">
        <f>K58+K96+K134</f>
        <v/>
      </c>
      <c r="L170" s="45">
        <f>L58+L96+L134</f>
        <v/>
      </c>
      <c r="M170" s="45">
        <f>M58+M96+M134</f>
        <v/>
      </c>
      <c r="N170" s="45">
        <f>N58+N96+N134</f>
        <v/>
      </c>
      <c r="O170" s="45">
        <f>O58+O96+O134</f>
        <v/>
      </c>
      <c r="P170" s="45">
        <f>P58+P96+P134</f>
        <v/>
      </c>
      <c r="Q170" s="45">
        <f>Q58+Q96+Q134</f>
        <v/>
      </c>
      <c r="R170" s="45">
        <f>R58+R96+R134</f>
        <v/>
      </c>
      <c r="S170" s="45">
        <f>S58+S96+S134</f>
        <v/>
      </c>
      <c r="T170" s="45">
        <f>T58+T96+T134</f>
        <v/>
      </c>
      <c r="U170" s="45">
        <f>U58+U96+U134</f>
        <v/>
      </c>
      <c r="V170" s="45">
        <f>V58+V96+V134</f>
        <v/>
      </c>
      <c r="W170" s="45">
        <f>W58+W96+W134</f>
        <v/>
      </c>
      <c r="X170" s="45">
        <f>X58+X96+X134</f>
        <v/>
      </c>
      <c r="Y170" s="45">
        <f>Y58+Y96+Y134</f>
        <v/>
      </c>
      <c r="Z170" s="45">
        <f>Z58+Z96+Z134</f>
        <v/>
      </c>
      <c r="AA170" s="45">
        <f>AA58+AA96+AA134</f>
        <v/>
      </c>
      <c r="AB170" s="45">
        <f>AB58+AB96+AB134</f>
        <v/>
      </c>
      <c r="AC170" s="45">
        <f>AC58+AC96+AC134</f>
        <v/>
      </c>
      <c r="AD170" s="45">
        <f>AD58+AD96+AD134</f>
        <v/>
      </c>
      <c r="AE170" s="45">
        <f>AE58+AE96+AE134</f>
        <v/>
      </c>
    </row>
    <row r="171">
      <c r="A171" s="6" t="inlineStr">
        <is>
          <t>Card authorisations (memo - drives cost, not revenue)</t>
        </is>
      </c>
      <c r="B171" s="23" t="inlineStr">
        <is>
          <t>events</t>
        </is>
      </c>
      <c r="C171" s="45">
        <f>C50+C88+C126</f>
        <v/>
      </c>
      <c r="D171" s="45">
        <f>D50+D88+D126</f>
        <v/>
      </c>
      <c r="E171" s="45">
        <f>E50+E88+E126</f>
        <v/>
      </c>
      <c r="F171" s="45">
        <f>F50+F88+F126</f>
        <v/>
      </c>
      <c r="G171" s="45">
        <f>G50+G88+G126</f>
        <v/>
      </c>
      <c r="H171" s="45">
        <f>H50+H88+H126</f>
        <v/>
      </c>
      <c r="I171" s="45">
        <f>I50+I88+I126</f>
        <v/>
      </c>
      <c r="J171" s="45">
        <f>J50+J88+J126</f>
        <v/>
      </c>
      <c r="K171" s="45">
        <f>K50+K88+K126</f>
        <v/>
      </c>
      <c r="L171" s="45">
        <f>L50+L88+L126</f>
        <v/>
      </c>
      <c r="M171" s="45">
        <f>M50+M88+M126</f>
        <v/>
      </c>
      <c r="N171" s="45">
        <f>N50+N88+N126</f>
        <v/>
      </c>
      <c r="O171" s="45">
        <f>O50+O88+O126</f>
        <v/>
      </c>
      <c r="P171" s="45">
        <f>P50+P88+P126</f>
        <v/>
      </c>
      <c r="Q171" s="45">
        <f>Q50+Q88+Q126</f>
        <v/>
      </c>
      <c r="R171" s="45">
        <f>R50+R88+R126</f>
        <v/>
      </c>
      <c r="S171" s="45">
        <f>S50+S88+S126</f>
        <v/>
      </c>
      <c r="T171" s="45">
        <f>T50+T88+T126</f>
        <v/>
      </c>
      <c r="U171" s="45">
        <f>U50+U88+U126</f>
        <v/>
      </c>
      <c r="V171" s="45">
        <f>V50+V88+V126</f>
        <v/>
      </c>
      <c r="W171" s="45">
        <f>W50+W88+W126</f>
        <v/>
      </c>
      <c r="X171" s="45">
        <f>X50+X88+X126</f>
        <v/>
      </c>
      <c r="Y171" s="45">
        <f>Y50+Y88+Y126</f>
        <v/>
      </c>
      <c r="Z171" s="45">
        <f>Z50+Z88+Z126</f>
        <v/>
      </c>
      <c r="AA171" s="45">
        <f>AA50+AA88+AA126</f>
        <v/>
      </c>
      <c r="AB171" s="45">
        <f>AB50+AB88+AB126</f>
        <v/>
      </c>
      <c r="AC171" s="45">
        <f>AC50+AC88+AC126</f>
        <v/>
      </c>
      <c r="AD171" s="45">
        <f>AD50+AD88+AD126</f>
        <v/>
      </c>
      <c r="AE171" s="45">
        <f>AE50+AE88+AE126</f>
        <v/>
      </c>
    </row>
    <row r="172">
      <c r="A172" s="3" t="inlineStr">
        <is>
          <t>TOTAL NET REVENUE</t>
        </is>
      </c>
      <c r="B172" s="23" t="inlineStr">
        <is>
          <t>USD</t>
        </is>
      </c>
      <c r="C172" s="57">
        <f>C59+C97+C135+C139</f>
        <v/>
      </c>
      <c r="D172" s="57">
        <f>D59+D97+D135+D139</f>
        <v/>
      </c>
      <c r="E172" s="57">
        <f>E59+E97+E135+E139</f>
        <v/>
      </c>
      <c r="F172" s="57">
        <f>F59+F97+F135+F139</f>
        <v/>
      </c>
      <c r="G172" s="57">
        <f>G59+G97+G135+G139</f>
        <v/>
      </c>
      <c r="H172" s="57">
        <f>H59+H97+H135+H139</f>
        <v/>
      </c>
      <c r="I172" s="57">
        <f>I59+I97+I135+I139</f>
        <v/>
      </c>
      <c r="J172" s="57">
        <f>J59+J97+J135+J139</f>
        <v/>
      </c>
      <c r="K172" s="57">
        <f>K59+K97+K135+K139</f>
        <v/>
      </c>
      <c r="L172" s="57">
        <f>L59+L97+L135+L139</f>
        <v/>
      </c>
      <c r="M172" s="57">
        <f>M59+M97+M135+M139</f>
        <v/>
      </c>
      <c r="N172" s="57">
        <f>N59+N97+N135+N139</f>
        <v/>
      </c>
      <c r="O172" s="57">
        <f>O59+O97+O135+O139</f>
        <v/>
      </c>
      <c r="P172" s="57">
        <f>P59+P97+P135+P139</f>
        <v/>
      </c>
      <c r="Q172" s="57">
        <f>Q59+Q97+Q135+Q139</f>
        <v/>
      </c>
      <c r="R172" s="57">
        <f>R59+R97+R135+R139</f>
        <v/>
      </c>
      <c r="S172" s="57">
        <f>S59+S97+S135+S139</f>
        <v/>
      </c>
      <c r="T172" s="57">
        <f>T59+T97+T135+T139</f>
        <v/>
      </c>
      <c r="U172" s="57">
        <f>U59+U97+U135+U139</f>
        <v/>
      </c>
      <c r="V172" s="57">
        <f>V59+V97+V135+V139</f>
        <v/>
      </c>
      <c r="W172" s="57">
        <f>W59+W97+W135+W139</f>
        <v/>
      </c>
      <c r="X172" s="57">
        <f>X59+X97+X135+X139</f>
        <v/>
      </c>
      <c r="Y172" s="57">
        <f>Y59+Y97+Y135+Y139</f>
        <v/>
      </c>
      <c r="Z172" s="57">
        <f>Z59+Z97+Z135+Z139</f>
        <v/>
      </c>
      <c r="AA172" s="57">
        <f>AA59+AA97+AA135+AA139</f>
        <v/>
      </c>
      <c r="AB172" s="57">
        <f>AB59+AB97+AB135+AB139</f>
        <v/>
      </c>
      <c r="AC172" s="57">
        <f>AC59+AC97+AC135+AC139</f>
        <v/>
      </c>
      <c r="AD172" s="57">
        <f>AD59+AD97+AD135+AD139</f>
        <v/>
      </c>
      <c r="AE172" s="57">
        <f>AE59+AE97+AE135+AE139</f>
        <v/>
      </c>
    </row>
    <row r="173">
      <c r="A173" s="6" t="inlineStr">
        <is>
          <t>Net revenue per paying customer (annualised)</t>
        </is>
      </c>
      <c r="B173" s="23" t="inlineStr">
        <is>
          <t>USD</t>
        </is>
      </c>
      <c r="C173" s="55">
        <f>IF(C143=0,0,C172/C143/C7*12)</f>
        <v/>
      </c>
      <c r="D173" s="55">
        <f>IF(D143=0,0,D172/D143/D7*12)</f>
        <v/>
      </c>
      <c r="E173" s="55">
        <f>IF(E143=0,0,E172/E143/E7*12)</f>
        <v/>
      </c>
      <c r="F173" s="55">
        <f>IF(F143=0,0,F172/F143/F7*12)</f>
        <v/>
      </c>
      <c r="G173" s="55">
        <f>IF(G143=0,0,G172/G143/G7*12)</f>
        <v/>
      </c>
      <c r="H173" s="55">
        <f>IF(H143=0,0,H172/H143/H7*12)</f>
        <v/>
      </c>
      <c r="I173" s="55">
        <f>IF(I143=0,0,I172/I143/I7*12)</f>
        <v/>
      </c>
      <c r="J173" s="55">
        <f>IF(J143=0,0,J172/J143/J7*12)</f>
        <v/>
      </c>
      <c r="K173" s="55">
        <f>IF(K143=0,0,K172/K143/K7*12)</f>
        <v/>
      </c>
      <c r="L173" s="55">
        <f>IF(L143=0,0,L172/L143/L7*12)</f>
        <v/>
      </c>
      <c r="M173" s="55">
        <f>IF(M143=0,0,M172/M143/M7*12)</f>
        <v/>
      </c>
      <c r="N173" s="55">
        <f>IF(N143=0,0,N172/N143/N7*12)</f>
        <v/>
      </c>
      <c r="O173" s="55">
        <f>IF(O143=0,0,O172/O143/O7*12)</f>
        <v/>
      </c>
      <c r="P173" s="55">
        <f>IF(P143=0,0,P172/P143/P7*12)</f>
        <v/>
      </c>
      <c r="Q173" s="55">
        <f>IF(Q143=0,0,Q172/Q143/Q7*12)</f>
        <v/>
      </c>
      <c r="R173" s="55">
        <f>IF(R143=0,0,R172/R143/R7*12)</f>
        <v/>
      </c>
      <c r="S173" s="55">
        <f>IF(S143=0,0,S172/S143/S7*12)</f>
        <v/>
      </c>
      <c r="T173" s="55">
        <f>IF(T143=0,0,T172/T143/T7*12)</f>
        <v/>
      </c>
      <c r="U173" s="55">
        <f>IF(U143=0,0,U172/U143/U7*12)</f>
        <v/>
      </c>
      <c r="V173" s="55">
        <f>IF(V143=0,0,V172/V143/V7*12)</f>
        <v/>
      </c>
      <c r="W173" s="55">
        <f>IF(W143=0,0,W172/W143/W7*12)</f>
        <v/>
      </c>
      <c r="X173" s="55">
        <f>IF(X143=0,0,X172/X143/X7*12)</f>
        <v/>
      </c>
      <c r="Y173" s="55">
        <f>IF(Y143=0,0,Y172/Y143/Y7*12)</f>
        <v/>
      </c>
      <c r="Z173" s="55">
        <f>IF(Z143=0,0,Z172/Z143/Z7*12)</f>
        <v/>
      </c>
      <c r="AA173" s="55">
        <f>IF(AA143=0,0,AA172/AA143/AA7*12)</f>
        <v/>
      </c>
      <c r="AB173" s="55">
        <f>IF(AB143=0,0,AB172/AB143/AB7*12)</f>
        <v/>
      </c>
      <c r="AC173" s="55">
        <f>IF(AC143=0,0,AC172/AC143/AC7*12)</f>
        <v/>
      </c>
      <c r="AD173" s="55">
        <f>IF(AD143=0,0,AD172/AD143/AD7*12)</f>
        <v/>
      </c>
      <c r="AE173" s="55">
        <f>IF(AE143=0,0,AE172/AE143/AE7*12)</f>
        <v/>
      </c>
    </row>
    <row r="174">
      <c r="A174" s="6" t="inlineStr">
        <is>
          <t>CHECK: regional subtotals + B2B = sum of streams</t>
        </is>
      </c>
      <c r="B174" s="23" t="inlineStr">
        <is>
          <t>delta</t>
        </is>
      </c>
      <c r="C174" s="59">
        <f>C172-(C164+C165+C166+C167+C168+C169+C139)</f>
        <v/>
      </c>
      <c r="D174" s="59">
        <f>D172-(D164+D165+D166+D167+D168+D169+D139)</f>
        <v/>
      </c>
      <c r="E174" s="59">
        <f>E172-(E164+E165+E166+E167+E168+E169+E139)</f>
        <v/>
      </c>
      <c r="F174" s="59">
        <f>F172-(F164+F165+F166+F167+F168+F169+F139)</f>
        <v/>
      </c>
      <c r="G174" s="59">
        <f>G172-(G164+G165+G166+G167+G168+G169+G139)</f>
        <v/>
      </c>
      <c r="H174" s="59">
        <f>H172-(H164+H165+H166+H167+H168+H169+H139)</f>
        <v/>
      </c>
      <c r="I174" s="59">
        <f>I172-(I164+I165+I166+I167+I168+I169+I139)</f>
        <v/>
      </c>
      <c r="J174" s="59">
        <f>J172-(J164+J165+J166+J167+J168+J169+J139)</f>
        <v/>
      </c>
      <c r="K174" s="59">
        <f>K172-(K164+K165+K166+K167+K168+K169+K139)</f>
        <v/>
      </c>
      <c r="L174" s="59">
        <f>L172-(L164+L165+L166+L167+L168+L169+L139)</f>
        <v/>
      </c>
      <c r="M174" s="59">
        <f>M172-(M164+M165+M166+M167+M168+M169+M139)</f>
        <v/>
      </c>
      <c r="N174" s="59">
        <f>N172-(N164+N165+N166+N167+N168+N169+N139)</f>
        <v/>
      </c>
      <c r="O174" s="59">
        <f>O172-(O164+O165+O166+O167+O168+O169+O139)</f>
        <v/>
      </c>
      <c r="P174" s="59">
        <f>P172-(P164+P165+P166+P167+P168+P169+P139)</f>
        <v/>
      </c>
      <c r="Q174" s="59">
        <f>Q172-(Q164+Q165+Q166+Q167+Q168+Q169+Q139)</f>
        <v/>
      </c>
      <c r="R174" s="59">
        <f>R172-(R164+R165+R166+R167+R168+R169+R139)</f>
        <v/>
      </c>
      <c r="S174" s="59">
        <f>S172-(S164+S165+S166+S167+S168+S169+S139)</f>
        <v/>
      </c>
      <c r="T174" s="59">
        <f>T172-(T164+T165+T166+T167+T168+T169+T139)</f>
        <v/>
      </c>
      <c r="U174" s="59">
        <f>U172-(U164+U165+U166+U167+U168+U169+U139)</f>
        <v/>
      </c>
      <c r="V174" s="59">
        <f>V172-(V164+V165+V166+V167+V168+V169+V139)</f>
        <v/>
      </c>
      <c r="W174" s="59">
        <f>W172-(W164+W165+W166+W167+W168+W169+W139)</f>
        <v/>
      </c>
      <c r="X174" s="59">
        <f>X172-(X164+X165+X166+X167+X168+X169+X139)</f>
        <v/>
      </c>
      <c r="Y174" s="59">
        <f>Y172-(Y164+Y165+Y166+Y167+Y168+Y169+Y139)</f>
        <v/>
      </c>
      <c r="Z174" s="59">
        <f>Z172-(Z164+Z165+Z166+Z167+Z168+Z169+Z139)</f>
        <v/>
      </c>
      <c r="AA174" s="59">
        <f>AA172-(AA164+AA165+AA166+AA167+AA168+AA169+AA139)</f>
        <v/>
      </c>
      <c r="AB174" s="59">
        <f>AB172-(AB164+AB165+AB166+AB167+AB168+AB169+AB139)</f>
        <v/>
      </c>
      <c r="AC174" s="59">
        <f>AC172-(AC164+AC165+AC166+AC167+AC168+AC169+AC139)</f>
        <v/>
      </c>
      <c r="AD174" s="59">
        <f>AD172-(AD164+AD165+AD166+AD167+AD168+AD169+AD139)</f>
        <v/>
      </c>
      <c r="AE174" s="59">
        <f>AE172-(AE164+AE165+AE166+AE167+AE168+AE169+AE139)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SUM(Model!C59:N59)</f>
        <v/>
      </c>
      <c r="E7" s="36">
        <f>SUM(Model!O59:Z59)</f>
        <v/>
      </c>
      <c r="F7" s="36">
        <f>Model!AA59</f>
        <v/>
      </c>
      <c r="G7" s="36">
        <f>Model!AB59</f>
        <v/>
      </c>
      <c r="H7" s="36">
        <f>Model!AC59</f>
        <v/>
      </c>
      <c r="I7" s="36">
        <f>Model!AD59</f>
        <v/>
      </c>
      <c r="J7" s="36">
        <f>Model!AE59</f>
        <v/>
      </c>
    </row>
    <row r="8">
      <c r="A8" s="6" t="inlineStr">
        <is>
          <t xml:space="preserve">  Oman and Bahrain</t>
        </is>
      </c>
      <c r="D8" s="36">
        <f>SUM(Model!C97:N97)</f>
        <v/>
      </c>
      <c r="E8" s="36">
        <f>SUM(Model!O97:Z97)</f>
        <v/>
      </c>
      <c r="F8" s="36">
        <f>Model!AA97</f>
        <v/>
      </c>
      <c r="G8" s="36">
        <f>Model!AB97</f>
        <v/>
      </c>
      <c r="H8" s="36">
        <f>Model!AC97</f>
        <v/>
      </c>
      <c r="I8" s="36">
        <f>Model!AD97</f>
        <v/>
      </c>
      <c r="J8" s="36">
        <f>Model!AE97</f>
        <v/>
      </c>
    </row>
    <row r="9">
      <c r="A9" s="6" t="inlineStr">
        <is>
          <t xml:space="preserve">  India</t>
        </is>
      </c>
      <c r="D9" s="36">
        <f>SUM(Model!C135:N135)</f>
        <v/>
      </c>
      <c r="E9" s="36">
        <f>SUM(Model!O135:Z135)</f>
        <v/>
      </c>
      <c r="F9" s="36">
        <f>Model!AA135</f>
        <v/>
      </c>
      <c r="G9" s="36">
        <f>Model!AB135</f>
        <v/>
      </c>
      <c r="H9" s="36">
        <f>Model!AC135</f>
        <v/>
      </c>
      <c r="I9" s="36">
        <f>Model!AD135</f>
        <v/>
      </c>
      <c r="J9" s="36">
        <f>Model!AE135</f>
        <v/>
      </c>
    </row>
    <row r="10">
      <c r="A10" s="6" t="inlineStr">
        <is>
          <t xml:space="preserve">  Non-regional: B2B platform fee</t>
        </is>
      </c>
      <c r="D10" s="36">
        <f>SUM(Model!C139:N139)</f>
        <v/>
      </c>
      <c r="E10" s="36">
        <f>SUM(Model!O139:Z139)</f>
        <v/>
      </c>
      <c r="F10" s="36">
        <f>Model!AA139</f>
        <v/>
      </c>
      <c r="G10" s="36">
        <f>Model!AB139</f>
        <v/>
      </c>
      <c r="H10" s="36">
        <f>Model!AC139</f>
        <v/>
      </c>
      <c r="I10" s="36">
        <f>Model!AD139</f>
        <v/>
      </c>
      <c r="J10" s="36">
        <f>Model!AE139</f>
        <v/>
      </c>
    </row>
    <row r="11">
      <c r="A11" s="3" t="inlineStr">
        <is>
          <t>TOTAL REVENUE</t>
        </is>
      </c>
      <c r="D11" s="62">
        <f>SUM(Model!C172:N172)</f>
        <v/>
      </c>
      <c r="E11" s="62">
        <f>SUM(Model!O172:Z172)</f>
        <v/>
      </c>
      <c r="F11" s="62">
        <f>Model!AA172</f>
        <v/>
      </c>
      <c r="G11" s="62">
        <f>Model!AB172</f>
        <v/>
      </c>
      <c r="H11" s="62">
        <f>Model!AC172</f>
        <v/>
      </c>
      <c r="I11" s="62">
        <f>Model!AD172</f>
        <v/>
      </c>
      <c r="J11" s="62">
        <f>Model!AE172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SUM(Model!C164:N164)</f>
        <v/>
      </c>
      <c r="E14" s="36">
        <f>SUM(Model!O164:Z164)</f>
        <v/>
      </c>
      <c r="F14" s="36">
        <f>Model!AA164</f>
        <v/>
      </c>
      <c r="G14" s="36">
        <f>Model!AB164</f>
        <v/>
      </c>
      <c r="H14" s="36">
        <f>Model!AC164</f>
        <v/>
      </c>
      <c r="I14" s="36">
        <f>Model!AD164</f>
        <v/>
      </c>
      <c r="J14" s="36">
        <f>Model!AE164</f>
        <v/>
      </c>
    </row>
    <row r="15">
      <c r="A15" s="6" t="inlineStr">
        <is>
          <t>Stream 1b: Entry fee - SPOT</t>
        </is>
      </c>
      <c r="D15" s="36">
        <f>SUM(Model!C165:N165)</f>
        <v/>
      </c>
      <c r="E15" s="36">
        <f>SUM(Model!O165:Z165)</f>
        <v/>
      </c>
      <c r="F15" s="36">
        <f>Model!AA165</f>
        <v/>
      </c>
      <c r="G15" s="36">
        <f>Model!AB165</f>
        <v/>
      </c>
      <c r="H15" s="36">
        <f>Model!AC165</f>
        <v/>
      </c>
      <c r="I15" s="36">
        <f>Model!AD165</f>
        <v/>
      </c>
      <c r="J15" s="36">
        <f>Model!AE165</f>
        <v/>
      </c>
    </row>
    <row r="16">
      <c r="A16" s="6" t="inlineStr">
        <is>
          <t>Stream 2: Card interchange</t>
        </is>
      </c>
      <c r="D16" s="36">
        <f>SUM(Model!C166:N166)</f>
        <v/>
      </c>
      <c r="E16" s="36">
        <f>SUM(Model!O166:Z166)</f>
        <v/>
      </c>
      <c r="F16" s="36">
        <f>Model!AA166</f>
        <v/>
      </c>
      <c r="G16" s="36">
        <f>Model!AB166</f>
        <v/>
      </c>
      <c r="H16" s="36">
        <f>Model!AC166</f>
        <v/>
      </c>
      <c r="I16" s="36">
        <f>Model!AD166</f>
        <v/>
      </c>
      <c r="J16" s="36">
        <f>Model!AE166</f>
        <v/>
      </c>
    </row>
    <row r="17">
      <c r="A17" s="6" t="inlineStr">
        <is>
          <t>Stream 3: Family plan and Digital Will</t>
        </is>
      </c>
      <c r="D17" s="36">
        <f>SUM(Model!C167:N167)</f>
        <v/>
      </c>
      <c r="E17" s="36">
        <f>SUM(Model!O167:Z167)</f>
        <v/>
      </c>
      <c r="F17" s="36">
        <f>Model!AA167</f>
        <v/>
      </c>
      <c r="G17" s="36">
        <f>Model!AB167</f>
        <v/>
      </c>
      <c r="H17" s="36">
        <f>Model!AC167</f>
        <v/>
      </c>
      <c r="I17" s="36">
        <f>Model!AD167</f>
        <v/>
      </c>
      <c r="J17" s="36">
        <f>Model!AE167</f>
        <v/>
      </c>
    </row>
    <row r="18">
      <c r="A18" s="6" t="inlineStr">
        <is>
          <t>Stream 4: Cardholder fees</t>
        </is>
      </c>
      <c r="D18" s="36">
        <f>SUM(Model!C168:N168)</f>
        <v/>
      </c>
      <c r="E18" s="36">
        <f>SUM(Model!O168:Z168)</f>
        <v/>
      </c>
      <c r="F18" s="36">
        <f>Model!AA168</f>
        <v/>
      </c>
      <c r="G18" s="36">
        <f>Model!AB168</f>
        <v/>
      </c>
      <c r="H18" s="36">
        <f>Model!AC168</f>
        <v/>
      </c>
      <c r="I18" s="36">
        <f>Model!AD168</f>
        <v/>
      </c>
      <c r="J18" s="36">
        <f>Model!AE168</f>
        <v/>
      </c>
    </row>
    <row r="19">
      <c r="A19" s="6" t="inlineStr">
        <is>
          <t>Stream 5: Lending revenue share</t>
        </is>
      </c>
      <c r="D19" s="36">
        <f>SUM(Model!C169:N169)</f>
        <v/>
      </c>
      <c r="E19" s="36">
        <f>SUM(Model!O169:Z169)</f>
        <v/>
      </c>
      <c r="F19" s="36">
        <f>Model!AA169</f>
        <v/>
      </c>
      <c r="G19" s="36">
        <f>Model!AB169</f>
        <v/>
      </c>
      <c r="H19" s="36">
        <f>Model!AC169</f>
        <v/>
      </c>
      <c r="I19" s="36">
        <f>Model!AD169</f>
        <v/>
      </c>
      <c r="J19" s="36">
        <f>Model!AE169</f>
        <v/>
      </c>
    </row>
    <row r="20">
      <c r="A20" s="6" t="inlineStr">
        <is>
          <t>Stream 6: B2B platform fee</t>
        </is>
      </c>
      <c r="D20" s="36">
        <f>SUM(Model!C139:N139)</f>
        <v/>
      </c>
      <c r="E20" s="36">
        <f>SUM(Model!O139:Z139)</f>
        <v/>
      </c>
      <c r="F20" s="36">
        <f>Model!AA139</f>
        <v/>
      </c>
      <c r="G20" s="36">
        <f>Model!AB139</f>
        <v/>
      </c>
      <c r="H20" s="36">
        <f>Model!AC139</f>
        <v/>
      </c>
      <c r="I20" s="36">
        <f>Model!AD139</f>
        <v/>
      </c>
      <c r="J20" s="36">
        <f>Model!AE139</f>
        <v/>
      </c>
    </row>
    <row r="21">
      <c r="A21" s="3" t="inlineStr">
        <is>
          <t>Total by stream (reconciles to the regional total above)</t>
        </is>
      </c>
      <c r="D21" s="62">
        <f>SUM(Model!C172:N172)</f>
        <v/>
      </c>
      <c r="E21" s="62">
        <f>SUM(Model!O172:Z172)</f>
        <v/>
      </c>
      <c r="F21" s="62">
        <f>Model!AA172</f>
        <v/>
      </c>
      <c r="G21" s="62">
        <f>Model!AB172</f>
        <v/>
      </c>
      <c r="H21" s="62">
        <f>Model!AC172</f>
        <v/>
      </c>
      <c r="I21" s="62">
        <f>Model!AD172</f>
        <v/>
      </c>
      <c r="J21" s="62">
        <f>Model!AE172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39">
        <f>SUM(D24:D30)</f>
        <v/>
      </c>
      <c r="E31" s="39">
        <f>SUM(E24:E30)</f>
        <v/>
      </c>
      <c r="F31" s="39">
        <f>SUM(F24:F30)</f>
        <v/>
      </c>
      <c r="G31" s="39">
        <f>SUM(G24:G30)</f>
        <v/>
      </c>
      <c r="H31" s="39">
        <f>SUM(H24:H30)</f>
        <v/>
      </c>
      <c r="I31" s="39">
        <f>SUM(I24:I30)</f>
        <v/>
      </c>
      <c r="J31" s="39">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SUM(Model!C146:N146)</f>
        <v/>
      </c>
      <c r="E34" s="37">
        <f>SUM(Model!O146:Z146)</f>
        <v/>
      </c>
      <c r="F34" s="37">
        <f>Model!AA146</f>
        <v/>
      </c>
      <c r="G34" s="37">
        <f>Model!AB146</f>
        <v/>
      </c>
      <c r="H34" s="37">
        <f>Model!AC146</f>
        <v/>
      </c>
      <c r="I34" s="37">
        <f>Model!AD146</f>
        <v/>
      </c>
      <c r="J34" s="37">
        <f>Model!AE146</f>
        <v/>
      </c>
    </row>
    <row r="35">
      <c r="A35" s="3" t="inlineStr">
        <is>
          <t>Paying customers</t>
        </is>
      </c>
      <c r="D35" s="64">
        <f>Model!N143</f>
        <v/>
      </c>
      <c r="E35" s="64">
        <f>Model!Z143</f>
        <v/>
      </c>
      <c r="F35" s="64">
        <f>Model!AA143</f>
        <v/>
      </c>
      <c r="G35" s="64">
        <f>Model!AB143</f>
        <v/>
      </c>
      <c r="H35" s="64">
        <f>Model!AC143</f>
        <v/>
      </c>
      <c r="I35" s="64">
        <f>Model!AD143</f>
        <v/>
      </c>
      <c r="J35" s="64">
        <f>Model!AE143</f>
        <v/>
      </c>
    </row>
    <row r="36">
      <c r="A36" s="6" t="inlineStr">
        <is>
          <t>Holders (stopped paying, still hold gold)</t>
        </is>
      </c>
      <c r="D36" s="37">
        <f>Model!N144</f>
        <v/>
      </c>
      <c r="E36" s="37">
        <f>Model!Z144</f>
        <v/>
      </c>
      <c r="F36" s="37">
        <f>Model!AA144</f>
        <v/>
      </c>
      <c r="G36" s="37">
        <f>Model!AB144</f>
        <v/>
      </c>
      <c r="H36" s="37">
        <f>Model!AC144</f>
        <v/>
      </c>
      <c r="I36" s="37">
        <f>Model!AD144</f>
        <v/>
      </c>
      <c r="J36" s="37">
        <f>Model!AE144</f>
        <v/>
      </c>
    </row>
    <row r="37">
      <c r="A37" s="6" t="inlineStr">
        <is>
          <t>Cumulative ever acquired</t>
        </is>
      </c>
      <c r="D37" s="37">
        <f>Model!N145</f>
        <v/>
      </c>
      <c r="E37" s="37">
        <f>Model!Z145</f>
        <v/>
      </c>
      <c r="F37" s="37">
        <f>Model!AA145</f>
        <v/>
      </c>
      <c r="G37" s="37">
        <f>Model!AB145</f>
        <v/>
      </c>
      <c r="H37" s="37">
        <f>Model!AC145</f>
        <v/>
      </c>
      <c r="I37" s="37">
        <f>Model!AD145</f>
        <v/>
      </c>
      <c r="J37" s="37">
        <f>Model!AE145</f>
        <v/>
      </c>
    </row>
    <row r="38">
      <c r="A38" s="6" t="inlineStr">
        <is>
          <t>Active cards</t>
        </is>
      </c>
      <c r="D38" s="37">
        <f>Model!N147</f>
        <v/>
      </c>
      <c r="E38" s="37">
        <f>Model!Z147</f>
        <v/>
      </c>
      <c r="F38" s="37">
        <f>Model!AA147</f>
        <v/>
      </c>
      <c r="G38" s="37">
        <f>Model!AB147</f>
        <v/>
      </c>
      <c r="H38" s="37">
        <f>Model!AC147</f>
        <v/>
      </c>
      <c r="I38" s="37">
        <f>Model!AD147</f>
        <v/>
      </c>
      <c r="J38" s="37">
        <f>Model!AE147</f>
        <v/>
      </c>
    </row>
    <row r="39">
      <c r="A39" s="6" t="inlineStr">
        <is>
          <t>Grams under custody</t>
        </is>
      </c>
      <c r="D39" s="37">
        <f>Model!N149</f>
        <v/>
      </c>
      <c r="E39" s="37">
        <f>Model!Z149</f>
        <v/>
      </c>
      <c r="F39" s="37">
        <f>Model!AA149</f>
        <v/>
      </c>
      <c r="G39" s="37">
        <f>Model!AB149</f>
        <v/>
      </c>
      <c r="H39" s="37">
        <f>Model!AC149</f>
        <v/>
      </c>
      <c r="I39" s="37">
        <f>Model!AD149</f>
        <v/>
      </c>
      <c r="J39" s="37">
        <f>Model!AE149</f>
        <v/>
      </c>
    </row>
    <row r="40">
      <c r="A40" s="3" t="inlineStr">
        <is>
          <t>Gold under custody (comparable headline)</t>
        </is>
      </c>
      <c r="D40" s="62">
        <f>Model!N156</f>
        <v/>
      </c>
      <c r="E40" s="62">
        <f>Model!Z156</f>
        <v/>
      </c>
      <c r="F40" s="62">
        <f>Model!AA156</f>
        <v/>
      </c>
      <c r="G40" s="62">
        <f>Model!AB156</f>
        <v/>
      </c>
      <c r="H40" s="62">
        <f>Model!AC156</f>
        <v/>
      </c>
      <c r="I40" s="62">
        <f>Model!AD156</f>
        <v/>
      </c>
      <c r="J40" s="62">
        <f>Model!AE156</f>
        <v/>
      </c>
    </row>
    <row r="41">
      <c r="A41" s="6" t="inlineStr">
        <is>
          <t>Grams held (collateral-eligible)</t>
        </is>
      </c>
      <c r="D41" s="37">
        <f>Model!N148</f>
        <v/>
      </c>
      <c r="E41" s="37">
        <f>Model!Z148</f>
        <v/>
      </c>
      <c r="F41" s="37">
        <f>Model!AA148</f>
        <v/>
      </c>
      <c r="G41" s="37">
        <f>Model!AB148</f>
        <v/>
      </c>
      <c r="H41" s="37">
        <f>Model!AC148</f>
        <v/>
      </c>
      <c r="I41" s="37">
        <f>Model!AD148</f>
        <v/>
      </c>
      <c r="J41" s="37">
        <f>Model!AE148</f>
        <v/>
      </c>
    </row>
    <row r="42">
      <c r="A42" s="3" t="inlineStr">
        <is>
          <t>Collateral-eligible AUM</t>
        </is>
      </c>
      <c r="D42" s="62">
        <f>Model!N151</f>
        <v/>
      </c>
      <c r="E42" s="62">
        <f>Model!Z151</f>
        <v/>
      </c>
      <c r="F42" s="62">
        <f>Model!AA151</f>
        <v/>
      </c>
      <c r="G42" s="62">
        <f>Model!AB151</f>
        <v/>
      </c>
      <c r="H42" s="62">
        <f>Model!AC151</f>
        <v/>
      </c>
      <c r="I42" s="62">
        <f>Model!AD151</f>
        <v/>
      </c>
      <c r="J42" s="62">
        <f>Model!AE151</f>
        <v/>
      </c>
    </row>
    <row r="43">
      <c r="A43" s="6" t="inlineStr">
        <is>
          <t>Net revenue per paying customer (annualised)</t>
        </is>
      </c>
      <c r="D43" s="36">
        <f>Model!N173</f>
        <v/>
      </c>
      <c r="E43" s="36">
        <f>Model!Z173</f>
        <v/>
      </c>
      <c r="F43" s="36">
        <f>Model!AA173</f>
        <v/>
      </c>
      <c r="G43" s="36">
        <f>Model!AB173</f>
        <v/>
      </c>
      <c r="H43" s="36">
        <f>Model!AC173</f>
        <v/>
      </c>
      <c r="I43" s="36">
        <f>Model!AD173</f>
        <v/>
      </c>
      <c r="J43" s="36">
        <f>Model!AE173</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2026-08-21T10:12:43Z</dcterms:created>
  <dcterms:modified xmlns:dcterms="http://purl.org/dc/terms/" xmlns:xsi="http://www.w3.org/2001/XMLSchema-instance" xsi:type="dcterms:W3CDTF">2026-08-21T10:12:43Z</dcterms:modified>
</cp:coreProperties>
</file>