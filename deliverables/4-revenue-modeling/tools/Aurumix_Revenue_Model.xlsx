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Assumptions" sheetId="2" state="visible" r:id="rId2"/>
    <sheet xmlns:r="http://schemas.openxmlformats.org/officeDocument/2006/relationships" name="Scenario Parameters" sheetId="3" state="visible" r:id="rId3"/>
    <sheet xmlns:r="http://schemas.openxmlformats.org/officeDocument/2006/relationships" name="Model" sheetId="4" state="visible" r:id="rId4"/>
    <sheet xmlns:r="http://schemas.openxmlformats.org/officeDocument/2006/relationships" name="Summary" sheetId="5" state="visible" r:id="rId5"/>
  </sheets>
  <definedNames>
    <definedName name="act_gulf">Assumptions!$B$56</definedName>
    <definedName name="act_india">Assumptions!$B$57</definedName>
    <definedName name="act_referral">Assumptions!$B$55</definedName>
    <definedName name="act_s0">Assumptions!$B$49</definedName>
    <definedName name="act_s1a">Assumptions!$B$47</definedName>
    <definedName name="act_s1b">Assumptions!$B$48</definedName>
    <definedName name="act_s2">Assumptions!$B$51</definedName>
    <definedName name="act_s3">Assumptions!$B$50</definedName>
    <definedName name="act_s4">Assumptions!$B$52</definedName>
    <definedName name="act_s5">Assumptions!$B$53</definedName>
    <definedName name="act_s6">Assumptions!$B$54</definedName>
    <definedName name="aed_usd">Assumptions!$B$7</definedName>
    <definedName name="agent_productivity">'Scenario Parameters'!$B$12</definedName>
    <definedName name="agents_y1">Assumptions!$B$93</definedName>
    <definedName name="agents_y2">Assumptions!$B$94</definedName>
    <definedName name="agents_y3">Assumptions!$B$95</definedName>
    <definedName name="agents_y4">Assumptions!$B$96</definedName>
    <definedName name="agents_y5">Assumptions!$B$97</definedName>
    <definedName name="agents_y6">Assumptions!$B$98</definedName>
    <definedName name="agents_y7">Assumptions!$B$99</definedName>
    <definedName name="agentshare_gulf">Assumptions!$B$115</definedName>
    <definedName name="agentshare_india">Assumptions!$B$116</definedName>
    <definedName name="agentshare_uae">Assumptions!$B$114</definedName>
    <definedName name="atm_a1500">'Scenario Parameters'!$B$47</definedName>
    <definedName name="atm_a3000">'Scenario Parameters'!$B$48</definedName>
    <definedName name="atm_a3000p">'Scenario Parameters'!$B$49</definedName>
    <definedName name="atm_a500">'Scenario Parameters'!$B$46</definedName>
    <definedName name="atm_allowance">Assumptions!$B$18</definedName>
    <definedName name="atm_fee">Assumptions!$B$19</definedName>
    <definedName name="atmm_a1500">'Scenario Parameters'!$B$51</definedName>
    <definedName name="atmm_a3000">'Scenario Parameters'!$B$52</definedName>
    <definedName name="atmm_a3000p">'Scenario Parameters'!$B$53</definedName>
    <definedName name="atmm_a500">'Scenario Parameters'!$B$50</definedName>
    <definedName name="aum_per_partner">'Scenario Parameters'!$B$68</definedName>
    <definedName name="b2b_fee">Assumptions!$B$26</definedName>
    <definedName name="bar_grams">Assumptions!$B$10</definedName>
    <definedName name="cac_gulf">'Scenario Parameters'!$B$14</definedName>
    <definedName name="cac_india">'Scenario Parameters'!$B$15</definedName>
    <definedName name="cac_uae">'Scenario Parameters'!$B$13</definedName>
    <definedName name="card_activation">'Scenario Parameters'!$B$41</definedName>
    <definedName name="card_txns_per_draw">'Scenario Parameters'!$B$42</definedName>
    <definedName name="ceil_gulf">Assumptions!$B$85</definedName>
    <definedName name="ceil_india">Assumptions!$B$86</definedName>
    <definedName name="ceil_total">Assumptions!$B$87</definedName>
    <definedName name="ceil_uae">Assumptions!$B$84</definedName>
    <definedName name="decline_uplift">Assumptions!$B$16</definedName>
    <definedName name="draw_events">'Scenario Parameters'!$B$59</definedName>
    <definedName name="drawn_share">'Scenario Parameters'!$B$57</definedName>
    <definedName name="entry_fee">Assumptions!$B$8</definedName>
    <definedName name="ever_qualify">'Scenario Parameters'!$B$26</definedName>
    <definedName name="fab_premium">Assumptions!$B$9</definedName>
    <definedName name="facility_turnover">'Scenario Parameters'!$B$58</definedName>
    <definedName name="family_attach">'Scenario Parameters'!$B$60</definedName>
    <definedName name="family_price">Assumptions!$B$25</definedName>
    <definedName name="foreign_spend_share">'Scenario Parameters'!$B$43</definedName>
    <definedName name="fx_margin">Assumptions!$B$17</definedName>
    <definedName name="gate_run">Assumptions!$B$42</definedName>
    <definedName name="gold_price">Assumptions!$B$6</definedName>
    <definedName name="ic_gold">Assumptions!$B$14</definedName>
    <definedName name="issuance_events">'Scenario Parameters'!$B$44</definedName>
    <definedName name="issuance_fee">Assumptions!$B$20</definedName>
    <definedName name="lapsed_redemption_mult">'Scenario Parameters'!$B$33</definedName>
    <definedName name="ltv_gold">Assumptions!$B$31</definedName>
    <definedName name="mktg_y1">Assumptions!$B$100</definedName>
    <definedName name="mktg_y2">Assumptions!$B$101</definedName>
    <definedName name="mktg_y3">Assumptions!$B$102</definedName>
    <definedName name="mktg_y4">Assumptions!$B$103</definedName>
    <definedName name="mktg_y5">Assumptions!$B$104</definedName>
    <definedName name="mktg_y6">Assumptions!$B$105</definedName>
    <definedName name="mktg_y7">Assumptions!$B$106</definedName>
    <definedName name="mktshare_gulf">'Scenario Parameters'!$B$17</definedName>
    <definedName name="mktshare_india">'Scenario Parameters'!$B$18</definedName>
    <definedName name="mktshare_uae">'Scenario Parameters'!$B$16</definedName>
    <definedName name="monthly_churn">'Scenario Parameters'!$B$11</definedName>
    <definedName name="months_to_qualify">'Scenario Parameters'!$B$27</definedName>
    <definedName name="organic_share">'Scenario Parameters'!$B$21</definedName>
    <definedName name="origination_gross">Assumptions!$B$27</definedName>
    <definedName name="origination_share">Assumptions!$B$28</definedName>
    <definedName name="partners_y1">'Scenario Parameters'!$B$61</definedName>
    <definedName name="partners_y2">'Scenario Parameters'!$B$62</definedName>
    <definedName name="partners_y3">'Scenario Parameters'!$B$63</definedName>
    <definedName name="partners_y4">'Scenario Parameters'!$B$64</definedName>
    <definedName name="partners_y5">'Scenario Parameters'!$B$65</definedName>
    <definedName name="partners_y6">'Scenario Parameters'!$B$66</definedName>
    <definedName name="partners_y7">'Scenario Parameters'!$B$67</definedName>
    <definedName name="persistency_m13">'Scenario Parameters'!$B$10</definedName>
    <definedName name="pm_share">'Scenario Parameters'!$B$40</definedName>
    <definedName name="ramp_y1">Assumptions!$B$107</definedName>
    <definedName name="ramp_y2">Assumptions!$B$108</definedName>
    <definedName name="ramp_y3">Assumptions!$B$109</definedName>
    <definedName name="ramp_y4">Assumptions!$B$110</definedName>
    <definedName name="ramp_y5">Assumptions!$B$111</definedName>
    <definedName name="ramp_y6">Assumptions!$B$112</definedName>
    <definedName name="ramp_y7">Assumptions!$B$113</definedName>
    <definedName name="redemption_cost">Assumptions!$B$43</definedName>
    <definedName name="redemption_rate">'Scenario Parameters'!$B$32</definedName>
    <definedName name="referral_conversion">'Scenario Parameters'!$B$20</definedName>
    <definedName name="referral_rate">'Scenario Parameters'!$B$19</definedName>
    <definedName name="replacement_events">'Scenario Parameters'!$B$45</definedName>
    <definedName name="replacement_fee">Assumptions!$B$21</definedName>
    <definedName name="scenario_index">'Scenario Parameters'!$C$6</definedName>
    <definedName name="seas_sum_acq">Model!$C$14</definedName>
    <definedName name="seas_sum_spend">Model!$D$14</definedName>
    <definedName name="seasonality_amplitude">'Scenario Parameters'!$B$22</definedName>
    <definedName name="self_custody_leakage">'Scenario Parameters'!$B$31</definedName>
    <definedName name="servicing_gross">Assumptions!$B$29</definedName>
    <definedName name="servicing_share">Assumptions!$B$30</definedName>
    <definedName name="sip_floor">Assumptions!$B$41</definedName>
    <definedName name="spot_attach_mult">'Scenario Parameters'!$B$34</definedName>
    <definedName name="spot_frequency">'Scenario Parameters'!$B$36</definedName>
    <definedName name="spot_ticket_mult">'Scenario Parameters'!$B$35</definedName>
    <definedName name="spotattach_gulf">Assumptions!$B$36</definedName>
    <definedName name="spotattach_india">Assumptions!$B$37</definedName>
    <definedName name="spotattach_uae">Assumptions!$B$35</definedName>
    <definedName name="spotticket_gulf">Assumptions!$B$33</definedName>
    <definedName name="spotticket_india">Assumptions!$B$34</definedName>
    <definedName name="spotticket_uae">Assumptions!$B$32</definedName>
    <definedName name="sw_lapsed_keeps_card">'Scenario Parameters'!$B$79</definedName>
    <definedName name="sw_prepaid_vs_credit">'Scenario Parameters'!$B$78</definedName>
    <definedName name="ticket_gulf">'Scenario Parameters'!$B$73</definedName>
    <definedName name="ticket_india">'Scenario Parameters'!$B$74</definedName>
    <definedName name="ticket_uae">'Scenario Parameters'!$B$72</definedName>
    <definedName name="txn_fee">Assumptions!$B$15</definedName>
    <definedName name="xchk_uae_obs">Assumptions!$B$89</definedName>
  </definedNames>
  <calcPr calcId="124519" fullCalcOnLoad="1"/>
</workbook>
</file>

<file path=xl/styles.xml><?xml version="1.0" encoding="utf-8"?>
<styleSheet xmlns="http://schemas.openxmlformats.org/spreadsheetml/2006/main">
  <numFmts count="8">
    <numFmt numFmtId="164" formatCode="mmmm yyyy"/>
    <numFmt numFmtId="165" formatCode="#,##0.00;(#,##0.00);&quot;-&quot;"/>
    <numFmt numFmtId="166" formatCode="#,##0;(#,##0);&quot;-&quot;"/>
    <numFmt numFmtId="167" formatCode="$#,##0.00;($#,##0.00);&quot;-&quot;"/>
    <numFmt numFmtId="168" formatCode="0.0%"/>
    <numFmt numFmtId="169" formatCode="$#,##0;($#,##0);&quot;-&quot;"/>
    <numFmt numFmtId="170" formatCode="0.00&quot;x&quot;"/>
    <numFmt numFmtId="171" formatCode="#,##0.000"/>
  </numFmts>
  <fonts count="16">
    <font>
      <name val="Calibri"/>
      <family val="2"/>
      <color theme="1"/>
      <sz val="11"/>
      <scheme val="minor"/>
    </font>
    <font>
      <b val="1"/>
      <color rgb="00B8956E"/>
      <sz val="24"/>
    </font>
    <font>
      <color rgb="001A1714"/>
      <sz val="16"/>
    </font>
    <font>
      <b val="1"/>
      <color rgb="00000000"/>
    </font>
    <font>
      <color rgb="000000FF"/>
    </font>
    <font>
      <color rgb="00000000"/>
    </font>
    <font>
      <color rgb="00009B73"/>
    </font>
    <font>
      <b val="1"/>
      <color rgb="00C00000"/>
    </font>
    <font>
      <i val="1"/>
      <color rgb="0096734A"/>
      <sz val="9"/>
    </font>
    <font>
      <b val="1"/>
      <color rgb="00B8956E"/>
      <sz val="18"/>
    </font>
    <font>
      <b val="1"/>
      <color rgb="001A1714"/>
      <sz val="14"/>
    </font>
    <font>
      <b val="1"/>
      <color rgb="00FFFFFF"/>
      <sz val="11"/>
    </font>
    <font>
      <b val="1"/>
      <color rgb="001A1714"/>
      <sz val="10"/>
    </font>
    <font>
      <color rgb="0096734A"/>
      <sz val="9"/>
    </font>
    <font>
      <b val="1"/>
      <color rgb="000000FF"/>
    </font>
    <font>
      <b val="1"/>
      <color rgb="001A1714"/>
      <sz val="11"/>
    </font>
  </fonts>
  <fills count="5">
    <fill>
      <patternFill/>
    </fill>
    <fill>
      <patternFill patternType="gray125"/>
    </fill>
    <fill>
      <patternFill patternType="solid">
        <fgColor rgb="001A1714"/>
      </patternFill>
    </fill>
    <fill>
      <patternFill patternType="solid">
        <fgColor rgb="00D4CFC8"/>
      </patternFill>
    </fill>
    <fill>
      <patternFill patternType="solid">
        <fgColor rgb="00E8E4DF"/>
      </patternFill>
    </fill>
  </fills>
  <borders count="3">
    <border>
      <left/>
      <right/>
      <top/>
      <bottom/>
      <diagonal/>
    </border>
    <border>
      <left style="thin">
        <color rgb="00D4CFC8"/>
      </left>
      <right style="thin">
        <color rgb="00D4CFC8"/>
      </right>
      <top style="thin">
        <color rgb="00D4CFC8"/>
      </top>
      <bottom style="thin">
        <color rgb="00D4CFC8"/>
      </bottom>
    </border>
    <border>
      <top style="thin">
        <color rgb="00B8956E"/>
      </top>
      <bottom style="double">
        <color rgb="00B8956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164" fontId="0"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0" pivotButton="0" quotePrefix="0" xfId="0"/>
    <xf numFmtId="0" fontId="11" fillId="2" borderId="0" pivotButton="0" quotePrefix="0" xfId="0"/>
    <xf numFmtId="0" fontId="0" fillId="2" borderId="0" pivotButton="0" quotePrefix="0" xfId="0"/>
    <xf numFmtId="0" fontId="12" fillId="3" borderId="1" pivotButton="0" quotePrefix="0" xfId="0"/>
    <xf numFmtId="165" fontId="4" fillId="0" borderId="0" pivotButton="0" quotePrefix="0" xfId="0"/>
    <xf numFmtId="10" fontId="4" fillId="0" borderId="0" pivotButton="0" quotePrefix="0" xfId="0"/>
    <xf numFmtId="166" fontId="4" fillId="0" borderId="0" pivotButton="0" quotePrefix="0" xfId="0"/>
    <xf numFmtId="167" fontId="4" fillId="0" borderId="0" pivotButton="0" quotePrefix="0" xfId="0"/>
    <xf numFmtId="168" fontId="4" fillId="0" borderId="0" pivotButton="0" quotePrefix="0" xfId="0"/>
    <xf numFmtId="169" fontId="4" fillId="0" borderId="0" pivotButton="0" quotePrefix="0" xfId="0"/>
    <xf numFmtId="0" fontId="12" fillId="3" borderId="0" applyAlignment="1" pivotButton="0" quotePrefix="0" xfId="0">
      <alignment horizontal="center"/>
    </xf>
    <xf numFmtId="165" fontId="4" fillId="0" borderId="0" applyAlignment="1" pivotButton="0" quotePrefix="0" xfId="0">
      <alignment horizontal="center"/>
    </xf>
    <xf numFmtId="0" fontId="13" fillId="0" borderId="0" pivotButton="0" quotePrefix="0" xfId="0"/>
    <xf numFmtId="0" fontId="12" fillId="3" borderId="0" pivotButton="0" quotePrefix="0" xfId="0"/>
    <xf numFmtId="0" fontId="12" fillId="3" borderId="0" applyAlignment="1" pivotButton="0" quotePrefix="0" xfId="0">
      <alignment horizontal="center" wrapText="1"/>
    </xf>
    <xf numFmtId="166" fontId="4" fillId="0" borderId="0" applyAlignment="1" pivotButton="0" quotePrefix="0" xfId="0">
      <alignment horizontal="center"/>
    </xf>
    <xf numFmtId="168" fontId="4" fillId="0" borderId="0" applyAlignment="1" pivotButton="0" quotePrefix="0" xfId="0">
      <alignment horizontal="center"/>
    </xf>
    <xf numFmtId="166" fontId="3" fillId="0" borderId="0" applyAlignment="1" pivotButton="0" quotePrefix="0" xfId="0">
      <alignment horizontal="center"/>
    </xf>
    <xf numFmtId="10" fontId="4" fillId="0" borderId="0" applyAlignment="1" pivotButton="0" quotePrefix="0" xfId="0">
      <alignment horizontal="center"/>
    </xf>
    <xf numFmtId="0" fontId="13" fillId="0" borderId="0" applyAlignment="1" pivotButton="0" quotePrefix="0" xfId="0">
      <alignment horizontal="center"/>
    </xf>
    <xf numFmtId="166" fontId="3" fillId="0" borderId="0" pivotButton="0" quotePrefix="0" xfId="0"/>
    <xf numFmtId="170" fontId="3" fillId="0" borderId="0" pivotButton="0" quotePrefix="0" xfId="0"/>
    <xf numFmtId="168" fontId="6" fillId="0" borderId="0" pivotButton="0" quotePrefix="0" xfId="0"/>
    <xf numFmtId="10" fontId="6" fillId="0" borderId="0" pivotButton="0" quotePrefix="0" xfId="0"/>
    <xf numFmtId="165" fontId="6" fillId="0" borderId="0" pivotButton="0" quotePrefix="0" xfId="0"/>
    <xf numFmtId="169" fontId="6" fillId="0" borderId="0" pivotButton="0" quotePrefix="0" xfId="0"/>
    <xf numFmtId="166" fontId="6" fillId="0" borderId="0" pivotButton="0" quotePrefix="0" xfId="0"/>
    <xf numFmtId="0" fontId="14" fillId="0" borderId="0" pivotButton="0" quotePrefix="0" xfId="0"/>
    <xf numFmtId="168" fontId="3" fillId="0" borderId="0" pivotButton="0" quotePrefix="0" xfId="0"/>
    <xf numFmtId="10" fontId="3" fillId="0" borderId="0" pivotButton="0" quotePrefix="0" xfId="0"/>
    <xf numFmtId="165" fontId="3" fillId="0" borderId="0" pivotButton="0" quotePrefix="0" xfId="0"/>
    <xf numFmtId="169" fontId="3" fillId="0" borderId="0" pivotButton="0" quotePrefix="0" xfId="0"/>
    <xf numFmtId="0" fontId="3" fillId="0" borderId="0" applyAlignment="1" pivotButton="0" quotePrefix="0" xfId="0">
      <alignment horizontal="center"/>
    </xf>
    <xf numFmtId="0" fontId="5" fillId="0" borderId="0" applyAlignment="1" pivotButton="0" quotePrefix="0" xfId="0">
      <alignment horizontal="center"/>
    </xf>
    <xf numFmtId="166" fontId="5" fillId="0" borderId="0" applyAlignment="1" pivotButton="0" quotePrefix="0" xfId="0">
      <alignment horizontal="center"/>
    </xf>
    <xf numFmtId="0" fontId="15" fillId="4" borderId="0" pivotButton="0" quotePrefix="0" xfId="0"/>
    <xf numFmtId="0" fontId="0" fillId="4" borderId="0" pivotButton="0" quotePrefix="0" xfId="0"/>
    <xf numFmtId="171" fontId="6" fillId="0" borderId="0" applyAlignment="1" pivotButton="0" quotePrefix="0" xfId="0">
      <alignment horizontal="center"/>
    </xf>
    <xf numFmtId="168" fontId="6" fillId="0" borderId="0" applyAlignment="1" pivotButton="0" quotePrefix="0" xfId="0">
      <alignment horizontal="center"/>
    </xf>
    <xf numFmtId="171" fontId="3" fillId="0" borderId="0" pivotButton="0" quotePrefix="0" xfId="0"/>
    <xf numFmtId="171" fontId="5" fillId="0" borderId="0" applyAlignment="1" pivotButton="0" quotePrefix="0" xfId="0">
      <alignment horizontal="center"/>
    </xf>
    <xf numFmtId="168" fontId="5" fillId="0" borderId="0" applyAlignment="1" pivotButton="0" quotePrefix="0" xfId="0">
      <alignment horizontal="center"/>
    </xf>
    <xf numFmtId="165" fontId="6" fillId="0" borderId="0" applyAlignment="1" pivotButton="0" quotePrefix="0" xfId="0">
      <alignment horizontal="center"/>
    </xf>
    <xf numFmtId="165" fontId="5" fillId="0" borderId="0" applyAlignment="1" pivotButton="0" quotePrefix="0" xfId="0">
      <alignment horizontal="center"/>
    </xf>
    <xf numFmtId="169" fontId="5" fillId="0" borderId="0" applyAlignment="1" pivotButton="0" quotePrefix="0" xfId="0">
      <alignment horizontal="center"/>
    </xf>
    <xf numFmtId="10" fontId="5" fillId="0" borderId="0" applyAlignment="1" pivotButton="0" quotePrefix="0" xfId="0">
      <alignment horizontal="center"/>
    </xf>
    <xf numFmtId="169" fontId="3" fillId="0" borderId="0" applyAlignment="1" pivotButton="0" quotePrefix="0" xfId="0">
      <alignment horizontal="center"/>
    </xf>
    <xf numFmtId="169" fontId="6" fillId="0" borderId="0" applyAlignment="1" pivotButton="0" quotePrefix="0" xfId="0">
      <alignment horizontal="center"/>
    </xf>
    <xf numFmtId="171" fontId="3" fillId="0" borderId="0" applyAlignment="1" pivotButton="0" quotePrefix="0" xfId="0">
      <alignment horizontal="center"/>
    </xf>
    <xf numFmtId="170" fontId="3" fillId="0" borderId="0" applyAlignment="1" pivotButton="0" quotePrefix="0" xfId="0">
      <alignment horizontal="center"/>
    </xf>
    <xf numFmtId="0" fontId="12" fillId="3" borderId="1" applyAlignment="1" pivotButton="0" quotePrefix="0" xfId="0">
      <alignment horizontal="center"/>
    </xf>
    <xf numFmtId="169" fontId="6" fillId="0" borderId="2" pivotButton="0" quotePrefix="0" xfId="0"/>
    <xf numFmtId="168" fontId="5" fillId="0" borderId="0" pivotButton="0" quotePrefix="0" xfId="0"/>
    <xf numFmtId="166" fontId="6" fillId="0" borderId="2"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5"/>
  <sheetViews>
    <sheetView showGridLines="0" workbookViewId="0">
      <selection activeCell="A1" sqref="A1"/>
    </sheetView>
  </sheetViews>
  <sheetFormatPr baseColWidth="8" defaultRowHeight="15"/>
  <cols>
    <col width="3" customWidth="1" min="1" max="1"/>
    <col width="30" customWidth="1" min="2" max="2"/>
    <col width="104" customWidth="1" min="3" max="3"/>
  </cols>
  <sheetData>
    <row r="2">
      <c r="B2" s="1" t="inlineStr">
        <is>
          <t>Aurumix Revenue Model</t>
        </is>
      </c>
    </row>
    <row r="3">
      <c r="B3" s="2" t="inlineStr">
        <is>
          <t>Hybrid Monthly + Annual View  |  7-Year Projection</t>
        </is>
      </c>
    </row>
    <row r="5">
      <c r="B5" s="3" t="inlineStr">
        <is>
          <t>Date</t>
        </is>
      </c>
      <c r="C5" s="4">
        <f>TODAY()</f>
        <v/>
      </c>
    </row>
    <row r="6">
      <c r="B6" s="3" t="inlineStr">
        <is>
          <t>Scope</t>
        </is>
      </c>
      <c r="C6" t="inlineStr">
        <is>
          <t>REVENUE ONLY. Six revenue streams, reported net of cost of revenue. Operating costs, tax, cash and funding are added in a later build.</t>
        </is>
      </c>
    </row>
    <row r="7">
      <c r="B7" s="3" t="inlineStr">
        <is>
          <t>Periods</t>
        </is>
      </c>
      <c r="C7" t="inlineStr">
        <is>
          <t>24 monthly (M1-M24) + 5 annual (Y3-Y7) = 29 total.  M1 = January 2027</t>
        </is>
      </c>
    </row>
    <row r="8">
      <c r="B8" s="3" t="inlineStr">
        <is>
          <t>Engine</t>
        </is>
      </c>
      <c r="C8" t="inlineStr">
        <is>
          <t>Rolling customer balance: opening + new - churned = closing, by region. Customers who stop paying keep their gold and move to a HOLDERS balance.</t>
        </is>
      </c>
    </row>
    <row r="9">
      <c r="B9" s="3" t="inlineStr">
        <is>
          <t>Metal</t>
        </is>
      </c>
      <c r="C9" t="inlineStr">
        <is>
          <t>100 g bars throughout. One entry fee, one fabrication premium.</t>
        </is>
      </c>
    </row>
    <row r="10">
      <c r="B10" s="3" t="inlineStr">
        <is>
          <t>Prepared by</t>
        </is>
      </c>
      <c r="C10" t="inlineStr">
        <is>
          <t>Tokenomics.net: Custom Data Room Engagement</t>
        </is>
      </c>
    </row>
    <row r="12">
      <c r="B12" s="3" t="inlineStr">
        <is>
          <t>COLOR LEGEND</t>
        </is>
      </c>
    </row>
    <row r="13">
      <c r="B13" s="5" t="inlineStr">
        <is>
          <t>BLUE text</t>
        </is>
      </c>
      <c r="C13" t="inlineStr">
        <is>
          <t>Hardcoded inputs (Assumptions &amp; Scenario Parameters)</t>
        </is>
      </c>
    </row>
    <row r="14">
      <c r="B14" s="6" t="inlineStr">
        <is>
          <t>BLACK text</t>
        </is>
      </c>
      <c r="C14" t="inlineStr">
        <is>
          <t>In-sheet formulas</t>
        </is>
      </c>
    </row>
    <row r="15">
      <c r="B15" s="7" t="inlineStr">
        <is>
          <t>GREEN text</t>
        </is>
      </c>
      <c r="C15" t="inlineStr">
        <is>
          <t>Cross-sheet references</t>
        </is>
      </c>
    </row>
    <row r="17">
      <c r="B17" s="3" t="inlineStr">
        <is>
          <t>SHEETS</t>
        </is>
      </c>
    </row>
    <row r="18">
      <c r="B18" t="inlineStr">
        <is>
          <t>Cover: This page</t>
        </is>
      </c>
    </row>
    <row r="19">
      <c r="B19" t="inlineStr">
        <is>
          <t>Assumptions: Fixed inputs, activation calendar, seasonality, market ceilings</t>
        </is>
      </c>
    </row>
    <row r="20">
      <c r="B20" t="inlineStr">
        <is>
          <t>Scenario Parameters: Base / Aggressive / Conservative, plus structural switches</t>
        </is>
      </c>
    </row>
    <row r="21">
      <c r="B21" t="inlineStr">
        <is>
          <t>Model: Customer engine, AUM and the six revenue streams (29 periods)</t>
        </is>
      </c>
    </row>
    <row r="22">
      <c r="B22" t="inlineStr">
        <is>
          <t>Summary: Annual revenue by stream (Y1-Y7), revenue mix, key metrics</t>
        </is>
      </c>
    </row>
    <row r="24">
      <c r="B24" s="8" t="inlineStr">
        <is>
          <t>SIMPLIFIED BUILD - cohort and archetype detail moves to the Phase 5 simulation.</t>
        </is>
      </c>
    </row>
    <row r="25">
      <c r="B25" s="9" t="inlineStr">
        <is>
          <t>Kept as inputs rather than engines: card eligibility (% who qualify, months to qualify), the holders balance, and the fabrication premium inside stream 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72"/>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54" customWidth="1" min="1" max="1"/>
    <col width="16" customWidth="1" min="2" max="2"/>
    <col width="24" customWidth="1" min="3" max="3"/>
    <col width="120" customWidth="1" min="4" max="4"/>
    <col width="15" customWidth="1" min="6" max="6"/>
    <col width="15" customWidth="1" min="7" max="7"/>
    <col width="15" customWidth="1" min="8" max="8"/>
    <col width="15" customWidth="1" min="9" max="9"/>
    <col width="8" customWidth="1" min="10" max="10"/>
    <col width="8" customWidth="1" min="11" max="11"/>
    <col width="8" customWidth="1" min="12" max="12"/>
    <col width="8" customWidth="1" min="13" max="13"/>
    <col width="8" customWidth="1" min="14" max="14"/>
    <col width="8" customWidth="1" min="15" max="15"/>
    <col width="8" customWidth="1" min="16" max="16"/>
    <col width="8" customWidth="1" min="17" max="17"/>
  </cols>
  <sheetData>
    <row r="1">
      <c r="A1" s="10">
        <f>Cover!$B$2</f>
        <v/>
      </c>
    </row>
    <row r="2">
      <c r="A2" s="11" t="inlineStr">
        <is>
          <t>Inputs and Assumptions</t>
        </is>
      </c>
    </row>
    <row r="4" ht="18" customHeight="1">
      <c r="A4" s="12" t="inlineStr">
        <is>
          <t>PRICING AND METAL</t>
        </is>
      </c>
      <c r="B4" s="13" t="n"/>
      <c r="C4" s="13" t="n"/>
      <c r="D4" s="13" t="n"/>
    </row>
    <row r="5">
      <c r="A5" s="14" t="inlineStr">
        <is>
          <t>Parameter</t>
        </is>
      </c>
      <c r="B5" s="14" t="inlineStr">
        <is>
          <t>Value</t>
        </is>
      </c>
      <c r="C5" s="14" t="inlineStr">
        <is>
          <t>Unit</t>
        </is>
      </c>
      <c r="D5" s="14" t="inlineStr">
        <is>
          <t>Source</t>
        </is>
      </c>
    </row>
    <row r="6">
      <c r="A6" t="inlineStr">
        <is>
          <t>Gold price (flat)</t>
        </is>
      </c>
      <c r="B6" s="15" t="n">
        <v>141.46</v>
      </c>
      <c r="C6" t="inlineStr">
        <is>
          <t>USD/g</t>
        </is>
      </c>
      <c r="D6" t="inlineStr">
        <is>
          <t>USD 4,400/oz verified 2026-08-17. HELD FLAT BY DESIGN so every revenue change is attributable to the business, not the metal. CITED.</t>
        </is>
      </c>
    </row>
    <row r="7">
      <c r="A7" t="inlineStr">
        <is>
          <t>AED/USD peg</t>
        </is>
      </c>
      <c r="B7" s="15" t="n">
        <v>3.6725</v>
      </c>
      <c r="C7" t="inlineStr">
        <is>
          <t>AED/USD</t>
        </is>
      </c>
      <c r="D7" t="inlineStr">
        <is>
          <t>CBUAE peg. CITED.</t>
        </is>
      </c>
    </row>
    <row r="8">
      <c r="A8" t="inlineStr">
        <is>
          <t>Entry fee charged</t>
        </is>
      </c>
      <c r="B8" s="16" t="n">
        <v>0.05</v>
      </c>
      <c r="C8" t="inlineStr">
        <is>
          <t>% of contribution</t>
        </is>
      </c>
      <c r="D8" t="inlineStr">
        <is>
          <t>Decision 9, client-stated. A SINGLE RATE throughout. CLIENT INPUT.</t>
        </is>
      </c>
    </row>
    <row r="9">
      <c r="A9" t="inlineStr">
        <is>
          <t>Fabrication premium paid</t>
        </is>
      </c>
      <c r="B9" s="16" t="n">
        <v>0.015</v>
      </c>
      <c r="C9" t="inlineStr">
        <is>
          <t>% over spot</t>
        </is>
      </c>
      <c r="D9" t="inlineStr">
        <is>
          <t>100 g bars. OBSERVED (D28): goldtrade.ae 19 Aug 2026 measured 100 g at +1.71% (PAMP 1.75, Valcambi 1.67), less the published 25 bp bulk gradient. THE ENTRY FEE IS A MARGIN, NOT A FEE - this is netted off stream 1, because it is cost OF REVENUE. Reporting stream 1 gross would read ~43% high.</t>
        </is>
      </c>
    </row>
    <row r="10">
      <c r="A10" t="inlineStr">
        <is>
          <t>Bar denomination</t>
        </is>
      </c>
      <c r="B10" s="17" t="n">
        <v>100</v>
      </c>
      <c r="C10" t="inlineStr">
        <is>
          <t>grams</t>
        </is>
      </c>
      <c r="D10" t="inlineStr">
        <is>
          <t>100 g throughout, by agreement. OBSERVED.</t>
        </is>
      </c>
    </row>
    <row r="12" ht="18" customHeight="1">
      <c r="A12" s="12" t="inlineStr">
        <is>
          <t>CARD ECONOMICS</t>
        </is>
      </c>
      <c r="B12" s="13" t="n"/>
      <c r="C12" s="13" t="n"/>
      <c r="D12" s="13" t="n"/>
    </row>
    <row r="13">
      <c r="A13" s="14" t="inlineStr">
        <is>
          <t>Parameter</t>
        </is>
      </c>
      <c r="B13" s="14" t="inlineStr">
        <is>
          <t>Value</t>
        </is>
      </c>
      <c r="C13" s="14" t="inlineStr">
        <is>
          <t>Unit</t>
        </is>
      </c>
      <c r="D13" s="14" t="inlineStr">
        <is>
          <t>Source</t>
        </is>
      </c>
    </row>
    <row r="14">
      <c r="A14" t="inlineStr">
        <is>
          <t>Interchange - Gold</t>
        </is>
      </c>
      <c r="B14" s="16" t="n">
        <v>0.018</v>
      </c>
      <c r="C14" t="inlineStr">
        <is>
          <t>% of spend</t>
        </is>
      </c>
      <c r="D14" t="inlineStr">
        <is>
          <t>Visa UAE IRF schedule, 18 Oct 2025. CITED, PRIMARY. The live model reads the FLAT GOLD RATE: replacing the full 1.80/2.05/2.10 ladder with it moves stream 2 by only ~2% of gross profit at Y7, because Sovereign is 1.2% of tiered accounts.</t>
        </is>
      </c>
    </row>
    <row r="15">
      <c r="A15" t="inlineStr">
        <is>
          <t>Per-transaction processor fee</t>
        </is>
      </c>
      <c r="B15" s="18" t="n">
        <v>0.1</v>
      </c>
      <c r="C15" t="inlineStr">
        <is>
          <t>USD/authorised txn</t>
        </is>
      </c>
      <c r="D15" t="inlineStr">
        <is>
          <t>WHAT THE PROCESSOR CHARGES AURUMIX to authorise and switch each transaction - NOT passed to the cardholder, and it cannot be: no consumer card charges per swipe on normal purchases, the card here is a REWARD for saving rather than a product sold, and a declined authorisation cannot be billed to anyone. Issuing economics are structurally: earn interchange, pay scheme and processing costs out of it. USD 0.10 is Stripe Issuing's PUBLISHED RACK RATE, used as a proxy because NO UAE PROCESSOR PUBLISHES PRICING. At volume, processors commonly reach USD 0.02-0.05 - a term-sheet negotiation, and at USD 0.03 the minimum profitable transaction falls from ~AED 77 to ~AED 23. CITED as a proxy.</t>
        </is>
      </c>
    </row>
    <row r="16">
      <c r="A16" t="inlineStr">
        <is>
          <t>Decline uplift on authorised txns</t>
        </is>
      </c>
      <c r="B16" s="19" t="n">
        <v>0.06</v>
      </c>
      <c r="C16" t="inlineStr">
        <is>
          <t>% uplift</t>
        </is>
      </c>
      <c r="D16" t="inlineStr">
        <is>
          <t>The processor fee is charged per AUTHORISATION, not per settled transaction, so declined attempts are billable to Aurumix and chargeable to nobody. ASSUMPTION.</t>
        </is>
      </c>
    </row>
    <row r="17">
      <c r="A17" t="inlineStr">
        <is>
          <t>FX margin on foreign spend</t>
        </is>
      </c>
      <c r="B17" s="16" t="n">
        <v>0.02</v>
      </c>
      <c r="C17" t="inlineStr">
        <is>
          <t>% of foreign spend</t>
        </is>
      </c>
      <c r="D17" t="inlineStr">
        <is>
          <t>Market rate ~2%, converged across four comparables. CITED.</t>
        </is>
      </c>
    </row>
    <row r="18">
      <c r="A18" t="inlineStr">
        <is>
          <t>Free ATM allowance (Gold)</t>
        </is>
      </c>
      <c r="B18" s="17" t="n">
        <v>1000</v>
      </c>
      <c r="C18" t="inlineStr">
        <is>
          <t>AED/month</t>
        </is>
      </c>
      <c r="D18" t="inlineStr">
        <is>
          <t>Monthly and NOT rolling. Set deliberately ABOVE the median draw - that is the finding. CITED.</t>
        </is>
      </c>
    </row>
    <row r="19">
      <c r="A19" t="inlineStr">
        <is>
          <t>ATM fee over the allowance</t>
        </is>
      </c>
      <c r="B19" s="16" t="n">
        <v>0.02</v>
      </c>
      <c r="C19" t="inlineStr">
        <is>
          <t>% of the excess</t>
        </is>
      </c>
      <c r="D19" t="inlineStr">
        <is>
          <t>Sector converged. CITED.</t>
        </is>
      </c>
    </row>
    <row r="20">
      <c r="A20" t="inlineStr">
        <is>
          <t>Card issuance fee</t>
        </is>
      </c>
      <c r="B20" s="17" t="n">
        <v>75</v>
      </c>
      <c r="C20" t="inlineStr">
        <is>
          <t>AED one-off</t>
        </is>
      </c>
      <c r="D20" t="inlineStr">
        <is>
          <t>Charged at base level, waived at upper tiers. CITED structure, ASSUMPTION rate.</t>
        </is>
      </c>
    </row>
    <row r="21">
      <c r="A21" t="inlineStr">
        <is>
          <t>Card replacement fee</t>
        </is>
      </c>
      <c r="B21" s="17" t="n">
        <v>100</v>
      </c>
      <c r="C21" t="inlineStr">
        <is>
          <t>AED per event</t>
        </is>
      </c>
      <c r="D21" t="inlineStr">
        <is>
          <t>Market-normal UAE replacement is AED 75-150. ASSUMPTION.</t>
        </is>
      </c>
    </row>
    <row r="23" ht="18" customHeight="1">
      <c r="A23" s="12" t="inlineStr">
        <is>
          <t>OTHER STREAM PRICING</t>
        </is>
      </c>
      <c r="B23" s="13" t="n"/>
      <c r="C23" s="13" t="n"/>
      <c r="D23" s="13" t="n"/>
    </row>
    <row r="24">
      <c r="A24" s="14" t="inlineStr">
        <is>
          <t>Parameter</t>
        </is>
      </c>
      <c r="B24" s="14" t="inlineStr">
        <is>
          <t>Value</t>
        </is>
      </c>
      <c r="C24" s="14" t="inlineStr">
        <is>
          <t>Unit</t>
        </is>
      </c>
      <c r="D24" s="14" t="inlineStr">
        <is>
          <t>Source</t>
        </is>
      </c>
    </row>
    <row r="25">
      <c r="A25" t="inlineStr">
        <is>
          <t>Family plan / Digital Will price</t>
        </is>
      </c>
      <c r="B25" s="20" t="n">
        <v>120</v>
      </c>
      <c r="C25" t="inlineStr">
        <is>
          <t>USD/yr</t>
        </is>
      </c>
      <c r="D25" t="inlineStr">
        <is>
          <t>Price is ours; the cost floor is verified. ASSUMPTION.</t>
        </is>
      </c>
    </row>
    <row r="26">
      <c r="A26" t="inlineStr">
        <is>
          <t>B2B platform fee</t>
        </is>
      </c>
      <c r="B26" s="16" t="n">
        <v>0.00625</v>
      </c>
      <c r="C26" t="inlineStr">
        <is>
          <t>% of partner AUM/yr</t>
        </is>
      </c>
      <c r="D26" t="inlineStr">
        <is>
          <t>Placeholder in the 0.5-0.75% band, coupled to the partner set. ASSUMPTION.</t>
        </is>
      </c>
    </row>
    <row r="27">
      <c r="A27" t="inlineStr">
        <is>
          <t>Credit origination fee - gross</t>
        </is>
      </c>
      <c r="B27" s="16" t="n">
        <v>0.01</v>
      </c>
      <c r="C27" t="inlineStr">
        <is>
          <t>% of draw</t>
        </is>
      </c>
      <c r="D27" t="inlineStr">
        <is>
          <t>Finance House UAE gold loan Key Facts Statement carries a 1% processing fee - the one gross rate with a real UAE anchor. CITED.</t>
        </is>
      </c>
    </row>
    <row r="28">
      <c r="A28" t="inlineStr">
        <is>
          <t>Credit origination - Aurumix share</t>
        </is>
      </c>
      <c r="B28" s="19" t="n">
        <v>0.5</v>
      </c>
      <c r="C28" t="inlineStr">
        <is>
          <t>% of gross</t>
        </is>
      </c>
      <c r="D28" t="inlineStr">
        <is>
          <t>ASSUMPTION.</t>
        </is>
      </c>
    </row>
    <row r="29">
      <c r="A29" t="inlineStr">
        <is>
          <t>Credit servicing fee - gross</t>
        </is>
      </c>
      <c r="B29" s="16" t="n">
        <v>0.005</v>
      </c>
      <c r="C29" t="inlineStr">
        <is>
          <t>%/yr of drawn</t>
        </is>
      </c>
      <c r="D29" t="inlineStr">
        <is>
          <t>ASSUMPTION.</t>
        </is>
      </c>
    </row>
    <row r="30">
      <c r="A30" t="inlineStr">
        <is>
          <t>Credit servicing - Aurumix share</t>
        </is>
      </c>
      <c r="B30" s="19" t="n">
        <v>0.7</v>
      </c>
      <c r="C30" t="inlineStr">
        <is>
          <t>% of gross</t>
        </is>
      </c>
      <c r="D30" t="inlineStr">
        <is>
          <t>The highest of the heads: servicing is where Aurumix does the actual work. ASSUMPTION.</t>
        </is>
      </c>
    </row>
    <row r="31">
      <c r="A31" t="inlineStr">
        <is>
          <t>LTV against collateral</t>
        </is>
      </c>
      <c r="B31" s="19" t="n">
        <v>0.5</v>
      </c>
      <c r="C31" t="inlineStr">
        <is>
          <t>% of collateral</t>
        </is>
      </c>
      <c r="D31" t="inlineStr">
        <is>
          <t>_draft_ics-scoring.md sec 6.2, settled 2026-08-13. CITED.</t>
        </is>
      </c>
    </row>
    <row r="32">
      <c r="A32" t="inlineStr">
        <is>
          <t>Spot ticket - UAE</t>
        </is>
      </c>
      <c r="B32" s="20" t="n">
        <v>190</v>
      </c>
      <c r="C32" t="inlineStr">
        <is>
          <t>USD/purchase</t>
        </is>
      </c>
      <c r="D32" t="inlineStr">
        <is>
          <t>OBSERVED, PRIMARY. Botim gold: average ticket AED 700, Khaleej Times, Nov 2025 (= USD 191 at the peg). CROSS-CHECKS against the same platform's own volume disclosure - AED 100m over 128,000 trades implies AED 781. THE STRONGEST COMPARABLE IN THIS MODEL: Botim is a messaging app that became the default for Gulf expats and added gold in Aug 2025, so its users ARE Aurumix's customers - same country, same segment, same product, same period. Note 64% of its users buy under AED 500, so the mean sits above the median and this figure is, if anything, generous.</t>
        </is>
      </c>
    </row>
    <row r="33">
      <c r="A33" t="inlineStr">
        <is>
          <t>Spot ticket - Oman and Bahrain</t>
        </is>
      </c>
      <c r="B33" s="20" t="n">
        <v>145</v>
      </c>
      <c r="C33" t="inlineStr">
        <is>
          <t>USD/purchase</t>
        </is>
      </c>
      <c r="D33" t="inlineStr">
        <is>
          <t>⚠ INFERRED - THE WEAKEST OF THE THREE. No GCC platform outside the UAE publishes an average ticket; this is a CONFIRMED NEGATIVE, not a gap in the search. Taken as the UAE figure scaled by the regional income gap (SIP 26.00/33.60 = 0.77x). Do not present this as sourced.</t>
        </is>
      </c>
    </row>
    <row r="34">
      <c r="A34" t="inlineStr">
        <is>
          <t>Spot ticket - India</t>
        </is>
      </c>
      <c r="B34" s="20" t="n">
        <v>40</v>
      </c>
      <c r="C34" t="inlineStr">
        <is>
          <t>USD/purchase</t>
        </is>
      </c>
      <c r="D34" t="inlineStr">
        <is>
          <t>OBSERVED, PROXY. Augmont: average festive-season purchase Rs 3,300, Times of India, Sep 2025 (= ~USD 38). Augmont is a licensed refiner and digital gold platform; a festive lump is structurally the same act as a spot purchase, which is why it is preferred to the alternatives. REJECTED: SafeGold Rs 5,000-8,000 (May 2026) - that book skews to investors, while Aurumix's Indian customer saves USD 30 a month; MMTC-PAMP Rs 800-1,200 - closer to routine micro-saving than a lump; Rs 230 industry-wide - a LinkedIn aggregate, not a citable source. ⚠ WEAKER THAN THE UAE FIGURE: right country and right behaviour, but Aurumix's Indian customer is poorer than Augmont's average buyer, so 40 may be generous.</t>
        </is>
      </c>
    </row>
    <row r="35">
      <c r="A35" t="inlineStr">
        <is>
          <t>Spot attach rate - UAE</t>
        </is>
      </c>
      <c r="B35" s="19" t="n">
        <v>0.12</v>
      </c>
      <c r="C35" t="inlineStr">
        <is>
          <t>% of customers/yr</t>
        </is>
      </c>
      <c r="D35" t="inlineStr">
        <is>
          <t>Share of paying customers who make ANY spot purchase in a year - NOT a monthly rate, and NOT how often a buyer buys (that is the separate frequency input). Set on the affordability ratio above: the spot ticket as a multiple of the same customer's monthly SIP. ⚠ NO PUBLISHED BENCHMARK EXISTS - confirmed negative. ⚠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is>
      </c>
    </row>
    <row r="36">
      <c r="A36" t="inlineStr">
        <is>
          <t>Spot attach rate - Oman and Bahrain</t>
        </is>
      </c>
      <c r="B36" s="19" t="n">
        <v>0.1</v>
      </c>
      <c r="C36" t="inlineStr">
        <is>
          <t>% of customers/yr</t>
        </is>
      </c>
      <c r="D36" t="inlineStr">
        <is>
          <t>Share of paying customers who make ANY spot purchase in a year - NOT a monthly rate, and NOT how often a buyer buys (that is the separate frequency input). Set on the affordability ratio above: the spot ticket as a multiple of the same customer's monthly SIP. ⚠ NO PUBLISHED BENCHMARK EXISTS - confirmed negative. ⚠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is>
      </c>
    </row>
    <row r="37">
      <c r="A37" t="inlineStr">
        <is>
          <t>Spot attach rate - India</t>
        </is>
      </c>
      <c r="B37" s="19" t="n">
        <v>0.25</v>
      </c>
      <c r="C37" t="inlineStr">
        <is>
          <t>% of customers/yr</t>
        </is>
      </c>
      <c r="D37" t="inlineStr">
        <is>
          <t>Share of paying customers who make ANY spot purchase in a year - NOT a monthly rate, and NOT how often a buyer buys (that is the separate frequency input). Set on the affordability ratio above: the spot ticket as a multiple of the same customer's monthly SIP. ⚠ NO PUBLISHED BENCHMARK EXISTS - confirmed negative. ⚠ KNOWN SIMPLIFICATION: v2.6 applied a TENURE UPLIFT here ('a 3-year account is ~2x as likely to buy spot as a 6-month account') which v3.0 dropped, so this is flat from day one and OVERSTATES SPOT IN THE EARLY YEARS, when nearly every account is young. Restore the uplift in the Phase 5 simulation. ASSUMPTION, structured on an observable driver.</t>
        </is>
      </c>
    </row>
    <row r="39" ht="18" customHeight="1">
      <c r="A39" s="12" t="inlineStr">
        <is>
          <t>SIP RULES</t>
        </is>
      </c>
      <c r="B39" s="13" t="n"/>
      <c r="C39" s="13" t="n"/>
      <c r="D39" s="13" t="n"/>
    </row>
    <row r="40">
      <c r="A40" s="14" t="inlineStr">
        <is>
          <t>Parameter</t>
        </is>
      </c>
      <c r="B40" s="14" t="inlineStr">
        <is>
          <t>Value</t>
        </is>
      </c>
      <c r="C40" s="14" t="inlineStr">
        <is>
          <t>Unit</t>
        </is>
      </c>
      <c r="D40" s="14" t="inlineStr">
        <is>
          <t>Source</t>
        </is>
      </c>
    </row>
    <row r="41">
      <c r="A41" t="inlineStr">
        <is>
          <t>SIP hard floor</t>
        </is>
      </c>
      <c r="B41" s="18" t="n">
        <v>20</v>
      </c>
      <c r="C41" t="inlineStr">
        <is>
          <t>USD/month</t>
        </is>
      </c>
      <c r="D41" t="inlineStr">
        <is>
          <t>Rejected outright below; never partially credited. CITED.</t>
        </is>
      </c>
    </row>
    <row r="42">
      <c r="A42" t="inlineStr">
        <is>
          <t>Confirmed SIP gate</t>
        </is>
      </c>
      <c r="B42" s="17" t="n">
        <v>6</v>
      </c>
      <c r="C42" t="inlineStr">
        <is>
          <t>consecutive payments</t>
        </is>
      </c>
      <c r="D42" t="inlineStr">
        <is>
          <t>Client's own figure. The gate is why eligibility is NOT universal - see the two eligibility parameters on the Scenario sheet. CLIENT INPUT.</t>
        </is>
      </c>
    </row>
    <row r="43">
      <c r="A43" t="inlineStr">
        <is>
          <t>Cost per redemption event (memo - for the cost build)</t>
        </is>
      </c>
      <c r="B43" s="18" t="n">
        <v>3.2</v>
      </c>
      <c r="C43" t="inlineStr">
        <is>
          <t>USD</t>
        </is>
      </c>
      <c r="D43" t="inlineStr">
        <is>
          <t>RE-CUT 2026-08-20 from 4.20: the outbound bank transfer fee (USD 1.00-2.50) is REMOVED - that is the customer's cost to bear, not Aurumix's. What remains is Sumsub AML re-screening at 1.85 plus operational handling at ~1.35, both of which Aurumix genuinely pays. ⚠ NOT IN THE REVENUE MODEL: redemption is a COST and arrives with the cost build. This row is carried so the driver is documented and the unit rate already agreed. THE FINDING IT CARRIES IS UNCHANGED AND IS THE POINT - VARA Annex 2 III.E.4 forbids charging ANY fee on redemption, verified verbatim at primary source, so the cost is 100% absorbed, no offsetting revenue exists or can exist, and THERE CAN NEVER BE AN EXIT FEE. DERIVED.</t>
        </is>
      </c>
    </row>
    <row r="45" ht="18" customHeight="1">
      <c r="A45" s="12" t="inlineStr">
        <is>
          <t>ACTIVATION CALENDAR - the single source of every activation period</t>
        </is>
      </c>
      <c r="B45" s="13" t="n"/>
      <c r="C45" s="13" t="n"/>
      <c r="D45" s="13" t="n"/>
    </row>
    <row r="46">
      <c r="A46" s="14" t="inlineStr">
        <is>
          <t>Parameter</t>
        </is>
      </c>
      <c r="B46" s="14" t="inlineStr">
        <is>
          <t>Value</t>
        </is>
      </c>
      <c r="C46" s="14" t="inlineStr">
        <is>
          <t>Unit</t>
        </is>
      </c>
      <c r="D46" s="14" t="inlineStr">
        <is>
          <t>Source</t>
        </is>
      </c>
    </row>
    <row r="47">
      <c r="A47" t="inlineStr">
        <is>
          <t>Stream 1a - Entry fee, SIP</t>
        </is>
      </c>
      <c r="B47" s="17" t="n">
        <v>1</v>
      </c>
      <c r="C47" t="inlineStr">
        <is>
          <t>period # (from)</t>
        </is>
      </c>
      <c r="D47" t="inlineStr">
        <is>
          <t>M1. The core product - live at launch.</t>
        </is>
      </c>
    </row>
    <row r="48">
      <c r="A48" t="inlineStr">
        <is>
          <t>Stream 1b - Entry fee, SPOT</t>
        </is>
      </c>
      <c r="B48" s="17" t="n">
        <v>1</v>
      </c>
      <c r="C48" t="inlineStr">
        <is>
          <t>period # (from)</t>
        </is>
      </c>
      <c r="D48" t="inlineStr">
        <is>
          <t>M1. A sub-stream of 1: the same fee on the same gold through a different rail, so it needs no additional build.</t>
        </is>
      </c>
    </row>
    <row r="49">
      <c r="A49" t="inlineStr">
        <is>
          <t>Stream 0 - Redemption cost</t>
        </is>
      </c>
      <c r="B49" s="17" t="n">
        <v>1</v>
      </c>
      <c r="C49" t="inlineStr">
        <is>
          <t>period # (from)</t>
        </is>
      </c>
      <c r="D49" t="inlineStr">
        <is>
          <t>M1. A mandatory cost from day one. VARA Annex 2 III.E.4 forbids charging any fee on redemption, so there is no offsetting revenue and there can never be an exit fee.</t>
        </is>
      </c>
    </row>
    <row r="50">
      <c r="A50" t="inlineStr">
        <is>
          <t>Stream 3 - Family plan and Digital Will</t>
        </is>
      </c>
      <c r="B50" s="17" t="n">
        <v>7</v>
      </c>
      <c r="C50" t="inlineStr">
        <is>
          <t>period # (from)</t>
        </is>
      </c>
      <c r="D50" t="inlineStr">
        <is>
          <t>M7 (client decision 2026-08-20). RATIONALE: this is a paid add-on sold INTO an existing base, not an acquisition product. At M1 there is no base to attach it to, and the Digital Will needs the legal template and beneficiary flow finished. Six months lets the first cohort establish before they are asked to buy a second product.</t>
        </is>
      </c>
    </row>
    <row r="51">
      <c r="A51" t="inlineStr">
        <is>
          <t>Stream 2 - Card interchange</t>
        </is>
      </c>
      <c r="B51" s="17" t="n">
        <v>13</v>
      </c>
      <c r="C51" t="inlineStr">
        <is>
          <t>period # (from)</t>
        </is>
      </c>
      <c r="D51" t="inlineStr">
        <is>
          <t>M13 (client decision 2026-08-20, moved earlier from M18). RATIONALE FOR ANY DELAY AT ALL: the card is not ours to launch. It needs a sponsor bank (BIN sponsorship), Visa scheme certification and a processor integration - all commercial gates outside our control. It also needs customers who have cleared the six-payment gate, which takes ~8 months on average, so a card launched much earlier would have almost nobody eligible to hold it.</t>
        </is>
      </c>
    </row>
    <row r="52">
      <c r="A52" t="inlineStr">
        <is>
          <t>Stream 4 - Cardholder fees</t>
        </is>
      </c>
      <c r="B52" s="17" t="n">
        <v>13</v>
      </c>
      <c r="C52" t="inlineStr">
        <is>
          <t>period # (from)</t>
        </is>
      </c>
      <c r="D52" t="inlineStr">
        <is>
          <t>M13, necessarily with stream 2 - FX, ATM and issuance fees cannot exist before the card does.</t>
        </is>
      </c>
    </row>
    <row r="53">
      <c r="A53" t="inlineStr">
        <is>
          <t>Stream 5 - Lending revenue share</t>
        </is>
      </c>
      <c r="B53" s="17" t="n">
        <v>13</v>
      </c>
      <c r="C53" t="inlineStr">
        <is>
          <t>period # (from)</t>
        </is>
      </c>
      <c r="D53" t="inlineStr">
        <is>
          <t>M13 (client decision 2026-08-20, moved earlier from Y3). RATIONALE FOR ANY DELAY AT ALL: lending needs a partner lender under contract, and it needs collateral that has SEASONED 90 days. A customer joining at M1 has enough seasoned gold by M13; one joining at M10 does not, which the model handles because borrowers are drawn from the gate-cleared population, not from everyone.</t>
        </is>
      </c>
    </row>
    <row r="54">
      <c r="A54" t="inlineStr">
        <is>
          <t>Stream 6 - B2B platform fee</t>
        </is>
      </c>
      <c r="B54" s="17" t="n">
        <v>13</v>
      </c>
      <c r="C54" t="inlineStr">
        <is>
          <t>period # (from)</t>
        </is>
      </c>
      <c r="D54" t="inlineStr">
        <is>
          <t>M13 (client decision 2026-08-20, moved earlier from Y3). RATIONALE FOR ANY DELAY AT ALL: it needs a signed partner and multi-tenant capability at register and mint. NOTE: at Y3 this stream had to be placed at the START of the annual block to avoid a one-twelfth-year stub column sitting beside a full annual one. At M13 it sits safely inside the monthly block, so that complication disappears.</t>
        </is>
      </c>
    </row>
    <row r="55">
      <c r="A55" t="inlineStr">
        <is>
          <t>Referral channel begins</t>
        </is>
      </c>
      <c r="B55" s="17" t="n">
        <v>13</v>
      </c>
      <c r="C55" t="inlineStr">
        <is>
          <t>period # (from)</t>
        </is>
      </c>
      <c r="D55" t="inlineStr">
        <is>
          <t>M13, and this one is STRUCTURAL rather than commercial: a referrer must clear their own six-payment gate before they can refer, and the referee must then clear theirs. Two six-month gates IN SERIES. Year 1 pays nothing and the channel does not reach steady state until roughly M25.</t>
        </is>
      </c>
    </row>
    <row r="56">
      <c r="A56" t="inlineStr">
        <is>
          <t>Region opens - Oman and Bahrain</t>
        </is>
      </c>
      <c r="B56" s="17" t="n">
        <v>13</v>
      </c>
      <c r="C56" t="inlineStr">
        <is>
          <t>period # (from)</t>
        </is>
      </c>
      <c r="D56" t="inlineStr">
        <is>
          <t>M13 (client decision 2026-08-20). THE ONLY STAGED REGION, and the reason is regulatory: it requires local authorisation in a second and third jurisdiction. These customers are also NOT UAE-resident, so the VAT and reporting treatment differs.</t>
        </is>
      </c>
    </row>
    <row r="57">
      <c r="A57" t="inlineStr">
        <is>
          <t>Region opens - India</t>
        </is>
      </c>
      <c r="B57" s="17" t="n">
        <v>1</v>
      </c>
      <c r="C57" t="inlineStr">
        <is>
          <t>period # (from)</t>
        </is>
      </c>
      <c r="D57" t="inlineStr">
        <is>
          <t>M1 (client decision 2026-08-20, moved earlier from M13). The India payment route is ASSUMED SOLVED in this model. ⚠ That is a live assumption, not a settled fact - if the route is not solved, this region does not open at all and roughly a quarter of terminal revenue goes with it.</t>
        </is>
      </c>
    </row>
    <row r="59" ht="18" customHeight="1">
      <c r="A59" s="12" t="inlineStr">
        <is>
          <t>SEASONALITY VECTORS (raw - the Model normalises to exactly 12.000)</t>
        </is>
      </c>
      <c r="B59" s="13" t="n"/>
      <c r="C59" s="13" t="n"/>
      <c r="D59" s="13" t="n"/>
    </row>
    <row r="60">
      <c r="A60" t="inlineStr">
        <is>
          <t>Vector</t>
        </is>
      </c>
      <c r="F60" s="21" t="inlineStr">
        <is>
          <t>Jan</t>
        </is>
      </c>
      <c r="G60" s="21" t="inlineStr">
        <is>
          <t>Feb</t>
        </is>
      </c>
      <c r="H60" s="21" t="inlineStr">
        <is>
          <t>Mar</t>
        </is>
      </c>
      <c r="I60" s="21" t="inlineStr">
        <is>
          <t>Apr</t>
        </is>
      </c>
      <c r="J60" s="21" t="inlineStr">
        <is>
          <t>May</t>
        </is>
      </c>
      <c r="K60" s="21" t="inlineStr">
        <is>
          <t>Jun</t>
        </is>
      </c>
      <c r="L60" s="21" t="inlineStr">
        <is>
          <t>Jul</t>
        </is>
      </c>
      <c r="M60" s="21" t="inlineStr">
        <is>
          <t>Aug</t>
        </is>
      </c>
      <c r="N60" s="21" t="inlineStr">
        <is>
          <t>Sep</t>
        </is>
      </c>
      <c r="O60" s="21" t="inlineStr">
        <is>
          <t>Oct</t>
        </is>
      </c>
      <c r="P60" s="21" t="inlineStr">
        <is>
          <t>Nov</t>
        </is>
      </c>
      <c r="Q60" s="21" t="inlineStr">
        <is>
          <t>Dec</t>
        </is>
      </c>
    </row>
    <row r="61">
      <c r="A61" t="inlineStr">
        <is>
          <t>Acquisition seasonality</t>
        </is>
      </c>
      <c r="D61" t="inlineStr">
        <is>
          <t>SOURCED TIMING, JUDGED AMPLITUDE. Peaks at Akshaya Tritiya (Apr/May), the most concentrated gold-buying day globally by value, and Dhanteras/Diwali (Oct/Nov), India's peak gold occasion with demand up 8-12% in the fortnight before. Wedding season Nov-Mar supports the winter. Trough Jul-Sep, the sourced annual low. Jan carries the Dubai Shopping Festival. DAMPED to ~+/-25% against the ~+/-33% swing in raw jewellery demand, because a USD 20/month savings mandate is far less impulsive than buying jewellery. Two traps avoided: India's Q3 2024 spike was an IMPORT DUTY CUT, not seasonality; and Ramadan/Eid moves ~11 days a year, so a fixed-month Eid bump would be wrong by construction over 7 years.</t>
        </is>
      </c>
      <c r="F61" s="22" t="n">
        <v>1.01</v>
      </c>
      <c r="G61" s="22" t="n">
        <v>0.96</v>
      </c>
      <c r="H61" s="22" t="n">
        <v>0.92</v>
      </c>
      <c r="I61" s="22" t="n">
        <v>1.15</v>
      </c>
      <c r="J61" s="22" t="n">
        <v>1.04</v>
      </c>
      <c r="K61" s="22" t="n">
        <v>0.88</v>
      </c>
      <c r="L61" s="22" t="n">
        <v>0.85</v>
      </c>
      <c r="M61" s="22" t="n">
        <v>0.85</v>
      </c>
      <c r="N61" s="22" t="n">
        <v>0.93</v>
      </c>
      <c r="O61" s="22" t="n">
        <v>1.25</v>
      </c>
      <c r="P61" s="22" t="n">
        <v>1.15</v>
      </c>
      <c r="Q61" s="22" t="n">
        <v>1.01</v>
      </c>
    </row>
    <row r="62">
      <c r="A62" t="inlineStr">
        <is>
          <t>Card spend seasonality</t>
        </is>
      </c>
      <c r="D62" t="inlineStr">
        <is>
          <t>UAE RESIDENT CARD SPEND, not gold. Peaks Dec-Jan on the Dubai Shopping Festival and year-end holidays; troughs Jul-Aug when residents leave for the summer. NARROWER than acquisition (+/-14% vs +/-25%) because everyday spend is less culturally spiky. Note the deliberate OPPOSITION to the foreign-spend vector: Jul-Aug is the weakest total-spend month and the strongest foreign-share month.</t>
        </is>
      </c>
      <c r="F62" s="22" t="n">
        <v>1.1</v>
      </c>
      <c r="G62" s="22" t="n">
        <v>1</v>
      </c>
      <c r="H62" s="22" t="n">
        <v>0.98</v>
      </c>
      <c r="I62" s="22" t="n">
        <v>0.98</v>
      </c>
      <c r="J62" s="22" t="n">
        <v>1</v>
      </c>
      <c r="K62" s="22" t="n">
        <v>0.95</v>
      </c>
      <c r="L62" s="22" t="n">
        <v>0.88</v>
      </c>
      <c r="M62" s="22" t="n">
        <v>0.9</v>
      </c>
      <c r="N62" s="22" t="n">
        <v>1</v>
      </c>
      <c r="O62" s="22" t="n">
        <v>1.02</v>
      </c>
      <c r="P62" s="22" t="n">
        <v>1.05</v>
      </c>
      <c r="Q62" s="22" t="n">
        <v>1.14</v>
      </c>
    </row>
    <row r="63">
      <c r="A63" t="inlineStr">
        <is>
          <t>Foreign-spend share vector</t>
        </is>
      </c>
      <c r="D63" t="inlineStr">
        <is>
          <t>The one seasonality vector the brief itself tabulates. Raw mean 39.75, rescaled on the Model to the foreign-spend-share parameter. THE SUMMER TRAVEL SEASON IS THE LARGEST STREAM-4 MONTH on the weakest total-spend base.</t>
        </is>
      </c>
      <c r="F63" s="22" t="n">
        <v>30</v>
      </c>
      <c r="G63" s="22" t="n">
        <v>30</v>
      </c>
      <c r="H63" s="22" t="n">
        <v>30</v>
      </c>
      <c r="I63" s="22" t="n">
        <v>32</v>
      </c>
      <c r="J63" s="22" t="n">
        <v>34</v>
      </c>
      <c r="K63" s="22" t="n">
        <v>55</v>
      </c>
      <c r="L63" s="22" t="n">
        <v>60</v>
      </c>
      <c r="M63" s="22" t="n">
        <v>56</v>
      </c>
      <c r="N63" s="22" t="n">
        <v>36</v>
      </c>
      <c r="O63" s="22" t="n">
        <v>42</v>
      </c>
      <c r="P63" s="22" t="n">
        <v>40</v>
      </c>
      <c r="Q63" s="22" t="n">
        <v>32</v>
      </c>
    </row>
    <row r="65" ht="18" customHeight="1">
      <c r="A65" s="12" t="inlineStr">
        <is>
          <t>REGION KEY - who each region is</t>
        </is>
      </c>
      <c r="B65" s="13" t="n"/>
      <c r="C65" s="13" t="n"/>
      <c r="D65" s="13" t="n"/>
    </row>
    <row r="66">
      <c r="A66" s="14" t="inlineStr">
        <is>
          <t>Parameter</t>
        </is>
      </c>
      <c r="B66" s="14" t="inlineStr">
        <is>
          <t>Value</t>
        </is>
      </c>
      <c r="C66" s="14" t="inlineStr">
        <is>
          <t>Unit</t>
        </is>
      </c>
      <c r="D66" s="14" t="inlineStr">
        <is>
          <t>Source</t>
        </is>
      </c>
    </row>
    <row r="67">
      <c r="A67" s="3" t="inlineStr">
        <is>
          <t>UAE</t>
        </is>
      </c>
      <c r="B67" s="23" t="inlineStr">
        <is>
          <t>opens M1</t>
        </is>
      </c>
      <c r="D67" t="inlineStr">
        <is>
          <t>UAE residents - Indian plus other South Asian (Pakistani, Bangladeshi, Sri Lankan, Nepali). COMBINED 2026-08-20 from two separate regions: both sit under one licence, one set of rails and one agent channel, both open at M1, and both are UAE-resident for VAT. They differed only on average ticket (USD 38 vs USD 26), which the blended USD 33.60 preserves at the book level. The core market - the gold-savings habit and the agent network originate here.</t>
        </is>
      </c>
    </row>
    <row r="68">
      <c r="A68" s="3" t="inlineStr">
        <is>
          <t>Oman and Bahrain</t>
        </is>
      </c>
      <c r="B68" s="23" t="inlineStr">
        <is>
          <t>opens M13</t>
        </is>
      </c>
      <c r="D68" t="inlineStr">
        <is>
          <t>Expatriate workers in Oman and Bahrain. ~600,000 addressable. NOT UAE-resident, so VAT and reporting treatment differ. Requires local authorisation in a second and third jurisdiction, which is why it is the only staged region.</t>
        </is>
      </c>
    </row>
    <row r="69">
      <c r="A69" s="3" t="inlineStr">
        <is>
          <t>India</t>
        </is>
      </c>
      <c r="B69" s="23" t="inlineStr">
        <is>
          <t>opens M1</t>
        </is>
      </c>
      <c r="D69" t="inlineStr">
        <is>
          <t>India-resident retail investors. ~12.5m addressable, sized BEHAVIOURALLY from gold ETF folios intersected with active digital-gold holders rather than demographically. The payment route is ASSUMED SOLVED in this model - if it is not, this region does not open at all.</t>
        </is>
      </c>
    </row>
    <row r="71" ht="18" customHeight="1">
      <c r="A71" s="12" t="inlineStr">
        <is>
          <t>MARKET SIZING - how each region's reachable SIP account ceiling is derived</t>
        </is>
      </c>
      <c r="B71" s="13" t="n"/>
      <c r="C71" s="13" t="n"/>
      <c r="D71" s="13" t="n"/>
    </row>
    <row r="72">
      <c r="A72" s="24" t="inlineStr">
        <is>
          <t>Funnel step</t>
        </is>
      </c>
      <c r="F72" s="25" t="inlineStr">
        <is>
          <t>UAE - Indian</t>
        </is>
      </c>
      <c r="G72" s="25" t="inlineStr">
        <is>
          <t>UAE - other South Asian</t>
        </is>
      </c>
      <c r="H72" s="25" t="inlineStr">
        <is>
          <t>Oman and Bahrain</t>
        </is>
      </c>
      <c r="I72" s="25" t="inlineStr">
        <is>
          <t>India</t>
        </is>
      </c>
    </row>
    <row r="73">
      <c r="A73" t="inlineStr">
        <is>
          <t>Source population</t>
        </is>
      </c>
      <c r="D73" t="inlineStr">
        <is>
          <t>UPDATED 2026-08-20. UAE-Indian is 4.36m - the Indian consulate's official count at December 2024, also given as 4.3m by the Embassy of India. The brief carried 3.5m, which is roughly a 2021-22 vintage: the community was 3.89m at December 2023 and 4.36m a year later, having doubled from 2.2m over the decade. UAE-other South Asian is 3.46m, the sum of Pakistani 1.90m, Bangladeshi 0.84m, Nepali 0.36m and Sri Lankan 0.36m - the brief's 3.4m was already correct. These are TOTAL RESIDENT NATIONALS including dependants, which is why the economically-active filter below applies. Oman and Bahrain is an expatriate WORKER count. INDIA IS NOT A DEMOGRAPHIC BASE - it is sized BEHAVIOURALLY from gold ETF folios intersected with active digital-gold holders, so its filters are 100%. ⚠ HELD STATIC over the horizon, which is conservative: the UAE Indian community grew ~12% in the single year to Dec 2024.</t>
        </is>
      </c>
      <c r="F73" s="26" t="n">
        <v>4360000</v>
      </c>
      <c r="G73" s="26" t="n">
        <v>3460000</v>
      </c>
      <c r="H73" s="26" t="n">
        <v>2630000</v>
      </c>
      <c r="I73" s="26" t="n">
        <v>12500000</v>
      </c>
    </row>
    <row r="74">
      <c r="A74" t="inlineStr">
        <is>
          <t xml:space="preserve">  x Economically active</t>
        </is>
      </c>
      <c r="D74" t="inlineStr">
        <is>
          <t>Oman and Bahrain is 100% because the source counts EXPAT WORKERS, who are working-age and economically active by definition - applying a labour-force filter would double-count.</t>
        </is>
      </c>
      <c r="F74" s="27" t="n">
        <v>0.8</v>
      </c>
      <c r="G74" s="27" t="n">
        <v>0.8</v>
      </c>
      <c r="H74" s="27" t="n">
        <v>1</v>
      </c>
      <c r="I74" s="27" t="n">
        <v>1</v>
      </c>
    </row>
    <row r="75">
      <c r="A75" t="inlineStr">
        <is>
          <t xml:space="preserve">  x Payment capable (IBAN able to carry a direct debit)</t>
        </is>
      </c>
      <c r="D75" t="inlineStr">
        <is>
          <t>A SIP needs a standing mandate, not just an account. This is the filter that replaced an unsourced gold-savings propensity filter, which was flagged as the weakest link in the entire sizing and had no published source. This one has a stated mechanism behind it.</t>
        </is>
      </c>
      <c r="F75" s="27" t="n">
        <v>0.57</v>
      </c>
      <c r="G75" s="27" t="n">
        <v>0.57</v>
      </c>
      <c r="H75" s="27" t="n">
        <v>0.57</v>
      </c>
      <c r="I75" s="27" t="n">
        <v>1</v>
      </c>
    </row>
    <row r="76">
      <c r="A76" t="inlineStr">
        <is>
          <t xml:space="preserve">  x Money capable (USD 20/month after remittances)</t>
        </is>
      </c>
      <c r="D76" t="inlineStr">
        <is>
          <t>Discretionary capacity for a RECURRING USD 240/year commitment, tested after remittance obligations rather than before them.</t>
        </is>
      </c>
      <c r="F76" s="27" t="n">
        <v>0.4</v>
      </c>
      <c r="G76" s="27" t="n">
        <v>0.4</v>
      </c>
      <c r="H76" s="27" t="n">
        <v>0.4</v>
      </c>
      <c r="I76" s="27" t="n">
        <v>1</v>
      </c>
    </row>
    <row r="77">
      <c r="A77" t="inlineStr">
        <is>
          <t xml:space="preserve">  = Addressable base</t>
        </is>
      </c>
      <c r="D77" t="inlineStr">
        <is>
          <t>Population x the three filters. The UAE-Indian column reproduces the brief's worked figure of ~640,000.</t>
        </is>
      </c>
      <c r="F77" s="28">
        <f>F73*F74*F75*F76</f>
        <v/>
      </c>
      <c r="G77" s="28">
        <f>G73*G74*G75*G76</f>
        <v/>
      </c>
      <c r="H77" s="28">
        <f>H73*H74*H75*H76</f>
        <v/>
      </c>
      <c r="I77" s="28">
        <f>I73*I74*I75*I76</f>
        <v/>
      </c>
    </row>
    <row r="78">
      <c r="A78" t="inlineStr">
        <is>
          <t xml:space="preserve">  x Penetration ceiling</t>
        </is>
      </c>
      <c r="D78" t="inlineStr">
        <is>
          <t>The share of the addressable base the product could ever reach. 'base x ceiling' is the INVARIANT - changing one without the other silently re-scales the whole model.</t>
        </is>
      </c>
      <c r="F78" s="29" t="n">
        <v>0.095</v>
      </c>
      <c r="G78" s="29" t="n">
        <v>0.06</v>
      </c>
      <c r="H78" s="29" t="n">
        <v>0.04</v>
      </c>
      <c r="I78" s="29" t="n">
        <v>0.007</v>
      </c>
    </row>
    <row r="79">
      <c r="A79" t="inlineStr">
        <is>
          <t xml:space="preserve">  = REACHABLE SIP ACCOUNTS</t>
        </is>
      </c>
      <c r="D79" t="inlineStr">
        <is>
          <t>This is what the acquisition engine saturates against.</t>
        </is>
      </c>
      <c r="F79" s="28">
        <f>F77*F78</f>
        <v/>
      </c>
      <c r="G79" s="28">
        <f>G77*G78</f>
        <v/>
      </c>
      <c r="H79" s="28">
        <f>H77*H78</f>
        <v/>
      </c>
      <c r="I79" s="28">
        <f>I77*I78</f>
        <v/>
      </c>
    </row>
    <row r="80">
      <c r="A80" t="inlineStr">
        <is>
          <t xml:space="preserve">  Feeds model region</t>
        </is>
      </c>
      <c r="F80" s="30" t="inlineStr">
        <is>
          <t>UAE</t>
        </is>
      </c>
      <c r="G80" s="30" t="inlineStr">
        <is>
          <t>UAE</t>
        </is>
      </c>
      <c r="H80" s="30" t="inlineStr">
        <is>
          <t>Oman and Bahrain</t>
        </is>
      </c>
      <c r="I80" s="30" t="inlineStr">
        <is>
          <t>India</t>
        </is>
      </c>
    </row>
    <row r="82" ht="18" customHeight="1">
      <c r="A82" s="12" t="inlineStr">
        <is>
          <t>MARKET CEILINGS AND ACQUISITION DRIVERS</t>
        </is>
      </c>
      <c r="B82" s="13" t="n"/>
      <c r="C82" s="13" t="n"/>
      <c r="D82" s="13" t="n"/>
    </row>
    <row r="83">
      <c r="A83" s="14" t="inlineStr">
        <is>
          <t>Parameter</t>
        </is>
      </c>
      <c r="B83" s="14" t="inlineStr">
        <is>
          <t>Value</t>
        </is>
      </c>
      <c r="C83" s="14" t="inlineStr">
        <is>
          <t>Unit</t>
        </is>
      </c>
      <c r="D83" s="14" t="inlineStr">
        <is>
          <t>Source</t>
        </is>
      </c>
    </row>
    <row r="84">
      <c r="A84" t="inlineStr">
        <is>
          <t>Reachable SIP ceiling - UAE</t>
        </is>
      </c>
      <c r="B84" s="31">
        <f>F79+G79</f>
        <v/>
      </c>
      <c r="C84" t="inlineStr">
        <is>
          <t>accounts</t>
        </is>
      </c>
      <c r="D84" t="inlineStr">
        <is>
          <t>DERIVED from the market sizing funnel above - the sum of its source populations (UAE - Indian, UAE - other South Asian), not a typed number. Change any filter and this follows.</t>
        </is>
      </c>
    </row>
    <row r="85">
      <c r="A85" t="inlineStr">
        <is>
          <t>Reachable SIP ceiling - Oman and Bahrain</t>
        </is>
      </c>
      <c r="B85" s="31">
        <f>H79</f>
        <v/>
      </c>
      <c r="C85" t="inlineStr">
        <is>
          <t>accounts</t>
        </is>
      </c>
      <c r="D85" t="inlineStr">
        <is>
          <t>DERIVED from the market sizing funnel above - the sum of its source populations (Oman and Bahrain), not a typed number. Change any filter and this follows.</t>
        </is>
      </c>
    </row>
    <row r="86">
      <c r="A86" t="inlineStr">
        <is>
          <t>Reachable SIP ceiling - India</t>
        </is>
      </c>
      <c r="B86" s="31">
        <f>I79</f>
        <v/>
      </c>
      <c r="C86" t="inlineStr">
        <is>
          <t>accounts</t>
        </is>
      </c>
      <c r="D86" t="inlineStr">
        <is>
          <t>DERIVED from the market sizing funnel above - the sum of its source populations (India), not a typed number. Change any filter and this follows.</t>
        </is>
      </c>
    </row>
    <row r="87">
      <c r="A87" s="3" t="inlineStr">
        <is>
          <t>Total reachable SIP accounts</t>
        </is>
      </c>
      <c r="B87" s="31">
        <f>$B$84+$B$85+$B$86</f>
        <v/>
      </c>
      <c r="C87" t="inlineStr">
        <is>
          <t>accounts</t>
        </is>
      </c>
      <c r="D87" t="inlineStr">
        <is>
          <t>~181,150, against the brief's 165,750. ⚠ THE BRIEF'S 'base x ceiling is the invariant' RULE IS DELIBERATELY BROKEN HERE, and the distinction matters: that rule guards against a METHODOLOGICAL re-cut quietly inflating the market by re-tuning filters, which proves nothing. This is not that - it is a DATA CORRECTION. The UAE Indian population really is 4.36m rather than 3.5m, so the addressable market really is larger. Holding the invariant would mean asserting that penetration falls exactly as population rises, which has no basis. The penetration ceilings are untouched.</t>
        </is>
      </c>
    </row>
    <row r="88">
      <c r="A88" s="3" t="inlineStr">
        <is>
          <t>CROSS-CHECK vs observed market evidence (memo - feeds nothing)</t>
        </is>
      </c>
    </row>
    <row r="89">
      <c r="A89" t="inlineStr">
        <is>
          <t xml:space="preserve">  O Gold active users, UAE (observed)</t>
        </is>
      </c>
      <c r="B89" s="17" t="n">
        <v>75000</v>
      </c>
      <c r="C89" t="inlineStr">
        <is>
          <t>users</t>
        </is>
      </c>
      <c r="D89" t="inlineStr">
        <is>
          <t>OBSERVED. O Gold, the gold engine behind Botim, reported at 75,000 ACTIVE users. The same product is also reported at 775,000 'explored the feature', 1.5m 'users' and 8.5m 'can access' - ACTIVE is the only one of the four comparable to a reachable-accounts figure, and it is the most conservative. CITED.</t>
        </is>
      </c>
    </row>
    <row r="90">
      <c r="A90" t="inlineStr">
        <is>
          <t xml:space="preserve">  Our UAE ceiling as a multiple of observed active users</t>
        </is>
      </c>
      <c r="B90" s="32">
        <f>$B$84/$B$89</f>
        <v/>
      </c>
      <c r="C90" t="inlineStr">
        <is>
          <t>x observed</t>
        </is>
      </c>
      <c r="D90" t="inlineStr">
        <is>
          <t>⚠ LIVE, SO IT MOVES IF ANYONE RAISES A CEILING - which is the point. Two INDEPENDENT methods landing within ~2x is the strongest defence of the funnel in this model: the funnel says the UAE can reach ~113,000 SIP accounts, and a real UAE gold app in the same segment has ~75,000 active users today. Our addressable base of ~1.43m sits against 775,000 who explored that product - same order again. If this multiple drifts far above ~2x, the ceiling has stopped being defensible by evidence and is being set by the answer someone wanted. DERIVED from a cited observation.</t>
        </is>
      </c>
    </row>
    <row r="91">
      <c r="A91" t="inlineStr">
        <is>
          <t xml:space="preserve">  Oman &amp; Bahrain / India (no comparable figure)</t>
        </is>
      </c>
      <c r="B91" s="23" t="inlineStr">
        <is>
          <t>n/a</t>
        </is>
      </c>
      <c r="C91" t="inlineStr">
        <is>
          <t>-</t>
        </is>
      </c>
      <c r="D91" t="inlineStr">
        <is>
          <t>CONFIRMED NEGATIVE, recorded so it is not re-searched. No GCC platform outside the UAE publishes a user count. India publishes only REGISTERED counts (Jar 35m, Augmont 42m) which cannot be deduplicated or converted to active users, so no comparable cross-check can be built. ⚠ NOTE THAT INDIA'S OWN BASE IS ALREADY user-derived - its 12.5m is 'holds a gold ETF folio or actively buys digital gold', which is why its three filters all sit at 1.00 - AND IT IS THE LEAST TRACEABLE BASE IN THE MODEL. That is the evidence that a user-based method does not automatically produce a better-sourced number.</t>
        </is>
      </c>
    </row>
    <row r="93">
      <c r="A93" t="inlineStr">
        <is>
          <t>Active agents - Y1</t>
        </is>
      </c>
      <c r="B93" s="17" t="n">
        <v>5</v>
      </c>
      <c r="C93" t="inlineStr">
        <is>
          <t>agents</t>
        </is>
      </c>
      <c r="D93" t="inlineStr">
        <is>
          <t>A STOCK, not a flow: at 45% attrition, holding 200 active needs ~90 recruits a year. CLIENT INPUT.</t>
        </is>
      </c>
    </row>
    <row r="94">
      <c r="A94" t="inlineStr">
        <is>
          <t>Active agents - Y2</t>
        </is>
      </c>
      <c r="B94" s="17" t="n">
        <v>15</v>
      </c>
      <c r="C94" t="inlineStr">
        <is>
          <t>agents</t>
        </is>
      </c>
      <c r="D94" t="inlineStr">
        <is>
          <t>A STOCK, not a flow: at 45% attrition, holding 200 active needs ~90 recruits a year. CLIENT INPUT.</t>
        </is>
      </c>
    </row>
    <row r="95">
      <c r="A95" t="inlineStr">
        <is>
          <t>Active agents - Y3</t>
        </is>
      </c>
      <c r="B95" s="17" t="n">
        <v>40</v>
      </c>
      <c r="C95" t="inlineStr">
        <is>
          <t>agents</t>
        </is>
      </c>
      <c r="D95" t="inlineStr">
        <is>
          <t>A STOCK, not a flow: at 45% attrition, holding 200 active needs ~90 recruits a year. CLIENT INPUT.</t>
        </is>
      </c>
    </row>
    <row r="96">
      <c r="A96" t="inlineStr">
        <is>
          <t>Active agents - Y4</t>
        </is>
      </c>
      <c r="B96" s="17" t="n">
        <v>60</v>
      </c>
      <c r="C96" t="inlineStr">
        <is>
          <t>agents</t>
        </is>
      </c>
      <c r="D96" t="inlineStr">
        <is>
          <t>A STOCK, not a flow: at 45% attrition, holding 200 active needs ~90 recruits a year. CLIENT INPUT.</t>
        </is>
      </c>
    </row>
    <row r="97">
      <c r="A97" t="inlineStr">
        <is>
          <t>Active agents - Y5</t>
        </is>
      </c>
      <c r="B97" s="17" t="n">
        <v>90</v>
      </c>
      <c r="C97" t="inlineStr">
        <is>
          <t>agents</t>
        </is>
      </c>
      <c r="D97" t="inlineStr">
        <is>
          <t>A STOCK, not a flow: at 45% attrition, holding 200 active needs ~90 recruits a year. CLIENT INPUT.</t>
        </is>
      </c>
    </row>
    <row r="98">
      <c r="A98" t="inlineStr">
        <is>
          <t>Active agents - Y6</t>
        </is>
      </c>
      <c r="B98" s="17" t="n">
        <v>106</v>
      </c>
      <c r="C98" t="inlineStr">
        <is>
          <t>agents</t>
        </is>
      </c>
      <c r="D98" t="inlineStr">
        <is>
          <t>A STOCK, not a flow: at 45% attrition, holding 200 active needs ~90 recruits a year. CLIENT INPUT.</t>
        </is>
      </c>
    </row>
    <row r="99">
      <c r="A99" t="inlineStr">
        <is>
          <t>Active agents - Y7</t>
        </is>
      </c>
      <c r="B99" s="17" t="n">
        <v>124</v>
      </c>
      <c r="C99" t="inlineStr">
        <is>
          <t>agents</t>
        </is>
      </c>
      <c r="D99" t="inlineStr">
        <is>
          <t>A STOCK, not a flow: at 45% attrition, holding 200 active needs ~90 recruits a year. CLIENT INPUT.</t>
        </is>
      </c>
    </row>
    <row r="100">
      <c r="A100" t="inlineStr">
        <is>
          <t>Marketing spend - Y1</t>
        </is>
      </c>
      <c r="B100" s="20" t="n">
        <v>60000</v>
      </c>
      <c r="C100" t="inlineStr">
        <is>
          <t>USD/yr</t>
        </is>
      </c>
      <c r="D100" t="inlineStr">
        <is>
          <t>A DECISION VARIABLE and an input to acquisition, not an output of a cost table.</t>
        </is>
      </c>
    </row>
    <row r="101">
      <c r="A101" t="inlineStr">
        <is>
          <t>Marketing spend - Y2</t>
        </is>
      </c>
      <c r="B101" s="20" t="n">
        <v>180000</v>
      </c>
      <c r="C101" t="inlineStr">
        <is>
          <t>USD/yr</t>
        </is>
      </c>
      <c r="D101" t="inlineStr">
        <is>
          <t>A DECISION VARIABLE and an input to acquisition, not an output of a cost table.</t>
        </is>
      </c>
    </row>
    <row r="102">
      <c r="A102" t="inlineStr">
        <is>
          <t>Marketing spend - Y3</t>
        </is>
      </c>
      <c r="B102" s="20" t="n">
        <v>250000</v>
      </c>
      <c r="C102" t="inlineStr">
        <is>
          <t>USD/yr</t>
        </is>
      </c>
      <c r="D102" t="inlineStr">
        <is>
          <t>A DECISION VARIABLE and an input to acquisition, not an output of a cost table.</t>
        </is>
      </c>
    </row>
    <row r="103">
      <c r="A103" t="inlineStr">
        <is>
          <t>Marketing spend - Y4</t>
        </is>
      </c>
      <c r="B103" s="20" t="n">
        <v>400000</v>
      </c>
      <c r="C103" t="inlineStr">
        <is>
          <t>USD/yr</t>
        </is>
      </c>
      <c r="D103" t="inlineStr">
        <is>
          <t>A DECISION VARIABLE and an input to acquisition, not an output of a cost table.</t>
        </is>
      </c>
    </row>
    <row r="104">
      <c r="A104" t="inlineStr">
        <is>
          <t>Marketing spend - Y5</t>
        </is>
      </c>
      <c r="B104" s="20" t="n">
        <v>600000</v>
      </c>
      <c r="C104" t="inlineStr">
        <is>
          <t>USD/yr</t>
        </is>
      </c>
      <c r="D104" t="inlineStr">
        <is>
          <t>A DECISION VARIABLE and an input to acquisition, not an output of a cost table.</t>
        </is>
      </c>
    </row>
    <row r="105">
      <c r="A105" t="inlineStr">
        <is>
          <t>Marketing spend - Y6</t>
        </is>
      </c>
      <c r="B105" s="20" t="n">
        <v>850000</v>
      </c>
      <c r="C105" t="inlineStr">
        <is>
          <t>USD/yr</t>
        </is>
      </c>
      <c r="D105" t="inlineStr">
        <is>
          <t>A DECISION VARIABLE and an input to acquisition, not an output of a cost table.</t>
        </is>
      </c>
    </row>
    <row r="106">
      <c r="A106" t="inlineStr">
        <is>
          <t>Marketing spend - Y7</t>
        </is>
      </c>
      <c r="B106" s="20" t="n">
        <v>1100000</v>
      </c>
      <c r="C106" t="inlineStr">
        <is>
          <t>USD/yr</t>
        </is>
      </c>
      <c r="D106" t="inlineStr">
        <is>
          <t>A DECISION VARIABLE and an input to acquisition, not an output of a cost table.</t>
        </is>
      </c>
    </row>
    <row r="107">
      <c r="A107" t="inlineStr">
        <is>
          <t>Agent blended ramp - Y1</t>
        </is>
      </c>
      <c r="B107" s="15" t="n">
        <v>0.6</v>
      </c>
      <c r="C107" t="inlineStr">
        <is>
          <t>x productivity</t>
        </is>
      </c>
      <c r="D107" t="inlineStr">
        <is>
          <t>Six months to full productivity, which happens to match the six-payment gate.</t>
        </is>
      </c>
    </row>
    <row r="108">
      <c r="A108" t="inlineStr">
        <is>
          <t>Agent blended ramp - Y2</t>
        </is>
      </c>
      <c r="B108" s="15" t="n">
        <v>0.85</v>
      </c>
      <c r="C108" t="inlineStr">
        <is>
          <t>x productivity</t>
        </is>
      </c>
      <c r="D108" t="inlineStr">
        <is>
          <t>Six months to full productivity, which happens to match the six-payment gate.</t>
        </is>
      </c>
    </row>
    <row r="109">
      <c r="A109" t="inlineStr">
        <is>
          <t>Agent blended ramp - Y3</t>
        </is>
      </c>
      <c r="B109" s="15" t="n">
        <v>1</v>
      </c>
      <c r="C109" t="inlineStr">
        <is>
          <t>x productivity</t>
        </is>
      </c>
      <c r="D109" t="inlineStr">
        <is>
          <t>Six months to full productivity, which happens to match the six-payment gate.</t>
        </is>
      </c>
    </row>
    <row r="110">
      <c r="A110" t="inlineStr">
        <is>
          <t>Agent blended ramp - Y4</t>
        </is>
      </c>
      <c r="B110" s="15" t="n">
        <v>1</v>
      </c>
      <c r="C110" t="inlineStr">
        <is>
          <t>x productivity</t>
        </is>
      </c>
      <c r="D110" t="inlineStr">
        <is>
          <t>Six months to full productivity, which happens to match the six-payment gate.</t>
        </is>
      </c>
    </row>
    <row r="111">
      <c r="A111" t="inlineStr">
        <is>
          <t>Agent blended ramp - Y5</t>
        </is>
      </c>
      <c r="B111" s="15" t="n">
        <v>1</v>
      </c>
      <c r="C111" t="inlineStr">
        <is>
          <t>x productivity</t>
        </is>
      </c>
      <c r="D111" t="inlineStr">
        <is>
          <t>Six months to full productivity, which happens to match the six-payment gate.</t>
        </is>
      </c>
    </row>
    <row r="112">
      <c r="A112" t="inlineStr">
        <is>
          <t>Agent blended ramp - Y6</t>
        </is>
      </c>
      <c r="B112" s="15" t="n">
        <v>1</v>
      </c>
      <c r="C112" t="inlineStr">
        <is>
          <t>x productivity</t>
        </is>
      </c>
      <c r="D112" t="inlineStr">
        <is>
          <t>Six months to full productivity, which happens to match the six-payment gate.</t>
        </is>
      </c>
    </row>
    <row r="113">
      <c r="A113" t="inlineStr">
        <is>
          <t>Agent blended ramp - Y7</t>
        </is>
      </c>
      <c r="B113" s="15" t="n">
        <v>1</v>
      </c>
      <c r="C113" t="inlineStr">
        <is>
          <t>x productivity</t>
        </is>
      </c>
      <c r="D113" t="inlineStr">
        <is>
          <t>Six months to full productivity, which happens to match the six-payment gate.</t>
        </is>
      </c>
    </row>
    <row r="114">
      <c r="A114" t="inlineStr">
        <is>
          <t>Share of salesforce deployed - UAE</t>
        </is>
      </c>
      <c r="B114" s="19" t="n">
        <v>0.45</v>
      </c>
      <c r="C114" t="inlineStr">
        <is>
          <t>% of salesforce</t>
        </is>
      </c>
      <c r="D114" t="inlineStr">
        <is>
          <t>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 NOT the same thing as stream 6: that is B2B, partners white-labelling the platform onto their own customer books, and is not a consumer sales channel at all. Must sum to 100%. CLIENT INPUT.</t>
        </is>
      </c>
    </row>
    <row r="115">
      <c r="A115" t="inlineStr">
        <is>
          <t>Share of salesforce deployed - Oman and Bahrain</t>
        </is>
      </c>
      <c r="B115" s="19" t="n">
        <v>0.1</v>
      </c>
      <c r="C115" t="inlineStr">
        <is>
          <t>% of salesforce</t>
        </is>
      </c>
      <c r="D115" t="inlineStr">
        <is>
          <t>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 NOT the same thing as stream 6: that is B2B, partners white-labelling the platform onto their own customer books, and is not a consumer sales channel at all. Must sum to 100%. CLIENT INPUT.</t>
        </is>
      </c>
    </row>
    <row r="116">
      <c r="A116" t="inlineStr">
        <is>
          <t>Share of salesforce deployed - India</t>
        </is>
      </c>
      <c r="B116" s="19" t="n">
        <v>0.45</v>
      </c>
      <c r="C116" t="inlineStr">
        <is>
          <t>% of salesforce</t>
        </is>
      </c>
      <c r="D116" t="inlineStr">
        <is>
          <t>REVISED 2026-08-20. An earlier cut put 100% in India, which left the UAE - the licensed home market - with no people selling at all. There will be a salesforce outside India; it is simply SALARIED rather than commission-only. FOR REVENUE THE DISTINCTION DOES NOT MATTER: both are people acquiring customers at some productivity. ⚠ IT MATTERS ENORMOUSLY FOR COST - a Dubai salesperson and an Indian commission agent are not remotely the same expense, and this split MUST be cost-weighted when the cost build lands. India stays high because a large agent pool is cheapest to build there; UAE is weighted for being the core licensed market. ⚠ NOT the same thing as stream 6: that is B2B, partners white-labelling the platform onto their own customer books, and is not a consumer sales channel at all. Must sum to 100%. CLIENT INPUT.</t>
        </is>
      </c>
    </row>
    <row r="118" ht="18" customHeight="1">
      <c r="A118" s="12" t="inlineStr">
        <is>
          <t>SCENARIO-LINKED INPUTS (live values - move with the scenario switch)</t>
        </is>
      </c>
      <c r="B118" s="13" t="n"/>
      <c r="C118" s="13" t="n"/>
      <c r="D118" s="13" t="n"/>
    </row>
    <row r="119">
      <c r="A119" s="14" t="inlineStr">
        <is>
          <t>Parameter</t>
        </is>
      </c>
      <c r="B119" s="14" t="inlineStr">
        <is>
          <t>Value</t>
        </is>
      </c>
      <c r="C119" s="14" t="inlineStr">
        <is>
          <t>Unit</t>
        </is>
      </c>
      <c r="D119" s="14" t="inlineStr">
        <is>
          <t>Source</t>
        </is>
      </c>
    </row>
    <row r="120">
      <c r="A120" t="inlineStr">
        <is>
          <t>Persistency - customers still paying after 12 months</t>
        </is>
      </c>
      <c r="B120" s="33">
        <f>'Scenario Parameters'!$B$10</f>
        <v/>
      </c>
      <c r="C120" t="inlineStr">
        <is>
          <t>%</t>
        </is>
      </c>
      <c r="D120" t="inlineStr">
        <is>
          <t>THE HEADLINE RETENTION NUMBER, and the one a client can argue with. Everything about churn is derived from it. Governs lifetime value, referral economics and agent commission at once. DERIVED from the archetype work: the simulation can refine it, but 55% is what that engine produced.</t>
        </is>
      </c>
    </row>
    <row r="121">
      <c r="A121" t="inlineStr">
        <is>
          <t>Monthly churn rate (derived)</t>
        </is>
      </c>
      <c r="B121" s="34">
        <f>'Scenario Parameters'!$B$11</f>
        <v/>
      </c>
      <c r="C121" t="inlineStr">
        <is>
          <t>%/month</t>
        </is>
      </c>
      <c r="D121" t="inlineStr">
        <is>
          <t>DERIVED, not typed: the monthly rate that reproduces the persistency above over twelve months. Change persistency and this follows. Base 55% implies ~4.9%/month.</t>
        </is>
      </c>
    </row>
    <row r="122">
      <c r="A122" t="inlineStr">
        <is>
          <t>Agent productivity</t>
        </is>
      </c>
      <c r="B122" s="35">
        <f>'Scenario Parameters'!$B$12</f>
        <v/>
      </c>
      <c r="C122" t="inlineStr">
        <is>
          <t>accounts/agent/month</t>
        </is>
      </c>
      <c r="D122" t="inlineStr">
        <is>
          <t>Insurance agency comparator. TRIANGULATED.</t>
        </is>
      </c>
    </row>
    <row r="123">
      <c r="A123" t="inlineStr">
        <is>
          <t>Marketing CAC - UAE</t>
        </is>
      </c>
      <c r="B123" s="36">
        <f>'Scenario Parameters'!$B$13</f>
        <v/>
      </c>
      <c r="C123" t="inlineStr">
        <is>
          <t>USD per customer</t>
        </is>
      </c>
      <c r="D123"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24">
      <c r="A124" t="inlineStr">
        <is>
          <t>Marketing CAC - Oman and Bahrain</t>
        </is>
      </c>
      <c r="B124" s="36">
        <f>'Scenario Parameters'!$B$14</f>
        <v/>
      </c>
      <c r="C124" t="inlineStr">
        <is>
          <t>USD per customer</t>
        </is>
      </c>
      <c r="D124"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25">
      <c r="A125" t="inlineStr">
        <is>
          <t>Marketing CAC - India</t>
        </is>
      </c>
      <c r="B125" s="36">
        <f>'Scenario Parameters'!$B$15</f>
        <v/>
      </c>
      <c r="C125" t="inlineStr">
        <is>
          <t>USD per customer</t>
        </is>
      </c>
      <c r="D125"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26">
      <c r="A126" t="inlineStr">
        <is>
          <t>Marketing spend share - UAE</t>
        </is>
      </c>
      <c r="B126" s="33">
        <f>'Scenario Parameters'!$B$16</f>
        <v/>
      </c>
      <c r="C126" t="inlineStr">
        <is>
          <t>% of budget</t>
        </is>
      </c>
      <c r="D126" t="inlineStr">
        <is>
          <t>How the marketing budget is split across markets. Defaults to each region's share of the addressable ceiling, so spend follows the opportunity. Does not vary by scenario - it is a management decision, not an uncertainty. Must sum to 100%.</t>
        </is>
      </c>
    </row>
    <row r="127">
      <c r="A127" t="inlineStr">
        <is>
          <t>Marketing spend share - Oman and Bahrain</t>
        </is>
      </c>
      <c r="B127" s="33">
        <f>'Scenario Parameters'!$B$17</f>
        <v/>
      </c>
      <c r="C127" t="inlineStr">
        <is>
          <t>% of budget</t>
        </is>
      </c>
      <c r="D127" t="inlineStr">
        <is>
          <t>How the marketing budget is split across markets. Defaults to each region's share of the addressable ceiling, so spend follows the opportunity. Does not vary by scenario - it is a management decision, not an uncertainty. Must sum to 100%.</t>
        </is>
      </c>
    </row>
    <row r="128">
      <c r="A128" t="inlineStr">
        <is>
          <t>Marketing spend share - India</t>
        </is>
      </c>
      <c r="B128" s="33">
        <f>'Scenario Parameters'!$B$18</f>
        <v/>
      </c>
      <c r="C128" t="inlineStr">
        <is>
          <t>% of budget</t>
        </is>
      </c>
      <c r="D128" t="inlineStr">
        <is>
          <t>How the marketing budget is split across markets. Defaults to each region's share of the addressable ceiling, so spend follows the opportunity. Does not vary by scenario - it is a management decision, not an uncertainty. Must sum to 100%.</t>
        </is>
      </c>
    </row>
    <row r="129">
      <c r="A129" t="inlineStr">
        <is>
          <t>Referral rate</t>
        </is>
      </c>
      <c r="B129" s="35">
        <f>'Scenario Parameters'!$B$19</f>
        <v/>
      </c>
      <c r="C129" t="inlineStr">
        <is>
          <t>referrals/customer/yr</t>
        </is>
      </c>
      <c r="D129" t="inlineStr">
        <is>
          <t>Cap removed deliberately, so the distribution is right-skewed. MODEL THE MEAN, NOT THE MEDIAN. ASSUMPTION.</t>
        </is>
      </c>
    </row>
    <row r="130">
      <c r="A130" t="inlineStr">
        <is>
          <t>Referral conversion</t>
        </is>
      </c>
      <c r="B130" s="33">
        <f>'Scenario Parameters'!$B$20</f>
        <v/>
      </c>
      <c r="C130" t="inlineStr">
        <is>
          <t>%</t>
        </is>
      </c>
      <c r="D130" t="inlineStr">
        <is>
          <t>The M7 survival of the referred cohort, uplifted ~1.1x. DERIVED.</t>
        </is>
      </c>
    </row>
    <row r="131">
      <c r="A131" t="inlineStr">
        <is>
          <t>Organic share of direct</t>
        </is>
      </c>
      <c r="B131" s="33">
        <f>'Scenario Parameters'!$B$21</f>
        <v/>
      </c>
      <c r="C131" t="inlineStr">
        <is>
          <t>% of direct</t>
        </is>
      </c>
      <c r="D131" t="inlineStr">
        <is>
          <t>Kept separate so the CAC never applies to it. ASSUMPTION.</t>
        </is>
      </c>
    </row>
    <row r="132">
      <c r="A132" t="inlineStr">
        <is>
          <t>Seasonality amplitude</t>
        </is>
      </c>
      <c r="B132" s="35">
        <f>'Scenario Parameters'!$B$22</f>
        <v/>
      </c>
      <c r="C132" t="inlineStr">
        <is>
          <t>x deviation from 1.0</t>
        </is>
      </c>
      <c r="D132" t="inlineStr">
        <is>
          <t>Festival TIMING is sourced; how hard a Dubai savings signup responds to Dhanteras is the open question. Applied to the deviation from 1.0, then renormalised, so the vectors stay at exactly 12.000.</t>
        </is>
      </c>
    </row>
    <row r="133">
      <c r="A133" t="inlineStr">
        <is>
          <t>Customers who EVER clear the six-payment gate</t>
        </is>
      </c>
      <c r="B133" s="33">
        <f>'Scenario Parameters'!$B$26</f>
        <v/>
      </c>
      <c r="C133" t="inlineStr">
        <is>
          <t>% of customers</t>
        </is>
      </c>
      <c r="D133" t="inlineStr">
        <is>
          <t>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is>
      </c>
    </row>
    <row r="134">
      <c r="A134" t="inlineStr">
        <is>
          <t>Average months to clear the gate</t>
        </is>
      </c>
      <c r="B134" s="37">
        <f>'Scenario Parameters'!$B$27</f>
        <v/>
      </c>
      <c r="C134" t="inlineStr">
        <is>
          <t>months</t>
        </is>
      </c>
      <c r="D134" t="inlineStr">
        <is>
          <t>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is>
      </c>
    </row>
    <row r="135">
      <c r="A135" t="inlineStr">
        <is>
          <t>Gold moved out of Aurumix's control</t>
        </is>
      </c>
      <c r="B135" s="33">
        <f>'Scenario Parameters'!$B$31</f>
        <v/>
      </c>
      <c r="C135" t="inlineStr">
        <is>
          <t>% of AUM/yr</t>
        </is>
      </c>
      <c r="D135" t="inlineStr">
        <is>
          <t>RELABELLED 2026-08-21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 THAT ONE-CONSUMER PROPERTY IS WHAT MAKES THIS SAFE: if a later build points anything else at AUM - a custody fee, a reported-AUM headline - this row must be split in two first. Contrast the redemption line, which IS gold genuinely gone. ASSUMPTION.</t>
        </is>
      </c>
    </row>
    <row r="136">
      <c r="A136" t="inlineStr">
        <is>
          <t>Redemption rate</t>
        </is>
      </c>
      <c r="B136" s="33">
        <f>'Scenario Parameters'!$B$32</f>
        <v/>
      </c>
      <c r="C136" t="inlineStr">
        <is>
          <t>% of AUM/yr</t>
        </is>
      </c>
      <c r="D136" t="inlineStr">
        <is>
          <t>A DIFFERENT EVENT from self-custody and a separate line. PAXG turnover of 5.9% is the only comparator. VARA forbids charging any fee on it. ASSUMPTION.</t>
        </is>
      </c>
    </row>
    <row r="137">
      <c r="A137" t="inlineStr">
        <is>
          <t>Holder redemption multiplier</t>
        </is>
      </c>
      <c r="B137" s="35">
        <f>'Scenario Parameters'!$B$33</f>
        <v/>
      </c>
      <c r="C137" t="inlineStr">
        <is>
          <t>x the paying rate</t>
        </is>
      </c>
      <c r="D137" t="inlineStr">
        <is>
          <t>Customers who stopped paying redeem FASTER - they have no accruing benefit left to protect. Because holders become the majority of the book by Y4, this is the DOMINANT AUM DECAY TERM from roughly Y4. ASSUMPTION.</t>
        </is>
      </c>
    </row>
    <row r="138">
      <c r="A138" t="inlineStr">
        <is>
          <t>Spot attach scenario multiplier</t>
        </is>
      </c>
      <c r="B138" s="35">
        <f>'Scenario Parameters'!$B$34</f>
        <v/>
      </c>
      <c r="C138" t="inlineStr">
        <is>
          <t>x the regional attach</t>
        </is>
      </c>
      <c r="D138" t="inlineStr">
        <is>
          <t>REGIONALISED 2026-08-21. The attach LEVEL now sits per region on Assumptions (UAE 12%, Oman &amp; Bahrain 10%, India 25%); this dial carries only the uncertainty around it, preserving the old 14/24/7 spread (1.00 / 1.70 / 0.50). ONE DIAL, NOT THREE TRIPLETS - nine numbers to defend, and a scenario could otherwise silently invert the regional ordering that affordability establishes. See the regional rows on Assumptions for the reasoning. ASSUMPTION about spread.</t>
        </is>
      </c>
    </row>
    <row r="139">
      <c r="A139" t="inlineStr">
        <is>
          <t>Spot ticket scenario multiplier</t>
        </is>
      </c>
      <c r="B139" s="35">
        <f>'Scenario Parameters'!$B$35</f>
        <v/>
      </c>
      <c r="C139" t="inlineStr">
        <is>
          <t>x the observed ticket</t>
        </is>
      </c>
      <c r="D139" t="inlineStr">
        <is>
          <t>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is>
      </c>
    </row>
    <row r="140">
      <c r="A140" t="inlineStr">
        <is>
          <t>Spot frequency</t>
        </is>
      </c>
      <c r="B140" s="35">
        <f>'Scenario Parameters'!$B$36</f>
        <v/>
      </c>
      <c r="C140" t="inlineStr">
        <is>
          <t>events/attacher/yr</t>
        </is>
      </c>
      <c r="D140" t="inlineStr">
        <is>
          <t>⚠ 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is>
      </c>
    </row>
    <row r="141">
      <c r="A141" t="inlineStr">
        <is>
          <t>Programme manager share of interchange</t>
        </is>
      </c>
      <c r="B141" s="33">
        <f>'Scenario Parameters'!$B$40</f>
        <v/>
      </c>
      <c r="C141" t="inlineStr">
        <is>
          <t>%</t>
        </is>
      </c>
      <c r="D141" t="inlineStr">
        <is>
          <t>SIZES THE LARGEST STREAM. No UAE/MENA figure is published. FLOOR IS 36% - take that into the sponsor conversation as the walk-away. TRIANGULATED.</t>
        </is>
      </c>
    </row>
    <row r="142">
      <c r="A142" t="inlineStr">
        <is>
          <t>Facility take-up - customers who take AND use the card</t>
        </is>
      </c>
      <c r="B142" s="33">
        <f>'Scenario Parameters'!$B$41</f>
        <v/>
      </c>
      <c r="C142" t="inlineStr">
        <is>
          <t>% of gate-cleared</t>
        </is>
      </c>
      <c r="D142" t="inlineStr">
        <is>
          <t>RE-BASED 2026-08-20, client decision: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and were previously modelled as two different populations (50% activating a card, 18% taking credit) doing what is in fact one thing. Merged onto the credit figure, which is the better-anchored of the two: Indian gold-loan penetration is under 10% at a point in time, uplifted here for pre-selection since these customers have already cleared a six-payment gate. ⚠ THE OLD 50% CAME FROM NEOBANK COMPARABLES (PULSE 68.2%, Monzo 68%) WHERE THE CARD IS THE PRODUCT - wrong in kind for a card that only lets you borrow against your own savings. DERIVED.</t>
        </is>
      </c>
    </row>
    <row r="143">
      <c r="A143" t="inlineStr">
        <is>
          <t>Transactions per drawdown event</t>
        </is>
      </c>
      <c r="B143" s="37">
        <f>'Scenario Parameters'!$B$42</f>
        <v/>
      </c>
      <c r="C143" t="inlineStr">
        <is>
          <t>transactions/draw</t>
        </is>
      </c>
      <c r="D143" t="inlineStr">
        <is>
          <t>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is>
      </c>
    </row>
    <row r="144">
      <c r="A144" t="inlineStr">
        <is>
          <t>Foreign spend share (mean)</t>
        </is>
      </c>
      <c r="B144" s="33">
        <f>'Scenario Parameters'!$B$43</f>
        <v/>
      </c>
      <c r="C144" t="inlineStr">
        <is>
          <t>% of card spend</t>
        </is>
      </c>
      <c r="D144" t="inlineStr">
        <is>
          <t>Applied through the seasonal vector, not as a constant. ASSUMPTION.</t>
        </is>
      </c>
    </row>
    <row r="145">
      <c r="A145" t="inlineStr">
        <is>
          <t>Card issuance events</t>
        </is>
      </c>
      <c r="B145" s="35">
        <f>'Scenario Parameters'!$B$44</f>
        <v/>
      </c>
      <c r="C145" t="inlineStr">
        <is>
          <t>events/card/yr</t>
        </is>
      </c>
      <c r="D145" t="inlineStr">
        <is>
          <t>1.00 at activation plus reissues - a tier upgrade forces a physical reissue. ASSUMPTION.</t>
        </is>
      </c>
    </row>
    <row r="146">
      <c r="A146" t="inlineStr">
        <is>
          <t>Card replacement events</t>
        </is>
      </c>
      <c r="B146" s="35">
        <f>'Scenario Parameters'!$B$45</f>
        <v/>
      </c>
      <c r="C146" t="inlineStr">
        <is>
          <t>events/card/yr</t>
        </is>
      </c>
      <c r="D146" t="inlineStr">
        <is>
          <t>Industry-normal loss/theft/damage is 8-15% annually. ASSUMPTION.</t>
        </is>
      </c>
    </row>
    <row r="147">
      <c r="A147" t="inlineStr">
        <is>
          <t>ATM AED 0-500 - share of cardholders</t>
        </is>
      </c>
      <c r="B147" s="33">
        <f>'Scenario Parameters'!$B$46</f>
        <v/>
      </c>
      <c r="C147" t="inlineStr">
        <is>
          <t>%</t>
        </is>
      </c>
      <c r="D147"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48">
      <c r="A148" t="inlineStr">
        <is>
          <t>ATM AED 500-1,500 - share of cardholders</t>
        </is>
      </c>
      <c r="B148" s="33">
        <f>'Scenario Parameters'!$B$47</f>
        <v/>
      </c>
      <c r="C148" t="inlineStr">
        <is>
          <t>%</t>
        </is>
      </c>
      <c r="D148"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49">
      <c r="A149" t="inlineStr">
        <is>
          <t>ATM AED 1,500-3,000 - share of cardholders</t>
        </is>
      </c>
      <c r="B149" s="33">
        <f>'Scenario Parameters'!$B$48</f>
        <v/>
      </c>
      <c r="C149" t="inlineStr">
        <is>
          <t>%</t>
        </is>
      </c>
      <c r="D14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50">
      <c r="A150" t="inlineStr">
        <is>
          <t>ATM AED 3,000+ - share of cardholders</t>
        </is>
      </c>
      <c r="B150" s="33">
        <f>'Scenario Parameters'!$B$49</f>
        <v/>
      </c>
      <c r="C150" t="inlineStr">
        <is>
          <t>%</t>
        </is>
      </c>
      <c r="D150"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151">
      <c r="A151" t="inlineStr">
        <is>
          <t>ATM AED 0-500 - midpoint draw</t>
        </is>
      </c>
      <c r="B151" s="37">
        <f>'Scenario Parameters'!$B$50</f>
        <v/>
      </c>
      <c r="C151" t="inlineStr">
        <is>
          <t>AED/month</t>
        </is>
      </c>
      <c r="D151" t="inlineStr">
        <is>
          <t>Raising the allowance at the top tier waives revenue from only the top ~3% of cardholders.</t>
        </is>
      </c>
    </row>
    <row r="152">
      <c r="A152" t="inlineStr">
        <is>
          <t>ATM AED 500-1,500 - midpoint draw</t>
        </is>
      </c>
      <c r="B152" s="37">
        <f>'Scenario Parameters'!$B$51</f>
        <v/>
      </c>
      <c r="C152" t="inlineStr">
        <is>
          <t>AED/month</t>
        </is>
      </c>
      <c r="D152" t="inlineStr">
        <is>
          <t>Raising the allowance at the top tier waives revenue from only the top ~3% of cardholders.</t>
        </is>
      </c>
    </row>
    <row r="153">
      <c r="A153" t="inlineStr">
        <is>
          <t>ATM AED 1,500-3,000 - midpoint draw</t>
        </is>
      </c>
      <c r="B153" s="37">
        <f>'Scenario Parameters'!$B$52</f>
        <v/>
      </c>
      <c r="C153" t="inlineStr">
        <is>
          <t>AED/month</t>
        </is>
      </c>
      <c r="D153" t="inlineStr">
        <is>
          <t>Raising the allowance at the top tier waives revenue from only the top ~3% of cardholders.</t>
        </is>
      </c>
    </row>
    <row r="154">
      <c r="A154" t="inlineStr">
        <is>
          <t>ATM AED 3,000+ - midpoint draw</t>
        </is>
      </c>
      <c r="B154" s="37">
        <f>'Scenario Parameters'!$B$53</f>
        <v/>
      </c>
      <c r="C154" t="inlineStr">
        <is>
          <t>AED/month</t>
        </is>
      </c>
      <c r="D154" t="inlineStr">
        <is>
          <t>Raising the allowance at the top tier waives revenue from only the top ~3% of cardholders.</t>
        </is>
      </c>
    </row>
    <row r="155">
      <c r="A155" t="inlineStr">
        <is>
          <t>Drawn as % of permitted limit</t>
        </is>
      </c>
      <c r="B155" s="33">
        <f>'Scenario Parameters'!$B$57</f>
        <v/>
      </c>
      <c r="C155" t="inlineStr">
        <is>
          <t>%</t>
        </is>
      </c>
      <c r="D155" t="inlineStr">
        <is>
          <t>Revolving facilities draw 40-55% of permitted. This now drives CARD SPEND as well as the loan balance, because the card is the drawdown mechanism. TRIANGULATED.</t>
        </is>
      </c>
    </row>
    <row r="156">
      <c r="A156" t="inlineStr">
        <is>
          <t>Facility turnover, peak -&gt; average</t>
        </is>
      </c>
      <c r="B156" s="35">
        <f>'Scenario Parameters'!$B$58</f>
        <v/>
      </c>
      <c r="C156" t="inlineStr">
        <is>
          <t>x peak drawn</t>
        </is>
      </c>
      <c r="D156" t="inlineStr">
        <is>
          <t>AN ARITHMETIC CORRECTION, not a sensitivity, derived from Manappuram's 71-day realised tenor. It cuts the lending stream by 1.88x. DERIVED.</t>
        </is>
      </c>
    </row>
    <row r="157">
      <c r="A157" t="inlineStr">
        <is>
          <t>Draw events per borrower per year</t>
        </is>
      </c>
      <c r="B157" s="35">
        <f>'Scenario Parameters'!$B$59</f>
        <v/>
      </c>
      <c r="C157" t="inlineStr">
        <is>
          <t>events/yr</t>
        </is>
      </c>
      <c r="D157" t="inlineStr">
        <is>
          <t>MOVES WITH facility turnover - do not flex independently. DERIVED.</t>
        </is>
      </c>
    </row>
    <row r="158">
      <c r="A158" t="inlineStr">
        <is>
          <t>Family plan attach rate</t>
        </is>
      </c>
      <c r="B158" s="33">
        <f>'Scenario Parameters'!$B$60</f>
        <v/>
      </c>
      <c r="C158" t="inlineStr">
        <is>
          <t>% of customers</t>
        </is>
      </c>
      <c r="D158" t="inlineStr">
        <is>
          <t>NOTHING IS STATED ANYWHERE IN THE CORPUS. Pure assumption. Scales stream 3 linearly.</t>
        </is>
      </c>
    </row>
    <row r="159">
      <c r="A159" t="inlineStr">
        <is>
          <t>B2B partners - Y1</t>
        </is>
      </c>
      <c r="B159" s="37">
        <f>'Scenario Parameters'!$B$61</f>
        <v/>
      </c>
      <c r="C159" t="inlineStr">
        <is>
          <t>partners</t>
        </is>
      </c>
      <c r="D15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60">
      <c r="A160" t="inlineStr">
        <is>
          <t>B2B partners - Y2</t>
        </is>
      </c>
      <c r="B160" s="37">
        <f>'Scenario Parameters'!$B$62</f>
        <v/>
      </c>
      <c r="C160" t="inlineStr">
        <is>
          <t>partners</t>
        </is>
      </c>
      <c r="D160"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61">
      <c r="A161" t="inlineStr">
        <is>
          <t>B2B partners - Y3</t>
        </is>
      </c>
      <c r="B161" s="37">
        <f>'Scenario Parameters'!$B$63</f>
        <v/>
      </c>
      <c r="C161" t="inlineStr">
        <is>
          <t>partners</t>
        </is>
      </c>
      <c r="D161"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62">
      <c r="A162" t="inlineStr">
        <is>
          <t>B2B partners - Y4</t>
        </is>
      </c>
      <c r="B162" s="37">
        <f>'Scenario Parameters'!$B$64</f>
        <v/>
      </c>
      <c r="C162" t="inlineStr">
        <is>
          <t>partners</t>
        </is>
      </c>
      <c r="D162"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63">
      <c r="A163" t="inlineStr">
        <is>
          <t>B2B partners - Y5</t>
        </is>
      </c>
      <c r="B163" s="37">
        <f>'Scenario Parameters'!$B$65</f>
        <v/>
      </c>
      <c r="C163" t="inlineStr">
        <is>
          <t>partners</t>
        </is>
      </c>
      <c r="D163"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64">
      <c r="A164" t="inlineStr">
        <is>
          <t>B2B partners - Y6</t>
        </is>
      </c>
      <c r="B164" s="37">
        <f>'Scenario Parameters'!$B$66</f>
        <v/>
      </c>
      <c r="C164" t="inlineStr">
        <is>
          <t>partners</t>
        </is>
      </c>
      <c r="D164"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65">
      <c r="A165" t="inlineStr">
        <is>
          <t>B2B partners - Y7</t>
        </is>
      </c>
      <c r="B165" s="37">
        <f>'Scenario Parameters'!$B$67</f>
        <v/>
      </c>
      <c r="C165" t="inlineStr">
        <is>
          <t>partners</t>
        </is>
      </c>
      <c r="D165"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166">
      <c r="A166" t="inlineStr">
        <is>
          <t>AUM per partner (mature)</t>
        </is>
      </c>
      <c r="B166" s="36">
        <f>'Scenario Parameters'!$B$68</f>
        <v/>
      </c>
      <c r="C166" t="inlineStr">
        <is>
          <t>USD</t>
        </is>
      </c>
      <c r="D166" t="inlineStr">
        <is>
          <t>Requires a signed partner. Partner AUM earns NO tier and consumes NO benefits - structurally the highest-margin book. DERIVED.</t>
        </is>
      </c>
    </row>
    <row r="167">
      <c r="A167" t="inlineStr">
        <is>
          <t>Average monthly ticket - UAE</t>
        </is>
      </c>
      <c r="B167" s="36">
        <f>'Scenario Parameters'!$B$72</f>
        <v/>
      </c>
      <c r="C167" t="inlineStr">
        <is>
          <t>USD/month</t>
        </is>
      </c>
      <c r="D167"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68">
      <c r="A168" t="inlineStr">
        <is>
          <t>Average monthly ticket - Oman and Bahrain</t>
        </is>
      </c>
      <c r="B168" s="36">
        <f>'Scenario Parameters'!$B$73</f>
        <v/>
      </c>
      <c r="C168" t="inlineStr">
        <is>
          <t>USD/month</t>
        </is>
      </c>
      <c r="D168"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69">
      <c r="A169" t="inlineStr">
        <is>
          <t>Average monthly ticket - India</t>
        </is>
      </c>
      <c r="B169" s="36">
        <f>'Scenario Parameters'!$B$74</f>
        <v/>
      </c>
      <c r="C169" t="inlineStr">
        <is>
          <t>USD/month</t>
        </is>
      </c>
      <c r="D16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170">
      <c r="A170" t="inlineStr">
        <is>
          <t>Prepaid instead of credit</t>
        </is>
      </c>
      <c r="B170" s="37">
        <f>'Scenario Parameters'!$B$78</f>
        <v/>
      </c>
      <c r="C170" t="inlineStr">
        <is>
          <t>1/0 switch</t>
        </is>
      </c>
      <c r="D170" t="inlineStr">
        <is>
          <t>ON (Prepaid) caps interchange at 1.00% and removes the credit stream entirely. 'NOT A PRODUCT CHOICE, IT IS THE BUSINESS MODEL.' Worth ~USD 2.3m of Y10 revenue on the ten-year run.</t>
        </is>
      </c>
    </row>
    <row r="171">
      <c r="A171" t="inlineStr">
        <is>
          <t>Holders keep the card</t>
        </is>
      </c>
      <c r="B171" s="37">
        <f>'Scenario Parameters'!$B$79</f>
        <v/>
      </c>
      <c r="C171" t="inlineStr">
        <is>
          <t>1/0 switch</t>
        </is>
      </c>
      <c r="D171" t="inlineStr">
        <is>
          <t>NOBODY HAS DECIDED THIS. It determines whether the card streams - the majority of revenue - decay with churn or are immune to it. Worth a 42% swing in terminal revenue. Default ON because nothing in the design revokes the card; report both.</t>
        </is>
      </c>
    </row>
    <row r="172">
      <c r="A172" s="9" t="inlineStr">
        <is>
          <t>Every row above is a GREEN link to the active value on Scenario Parameters, which is itself a CHOOSE() across the Base / Aggressive / Conservative columns. Flip the scenario selector and all of them move. The Model reads these cells and never reaches into Scenario Parameters directly, so this sheet is the complete register of every input the model uses.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79"/>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50" customWidth="1" min="1" max="1"/>
    <col width="15" customWidth="1" min="2" max="2"/>
    <col width="14" customWidth="1" min="3" max="3"/>
    <col width="14" customWidth="1" min="4" max="4"/>
    <col width="14" customWidth="1" min="5" max="5"/>
    <col width="24" customWidth="1" min="6" max="6"/>
    <col width="118" customWidth="1" min="7" max="7"/>
  </cols>
  <sheetData>
    <row r="1">
      <c r="A1" s="10">
        <f>Cover!$B$2</f>
        <v/>
      </c>
    </row>
    <row r="2">
      <c r="A2" s="11" t="inlineStr">
        <is>
          <t>Scenario Parameters</t>
        </is>
      </c>
    </row>
    <row r="4" ht="18" customHeight="1">
      <c r="A4" s="12" t="inlineStr">
        <is>
          <t>SCENARIO SELECTOR</t>
        </is>
      </c>
      <c r="B4" s="13" t="n"/>
      <c r="C4" s="13" t="n"/>
      <c r="D4" s="13" t="n"/>
      <c r="E4" s="13" t="n"/>
    </row>
    <row r="6">
      <c r="A6" s="3" t="inlineStr">
        <is>
          <t>Select Scenario:</t>
        </is>
      </c>
      <c r="B6" s="38" t="inlineStr">
        <is>
          <t>Base</t>
        </is>
      </c>
      <c r="C6">
        <f>IF($B$6="Base",1,IF($B$6="Aggressive",2,3))</f>
        <v/>
      </c>
      <c r="D6" s="23" t="inlineStr">
        <is>
          <t>&lt;- index</t>
        </is>
      </c>
      <c r="G6" s="9" t="inlineStr">
        <is>
          <t>One switch, three columns. Every parameter below resolves through it.</t>
        </is>
      </c>
    </row>
    <row r="8" ht="18" customHeight="1">
      <c r="A8" s="12" t="inlineStr">
        <is>
          <t>GROUP A: CUSTOMERS AND CHURN</t>
        </is>
      </c>
      <c r="B8" s="13" t="n"/>
      <c r="C8" s="13" t="n"/>
      <c r="D8" s="13" t="n"/>
      <c r="E8" s="13" t="n"/>
    </row>
    <row r="9">
      <c r="A9" s="14" t="inlineStr">
        <is>
          <t>Parameter</t>
        </is>
      </c>
      <c r="B9" s="14" t="inlineStr">
        <is>
          <t>Active Value</t>
        </is>
      </c>
      <c r="C9" s="14" t="inlineStr">
        <is>
          <t>Base</t>
        </is>
      </c>
      <c r="D9" s="14" t="inlineStr">
        <is>
          <t>Aggressive</t>
        </is>
      </c>
      <c r="E9" s="14" t="inlineStr">
        <is>
          <t>Conservative</t>
        </is>
      </c>
      <c r="F9" s="14" t="inlineStr">
        <is>
          <t>Unit</t>
        </is>
      </c>
    </row>
    <row r="10">
      <c r="A10" t="inlineStr">
        <is>
          <t>Persistency - customers still paying after 12 months</t>
        </is>
      </c>
      <c r="B10" s="39">
        <f>CHOOSE($C$6,C10,D10,E10)</f>
        <v/>
      </c>
      <c r="C10" s="19" t="n">
        <v>0.55</v>
      </c>
      <c r="D10" s="19" t="n">
        <v>0.65</v>
      </c>
      <c r="E10" s="19" t="n">
        <v>0.45</v>
      </c>
      <c r="F10" s="23" t="inlineStr">
        <is>
          <t>%</t>
        </is>
      </c>
      <c r="G10" s="9" t="inlineStr">
        <is>
          <t>THE HEADLINE RETENTION NUMBER, and the one a client can argue with. Everything about churn is derived from it. Governs lifetime value, referral economics and agent commission at once. DERIVED from the archetype work: the simulation can refine it, but 55% is what that engine produced.</t>
        </is>
      </c>
    </row>
    <row r="11">
      <c r="A11" t="inlineStr">
        <is>
          <t>Monthly churn rate (derived)</t>
        </is>
      </c>
      <c r="B11" s="40">
        <f>1-'Scenario Parameters'!$B$10^(1/12)</f>
        <v/>
      </c>
      <c r="F11" s="23" t="inlineStr">
        <is>
          <t>%/month</t>
        </is>
      </c>
      <c r="G11" s="9" t="inlineStr">
        <is>
          <t>DERIVED, not typed: the monthly rate that reproduces the persistency above over twelve months. Change persistency and this follows. Base 55% implies ~4.9%/month.</t>
        </is>
      </c>
    </row>
    <row r="12">
      <c r="A12" t="inlineStr">
        <is>
          <t>Agent productivity</t>
        </is>
      </c>
      <c r="B12" s="41">
        <f>CHOOSE($C$6,C12,D12,E12)</f>
        <v/>
      </c>
      <c r="C12" s="15" t="n">
        <v>4</v>
      </c>
      <c r="D12" s="15" t="n">
        <v>6</v>
      </c>
      <c r="E12" s="15" t="n">
        <v>2</v>
      </c>
      <c r="F12" s="23" t="inlineStr">
        <is>
          <t>accounts/agent/month</t>
        </is>
      </c>
      <c r="G12" s="9" t="inlineStr">
        <is>
          <t>Insurance agency comparator. TRIANGULATED.</t>
        </is>
      </c>
    </row>
    <row r="13">
      <c r="A13" t="inlineStr">
        <is>
          <t>Marketing CAC - UAE</t>
        </is>
      </c>
      <c r="B13" s="42">
        <f>CHOOSE($C$6,C13,D13,E13)</f>
        <v/>
      </c>
      <c r="C13" s="20" t="n">
        <v>120</v>
      </c>
      <c r="D13" s="20" t="n">
        <v>80</v>
      </c>
      <c r="E13" s="20" t="n">
        <v>200</v>
      </c>
      <c r="F13" s="23" t="inlineStr">
        <is>
          <t>USD per customer</t>
        </is>
      </c>
      <c r="G13"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4">
      <c r="A14" t="inlineStr">
        <is>
          <t>Marketing CAC - Oman and Bahrain</t>
        </is>
      </c>
      <c r="B14" s="42">
        <f>CHOOSE($C$6,C14,D14,E14)</f>
        <v/>
      </c>
      <c r="C14" s="20" t="n">
        <v>100</v>
      </c>
      <c r="D14" s="20" t="n">
        <v>70</v>
      </c>
      <c r="E14" s="20" t="n">
        <v>170</v>
      </c>
      <c r="F14" s="23" t="inlineStr">
        <is>
          <t>USD per customer</t>
        </is>
      </c>
      <c r="G14"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5">
      <c r="A15" t="inlineStr">
        <is>
          <t>Marketing CAC - India</t>
        </is>
      </c>
      <c r="B15" s="42">
        <f>CHOOSE($C$6,C15,D15,E15)</f>
        <v/>
      </c>
      <c r="C15" s="20" t="n">
        <v>20</v>
      </c>
      <c r="D15" s="20" t="n">
        <v>12</v>
      </c>
      <c r="E15" s="20" t="n">
        <v>35</v>
      </c>
      <c r="F15" s="23" t="inlineStr">
        <is>
          <t>USD per customer</t>
        </is>
      </c>
      <c r="G15" s="9" t="inlineStr">
        <is>
          <t>REGIONALISED 2026-08-20. A single global USD 120 was applied everywhere, which is roughly right for the UAE and badly wrong for India. PUBLISHED BENCHMARKS: Dubai consumer fintech USD 65-220; retail neobank account paid-only USD 35-70; GCC wealthtech funded accounts USD 80-220; 'true' fully-loaded CAC per ACTIVATED customer USD 85-350 against USD 50-100 reported, once KYC, onboarding and non-activating signups are counted. INDIA IS A DIFFERENT MARKET ENTIRELY: consumer fintech INR 500-1,500 (~USD 6-18), neobank savings activation INR 1,100-1,800, wealth and broking apps INR 2,500-5,500 (~USD 30-65); Jupiter reports a USD 5-6 paid CAC. USD 120 is ~INR 10,500 - some 7-20x the Indian mass-market benchmark and still 2-4x its premium wealth apps. UAE is held at 120 as a FULLY-LOADED figure; ⚠ note it sits at the top of the range for a LOW-TICKET product, and the published low-ticket band is USD 4-70. TRIANGULATED.</t>
        </is>
      </c>
    </row>
    <row r="16">
      <c r="A16" t="inlineStr">
        <is>
          <t>Marketing spend share - UAE</t>
        </is>
      </c>
      <c r="B16" s="39">
        <f>CHOOSE($C$6,C16,D16,E16)</f>
        <v/>
      </c>
      <c r="C16" s="19" t="n">
        <v>0.58</v>
      </c>
      <c r="D16" s="19" t="n">
        <v>0.58</v>
      </c>
      <c r="E16" s="19" t="n">
        <v>0.58</v>
      </c>
      <c r="F16" s="23" t="inlineStr">
        <is>
          <t>% of budget</t>
        </is>
      </c>
      <c r="G16" s="9" t="inlineStr">
        <is>
          <t>How the marketing budget is split across markets. Defaults to each region's share of the addressable ceiling, so spend follows the opportunity. Does not vary by scenario - it is a management decision, not an uncertainty. Must sum to 100%.</t>
        </is>
      </c>
    </row>
    <row r="17">
      <c r="A17" t="inlineStr">
        <is>
          <t>Marketing spend share - Oman and Bahrain</t>
        </is>
      </c>
      <c r="B17" s="39">
        <f>CHOOSE($C$6,C17,D17,E17)</f>
        <v/>
      </c>
      <c r="C17" s="19" t="n">
        <v>0.16</v>
      </c>
      <c r="D17" s="19" t="n">
        <v>0.16</v>
      </c>
      <c r="E17" s="19" t="n">
        <v>0.16</v>
      </c>
      <c r="F17" s="23" t="inlineStr">
        <is>
          <t>% of budget</t>
        </is>
      </c>
      <c r="G17" s="9" t="inlineStr">
        <is>
          <t>How the marketing budget is split across markets. Defaults to each region's share of the addressable ceiling, so spend follows the opportunity. Does not vary by scenario - it is a management decision, not an uncertainty. Must sum to 100%.</t>
        </is>
      </c>
    </row>
    <row r="18">
      <c r="A18" t="inlineStr">
        <is>
          <t>Marketing spend share - India</t>
        </is>
      </c>
      <c r="B18" s="39">
        <f>CHOOSE($C$6,C18,D18,E18)</f>
        <v/>
      </c>
      <c r="C18" s="19" t="n">
        <v>0.26</v>
      </c>
      <c r="D18" s="19" t="n">
        <v>0.26</v>
      </c>
      <c r="E18" s="19" t="n">
        <v>0.26</v>
      </c>
      <c r="F18" s="23" t="inlineStr">
        <is>
          <t>% of budget</t>
        </is>
      </c>
      <c r="G18" s="9" t="inlineStr">
        <is>
          <t>How the marketing budget is split across markets. Defaults to each region's share of the addressable ceiling, so spend follows the opportunity. Does not vary by scenario - it is a management decision, not an uncertainty. Must sum to 100%.</t>
        </is>
      </c>
    </row>
    <row r="19">
      <c r="A19" t="inlineStr">
        <is>
          <t>Referral rate</t>
        </is>
      </c>
      <c r="B19" s="41">
        <f>CHOOSE($C$6,C19,D19,E19)</f>
        <v/>
      </c>
      <c r="C19" s="15" t="n">
        <v>0.45</v>
      </c>
      <c r="D19" s="15" t="n">
        <v>0.9</v>
      </c>
      <c r="E19" s="15" t="n">
        <v>0.18</v>
      </c>
      <c r="F19" s="23" t="inlineStr">
        <is>
          <t>referrals/customer/yr</t>
        </is>
      </c>
      <c r="G19" s="9" t="inlineStr">
        <is>
          <t>Cap removed deliberately, so the distribution is right-skewed. MODEL THE MEAN, NOT THE MEDIAN. ASSUMPTION.</t>
        </is>
      </c>
    </row>
    <row r="20">
      <c r="A20" t="inlineStr">
        <is>
          <t>Referral conversion</t>
        </is>
      </c>
      <c r="B20" s="39">
        <f>CHOOSE($C$6,C20,D20,E20)</f>
        <v/>
      </c>
      <c r="C20" s="19" t="n">
        <v>0.62</v>
      </c>
      <c r="D20" s="19" t="n">
        <v>0.72</v>
      </c>
      <c r="E20" s="19" t="n">
        <v>0.48</v>
      </c>
      <c r="F20" s="23" t="inlineStr">
        <is>
          <t>%</t>
        </is>
      </c>
      <c r="G20" s="9" t="inlineStr">
        <is>
          <t>The M7 survival of the referred cohort, uplifted ~1.1x. DERIVED.</t>
        </is>
      </c>
    </row>
    <row r="21">
      <c r="A21" t="inlineStr">
        <is>
          <t>Organic share of direct</t>
        </is>
      </c>
      <c r="B21" s="39">
        <f>CHOOSE($C$6,C21,D21,E21)</f>
        <v/>
      </c>
      <c r="C21" s="19" t="n">
        <v>0.12</v>
      </c>
      <c r="D21" s="19" t="n">
        <v>0.2</v>
      </c>
      <c r="E21" s="19" t="n">
        <v>0.05</v>
      </c>
      <c r="F21" s="23" t="inlineStr">
        <is>
          <t>% of direct</t>
        </is>
      </c>
      <c r="G21" s="9" t="inlineStr">
        <is>
          <t>Kept separate so the CAC never applies to it. ASSUMPTION.</t>
        </is>
      </c>
    </row>
    <row r="22">
      <c r="A22" t="inlineStr">
        <is>
          <t>Seasonality amplitude</t>
        </is>
      </c>
      <c r="B22" s="41">
        <f>CHOOSE($C$6,C22,D22,E22)</f>
        <v/>
      </c>
      <c r="C22" s="15" t="n">
        <v>1</v>
      </c>
      <c r="D22" s="15" t="n">
        <v>1.4</v>
      </c>
      <c r="E22" s="15" t="n">
        <v>0.6</v>
      </c>
      <c r="F22" s="23" t="inlineStr">
        <is>
          <t>x deviation from 1.0</t>
        </is>
      </c>
      <c r="G22" s="9" t="inlineStr">
        <is>
          <t>Festival TIMING is sourced; how hard a Dubai savings signup responds to Dhanteras is the open question. Applied to the deviation from 1.0, then renormalised, so the vectors stay at exactly 12.000.</t>
        </is>
      </c>
    </row>
    <row r="24" ht="18" customHeight="1">
      <c r="A24" s="12" t="inlineStr">
        <is>
          <t>GROUP B: CARD ELIGIBILITY - the two cells that replace the archetype engine</t>
        </is>
      </c>
      <c r="B24" s="13" t="n"/>
      <c r="C24" s="13" t="n"/>
      <c r="D24" s="13" t="n"/>
      <c r="E24" s="13" t="n"/>
    </row>
    <row r="25">
      <c r="A25" s="14" t="inlineStr">
        <is>
          <t>Parameter</t>
        </is>
      </c>
      <c r="B25" s="14" t="inlineStr">
        <is>
          <t>Active Value</t>
        </is>
      </c>
      <c r="C25" s="14" t="inlineStr">
        <is>
          <t>Base</t>
        </is>
      </c>
      <c r="D25" s="14" t="inlineStr">
        <is>
          <t>Aggressive</t>
        </is>
      </c>
      <c r="E25" s="14" t="inlineStr">
        <is>
          <t>Conservative</t>
        </is>
      </c>
      <c r="F25" s="14" t="inlineStr">
        <is>
          <t>Unit</t>
        </is>
      </c>
    </row>
    <row r="26">
      <c r="A26" t="inlineStr">
        <is>
          <t>Customers who EVER clear the six-payment gate</t>
        </is>
      </c>
      <c r="B26" s="39">
        <f>CHOOSE($C$6,C26,D26,E26)</f>
        <v/>
      </c>
      <c r="C26" s="19" t="n">
        <v>0.55</v>
      </c>
      <c r="D26" s="19" t="n">
        <v>0.65</v>
      </c>
      <c r="E26" s="19" t="n">
        <v>0.45</v>
      </c>
      <c r="F26" s="23" t="inlineStr">
        <is>
          <t>% of customers</t>
        </is>
      </c>
      <c r="G26" s="9" t="inlineStr">
        <is>
          <t>THE SINGLE MOST LOAD-BEARING PARAMETER IN THE MODEL. The card streams are ~83% of gross profit and every one of them requires clearing the six-payment gate. Assuming everyone qualifies - which any plain churn model does implicitly - OVERSTATES THE BUSINESS BY ~59%. Base 55% is the OUTPUT of the run-of-6 first-passage engine built and validated against the archetype mix; that engine has moved to the Phase 5 simulation, and this cell is what it produced.</t>
        </is>
      </c>
    </row>
    <row r="27">
      <c r="A27" t="inlineStr">
        <is>
          <t>Average months to clear the gate</t>
        </is>
      </c>
      <c r="B27" s="31">
        <f>CHOOSE($C$6,C27,D27,E27)</f>
        <v/>
      </c>
      <c r="C27" s="17" t="n">
        <v>8</v>
      </c>
      <c r="D27" s="17" t="n">
        <v>6</v>
      </c>
      <c r="E27" s="17" t="n">
        <v>11</v>
      </c>
      <c r="F27" s="23" t="inlineStr">
        <is>
          <t>months</t>
        </is>
      </c>
      <c r="G27" s="9" t="inlineStr">
        <is>
          <t>Gate arrival is a DISTRIBUTION, not a date: a customer who misses month 4 cannot qualify before month 9. The validated mean is M8.0, against the naive assumption of M6. Those two extra months are full-fee revenue that carries no benefit cost, and they push every downstream ladder date to the right. DERIVED.</t>
        </is>
      </c>
    </row>
    <row r="29" ht="18" customHeight="1">
      <c r="A29" s="12" t="inlineStr">
        <is>
          <t>GROUP C: AUM, LEAKAGE AND SPOT</t>
        </is>
      </c>
      <c r="B29" s="13" t="n"/>
      <c r="C29" s="13" t="n"/>
      <c r="D29" s="13" t="n"/>
      <c r="E29" s="13" t="n"/>
    </row>
    <row r="30">
      <c r="A30" s="14" t="inlineStr">
        <is>
          <t>Parameter</t>
        </is>
      </c>
      <c r="B30" s="14" t="inlineStr">
        <is>
          <t>Active Value</t>
        </is>
      </c>
      <c r="C30" s="14" t="inlineStr">
        <is>
          <t>Base</t>
        </is>
      </c>
      <c r="D30" s="14" t="inlineStr">
        <is>
          <t>Aggressive</t>
        </is>
      </c>
      <c r="E30" s="14" t="inlineStr">
        <is>
          <t>Conservative</t>
        </is>
      </c>
      <c r="F30" s="14" t="inlineStr">
        <is>
          <t>Unit</t>
        </is>
      </c>
    </row>
    <row r="31">
      <c r="A31" t="inlineStr">
        <is>
          <t>Gold moved out of Aurumix's control</t>
        </is>
      </c>
      <c r="B31" s="39">
        <f>CHOOSE($C$6,C31,D31,E31)</f>
        <v/>
      </c>
      <c r="C31" s="19" t="n">
        <v>0.12</v>
      </c>
      <c r="D31" s="19" t="n">
        <v>0.06</v>
      </c>
      <c r="E31" s="19" t="n">
        <v>0.3</v>
      </c>
      <c r="F31" s="23" t="inlineStr">
        <is>
          <t>% of AUM/yr</t>
        </is>
      </c>
      <c r="G31" s="9" t="inlineStr">
        <is>
          <t>RELABELLED 2026-08-21 after the client correctly objected to the old name, 'self-custody leakage'. THE GOLD DOES NOT LEAVE THE VAULT: a token moving to a customer's own wallet sells nothing and burns nothing, so calling it an AUM decrease was wrong. What it does leave is Aurumix's COLLATERAL-ELIGIBLE base - Aurumix cannot foreclose on a token sitting in a private wallet, so that gold can no longer back a credit limit. In this model AUM has exactly ONE consumer, the card credit limit, so the arithmetic was always right and only the label was misleading. ⚠ THAT ONE-CONSUMER PROPERTY IS WHAT MAKES THIS SAFE: if a later build points anything else at AUM - a custody fee, a reported-AUM headline - this row must be split in two first. Contrast the redemption line, which IS gold genuinely gone. ASSUMPTION.</t>
        </is>
      </c>
    </row>
    <row r="32">
      <c r="A32" t="inlineStr">
        <is>
          <t>Redemption rate</t>
        </is>
      </c>
      <c r="B32" s="39">
        <f>CHOOSE($C$6,C32,D32,E32)</f>
        <v/>
      </c>
      <c r="C32" s="19" t="n">
        <v>0.08</v>
      </c>
      <c r="D32" s="19" t="n">
        <v>0.04</v>
      </c>
      <c r="E32" s="19" t="n">
        <v>0.16</v>
      </c>
      <c r="F32" s="23" t="inlineStr">
        <is>
          <t>% of AUM/yr</t>
        </is>
      </c>
      <c r="G32" s="9" t="inlineStr">
        <is>
          <t>A DIFFERENT EVENT from self-custody and a separate line. PAXG turnover of 5.9% is the only comparator. VARA forbids charging any fee on it. ASSUMPTION.</t>
        </is>
      </c>
    </row>
    <row r="33">
      <c r="A33" t="inlineStr">
        <is>
          <t>Holder redemption multiplier</t>
        </is>
      </c>
      <c r="B33" s="41">
        <f>CHOOSE($C$6,C33,D33,E33)</f>
        <v/>
      </c>
      <c r="C33" s="15" t="n">
        <v>2.2</v>
      </c>
      <c r="D33" s="15" t="n">
        <v>1.6</v>
      </c>
      <c r="E33" s="15" t="n">
        <v>3.5</v>
      </c>
      <c r="F33" s="23" t="inlineStr">
        <is>
          <t>x the paying rate</t>
        </is>
      </c>
      <c r="G33" s="9" t="inlineStr">
        <is>
          <t>Customers who stopped paying redeem FASTER - they have no accruing benefit left to protect. Because holders become the majority of the book by Y4, this is the DOMINANT AUM DECAY TERM from roughly Y4. ASSUMPTION.</t>
        </is>
      </c>
    </row>
    <row r="34">
      <c r="A34" t="inlineStr">
        <is>
          <t>Spot attach scenario multiplier</t>
        </is>
      </c>
      <c r="B34" s="41">
        <f>CHOOSE($C$6,C34,D34,E34)</f>
        <v/>
      </c>
      <c r="C34" s="15" t="n">
        <v>1</v>
      </c>
      <c r="D34" s="15" t="n">
        <v>1.7</v>
      </c>
      <c r="E34" s="15" t="n">
        <v>0.5</v>
      </c>
      <c r="F34" s="23" t="inlineStr">
        <is>
          <t>x the regional attach</t>
        </is>
      </c>
      <c r="G34" s="9" t="inlineStr">
        <is>
          <t>REGIONALISED 2026-08-21. The attach LEVEL now sits per region on Assumptions (UAE 12%, Oman &amp; Bahrain 10%, India 25%); this dial carries only the uncertainty around it, preserving the old 14/24/7 spread (1.00 / 1.70 / 0.50). ONE DIAL, NOT THREE TRIPLETS - nine numbers to defend, and a scenario could otherwise silently invert the regional ordering that affordability establishes. See the regional rows on Assumptions for the reasoning. ASSUMPTION about spread.</t>
        </is>
      </c>
    </row>
    <row r="35">
      <c r="A35" t="inlineStr">
        <is>
          <t>Spot ticket scenario multiplier</t>
        </is>
      </c>
      <c r="B35" s="41">
        <f>CHOOSE($C$6,C35,D35,E35)</f>
        <v/>
      </c>
      <c r="C35" s="15" t="n">
        <v>1</v>
      </c>
      <c r="D35" s="15" t="n">
        <v>1.35</v>
      </c>
      <c r="E35" s="15" t="n">
        <v>0.7</v>
      </c>
      <c r="F35" s="23" t="inlineStr">
        <is>
          <t>x the observed ticket</t>
        </is>
      </c>
      <c r="G35" s="9" t="inlineStr">
        <is>
          <t>REPLACED the global 'Average spot ticket' on 2026-08-21. The LEVEL is no longer a scenario input: each region now carries its own OBSERVED ticket on Assumptions (UAE 190 from Botim, India 40 from Augmont, Oman &amp; Bahrain 145 inferred). This parameter carries only the UNCERTAINTY around those observations, as a single dial. ⚠ WHY ONE DIAL AND NOT THREE: three regional triplets would be nine numbers to defend and would let a scenario silently invert the regional ordering that the sources establish. One multiplier flexes the level and PRESERVES the ordering. Aggressive 1.35 puts the UAE at ~257, still under the AED 1,000 mark; conservative 0.70 puts it at ~133, below Botim's own sub-AED-500 majority. ASSUMPTION about spread, applied to observed levels.</t>
        </is>
      </c>
    </row>
    <row r="36">
      <c r="A36" t="inlineStr">
        <is>
          <t>Spot frequency</t>
        </is>
      </c>
      <c r="B36" s="41">
        <f>CHOOSE($C$6,C36,D36,E36)</f>
        <v/>
      </c>
      <c r="C36" s="15" t="n">
        <v>1.7</v>
      </c>
      <c r="D36" s="15" t="n">
        <v>2.4</v>
      </c>
      <c r="E36" s="15" t="n">
        <v>1.2</v>
      </c>
      <c r="F36" s="23" t="inlineStr">
        <is>
          <t>events/attacher/yr</t>
        </is>
      </c>
      <c r="G36" s="9" t="inlineStr">
        <is>
          <t>⚠ PROVENANCE CORRECTED 2026-08-21 - THE NUMBER STANDS, ITS OLD CITATION DID NOT. The previous note read 'Botim's 128,000 trades against ~45,000 buyers implies ~1.9/yr'. THE 45,000 IS NOT A BUYER COUNT, IT IS A TRANSACTION COUNT: Khaleej Times, Nov 2025, says 775,000 users EXPLORED the feature, 'completing over 45,000 transactions'. The 128,000 is also transactions, to Feb 2026. So the old derivation divided transactions by transactions across two different windows - the result was the growth in cumulative trades, not a frequency. CONFIRMED NEGATIVE: Botim has never published a unique-buyer count, so no frequency can be derived from it, and no published frequency exists ANYWHERE for ad-hoc lump gold purchases. Comparators are 0.85/yr (Augmont, per REGISTERED user, at an average transaction of Rs 331 - micro-saving, not lumps) and 264/yr (Jar, Rs 10/day auto-roundups) - a 300x spread, neither being this product. WHAT DOES SUPPORT 1.7 is a cross-check on the COMBINED basis, attach x frequency x ticket, which is comparable: Aurumix India implies ~Rs 838/yr of gold per paying customer against Augmont's ~Rs 281/yr per registered user. 3x, and defensible - our customers are engaged SIP savers, not dormant registrations. Behaviourally 1.7 is also about right for festive lumps: Dhanteras, Akshaya Tritiya and a wedding is roughly two events. ASSUMPTION, cross-checked on the combined basis, NOT directly sourced.</t>
        </is>
      </c>
    </row>
    <row r="38" ht="18" customHeight="1">
      <c r="A38" s="12" t="inlineStr">
        <is>
          <t>GROUP D: CARD</t>
        </is>
      </c>
      <c r="B38" s="13" t="n"/>
      <c r="C38" s="13" t="n"/>
      <c r="D38" s="13" t="n"/>
      <c r="E38" s="13" t="n"/>
    </row>
    <row r="39">
      <c r="A39" s="14" t="inlineStr">
        <is>
          <t>Parameter</t>
        </is>
      </c>
      <c r="B39" s="14" t="inlineStr">
        <is>
          <t>Active Value</t>
        </is>
      </c>
      <c r="C39" s="14" t="inlineStr">
        <is>
          <t>Base</t>
        </is>
      </c>
      <c r="D39" s="14" t="inlineStr">
        <is>
          <t>Aggressive</t>
        </is>
      </c>
      <c r="E39" s="14" t="inlineStr">
        <is>
          <t>Conservative</t>
        </is>
      </c>
      <c r="F39" s="14" t="inlineStr">
        <is>
          <t>Unit</t>
        </is>
      </c>
    </row>
    <row r="40">
      <c r="A40" t="inlineStr">
        <is>
          <t>Programme manager share of interchange</t>
        </is>
      </c>
      <c r="B40" s="39">
        <f>CHOOSE($C$6,C40,D40,E40)</f>
        <v/>
      </c>
      <c r="C40" s="19" t="n">
        <v>0.72</v>
      </c>
      <c r="D40" s="19" t="n">
        <v>0.85</v>
      </c>
      <c r="E40" s="19" t="n">
        <v>0.55</v>
      </c>
      <c r="F40" s="23" t="inlineStr">
        <is>
          <t>%</t>
        </is>
      </c>
      <c r="G40" s="9" t="inlineStr">
        <is>
          <t>SIZES THE LARGEST STREAM. No UAE/MENA figure is published. FLOOR IS 36% - take that into the sponsor conversation as the walk-away. TRIANGULATED.</t>
        </is>
      </c>
    </row>
    <row r="41">
      <c r="A41" t="inlineStr">
        <is>
          <t>Facility take-up - customers who take AND use the card</t>
        </is>
      </c>
      <c r="B41" s="39">
        <f>CHOOSE($C$6,C41,D41,E41)</f>
        <v/>
      </c>
      <c r="C41" s="19" t="n">
        <v>0.18</v>
      </c>
      <c r="D41" s="19" t="n">
        <v>0.3</v>
      </c>
      <c r="E41" s="19" t="n">
        <v>0.08</v>
      </c>
      <c r="F41" s="23" t="inlineStr">
        <is>
          <t>% of gate-cleared</t>
        </is>
      </c>
      <c r="G41" s="9" t="inlineStr">
        <is>
          <t>RE-BASED 2026-08-20, client decision: THE CARD IS A DRAWDOWN ON THE GOLD-COLLATERALISED FACILITY, not a salary-repaid revolving card. Aurumix has no balance sheet to lend from - it can only extend credit against collateral it holds, which is the customer's gold. Using the card IS borrowing, so card activation and credit take-up are the SAME behaviour and were previously modelled as two different populations (50% activating a card, 18% taking credit) doing what is in fact one thing. Merged onto the credit figure, which is the better-anchored of the two: Indian gold-loan penetration is under 10% at a point in time, uplifted here for pre-selection since these customers have already cleared a six-payment gate. ⚠ THE OLD 50% CAME FROM NEOBANK COMPARABLES (PULSE 68.2%, Monzo 68%) WHERE THE CARD IS THE PRODUCT - wrong in kind for a card that only lets you borrow against your own savings. DERIVED.</t>
        </is>
      </c>
    </row>
    <row r="42">
      <c r="A42" t="inlineStr">
        <is>
          <t>Transactions per drawdown event</t>
        </is>
      </c>
      <c r="B42" s="31">
        <f>CHOOSE($C$6,C42,D42,E42)</f>
        <v/>
      </c>
      <c r="C42" s="17" t="n">
        <v>4</v>
      </c>
      <c r="D42" s="17" t="n">
        <v>6</v>
      </c>
      <c r="E42" s="17" t="n">
        <v>2</v>
      </c>
      <c r="F42" s="23" t="inlineStr">
        <is>
          <t>transactions/draw</t>
        </is>
      </c>
      <c r="G42" s="9" t="inlineStr">
        <is>
          <t>RE-BASED 2026-08-20 from 12 transactions/MONTH once the card became a drawdown on the gold facility. Under that model the customer borrows a lump (limit x drawn share) a couple of times a year and spends it down, so the meaningful unit is transactions PER DRAW, not per month. At 12/month the implied ticket collapsed to ~AED 12, which is a coffee, not a reason to pledge your gold. THE AVERAGE TICKET FALLS OUT AS drawn amount / this number, and the draw events cancel - so the ticket depends only on how large a draw is and how many purchases it is spent across. ⚠ IT ALSO CHANGES WHAT THE CARD IS FOR: not daily groceries, but occasional larger needs - school fees, a medical bill, an emergency - funded by borrowing against savings rather than liquidating them. That is a materially different product story and should be put to the client in those words. ASSUMPTION.</t>
        </is>
      </c>
    </row>
    <row r="43">
      <c r="A43" t="inlineStr">
        <is>
          <t>Foreign spend share (mean)</t>
        </is>
      </c>
      <c r="B43" s="39">
        <f>CHOOSE($C$6,C43,D43,E43)</f>
        <v/>
      </c>
      <c r="C43" s="19" t="n">
        <v>0.34</v>
      </c>
      <c r="D43" s="19" t="n">
        <v>0.45</v>
      </c>
      <c r="E43" s="19" t="n">
        <v>0.24</v>
      </c>
      <c r="F43" s="23" t="inlineStr">
        <is>
          <t>% of card spend</t>
        </is>
      </c>
      <c r="G43" s="9" t="inlineStr">
        <is>
          <t>Applied through the seasonal vector, not as a constant. ASSUMPTION.</t>
        </is>
      </c>
    </row>
    <row r="44">
      <c r="A44" t="inlineStr">
        <is>
          <t>Card issuance events</t>
        </is>
      </c>
      <c r="B44" s="41">
        <f>CHOOSE($C$6,C44,D44,E44)</f>
        <v/>
      </c>
      <c r="C44" s="15" t="n">
        <v>1.06</v>
      </c>
      <c r="D44" s="15" t="n">
        <v>1.04</v>
      </c>
      <c r="E44" s="15" t="n">
        <v>1.1</v>
      </c>
      <c r="F44" s="23" t="inlineStr">
        <is>
          <t>events/card/yr</t>
        </is>
      </c>
      <c r="G44" s="9" t="inlineStr">
        <is>
          <t>1.00 at activation plus reissues - a tier upgrade forces a physical reissue. ASSUMPTION.</t>
        </is>
      </c>
    </row>
    <row r="45">
      <c r="A45" t="inlineStr">
        <is>
          <t>Card replacement events</t>
        </is>
      </c>
      <c r="B45" s="41">
        <f>CHOOSE($C$6,C45,D45,E45)</f>
        <v/>
      </c>
      <c r="C45" s="15" t="n">
        <v>0.11</v>
      </c>
      <c r="D45" s="15" t="n">
        <v>0.07000000000000001</v>
      </c>
      <c r="E45" s="15" t="n">
        <v>0.18</v>
      </c>
      <c r="F45" s="23" t="inlineStr">
        <is>
          <t>events/card/yr</t>
        </is>
      </c>
      <c r="G45" s="9" t="inlineStr">
        <is>
          <t>Industry-normal loss/theft/damage is 8-15% annually. ASSUMPTION.</t>
        </is>
      </c>
    </row>
    <row r="46">
      <c r="A46" t="inlineStr">
        <is>
          <t>ATM AED 0-500 - share of cardholders</t>
        </is>
      </c>
      <c r="B46" s="39">
        <f>CHOOSE($C$6,C46,D46,E46)</f>
        <v/>
      </c>
      <c r="C46" s="19" t="n">
        <v>0.6</v>
      </c>
      <c r="D46" s="19" t="n">
        <v>0.42</v>
      </c>
      <c r="E46" s="19" t="n">
        <v>0.74</v>
      </c>
      <c r="F46" s="23" t="inlineStr">
        <is>
          <t>%</t>
        </is>
      </c>
      <c r="G46"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47">
      <c r="A47" t="inlineStr">
        <is>
          <t>ATM AED 500-1,500 - share of cardholders</t>
        </is>
      </c>
      <c r="B47" s="39">
        <f>CHOOSE($C$6,C47,D47,E47)</f>
        <v/>
      </c>
      <c r="C47" s="19" t="n">
        <v>0.25</v>
      </c>
      <c r="D47" s="19" t="n">
        <v>0.3</v>
      </c>
      <c r="E47" s="19" t="n">
        <v>0.18</v>
      </c>
      <c r="F47" s="23" t="inlineStr">
        <is>
          <t>%</t>
        </is>
      </c>
      <c r="G47"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48">
      <c r="A48" t="inlineStr">
        <is>
          <t>ATM AED 1,500-3,000 - share of cardholders</t>
        </is>
      </c>
      <c r="B48" s="39">
        <f>CHOOSE($C$6,C48,D48,E48)</f>
        <v/>
      </c>
      <c r="C48" s="19" t="n">
        <v>0.12</v>
      </c>
      <c r="D48" s="19" t="n">
        <v>0.2</v>
      </c>
      <c r="E48" s="19" t="n">
        <v>0.06</v>
      </c>
      <c r="F48" s="23" t="inlineStr">
        <is>
          <t>%</t>
        </is>
      </c>
      <c r="G48"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49">
      <c r="A49" t="inlineStr">
        <is>
          <t>ATM AED 3,000+ - share of cardholders</t>
        </is>
      </c>
      <c r="B49" s="39">
        <f>CHOOSE($C$6,C49,D49,E49)</f>
        <v/>
      </c>
      <c r="C49" s="19" t="n">
        <v>0.03</v>
      </c>
      <c r="D49" s="19" t="n">
        <v>0.08</v>
      </c>
      <c r="E49" s="19" t="n">
        <v>0.02</v>
      </c>
      <c r="F49" s="23" t="inlineStr">
        <is>
          <t>%</t>
        </is>
      </c>
      <c r="G49" s="9" t="inlineStr">
        <is>
          <t>KEPT AS A DISTRIBUTION DELIBERATELY. The mean draw (~AED 940) sits just BELOW the free allowance of AED 1,000 BY DESIGN, so applying the fee to the mean returns EXACTLY ZERO and stream 4 silently loses a component. The distribution returns materially more, generated almost entirely by a small high-cash tail. ASSUMPTION.</t>
        </is>
      </c>
    </row>
    <row r="50">
      <c r="A50" t="inlineStr">
        <is>
          <t>ATM AED 0-500 - midpoint draw</t>
        </is>
      </c>
      <c r="B50" s="31">
        <f>CHOOSE($C$6,C50,D50,E50)</f>
        <v/>
      </c>
      <c r="C50" s="17" t="n">
        <v>250</v>
      </c>
      <c r="D50" s="17" t="n">
        <v>300</v>
      </c>
      <c r="E50" s="17" t="n">
        <v>200</v>
      </c>
      <c r="F50" s="23" t="inlineStr">
        <is>
          <t>AED/month</t>
        </is>
      </c>
      <c r="G50" s="9" t="inlineStr">
        <is>
          <t>Raising the allowance at the top tier waives revenue from only the top ~3% of cardholders.</t>
        </is>
      </c>
    </row>
    <row r="51">
      <c r="A51" t="inlineStr">
        <is>
          <t>ATM AED 500-1,500 - midpoint draw</t>
        </is>
      </c>
      <c r="B51" s="31">
        <f>CHOOSE($C$6,C51,D51,E51)</f>
        <v/>
      </c>
      <c r="C51" s="17" t="n">
        <v>1000</v>
      </c>
      <c r="D51" s="17" t="n">
        <v>1100</v>
      </c>
      <c r="E51" s="17" t="n">
        <v>900</v>
      </c>
      <c r="F51" s="23" t="inlineStr">
        <is>
          <t>AED/month</t>
        </is>
      </c>
      <c r="G51" s="9" t="inlineStr">
        <is>
          <t>Raising the allowance at the top tier waives revenue from only the top ~3% of cardholders.</t>
        </is>
      </c>
    </row>
    <row r="52">
      <c r="A52" t="inlineStr">
        <is>
          <t>ATM AED 1,500-3,000 - midpoint draw</t>
        </is>
      </c>
      <c r="B52" s="31">
        <f>CHOOSE($C$6,C52,D52,E52)</f>
        <v/>
      </c>
      <c r="C52" s="17" t="n">
        <v>2250</v>
      </c>
      <c r="D52" s="17" t="n">
        <v>2400</v>
      </c>
      <c r="E52" s="17" t="n">
        <v>2100</v>
      </c>
      <c r="F52" s="23" t="inlineStr">
        <is>
          <t>AED/month</t>
        </is>
      </c>
      <c r="G52" s="9" t="inlineStr">
        <is>
          <t>Raising the allowance at the top tier waives revenue from only the top ~3% of cardholders.</t>
        </is>
      </c>
    </row>
    <row r="53">
      <c r="A53" t="inlineStr">
        <is>
          <t>ATM AED 3,000+ - midpoint draw</t>
        </is>
      </c>
      <c r="B53" s="31">
        <f>CHOOSE($C$6,C53,D53,E53)</f>
        <v/>
      </c>
      <c r="C53" s="17" t="n">
        <v>4000</v>
      </c>
      <c r="D53" s="17" t="n">
        <v>4500</v>
      </c>
      <c r="E53" s="17" t="n">
        <v>3600</v>
      </c>
      <c r="F53" s="23" t="inlineStr">
        <is>
          <t>AED/month</t>
        </is>
      </c>
      <c r="G53" s="9" t="inlineStr">
        <is>
          <t>Raising the allowance at the top tier waives revenue from only the top ~3% of cardholders.</t>
        </is>
      </c>
    </row>
    <row r="55" ht="18" customHeight="1">
      <c r="A55" s="12" t="inlineStr">
        <is>
          <t>GROUP E: CREDIT, B2B AND FAMILY</t>
        </is>
      </c>
      <c r="B55" s="13" t="n"/>
      <c r="C55" s="13" t="n"/>
      <c r="D55" s="13" t="n"/>
      <c r="E55" s="13" t="n"/>
    </row>
    <row r="56">
      <c r="A56" s="14" t="inlineStr">
        <is>
          <t>Parameter</t>
        </is>
      </c>
      <c r="B56" s="14" t="inlineStr">
        <is>
          <t>Active Value</t>
        </is>
      </c>
      <c r="C56" s="14" t="inlineStr">
        <is>
          <t>Base</t>
        </is>
      </c>
      <c r="D56" s="14" t="inlineStr">
        <is>
          <t>Aggressive</t>
        </is>
      </c>
      <c r="E56" s="14" t="inlineStr">
        <is>
          <t>Conservative</t>
        </is>
      </c>
      <c r="F56" s="14" t="inlineStr">
        <is>
          <t>Unit</t>
        </is>
      </c>
    </row>
    <row r="57">
      <c r="A57" t="inlineStr">
        <is>
          <t>Drawn as % of permitted limit</t>
        </is>
      </c>
      <c r="B57" s="39">
        <f>CHOOSE($C$6,C57,D57,E57)</f>
        <v/>
      </c>
      <c r="C57" s="19" t="n">
        <v>0.5</v>
      </c>
      <c r="D57" s="19" t="n">
        <v>0.7</v>
      </c>
      <c r="E57" s="19" t="n">
        <v>0.3</v>
      </c>
      <c r="F57" s="23" t="inlineStr">
        <is>
          <t>%</t>
        </is>
      </c>
      <c r="G57" s="9" t="inlineStr">
        <is>
          <t>Revolving facilities draw 40-55% of permitted. This now drives CARD SPEND as well as the loan balance, because the card is the drawdown mechanism. TRIANGULATED.</t>
        </is>
      </c>
    </row>
    <row r="58">
      <c r="A58" t="inlineStr">
        <is>
          <t>Facility turnover, peak -&gt; average</t>
        </is>
      </c>
      <c r="B58" s="41">
        <f>CHOOSE($C$6,C58,D58,E58)</f>
        <v/>
      </c>
      <c r="C58" s="15" t="n">
        <v>0.42</v>
      </c>
      <c r="D58" s="15" t="n">
        <v>0.55</v>
      </c>
      <c r="E58" s="15" t="n">
        <v>0.3</v>
      </c>
      <c r="F58" s="23" t="inlineStr">
        <is>
          <t>x peak drawn</t>
        </is>
      </c>
      <c r="G58" s="9" t="inlineStr">
        <is>
          <t>AN ARITHMETIC CORRECTION, not a sensitivity, derived from Manappuram's 71-day realised tenor. It cuts the lending stream by 1.88x. DERIVED.</t>
        </is>
      </c>
    </row>
    <row r="59">
      <c r="A59" t="inlineStr">
        <is>
          <t>Draw events per borrower per year</t>
        </is>
      </c>
      <c r="B59" s="41">
        <f>CHOOSE($C$6,C59,D59,E59)</f>
        <v/>
      </c>
      <c r="C59" s="15" t="n">
        <v>2.1</v>
      </c>
      <c r="D59" s="15" t="n">
        <v>3.2</v>
      </c>
      <c r="E59" s="15" t="n">
        <v>1.3</v>
      </c>
      <c r="F59" s="23" t="inlineStr">
        <is>
          <t>events/yr</t>
        </is>
      </c>
      <c r="G59" s="9" t="inlineStr">
        <is>
          <t>MOVES WITH facility turnover - do not flex independently. DERIVED.</t>
        </is>
      </c>
    </row>
    <row r="60">
      <c r="A60" t="inlineStr">
        <is>
          <t>Family plan attach rate</t>
        </is>
      </c>
      <c r="B60" s="39">
        <f>CHOOSE($C$6,C60,D60,E60)</f>
        <v/>
      </c>
      <c r="C60" s="19" t="n">
        <v>0.2</v>
      </c>
      <c r="D60" s="19" t="n">
        <v>0.35</v>
      </c>
      <c r="E60" s="19" t="n">
        <v>0.1</v>
      </c>
      <c r="F60" s="23" t="inlineStr">
        <is>
          <t>% of customers</t>
        </is>
      </c>
      <c r="G60" s="9" t="inlineStr">
        <is>
          <t>NOTHING IS STATED ANYWHERE IN THE CORPUS. Pure assumption. Scales stream 3 linearly.</t>
        </is>
      </c>
    </row>
    <row r="61">
      <c r="A61" t="inlineStr">
        <is>
          <t>B2B partners - Y1</t>
        </is>
      </c>
      <c r="B61" s="31">
        <f>CHOOSE($C$6,C61,D61,E61)</f>
        <v/>
      </c>
      <c r="C61" s="17" t="n">
        <v>0</v>
      </c>
      <c r="D61" s="17" t="n">
        <v>0</v>
      </c>
      <c r="E61" s="17" t="n">
        <v>0</v>
      </c>
      <c r="F61" s="23" t="inlineStr">
        <is>
          <t>partners</t>
        </is>
      </c>
      <c r="G61"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2">
      <c r="A62" t="inlineStr">
        <is>
          <t>B2B partners - Y2</t>
        </is>
      </c>
      <c r="B62" s="31">
        <f>CHOOSE($C$6,C62,D62,E62)</f>
        <v/>
      </c>
      <c r="C62" s="17" t="n">
        <v>1</v>
      </c>
      <c r="D62" s="17" t="n">
        <v>1</v>
      </c>
      <c r="E62" s="17" t="n">
        <v>1</v>
      </c>
      <c r="F62" s="23" t="inlineStr">
        <is>
          <t>partners</t>
        </is>
      </c>
      <c r="G62"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3">
      <c r="A63" t="inlineStr">
        <is>
          <t>B2B partners - Y3</t>
        </is>
      </c>
      <c r="B63" s="31">
        <f>CHOOSE($C$6,C63,D63,E63)</f>
        <v/>
      </c>
      <c r="C63" s="17" t="n">
        <v>2</v>
      </c>
      <c r="D63" s="17" t="n">
        <v>3</v>
      </c>
      <c r="E63" s="17" t="n">
        <v>1</v>
      </c>
      <c r="F63" s="23" t="inlineStr">
        <is>
          <t>partners</t>
        </is>
      </c>
      <c r="G63"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4">
      <c r="A64" t="inlineStr">
        <is>
          <t>B2B partners - Y4</t>
        </is>
      </c>
      <c r="B64" s="31">
        <f>CHOOSE($C$6,C64,D64,E64)</f>
        <v/>
      </c>
      <c r="C64" s="17" t="n">
        <v>3</v>
      </c>
      <c r="D64" s="17" t="n">
        <v>5</v>
      </c>
      <c r="E64" s="17" t="n">
        <v>1</v>
      </c>
      <c r="F64" s="23" t="inlineStr">
        <is>
          <t>partners</t>
        </is>
      </c>
      <c r="G64"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5">
      <c r="A65" t="inlineStr">
        <is>
          <t>B2B partners - Y5</t>
        </is>
      </c>
      <c r="B65" s="31">
        <f>CHOOSE($C$6,C65,D65,E65)</f>
        <v/>
      </c>
      <c r="C65" s="17" t="n">
        <v>4</v>
      </c>
      <c r="D65" s="17" t="n">
        <v>7</v>
      </c>
      <c r="E65" s="17" t="n">
        <v>2</v>
      </c>
      <c r="F65" s="23" t="inlineStr">
        <is>
          <t>partners</t>
        </is>
      </c>
      <c r="G65"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6">
      <c r="A66" t="inlineStr">
        <is>
          <t>B2B partners - Y6</t>
        </is>
      </c>
      <c r="B66" s="31">
        <f>CHOOSE($C$6,C66,D66,E66)</f>
        <v/>
      </c>
      <c r="C66" s="17" t="n">
        <v>5</v>
      </c>
      <c r="D66" s="17" t="n">
        <v>9</v>
      </c>
      <c r="E66" s="17" t="n">
        <v>2</v>
      </c>
      <c r="F66" s="23" t="inlineStr">
        <is>
          <t>partners</t>
        </is>
      </c>
      <c r="G66"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7">
      <c r="A67" t="inlineStr">
        <is>
          <t>B2B partners - Y7</t>
        </is>
      </c>
      <c r="B67" s="31">
        <f>CHOOSE($C$6,C67,D67,E67)</f>
        <v/>
      </c>
      <c r="C67" s="17" t="n">
        <v>6</v>
      </c>
      <c r="D67" s="17" t="n">
        <v>11</v>
      </c>
      <c r="E67" s="17" t="n">
        <v>2</v>
      </c>
      <c r="F67" s="23" t="inlineStr">
        <is>
          <t>partners</t>
        </is>
      </c>
      <c r="G67" s="9" t="inlineStr">
        <is>
          <t>Enterprise cadence for a pre-revenue infrastructure vendor. Partner 1 signs in Y2, matching the M13 B2B go-live - the schedule previously started at Y3 and had to move with it, or stream 6 would have activated with no partner to earn on. TERMINAL COUNTS ARE UNCHANGED, so the pipeline accelerates by a year without inflating the addressable partner market. ASSUMPTION.</t>
        </is>
      </c>
    </row>
    <row r="68">
      <c r="A68" t="inlineStr">
        <is>
          <t>AUM per partner (mature)</t>
        </is>
      </c>
      <c r="B68" s="42">
        <f>CHOOSE($C$6,C68,D68,E68)</f>
        <v/>
      </c>
      <c r="C68" s="20" t="n">
        <v>32000000</v>
      </c>
      <c r="D68" s="20" t="n">
        <v>45000000</v>
      </c>
      <c r="E68" s="20" t="n">
        <v>22000000</v>
      </c>
      <c r="F68" s="23" t="inlineStr">
        <is>
          <t>USD</t>
        </is>
      </c>
      <c r="G68" s="9" t="inlineStr">
        <is>
          <t>Requires a signed partner. Partner AUM earns NO tier and consumes NO benefits - structurally the highest-margin book. DERIVED.</t>
        </is>
      </c>
    </row>
    <row r="70" ht="18" customHeight="1">
      <c r="A70" s="12" t="inlineStr">
        <is>
          <t>GROUP F: REGIONS</t>
        </is>
      </c>
      <c r="B70" s="13" t="n"/>
      <c r="C70" s="13" t="n"/>
      <c r="D70" s="13" t="n"/>
      <c r="E70" s="13" t="n"/>
    </row>
    <row r="71">
      <c r="A71" s="14" t="inlineStr">
        <is>
          <t>Parameter</t>
        </is>
      </c>
      <c r="B71" s="14" t="inlineStr">
        <is>
          <t>Active Value</t>
        </is>
      </c>
      <c r="C71" s="14" t="inlineStr">
        <is>
          <t>Base</t>
        </is>
      </c>
      <c r="D71" s="14" t="inlineStr">
        <is>
          <t>Aggressive</t>
        </is>
      </c>
      <c r="E71" s="14" t="inlineStr">
        <is>
          <t>Conservative</t>
        </is>
      </c>
      <c r="F71" s="14" t="inlineStr">
        <is>
          <t>Unit</t>
        </is>
      </c>
    </row>
    <row r="72">
      <c r="A72" t="inlineStr">
        <is>
          <t>Average monthly ticket - UAE</t>
        </is>
      </c>
      <c r="B72" s="42">
        <f>CHOOSE($C$6,C72,D72,E72)</f>
        <v/>
      </c>
      <c r="C72" s="20" t="n">
        <v>33.6</v>
      </c>
      <c r="D72" s="20" t="n">
        <v>41</v>
      </c>
      <c r="E72" s="20" t="n">
        <v>26.5</v>
      </c>
      <c r="F72" s="23" t="inlineStr">
        <is>
          <t>USD/month</t>
        </is>
      </c>
      <c r="G72"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73">
      <c r="A73" t="inlineStr">
        <is>
          <t>Average monthly ticket - Oman and Bahrain</t>
        </is>
      </c>
      <c r="B73" s="42">
        <f>CHOOSE($C$6,C73,D73,E73)</f>
        <v/>
      </c>
      <c r="C73" s="20" t="n">
        <v>26</v>
      </c>
      <c r="D73" s="20" t="n">
        <v>32</v>
      </c>
      <c r="E73" s="20" t="n">
        <v>21</v>
      </c>
      <c r="F73" s="23" t="inlineStr">
        <is>
          <t>USD/month</t>
        </is>
      </c>
      <c r="G73"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74">
      <c r="A74" t="inlineStr">
        <is>
          <t>Average monthly ticket - India</t>
        </is>
      </c>
      <c r="B74" s="42">
        <f>CHOOSE($C$6,C74,D74,E74)</f>
        <v/>
      </c>
      <c r="C74" s="20" t="n">
        <v>30</v>
      </c>
      <c r="D74" s="20" t="n">
        <v>36</v>
      </c>
      <c r="E74" s="20" t="n">
        <v>24</v>
      </c>
      <c r="F74" s="23" t="inlineStr">
        <is>
          <t>USD/month</t>
        </is>
      </c>
      <c r="G74" s="9" t="inlineStr">
        <is>
          <t>THE SIP AMOUNT - the recurring monthly gold contribution. SAVINGS-CAPACITY anchored, not remittance anchored, because remittance is a committed obligation rather than discretionary money; a recurring gold debit realistically captures 10-15% of monthly savings capacity. Anchors: Joyalukkas has PRICE-DISCOVERED AED 100 (USD 27) as the viable mass-market monthly instalment for this exact demographic, and Malabar sits at AED 200. The blend lands BELOW AMFI's USD 34 Indian retail SIP average (Rs 31,961 crore over 10.63 crore accounts, current at July 2026), which is the correct direction since AMFI reflects domestic urban investors with more discretionary income than a Gulf blue-collar book - it is an upper bound, not a proxy. UAE is the ceiling-weighted blend of the former Indian (USD 38) and other South Asian (USD 26) rows. Book-weighted average ~USD 31.45. TRIANGULATED.</t>
        </is>
      </c>
    </row>
    <row r="76" ht="18" customHeight="1">
      <c r="A76" s="12" t="inlineStr">
        <is>
          <t>STRUCTURAL SWITCHES - the two that move revenue</t>
        </is>
      </c>
      <c r="B76" s="13" t="n"/>
      <c r="C76" s="13" t="n"/>
      <c r="D76" s="13" t="n"/>
      <c r="E76" s="13" t="n"/>
    </row>
    <row r="77">
      <c r="A77" s="14" t="inlineStr">
        <is>
          <t>Switch</t>
        </is>
      </c>
      <c r="B77" s="14" t="inlineStr">
        <is>
          <t>Active (1/0)</t>
        </is>
      </c>
      <c r="C77" s="14" t="inlineStr">
        <is>
          <t>State</t>
        </is>
      </c>
      <c r="D77" s="14" t="inlineStr">
        <is>
          <t>ON value</t>
        </is>
      </c>
    </row>
    <row r="78">
      <c r="A78" t="inlineStr">
        <is>
          <t>Prepaid instead of credit</t>
        </is>
      </c>
      <c r="B78" s="31">
        <f>IF($C$78="Prepaid",1,0)</f>
        <v/>
      </c>
      <c r="C78" s="38" t="inlineStr">
        <is>
          <t>Credit</t>
        </is>
      </c>
      <c r="D78" s="23" t="inlineStr">
        <is>
          <t>Prepaid</t>
        </is>
      </c>
      <c r="G78" s="9" t="inlineStr">
        <is>
          <t>ON (Prepaid) caps interchange at 1.00% and removes the credit stream entirely. 'NOT A PRODUCT CHOICE, IT IS THE BUSINESS MODEL.' Worth ~USD 2.3m of Y10 revenue on the ten-year run.</t>
        </is>
      </c>
    </row>
    <row r="79">
      <c r="A79" t="inlineStr">
        <is>
          <t>Holders keep the card</t>
        </is>
      </c>
      <c r="B79" s="31">
        <f>IF($C$79="ON",1,0)</f>
        <v/>
      </c>
      <c r="C79" s="38" t="inlineStr">
        <is>
          <t>ON</t>
        </is>
      </c>
      <c r="D79" s="23" t="inlineStr">
        <is>
          <t>ON</t>
        </is>
      </c>
      <c r="G79" s="9" t="inlineStr">
        <is>
          <t>NOBODY HAS DECIDED THIS. It determines whether the card streams - the majority of revenue - decay with churn or are immune to it. Worth a 42% swing in terminal revenue. Default ON because nothing in the design revokes the card; report both.</t>
        </is>
      </c>
    </row>
  </sheetData>
  <dataValidations count="3">
    <dataValidation sqref="B6" showDropDown="0" showInputMessage="0" showErrorMessage="0" allowBlank="0" type="list">
      <formula1>"Base,Aggressive,Conservative"</formula1>
    </dataValidation>
    <dataValidation sqref="C78" showDropDown="0" showInputMessage="0" showErrorMessage="0" allowBlank="0" type="list">
      <formula1>"Credit,Prepaid"</formula1>
    </dataValidation>
    <dataValidation sqref="C79" showDropDown="0" showInputMessage="0" showErrorMessage="0" allowBlank="0" type="list">
      <formula1>"ON,OFF"</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E164"/>
  <sheetViews>
    <sheetView showGridLines="0" workbookViewId="0">
      <pane xSplit="2" ySplit="7" topLeftCell="C8" activePane="bottomRight" state="frozen"/>
      <selection pane="topRight"/>
      <selection pane="bottomLeft"/>
      <selection pane="bottomRight" activeCell="A1" sqref="A1"/>
    </sheetView>
  </sheetViews>
  <sheetFormatPr baseColWidth="8" defaultRowHeight="15"/>
  <cols>
    <col width="52" customWidth="1" min="1" max="1"/>
    <col width="18"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4" max="14"/>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7" max="27"/>
    <col width="13" customWidth="1" min="28" max="28"/>
    <col width="13" customWidth="1" min="29" max="29"/>
    <col width="13" customWidth="1" min="30" max="30"/>
    <col width="13" customWidth="1" min="31" max="31"/>
  </cols>
  <sheetData>
    <row r="1">
      <c r="A1" s="10">
        <f>Cover!$B$2</f>
        <v/>
      </c>
    </row>
    <row r="2">
      <c r="A2" s="3" t="inlineStr">
        <is>
          <t>Period #</t>
        </is>
      </c>
      <c r="B2" s="23" t="inlineStr">
        <is>
          <t>1..29</t>
        </is>
      </c>
      <c r="C2" s="28" t="n">
        <v>1</v>
      </c>
      <c r="D2" s="28" t="n">
        <v>2</v>
      </c>
      <c r="E2" s="28" t="n">
        <v>3</v>
      </c>
      <c r="F2" s="28" t="n">
        <v>4</v>
      </c>
      <c r="G2" s="28" t="n">
        <v>5</v>
      </c>
      <c r="H2" s="28" t="n">
        <v>6</v>
      </c>
      <c r="I2" s="28" t="n">
        <v>7</v>
      </c>
      <c r="J2" s="28" t="n">
        <v>8</v>
      </c>
      <c r="K2" s="28" t="n">
        <v>9</v>
      </c>
      <c r="L2" s="28" t="n">
        <v>10</v>
      </c>
      <c r="M2" s="28" t="n">
        <v>11</v>
      </c>
      <c r="N2" s="28" t="n">
        <v>12</v>
      </c>
      <c r="O2" s="28" t="n">
        <v>13</v>
      </c>
      <c r="P2" s="28" t="n">
        <v>14</v>
      </c>
      <c r="Q2" s="28" t="n">
        <v>15</v>
      </c>
      <c r="R2" s="28" t="n">
        <v>16</v>
      </c>
      <c r="S2" s="28" t="n">
        <v>17</v>
      </c>
      <c r="T2" s="28" t="n">
        <v>18</v>
      </c>
      <c r="U2" s="28" t="n">
        <v>19</v>
      </c>
      <c r="V2" s="28" t="n">
        <v>20</v>
      </c>
      <c r="W2" s="28" t="n">
        <v>21</v>
      </c>
      <c r="X2" s="28" t="n">
        <v>22</v>
      </c>
      <c r="Y2" s="28" t="n">
        <v>23</v>
      </c>
      <c r="Z2" s="28" t="n">
        <v>24</v>
      </c>
      <c r="AA2" s="28" t="n">
        <v>25</v>
      </c>
      <c r="AB2" s="28" t="n">
        <v>26</v>
      </c>
      <c r="AC2" s="28" t="n">
        <v>27</v>
      </c>
      <c r="AD2" s="28" t="n">
        <v>28</v>
      </c>
      <c r="AE2" s="28" t="n">
        <v>29</v>
      </c>
    </row>
    <row r="3">
      <c r="A3" s="3" t="inlineStr">
        <is>
          <t>Period</t>
        </is>
      </c>
      <c r="B3" s="23" t="inlineStr">
        <is>
          <t>-</t>
        </is>
      </c>
      <c r="C3" s="43" t="inlineStr">
        <is>
          <t>M1</t>
        </is>
      </c>
      <c r="D3" s="43" t="inlineStr">
        <is>
          <t>M2</t>
        </is>
      </c>
      <c r="E3" s="43" t="inlineStr">
        <is>
          <t>M3</t>
        </is>
      </c>
      <c r="F3" s="43" t="inlineStr">
        <is>
          <t>M4</t>
        </is>
      </c>
      <c r="G3" s="43" t="inlineStr">
        <is>
          <t>M5</t>
        </is>
      </c>
      <c r="H3" s="43" t="inlineStr">
        <is>
          <t>M6</t>
        </is>
      </c>
      <c r="I3" s="43" t="inlineStr">
        <is>
          <t>M7</t>
        </is>
      </c>
      <c r="J3" s="43" t="inlineStr">
        <is>
          <t>M8</t>
        </is>
      </c>
      <c r="K3" s="43" t="inlineStr">
        <is>
          <t>M9</t>
        </is>
      </c>
      <c r="L3" s="43" t="inlineStr">
        <is>
          <t>M10</t>
        </is>
      </c>
      <c r="M3" s="43" t="inlineStr">
        <is>
          <t>M11</t>
        </is>
      </c>
      <c r="N3" s="43" t="inlineStr">
        <is>
          <t>M12</t>
        </is>
      </c>
      <c r="O3" s="43" t="inlineStr">
        <is>
          <t>M13</t>
        </is>
      </c>
      <c r="P3" s="43" t="inlineStr">
        <is>
          <t>M14</t>
        </is>
      </c>
      <c r="Q3" s="43" t="inlineStr">
        <is>
          <t>M15</t>
        </is>
      </c>
      <c r="R3" s="43" t="inlineStr">
        <is>
          <t>M16</t>
        </is>
      </c>
      <c r="S3" s="43" t="inlineStr">
        <is>
          <t>M17</t>
        </is>
      </c>
      <c r="T3" s="43" t="inlineStr">
        <is>
          <t>M18</t>
        </is>
      </c>
      <c r="U3" s="43" t="inlineStr">
        <is>
          <t>M19</t>
        </is>
      </c>
      <c r="V3" s="43" t="inlineStr">
        <is>
          <t>M20</t>
        </is>
      </c>
      <c r="W3" s="43" t="inlineStr">
        <is>
          <t>M21</t>
        </is>
      </c>
      <c r="X3" s="43" t="inlineStr">
        <is>
          <t>M22</t>
        </is>
      </c>
      <c r="Y3" s="43" t="inlineStr">
        <is>
          <t>M23</t>
        </is>
      </c>
      <c r="Z3" s="43" t="inlineStr">
        <is>
          <t>M24</t>
        </is>
      </c>
      <c r="AA3" s="43" t="inlineStr">
        <is>
          <t>Y3</t>
        </is>
      </c>
      <c r="AB3" s="43" t="inlineStr">
        <is>
          <t>Y4</t>
        </is>
      </c>
      <c r="AC3" s="43" t="inlineStr">
        <is>
          <t>Y5</t>
        </is>
      </c>
      <c r="AD3" s="43" t="inlineStr">
        <is>
          <t>Y6</t>
        </is>
      </c>
      <c r="AE3" s="43" t="inlineStr">
        <is>
          <t>Y7</t>
        </is>
      </c>
    </row>
    <row r="4">
      <c r="A4" s="6" t="inlineStr">
        <is>
          <t>Period type</t>
        </is>
      </c>
      <c r="B4" s="23" t="inlineStr">
        <is>
          <t>-</t>
        </is>
      </c>
      <c r="C4" s="44" t="inlineStr">
        <is>
          <t>Monthly</t>
        </is>
      </c>
      <c r="D4" s="44" t="inlineStr">
        <is>
          <t>Monthly</t>
        </is>
      </c>
      <c r="E4" s="44" t="inlineStr">
        <is>
          <t>Monthly</t>
        </is>
      </c>
      <c r="F4" s="44" t="inlineStr">
        <is>
          <t>Monthly</t>
        </is>
      </c>
      <c r="G4" s="44" t="inlineStr">
        <is>
          <t>Monthly</t>
        </is>
      </c>
      <c r="H4" s="44" t="inlineStr">
        <is>
          <t>Monthly</t>
        </is>
      </c>
      <c r="I4" s="44" t="inlineStr">
        <is>
          <t>Monthly</t>
        </is>
      </c>
      <c r="J4" s="44" t="inlineStr">
        <is>
          <t>Monthly</t>
        </is>
      </c>
      <c r="K4" s="44" t="inlineStr">
        <is>
          <t>Monthly</t>
        </is>
      </c>
      <c r="L4" s="44" t="inlineStr">
        <is>
          <t>Monthly</t>
        </is>
      </c>
      <c r="M4" s="44" t="inlineStr">
        <is>
          <t>Monthly</t>
        </is>
      </c>
      <c r="N4" s="44" t="inlineStr">
        <is>
          <t>Monthly</t>
        </is>
      </c>
      <c r="O4" s="44" t="inlineStr">
        <is>
          <t>Monthly</t>
        </is>
      </c>
      <c r="P4" s="44" t="inlineStr">
        <is>
          <t>Monthly</t>
        </is>
      </c>
      <c r="Q4" s="44" t="inlineStr">
        <is>
          <t>Monthly</t>
        </is>
      </c>
      <c r="R4" s="44" t="inlineStr">
        <is>
          <t>Monthly</t>
        </is>
      </c>
      <c r="S4" s="44" t="inlineStr">
        <is>
          <t>Monthly</t>
        </is>
      </c>
      <c r="T4" s="44" t="inlineStr">
        <is>
          <t>Monthly</t>
        </is>
      </c>
      <c r="U4" s="44" t="inlineStr">
        <is>
          <t>Monthly</t>
        </is>
      </c>
      <c r="V4" s="44" t="inlineStr">
        <is>
          <t>Monthly</t>
        </is>
      </c>
      <c r="W4" s="44" t="inlineStr">
        <is>
          <t>Monthly</t>
        </is>
      </c>
      <c r="X4" s="44" t="inlineStr">
        <is>
          <t>Monthly</t>
        </is>
      </c>
      <c r="Y4" s="44" t="inlineStr">
        <is>
          <t>Monthly</t>
        </is>
      </c>
      <c r="Z4" s="44" t="inlineStr">
        <is>
          <t>Monthly</t>
        </is>
      </c>
      <c r="AA4" s="44" t="inlineStr">
        <is>
          <t>Annual</t>
        </is>
      </c>
      <c r="AB4" s="44" t="inlineStr">
        <is>
          <t>Annual</t>
        </is>
      </c>
      <c r="AC4" s="44" t="inlineStr">
        <is>
          <t>Annual</t>
        </is>
      </c>
      <c r="AD4" s="44" t="inlineStr">
        <is>
          <t>Annual</t>
        </is>
      </c>
      <c r="AE4" s="44" t="inlineStr">
        <is>
          <t>Annual</t>
        </is>
      </c>
    </row>
    <row r="5">
      <c r="A5" s="6" t="inlineStr">
        <is>
          <t>Model year</t>
        </is>
      </c>
      <c r="B5" s="23" t="inlineStr">
        <is>
          <t>1..7</t>
        </is>
      </c>
      <c r="C5" s="45" t="n">
        <v>1</v>
      </c>
      <c r="D5" s="45" t="n">
        <v>1</v>
      </c>
      <c r="E5" s="45" t="n">
        <v>1</v>
      </c>
      <c r="F5" s="45" t="n">
        <v>1</v>
      </c>
      <c r="G5" s="45" t="n">
        <v>1</v>
      </c>
      <c r="H5" s="45" t="n">
        <v>1</v>
      </c>
      <c r="I5" s="45" t="n">
        <v>1</v>
      </c>
      <c r="J5" s="45" t="n">
        <v>1</v>
      </c>
      <c r="K5" s="45" t="n">
        <v>1</v>
      </c>
      <c r="L5" s="45" t="n">
        <v>1</v>
      </c>
      <c r="M5" s="45" t="n">
        <v>1</v>
      </c>
      <c r="N5" s="45" t="n">
        <v>1</v>
      </c>
      <c r="O5" s="45" t="n">
        <v>2</v>
      </c>
      <c r="P5" s="45" t="n">
        <v>2</v>
      </c>
      <c r="Q5" s="45" t="n">
        <v>2</v>
      </c>
      <c r="R5" s="45" t="n">
        <v>2</v>
      </c>
      <c r="S5" s="45" t="n">
        <v>2</v>
      </c>
      <c r="T5" s="45" t="n">
        <v>2</v>
      </c>
      <c r="U5" s="45" t="n">
        <v>2</v>
      </c>
      <c r="V5" s="45" t="n">
        <v>2</v>
      </c>
      <c r="W5" s="45" t="n">
        <v>2</v>
      </c>
      <c r="X5" s="45" t="n">
        <v>2</v>
      </c>
      <c r="Y5" s="45" t="n">
        <v>2</v>
      </c>
      <c r="Z5" s="45" t="n">
        <v>2</v>
      </c>
      <c r="AA5" s="45" t="n">
        <v>3</v>
      </c>
      <c r="AB5" s="45" t="n">
        <v>4</v>
      </c>
      <c r="AC5" s="45" t="n">
        <v>5</v>
      </c>
      <c r="AD5" s="45" t="n">
        <v>6</v>
      </c>
      <c r="AE5" s="45" t="n">
        <v>7</v>
      </c>
    </row>
    <row r="6">
      <c r="A6" s="6" t="inlineStr">
        <is>
          <t>Calendar month</t>
        </is>
      </c>
      <c r="B6" s="23" t="inlineStr">
        <is>
          <t>0 = annual</t>
        </is>
      </c>
      <c r="C6" s="45" t="n">
        <v>1</v>
      </c>
      <c r="D6" s="45" t="n">
        <v>2</v>
      </c>
      <c r="E6" s="45" t="n">
        <v>3</v>
      </c>
      <c r="F6" s="45" t="n">
        <v>4</v>
      </c>
      <c r="G6" s="45" t="n">
        <v>5</v>
      </c>
      <c r="H6" s="45" t="n">
        <v>6</v>
      </c>
      <c r="I6" s="45" t="n">
        <v>7</v>
      </c>
      <c r="J6" s="45" t="n">
        <v>8</v>
      </c>
      <c r="K6" s="45" t="n">
        <v>9</v>
      </c>
      <c r="L6" s="45" t="n">
        <v>10</v>
      </c>
      <c r="M6" s="45" t="n">
        <v>11</v>
      </c>
      <c r="N6" s="45" t="n">
        <v>12</v>
      </c>
      <c r="O6" s="45" t="n">
        <v>1</v>
      </c>
      <c r="P6" s="45" t="n">
        <v>2</v>
      </c>
      <c r="Q6" s="45" t="n">
        <v>3</v>
      </c>
      <c r="R6" s="45" t="n">
        <v>4</v>
      </c>
      <c r="S6" s="45" t="n">
        <v>5</v>
      </c>
      <c r="T6" s="45" t="n">
        <v>6</v>
      </c>
      <c r="U6" s="45" t="n">
        <v>7</v>
      </c>
      <c r="V6" s="45" t="n">
        <v>8</v>
      </c>
      <c r="W6" s="45" t="n">
        <v>9</v>
      </c>
      <c r="X6" s="45" t="n">
        <v>10</v>
      </c>
      <c r="Y6" s="45" t="n">
        <v>11</v>
      </c>
      <c r="Z6" s="45" t="n">
        <v>12</v>
      </c>
      <c r="AA6" s="45" t="n">
        <v>0</v>
      </c>
      <c r="AB6" s="45" t="n">
        <v>0</v>
      </c>
      <c r="AC6" s="45" t="n">
        <v>0</v>
      </c>
      <c r="AD6" s="45" t="n">
        <v>0</v>
      </c>
      <c r="AE6" s="45" t="n">
        <v>0</v>
      </c>
    </row>
    <row r="7">
      <c r="A7" s="6" t="inlineStr">
        <is>
          <t>Months in period</t>
        </is>
      </c>
      <c r="B7" s="23" t="inlineStr">
        <is>
          <t>months</t>
        </is>
      </c>
      <c r="C7" s="45" t="n">
        <v>1</v>
      </c>
      <c r="D7" s="45" t="n">
        <v>1</v>
      </c>
      <c r="E7" s="45" t="n">
        <v>1</v>
      </c>
      <c r="F7" s="45" t="n">
        <v>1</v>
      </c>
      <c r="G7" s="45" t="n">
        <v>1</v>
      </c>
      <c r="H7" s="45" t="n">
        <v>1</v>
      </c>
      <c r="I7" s="45" t="n">
        <v>1</v>
      </c>
      <c r="J7" s="45" t="n">
        <v>1</v>
      </c>
      <c r="K7" s="45" t="n">
        <v>1</v>
      </c>
      <c r="L7" s="45" t="n">
        <v>1</v>
      </c>
      <c r="M7" s="45" t="n">
        <v>1</v>
      </c>
      <c r="N7" s="45" t="n">
        <v>1</v>
      </c>
      <c r="O7" s="45" t="n">
        <v>1</v>
      </c>
      <c r="P7" s="45" t="n">
        <v>1</v>
      </c>
      <c r="Q7" s="45" t="n">
        <v>1</v>
      </c>
      <c r="R7" s="45" t="n">
        <v>1</v>
      </c>
      <c r="S7" s="45" t="n">
        <v>1</v>
      </c>
      <c r="T7" s="45" t="n">
        <v>1</v>
      </c>
      <c r="U7" s="45" t="n">
        <v>1</v>
      </c>
      <c r="V7" s="45" t="n">
        <v>1</v>
      </c>
      <c r="W7" s="45" t="n">
        <v>1</v>
      </c>
      <c r="X7" s="45" t="n">
        <v>1</v>
      </c>
      <c r="Y7" s="45" t="n">
        <v>1</v>
      </c>
      <c r="Z7" s="45" t="n">
        <v>1</v>
      </c>
      <c r="AA7" s="45" t="n">
        <v>12</v>
      </c>
      <c r="AB7" s="45" t="n">
        <v>12</v>
      </c>
      <c r="AC7" s="45" t="n">
        <v>12</v>
      </c>
      <c r="AD7" s="45" t="n">
        <v>12</v>
      </c>
      <c r="AE7" s="45" t="n">
        <v>12</v>
      </c>
    </row>
    <row r="8">
      <c r="A8" s="6" t="inlineStr">
        <is>
          <t>Financial-year end</t>
        </is>
      </c>
      <c r="B8" s="23" t="inlineStr">
        <is>
          <t>1/0</t>
        </is>
      </c>
      <c r="C8" s="45" t="n">
        <v>0</v>
      </c>
      <c r="D8" s="45" t="n">
        <v>0</v>
      </c>
      <c r="E8" s="45" t="n">
        <v>0</v>
      </c>
      <c r="F8" s="45" t="n">
        <v>0</v>
      </c>
      <c r="G8" s="45" t="n">
        <v>0</v>
      </c>
      <c r="H8" s="45" t="n">
        <v>0</v>
      </c>
      <c r="I8" s="45" t="n">
        <v>0</v>
      </c>
      <c r="J8" s="45" t="n">
        <v>0</v>
      </c>
      <c r="K8" s="45" t="n">
        <v>0</v>
      </c>
      <c r="L8" s="45" t="n">
        <v>0</v>
      </c>
      <c r="M8" s="45" t="n">
        <v>0</v>
      </c>
      <c r="N8" s="45" t="n">
        <v>1</v>
      </c>
      <c r="O8" s="45" t="n">
        <v>0</v>
      </c>
      <c r="P8" s="45" t="n">
        <v>0</v>
      </c>
      <c r="Q8" s="45" t="n">
        <v>0</v>
      </c>
      <c r="R8" s="45" t="n">
        <v>0</v>
      </c>
      <c r="S8" s="45" t="n">
        <v>0</v>
      </c>
      <c r="T8" s="45" t="n">
        <v>0</v>
      </c>
      <c r="U8" s="45" t="n">
        <v>0</v>
      </c>
      <c r="V8" s="45" t="n">
        <v>0</v>
      </c>
      <c r="W8" s="45" t="n">
        <v>0</v>
      </c>
      <c r="X8" s="45" t="n">
        <v>0</v>
      </c>
      <c r="Y8" s="45" t="n">
        <v>0</v>
      </c>
      <c r="Z8" s="45" t="n">
        <v>1</v>
      </c>
      <c r="AA8" s="45" t="n">
        <v>1</v>
      </c>
      <c r="AB8" s="45" t="n">
        <v>1</v>
      </c>
      <c r="AC8" s="45" t="n">
        <v>1</v>
      </c>
      <c r="AD8" s="45" t="n">
        <v>1</v>
      </c>
      <c r="AE8" s="45" t="n">
        <v>1</v>
      </c>
    </row>
    <row r="10">
      <c r="A10" s="46" t="inlineStr">
        <is>
          <t>SEASONALITY - normalised to EXACTLY 12.000 by construction</t>
        </is>
      </c>
      <c r="B10" s="47" t="n"/>
      <c r="C10" s="47" t="n"/>
      <c r="D10" s="47" t="n"/>
      <c r="E10" s="47" t="n"/>
      <c r="F10" s="47" t="n"/>
      <c r="G10" s="47" t="n"/>
      <c r="H10" s="47" t="n"/>
      <c r="I10" s="47" t="n"/>
      <c r="J10" s="47" t="n"/>
      <c r="K10" s="47" t="n"/>
      <c r="L10" s="47" t="n"/>
      <c r="M10" s="47" t="n"/>
      <c r="N10" s="47" t="n"/>
      <c r="O10" s="47" t="n"/>
      <c r="P10" s="47" t="n"/>
      <c r="Q10" s="47" t="n"/>
      <c r="R10" s="47" t="n"/>
      <c r="S10" s="47" t="n"/>
      <c r="T10" s="47" t="n"/>
      <c r="U10" s="47" t="n"/>
      <c r="V10" s="47" t="n"/>
      <c r="W10" s="47" t="n"/>
      <c r="X10" s="47" t="n"/>
      <c r="Y10" s="47" t="n"/>
      <c r="Z10" s="47" t="n"/>
      <c r="AA10" s="47" t="n"/>
      <c r="AB10" s="47" t="n"/>
      <c r="AC10" s="47" t="n"/>
      <c r="AD10" s="47" t="n"/>
      <c r="AE10" s="47" t="n"/>
    </row>
    <row r="11">
      <c r="A11" t="inlineStr">
        <is>
          <t>Acquisition seasonality - normalised</t>
        </is>
      </c>
      <c r="B11" s="23" t="inlineStr">
        <is>
          <t>Jan..Dec</t>
        </is>
      </c>
      <c r="C11" s="48">
        <f>(1+(Assumptions!$F$61-1)*Assumptions!$B$132)*12/SUMPRODUCT(1+(Assumptions!$F$61:$Q$61-1)*Assumptions!$B$132)</f>
        <v/>
      </c>
      <c r="D11" s="48">
        <f>(1+(Assumptions!$G$61-1)*Assumptions!$B$132)*12/SUMPRODUCT(1+(Assumptions!$F$61:$Q$61-1)*Assumptions!$B$132)</f>
        <v/>
      </c>
      <c r="E11" s="48">
        <f>(1+(Assumptions!$H$61-1)*Assumptions!$B$132)*12/SUMPRODUCT(1+(Assumptions!$F$61:$Q$61-1)*Assumptions!$B$132)</f>
        <v/>
      </c>
      <c r="F11" s="48">
        <f>(1+(Assumptions!$I$61-1)*Assumptions!$B$132)*12/SUMPRODUCT(1+(Assumptions!$F$61:$Q$61-1)*Assumptions!$B$132)</f>
        <v/>
      </c>
      <c r="G11" s="48">
        <f>(1+(Assumptions!$J$61-1)*Assumptions!$B$132)*12/SUMPRODUCT(1+(Assumptions!$F$61:$Q$61-1)*Assumptions!$B$132)</f>
        <v/>
      </c>
      <c r="H11" s="48">
        <f>(1+(Assumptions!$K$61-1)*Assumptions!$B$132)*12/SUMPRODUCT(1+(Assumptions!$F$61:$Q$61-1)*Assumptions!$B$132)</f>
        <v/>
      </c>
      <c r="I11" s="48">
        <f>(1+(Assumptions!$L$61-1)*Assumptions!$B$132)*12/SUMPRODUCT(1+(Assumptions!$F$61:$Q$61-1)*Assumptions!$B$132)</f>
        <v/>
      </c>
      <c r="J11" s="48">
        <f>(1+(Assumptions!$M$61-1)*Assumptions!$B$132)*12/SUMPRODUCT(1+(Assumptions!$F$61:$Q$61-1)*Assumptions!$B$132)</f>
        <v/>
      </c>
      <c r="K11" s="48">
        <f>(1+(Assumptions!$N$61-1)*Assumptions!$B$132)*12/SUMPRODUCT(1+(Assumptions!$F$61:$Q$61-1)*Assumptions!$B$132)</f>
        <v/>
      </c>
      <c r="L11" s="48">
        <f>(1+(Assumptions!$O$61-1)*Assumptions!$B$132)*12/SUMPRODUCT(1+(Assumptions!$F$61:$Q$61-1)*Assumptions!$B$132)</f>
        <v/>
      </c>
      <c r="M11" s="48">
        <f>(1+(Assumptions!$P$61-1)*Assumptions!$B$132)*12/SUMPRODUCT(1+(Assumptions!$F$61:$Q$61-1)*Assumptions!$B$132)</f>
        <v/>
      </c>
      <c r="N11" s="48">
        <f>(1+(Assumptions!$Q$61-1)*Assumptions!$B$132)*12/SUMPRODUCT(1+(Assumptions!$F$61:$Q$61-1)*Assumptions!$B$132)</f>
        <v/>
      </c>
    </row>
    <row r="12">
      <c r="A12" t="inlineStr">
        <is>
          <t>Card spend seasonality - normalised</t>
        </is>
      </c>
      <c r="B12" s="23" t="inlineStr">
        <is>
          <t>Jan..Dec</t>
        </is>
      </c>
      <c r="C12" s="48">
        <f>(1+(Assumptions!$F$62-1)*Assumptions!$B$132)*12/SUMPRODUCT(1+(Assumptions!$F$62:$Q$62-1)*Assumptions!$B$132)</f>
        <v/>
      </c>
      <c r="D12" s="48">
        <f>(1+(Assumptions!$G$62-1)*Assumptions!$B$132)*12/SUMPRODUCT(1+(Assumptions!$F$62:$Q$62-1)*Assumptions!$B$132)</f>
        <v/>
      </c>
      <c r="E12" s="48">
        <f>(1+(Assumptions!$H$62-1)*Assumptions!$B$132)*12/SUMPRODUCT(1+(Assumptions!$F$62:$Q$62-1)*Assumptions!$B$132)</f>
        <v/>
      </c>
      <c r="F12" s="48">
        <f>(1+(Assumptions!$I$62-1)*Assumptions!$B$132)*12/SUMPRODUCT(1+(Assumptions!$F$62:$Q$62-1)*Assumptions!$B$132)</f>
        <v/>
      </c>
      <c r="G12" s="48">
        <f>(1+(Assumptions!$J$62-1)*Assumptions!$B$132)*12/SUMPRODUCT(1+(Assumptions!$F$62:$Q$62-1)*Assumptions!$B$132)</f>
        <v/>
      </c>
      <c r="H12" s="48">
        <f>(1+(Assumptions!$K$62-1)*Assumptions!$B$132)*12/SUMPRODUCT(1+(Assumptions!$F$62:$Q$62-1)*Assumptions!$B$132)</f>
        <v/>
      </c>
      <c r="I12" s="48">
        <f>(1+(Assumptions!$L$62-1)*Assumptions!$B$132)*12/SUMPRODUCT(1+(Assumptions!$F$62:$Q$62-1)*Assumptions!$B$132)</f>
        <v/>
      </c>
      <c r="J12" s="48">
        <f>(1+(Assumptions!$M$62-1)*Assumptions!$B$132)*12/SUMPRODUCT(1+(Assumptions!$F$62:$Q$62-1)*Assumptions!$B$132)</f>
        <v/>
      </c>
      <c r="K12" s="48">
        <f>(1+(Assumptions!$N$62-1)*Assumptions!$B$132)*12/SUMPRODUCT(1+(Assumptions!$F$62:$Q$62-1)*Assumptions!$B$132)</f>
        <v/>
      </c>
      <c r="L12" s="48">
        <f>(1+(Assumptions!$O$62-1)*Assumptions!$B$132)*12/SUMPRODUCT(1+(Assumptions!$F$62:$Q$62-1)*Assumptions!$B$132)</f>
        <v/>
      </c>
      <c r="M12" s="48">
        <f>(1+(Assumptions!$P$62-1)*Assumptions!$B$132)*12/SUMPRODUCT(1+(Assumptions!$F$62:$Q$62-1)*Assumptions!$B$132)</f>
        <v/>
      </c>
      <c r="N12" s="48">
        <f>(1+(Assumptions!$Q$62-1)*Assumptions!$B$132)*12/SUMPRODUCT(1+(Assumptions!$F$62:$Q$62-1)*Assumptions!$B$132)</f>
        <v/>
      </c>
    </row>
    <row r="13">
      <c r="A13" t="inlineStr">
        <is>
          <t>Foreign-spend share - rescaled to the mean</t>
        </is>
      </c>
      <c r="B13" s="23" t="inlineStr">
        <is>
          <t>Jan..Dec</t>
        </is>
      </c>
      <c r="C13" s="49">
        <f>Assumptions!$F$63/AVERAGE(Assumptions!$F$63:$Q$63)*Assumptions!$B$144</f>
        <v/>
      </c>
      <c r="D13" s="49">
        <f>Assumptions!$G$63/AVERAGE(Assumptions!$F$63:$Q$63)*Assumptions!$B$144</f>
        <v/>
      </c>
      <c r="E13" s="49">
        <f>Assumptions!$H$63/AVERAGE(Assumptions!$F$63:$Q$63)*Assumptions!$B$144</f>
        <v/>
      </c>
      <c r="F13" s="49">
        <f>Assumptions!$I$63/AVERAGE(Assumptions!$F$63:$Q$63)*Assumptions!$B$144</f>
        <v/>
      </c>
      <c r="G13" s="49">
        <f>Assumptions!$J$63/AVERAGE(Assumptions!$F$63:$Q$63)*Assumptions!$B$144</f>
        <v/>
      </c>
      <c r="H13" s="49">
        <f>Assumptions!$K$63/AVERAGE(Assumptions!$F$63:$Q$63)*Assumptions!$B$144</f>
        <v/>
      </c>
      <c r="I13" s="49">
        <f>Assumptions!$L$63/AVERAGE(Assumptions!$F$63:$Q$63)*Assumptions!$B$144</f>
        <v/>
      </c>
      <c r="J13" s="49">
        <f>Assumptions!$M$63/AVERAGE(Assumptions!$F$63:$Q$63)*Assumptions!$B$144</f>
        <v/>
      </c>
      <c r="K13" s="49">
        <f>Assumptions!$N$63/AVERAGE(Assumptions!$F$63:$Q$63)*Assumptions!$B$144</f>
        <v/>
      </c>
      <c r="L13" s="49">
        <f>Assumptions!$O$63/AVERAGE(Assumptions!$F$63:$Q$63)*Assumptions!$B$144</f>
        <v/>
      </c>
      <c r="M13" s="49">
        <f>Assumptions!$P$63/AVERAGE(Assumptions!$F$63:$Q$63)*Assumptions!$B$144</f>
        <v/>
      </c>
      <c r="N13" s="49">
        <f>Assumptions!$Q$63/AVERAGE(Assumptions!$F$63:$Q$63)*Assumptions!$B$144</f>
        <v/>
      </c>
    </row>
    <row r="14">
      <c r="A14" s="3" t="inlineStr">
        <is>
          <t>Seasonality sum check (must be exactly 12.000)</t>
        </is>
      </c>
      <c r="B14" s="23" t="inlineStr">
        <is>
          <t>acq | spend</t>
        </is>
      </c>
      <c r="C14" s="50">
        <f>SUM($C$11:$N$11)</f>
        <v/>
      </c>
      <c r="D14" s="50">
        <f>SUM($C$12:$N$12)</f>
        <v/>
      </c>
    </row>
    <row r="15">
      <c r="A15" s="6" t="inlineStr">
        <is>
          <t>Acquisition seasonality applied</t>
        </is>
      </c>
      <c r="B15" s="23" t="inlineStr">
        <is>
          <t>multiplier</t>
        </is>
      </c>
      <c r="C15" s="51">
        <f>IF(C7=1,INDEX($C$11:$N$11,1,C6),1)</f>
        <v/>
      </c>
      <c r="D15" s="51">
        <f>IF(D7=1,INDEX($C$11:$N$11,1,D6),1)</f>
        <v/>
      </c>
      <c r="E15" s="51">
        <f>IF(E7=1,INDEX($C$11:$N$11,1,E6),1)</f>
        <v/>
      </c>
      <c r="F15" s="51">
        <f>IF(F7=1,INDEX($C$11:$N$11,1,F6),1)</f>
        <v/>
      </c>
      <c r="G15" s="51">
        <f>IF(G7=1,INDEX($C$11:$N$11,1,G6),1)</f>
        <v/>
      </c>
      <c r="H15" s="51">
        <f>IF(H7=1,INDEX($C$11:$N$11,1,H6),1)</f>
        <v/>
      </c>
      <c r="I15" s="51">
        <f>IF(I7=1,INDEX($C$11:$N$11,1,I6),1)</f>
        <v/>
      </c>
      <c r="J15" s="51">
        <f>IF(J7=1,INDEX($C$11:$N$11,1,J6),1)</f>
        <v/>
      </c>
      <c r="K15" s="51">
        <f>IF(K7=1,INDEX($C$11:$N$11,1,K6),1)</f>
        <v/>
      </c>
      <c r="L15" s="51">
        <f>IF(L7=1,INDEX($C$11:$N$11,1,L6),1)</f>
        <v/>
      </c>
      <c r="M15" s="51">
        <f>IF(M7=1,INDEX($C$11:$N$11,1,M6),1)</f>
        <v/>
      </c>
      <c r="N15" s="51">
        <f>IF(N7=1,INDEX($C$11:$N$11,1,N6),1)</f>
        <v/>
      </c>
      <c r="O15" s="51">
        <f>IF(O7=1,INDEX($C$11:$N$11,1,O6),1)</f>
        <v/>
      </c>
      <c r="P15" s="51">
        <f>IF(P7=1,INDEX($C$11:$N$11,1,P6),1)</f>
        <v/>
      </c>
      <c r="Q15" s="51">
        <f>IF(Q7=1,INDEX($C$11:$N$11,1,Q6),1)</f>
        <v/>
      </c>
      <c r="R15" s="51">
        <f>IF(R7=1,INDEX($C$11:$N$11,1,R6),1)</f>
        <v/>
      </c>
      <c r="S15" s="51">
        <f>IF(S7=1,INDEX($C$11:$N$11,1,S6),1)</f>
        <v/>
      </c>
      <c r="T15" s="51">
        <f>IF(T7=1,INDEX($C$11:$N$11,1,T6),1)</f>
        <v/>
      </c>
      <c r="U15" s="51">
        <f>IF(U7=1,INDEX($C$11:$N$11,1,U6),1)</f>
        <v/>
      </c>
      <c r="V15" s="51">
        <f>IF(V7=1,INDEX($C$11:$N$11,1,V6),1)</f>
        <v/>
      </c>
      <c r="W15" s="51">
        <f>IF(W7=1,INDEX($C$11:$N$11,1,W6),1)</f>
        <v/>
      </c>
      <c r="X15" s="51">
        <f>IF(X7=1,INDEX($C$11:$N$11,1,X6),1)</f>
        <v/>
      </c>
      <c r="Y15" s="51">
        <f>IF(Y7=1,INDEX($C$11:$N$11,1,Y6),1)</f>
        <v/>
      </c>
      <c r="Z15" s="51">
        <f>IF(Z7=1,INDEX($C$11:$N$11,1,Z6),1)</f>
        <v/>
      </c>
      <c r="AA15" s="51">
        <f>IF(AA7=1,INDEX($C$11:$N$11,1,AA6),1)</f>
        <v/>
      </c>
      <c r="AB15" s="51">
        <f>IF(AB7=1,INDEX($C$11:$N$11,1,AB6),1)</f>
        <v/>
      </c>
      <c r="AC15" s="51">
        <f>IF(AC7=1,INDEX($C$11:$N$11,1,AC6),1)</f>
        <v/>
      </c>
      <c r="AD15" s="51">
        <f>IF(AD7=1,INDEX($C$11:$N$11,1,AD6),1)</f>
        <v/>
      </c>
      <c r="AE15" s="51">
        <f>IF(AE7=1,INDEX($C$11:$N$11,1,AE6),1)</f>
        <v/>
      </c>
    </row>
    <row r="16">
      <c r="A16" s="6" t="inlineStr">
        <is>
          <t>Card spend seasonality applied</t>
        </is>
      </c>
      <c r="B16" s="23" t="inlineStr">
        <is>
          <t>multiplier</t>
        </is>
      </c>
      <c r="C16" s="51">
        <f>IF(C7=1,INDEX($C$12:$N$12,1,C6),1)</f>
        <v/>
      </c>
      <c r="D16" s="51">
        <f>IF(D7=1,INDEX($C$12:$N$12,1,D6),1)</f>
        <v/>
      </c>
      <c r="E16" s="51">
        <f>IF(E7=1,INDEX($C$12:$N$12,1,E6),1)</f>
        <v/>
      </c>
      <c r="F16" s="51">
        <f>IF(F7=1,INDEX($C$12:$N$12,1,F6),1)</f>
        <v/>
      </c>
      <c r="G16" s="51">
        <f>IF(G7=1,INDEX($C$12:$N$12,1,G6),1)</f>
        <v/>
      </c>
      <c r="H16" s="51">
        <f>IF(H7=1,INDEX($C$12:$N$12,1,H6),1)</f>
        <v/>
      </c>
      <c r="I16" s="51">
        <f>IF(I7=1,INDEX($C$12:$N$12,1,I6),1)</f>
        <v/>
      </c>
      <c r="J16" s="51">
        <f>IF(J7=1,INDEX($C$12:$N$12,1,J6),1)</f>
        <v/>
      </c>
      <c r="K16" s="51">
        <f>IF(K7=1,INDEX($C$12:$N$12,1,K6),1)</f>
        <v/>
      </c>
      <c r="L16" s="51">
        <f>IF(L7=1,INDEX($C$12:$N$12,1,L6),1)</f>
        <v/>
      </c>
      <c r="M16" s="51">
        <f>IF(M7=1,INDEX($C$12:$N$12,1,M6),1)</f>
        <v/>
      </c>
      <c r="N16" s="51">
        <f>IF(N7=1,INDEX($C$12:$N$12,1,N6),1)</f>
        <v/>
      </c>
      <c r="O16" s="51">
        <f>IF(O7=1,INDEX($C$12:$N$12,1,O6),1)</f>
        <v/>
      </c>
      <c r="P16" s="51">
        <f>IF(P7=1,INDEX($C$12:$N$12,1,P6),1)</f>
        <v/>
      </c>
      <c r="Q16" s="51">
        <f>IF(Q7=1,INDEX($C$12:$N$12,1,Q6),1)</f>
        <v/>
      </c>
      <c r="R16" s="51">
        <f>IF(R7=1,INDEX($C$12:$N$12,1,R6),1)</f>
        <v/>
      </c>
      <c r="S16" s="51">
        <f>IF(S7=1,INDEX($C$12:$N$12,1,S6),1)</f>
        <v/>
      </c>
      <c r="T16" s="51">
        <f>IF(T7=1,INDEX($C$12:$N$12,1,T6),1)</f>
        <v/>
      </c>
      <c r="U16" s="51">
        <f>IF(U7=1,INDEX($C$12:$N$12,1,U6),1)</f>
        <v/>
      </c>
      <c r="V16" s="51">
        <f>IF(V7=1,INDEX($C$12:$N$12,1,V6),1)</f>
        <v/>
      </c>
      <c r="W16" s="51">
        <f>IF(W7=1,INDEX($C$12:$N$12,1,W6),1)</f>
        <v/>
      </c>
      <c r="X16" s="51">
        <f>IF(X7=1,INDEX($C$12:$N$12,1,X6),1)</f>
        <v/>
      </c>
      <c r="Y16" s="51">
        <f>IF(Y7=1,INDEX($C$12:$N$12,1,Y6),1)</f>
        <v/>
      </c>
      <c r="Z16" s="51">
        <f>IF(Z7=1,INDEX($C$12:$N$12,1,Z6),1)</f>
        <v/>
      </c>
      <c r="AA16" s="51">
        <f>IF(AA7=1,INDEX($C$12:$N$12,1,AA6),1)</f>
        <v/>
      </c>
      <c r="AB16" s="51">
        <f>IF(AB7=1,INDEX($C$12:$N$12,1,AB6),1)</f>
        <v/>
      </c>
      <c r="AC16" s="51">
        <f>IF(AC7=1,INDEX($C$12:$N$12,1,AC6),1)</f>
        <v/>
      </c>
      <c r="AD16" s="51">
        <f>IF(AD7=1,INDEX($C$12:$N$12,1,AD6),1)</f>
        <v/>
      </c>
      <c r="AE16" s="51">
        <f>IF(AE7=1,INDEX($C$12:$N$12,1,AE6),1)</f>
        <v/>
      </c>
    </row>
    <row r="17">
      <c r="A17" s="6" t="inlineStr">
        <is>
          <t>Foreign-spend share applied</t>
        </is>
      </c>
      <c r="B17" s="23" t="inlineStr">
        <is>
          <t>%</t>
        </is>
      </c>
      <c r="C17" s="52">
        <f>IF(C7=1,INDEX($C$13:$N$13,1,C6),AVERAGE($C$13:$N$13))</f>
        <v/>
      </c>
      <c r="D17" s="52">
        <f>IF(D7=1,INDEX($C$13:$N$13,1,D6),AVERAGE($C$13:$N$13))</f>
        <v/>
      </c>
      <c r="E17" s="52">
        <f>IF(E7=1,INDEX($C$13:$N$13,1,E6),AVERAGE($C$13:$N$13))</f>
        <v/>
      </c>
      <c r="F17" s="52">
        <f>IF(F7=1,INDEX($C$13:$N$13,1,F6),AVERAGE($C$13:$N$13))</f>
        <v/>
      </c>
      <c r="G17" s="52">
        <f>IF(G7=1,INDEX($C$13:$N$13,1,G6),AVERAGE($C$13:$N$13))</f>
        <v/>
      </c>
      <c r="H17" s="52">
        <f>IF(H7=1,INDEX($C$13:$N$13,1,H6),AVERAGE($C$13:$N$13))</f>
        <v/>
      </c>
      <c r="I17" s="52">
        <f>IF(I7=1,INDEX($C$13:$N$13,1,I6),AVERAGE($C$13:$N$13))</f>
        <v/>
      </c>
      <c r="J17" s="52">
        <f>IF(J7=1,INDEX($C$13:$N$13,1,J6),AVERAGE($C$13:$N$13))</f>
        <v/>
      </c>
      <c r="K17" s="52">
        <f>IF(K7=1,INDEX($C$13:$N$13,1,K6),AVERAGE($C$13:$N$13))</f>
        <v/>
      </c>
      <c r="L17" s="52">
        <f>IF(L7=1,INDEX($C$13:$N$13,1,L6),AVERAGE($C$13:$N$13))</f>
        <v/>
      </c>
      <c r="M17" s="52">
        <f>IF(M7=1,INDEX($C$13:$N$13,1,M6),AVERAGE($C$13:$N$13))</f>
        <v/>
      </c>
      <c r="N17" s="52">
        <f>IF(N7=1,INDEX($C$13:$N$13,1,N6),AVERAGE($C$13:$N$13))</f>
        <v/>
      </c>
      <c r="O17" s="52">
        <f>IF(O7=1,INDEX($C$13:$N$13,1,O6),AVERAGE($C$13:$N$13))</f>
        <v/>
      </c>
      <c r="P17" s="52">
        <f>IF(P7=1,INDEX($C$13:$N$13,1,P6),AVERAGE($C$13:$N$13))</f>
        <v/>
      </c>
      <c r="Q17" s="52">
        <f>IF(Q7=1,INDEX($C$13:$N$13,1,Q6),AVERAGE($C$13:$N$13))</f>
        <v/>
      </c>
      <c r="R17" s="52">
        <f>IF(R7=1,INDEX($C$13:$N$13,1,R6),AVERAGE($C$13:$N$13))</f>
        <v/>
      </c>
      <c r="S17" s="52">
        <f>IF(S7=1,INDEX($C$13:$N$13,1,S6),AVERAGE($C$13:$N$13))</f>
        <v/>
      </c>
      <c r="T17" s="52">
        <f>IF(T7=1,INDEX($C$13:$N$13,1,T6),AVERAGE($C$13:$N$13))</f>
        <v/>
      </c>
      <c r="U17" s="52">
        <f>IF(U7=1,INDEX($C$13:$N$13,1,U6),AVERAGE($C$13:$N$13))</f>
        <v/>
      </c>
      <c r="V17" s="52">
        <f>IF(V7=1,INDEX($C$13:$N$13,1,V6),AVERAGE($C$13:$N$13))</f>
        <v/>
      </c>
      <c r="W17" s="52">
        <f>IF(W7=1,INDEX($C$13:$N$13,1,W6),AVERAGE($C$13:$N$13))</f>
        <v/>
      </c>
      <c r="X17" s="52">
        <f>IF(X7=1,INDEX($C$13:$N$13,1,X6),AVERAGE($C$13:$N$13))</f>
        <v/>
      </c>
      <c r="Y17" s="52">
        <f>IF(Y7=1,INDEX($C$13:$N$13,1,Y6),AVERAGE($C$13:$N$13))</f>
        <v/>
      </c>
      <c r="Z17" s="52">
        <f>IF(Z7=1,INDEX($C$13:$N$13,1,Z6),AVERAGE($C$13:$N$13))</f>
        <v/>
      </c>
      <c r="AA17" s="52">
        <f>IF(AA7=1,INDEX($C$13:$N$13,1,AA6),AVERAGE($C$13:$N$13))</f>
        <v/>
      </c>
      <c r="AB17" s="52">
        <f>IF(AB7=1,INDEX($C$13:$N$13,1,AB6),AVERAGE($C$13:$N$13))</f>
        <v/>
      </c>
      <c r="AC17" s="52">
        <f>IF(AC7=1,INDEX($C$13:$N$13,1,AC6),AVERAGE($C$13:$N$13))</f>
        <v/>
      </c>
      <c r="AD17" s="52">
        <f>IF(AD7=1,INDEX($C$13:$N$13,1,AD6),AVERAGE($C$13:$N$13))</f>
        <v/>
      </c>
      <c r="AE17" s="52">
        <f>IF(AE7=1,INDEX($C$13:$N$13,1,AE6),AVERAGE($C$13:$N$13))</f>
        <v/>
      </c>
    </row>
    <row r="19">
      <c r="A19" s="46" t="inlineStr">
        <is>
          <t>ACQUISITION - all channels, then split across regions</t>
        </is>
      </c>
      <c r="B19" s="47" t="n"/>
      <c r="C19" s="47" t="n"/>
      <c r="D19" s="47" t="n"/>
      <c r="E19" s="47" t="n"/>
      <c r="F19" s="47" t="n"/>
      <c r="G19" s="47" t="n"/>
      <c r="H19" s="47" t="n"/>
      <c r="I19" s="47" t="n"/>
      <c r="J19" s="47" t="n"/>
      <c r="K19" s="47" t="n"/>
      <c r="L19" s="47" t="n"/>
      <c r="M19" s="47" t="n"/>
      <c r="N19" s="47" t="n"/>
      <c r="O19" s="47" t="n"/>
      <c r="P19" s="47" t="n"/>
      <c r="Q19" s="47" t="n"/>
      <c r="R19" s="47" t="n"/>
      <c r="S19" s="47" t="n"/>
      <c r="T19" s="47" t="n"/>
      <c r="U19" s="47" t="n"/>
      <c r="V19" s="47" t="n"/>
      <c r="W19" s="47" t="n"/>
      <c r="X19" s="47" t="n"/>
      <c r="Y19" s="47" t="n"/>
      <c r="Z19" s="47" t="n"/>
      <c r="AA19" s="47" t="n"/>
      <c r="AB19" s="47" t="n"/>
      <c r="AC19" s="47" t="n"/>
      <c r="AD19" s="47" t="n"/>
      <c r="AE19" s="47" t="n"/>
    </row>
    <row r="20">
      <c r="A20" t="inlineStr">
        <is>
          <t>Agent-driven new customers (routed by region below)</t>
        </is>
      </c>
      <c r="B20" s="23" t="inlineStr">
        <is>
          <t>accounts</t>
        </is>
      </c>
      <c r="C20" s="53">
        <f>INDEX(Assumptions!$B$93:$B$99,C5)*Assumptions!$B$122*INDEX(Assumptions!$B$107:$B$113,C5)*C7</f>
        <v/>
      </c>
      <c r="D20" s="53">
        <f>INDEX(Assumptions!$B$93:$B$99,D5)*Assumptions!$B$122*INDEX(Assumptions!$B$107:$B$113,D5)*D7</f>
        <v/>
      </c>
      <c r="E20" s="53">
        <f>INDEX(Assumptions!$B$93:$B$99,E5)*Assumptions!$B$122*INDEX(Assumptions!$B$107:$B$113,E5)*E7</f>
        <v/>
      </c>
      <c r="F20" s="53">
        <f>INDEX(Assumptions!$B$93:$B$99,F5)*Assumptions!$B$122*INDEX(Assumptions!$B$107:$B$113,F5)*F7</f>
        <v/>
      </c>
      <c r="G20" s="53">
        <f>INDEX(Assumptions!$B$93:$B$99,G5)*Assumptions!$B$122*INDEX(Assumptions!$B$107:$B$113,G5)*G7</f>
        <v/>
      </c>
      <c r="H20" s="53">
        <f>INDEX(Assumptions!$B$93:$B$99,H5)*Assumptions!$B$122*INDEX(Assumptions!$B$107:$B$113,H5)*H7</f>
        <v/>
      </c>
      <c r="I20" s="53">
        <f>INDEX(Assumptions!$B$93:$B$99,I5)*Assumptions!$B$122*INDEX(Assumptions!$B$107:$B$113,I5)*I7</f>
        <v/>
      </c>
      <c r="J20" s="53">
        <f>INDEX(Assumptions!$B$93:$B$99,J5)*Assumptions!$B$122*INDEX(Assumptions!$B$107:$B$113,J5)*J7</f>
        <v/>
      </c>
      <c r="K20" s="53">
        <f>INDEX(Assumptions!$B$93:$B$99,K5)*Assumptions!$B$122*INDEX(Assumptions!$B$107:$B$113,K5)*K7</f>
        <v/>
      </c>
      <c r="L20" s="53">
        <f>INDEX(Assumptions!$B$93:$B$99,L5)*Assumptions!$B$122*INDEX(Assumptions!$B$107:$B$113,L5)*L7</f>
        <v/>
      </c>
      <c r="M20" s="53">
        <f>INDEX(Assumptions!$B$93:$B$99,M5)*Assumptions!$B$122*INDEX(Assumptions!$B$107:$B$113,M5)*M7</f>
        <v/>
      </c>
      <c r="N20" s="53">
        <f>INDEX(Assumptions!$B$93:$B$99,N5)*Assumptions!$B$122*INDEX(Assumptions!$B$107:$B$113,N5)*N7</f>
        <v/>
      </c>
      <c r="O20" s="53">
        <f>INDEX(Assumptions!$B$93:$B$99,O5)*Assumptions!$B$122*INDEX(Assumptions!$B$107:$B$113,O5)*O7</f>
        <v/>
      </c>
      <c r="P20" s="53">
        <f>INDEX(Assumptions!$B$93:$B$99,P5)*Assumptions!$B$122*INDEX(Assumptions!$B$107:$B$113,P5)*P7</f>
        <v/>
      </c>
      <c r="Q20" s="53">
        <f>INDEX(Assumptions!$B$93:$B$99,Q5)*Assumptions!$B$122*INDEX(Assumptions!$B$107:$B$113,Q5)*Q7</f>
        <v/>
      </c>
      <c r="R20" s="53">
        <f>INDEX(Assumptions!$B$93:$B$99,R5)*Assumptions!$B$122*INDEX(Assumptions!$B$107:$B$113,R5)*R7</f>
        <v/>
      </c>
      <c r="S20" s="53">
        <f>INDEX(Assumptions!$B$93:$B$99,S5)*Assumptions!$B$122*INDEX(Assumptions!$B$107:$B$113,S5)*S7</f>
        <v/>
      </c>
      <c r="T20" s="53">
        <f>INDEX(Assumptions!$B$93:$B$99,T5)*Assumptions!$B$122*INDEX(Assumptions!$B$107:$B$113,T5)*T7</f>
        <v/>
      </c>
      <c r="U20" s="53">
        <f>INDEX(Assumptions!$B$93:$B$99,U5)*Assumptions!$B$122*INDEX(Assumptions!$B$107:$B$113,U5)*U7</f>
        <v/>
      </c>
      <c r="V20" s="53">
        <f>INDEX(Assumptions!$B$93:$B$99,V5)*Assumptions!$B$122*INDEX(Assumptions!$B$107:$B$113,V5)*V7</f>
        <v/>
      </c>
      <c r="W20" s="53">
        <f>INDEX(Assumptions!$B$93:$B$99,W5)*Assumptions!$B$122*INDEX(Assumptions!$B$107:$B$113,W5)*W7</f>
        <v/>
      </c>
      <c r="X20" s="53">
        <f>INDEX(Assumptions!$B$93:$B$99,X5)*Assumptions!$B$122*INDEX(Assumptions!$B$107:$B$113,X5)*X7</f>
        <v/>
      </c>
      <c r="Y20" s="53">
        <f>INDEX(Assumptions!$B$93:$B$99,Y5)*Assumptions!$B$122*INDEX(Assumptions!$B$107:$B$113,Y5)*Y7</f>
        <v/>
      </c>
      <c r="Z20" s="53">
        <f>INDEX(Assumptions!$B$93:$B$99,Z5)*Assumptions!$B$122*INDEX(Assumptions!$B$107:$B$113,Z5)*Z7</f>
        <v/>
      </c>
      <c r="AA20" s="53">
        <f>INDEX(Assumptions!$B$93:$B$99,AA5)*Assumptions!$B$122*INDEX(Assumptions!$B$107:$B$113,AA5)*AA7</f>
        <v/>
      </c>
      <c r="AB20" s="53">
        <f>INDEX(Assumptions!$B$93:$B$99,AB5)*Assumptions!$B$122*INDEX(Assumptions!$B$107:$B$113,AB5)*AB7</f>
        <v/>
      </c>
      <c r="AC20" s="53">
        <f>INDEX(Assumptions!$B$93:$B$99,AC5)*Assumptions!$B$122*INDEX(Assumptions!$B$107:$B$113,AC5)*AC7</f>
        <v/>
      </c>
      <c r="AD20" s="53">
        <f>INDEX(Assumptions!$B$93:$B$99,AD5)*Assumptions!$B$122*INDEX(Assumptions!$B$107:$B$113,AD5)*AD7</f>
        <v/>
      </c>
      <c r="AE20" s="53">
        <f>INDEX(Assumptions!$B$93:$B$99,AE5)*Assumptions!$B$122*INDEX(Assumptions!$B$107:$B$113,AE5)*AE7</f>
        <v/>
      </c>
    </row>
    <row r="21">
      <c r="A21" s="6" t="inlineStr">
        <is>
          <t>Open-region salesforce share (renormalisation base)</t>
        </is>
      </c>
      <c r="B21" s="23" t="inlineStr">
        <is>
          <t>x</t>
        </is>
      </c>
      <c r="C21" s="48">
        <f>Assumptions!$B$114*1+Assumptions!$B$115*IF(C2&gt;=Assumptions!$B$56,1,0)+Assumptions!$B$116*IF(C2&gt;=Assumptions!$B$57,1,0)</f>
        <v/>
      </c>
      <c r="D21" s="48">
        <f>Assumptions!$B$114*1+Assumptions!$B$115*IF(D2&gt;=Assumptions!$B$56,1,0)+Assumptions!$B$116*IF(D2&gt;=Assumptions!$B$57,1,0)</f>
        <v/>
      </c>
      <c r="E21" s="48">
        <f>Assumptions!$B$114*1+Assumptions!$B$115*IF(E2&gt;=Assumptions!$B$56,1,0)+Assumptions!$B$116*IF(E2&gt;=Assumptions!$B$57,1,0)</f>
        <v/>
      </c>
      <c r="F21" s="48">
        <f>Assumptions!$B$114*1+Assumptions!$B$115*IF(F2&gt;=Assumptions!$B$56,1,0)+Assumptions!$B$116*IF(F2&gt;=Assumptions!$B$57,1,0)</f>
        <v/>
      </c>
      <c r="G21" s="48">
        <f>Assumptions!$B$114*1+Assumptions!$B$115*IF(G2&gt;=Assumptions!$B$56,1,0)+Assumptions!$B$116*IF(G2&gt;=Assumptions!$B$57,1,0)</f>
        <v/>
      </c>
      <c r="H21" s="48">
        <f>Assumptions!$B$114*1+Assumptions!$B$115*IF(H2&gt;=Assumptions!$B$56,1,0)+Assumptions!$B$116*IF(H2&gt;=Assumptions!$B$57,1,0)</f>
        <v/>
      </c>
      <c r="I21" s="48">
        <f>Assumptions!$B$114*1+Assumptions!$B$115*IF(I2&gt;=Assumptions!$B$56,1,0)+Assumptions!$B$116*IF(I2&gt;=Assumptions!$B$57,1,0)</f>
        <v/>
      </c>
      <c r="J21" s="48">
        <f>Assumptions!$B$114*1+Assumptions!$B$115*IF(J2&gt;=Assumptions!$B$56,1,0)+Assumptions!$B$116*IF(J2&gt;=Assumptions!$B$57,1,0)</f>
        <v/>
      </c>
      <c r="K21" s="48">
        <f>Assumptions!$B$114*1+Assumptions!$B$115*IF(K2&gt;=Assumptions!$B$56,1,0)+Assumptions!$B$116*IF(K2&gt;=Assumptions!$B$57,1,0)</f>
        <v/>
      </c>
      <c r="L21" s="48">
        <f>Assumptions!$B$114*1+Assumptions!$B$115*IF(L2&gt;=Assumptions!$B$56,1,0)+Assumptions!$B$116*IF(L2&gt;=Assumptions!$B$57,1,0)</f>
        <v/>
      </c>
      <c r="M21" s="48">
        <f>Assumptions!$B$114*1+Assumptions!$B$115*IF(M2&gt;=Assumptions!$B$56,1,0)+Assumptions!$B$116*IF(M2&gt;=Assumptions!$B$57,1,0)</f>
        <v/>
      </c>
      <c r="N21" s="48">
        <f>Assumptions!$B$114*1+Assumptions!$B$115*IF(N2&gt;=Assumptions!$B$56,1,0)+Assumptions!$B$116*IF(N2&gt;=Assumptions!$B$57,1,0)</f>
        <v/>
      </c>
      <c r="O21" s="48">
        <f>Assumptions!$B$114*1+Assumptions!$B$115*IF(O2&gt;=Assumptions!$B$56,1,0)+Assumptions!$B$116*IF(O2&gt;=Assumptions!$B$57,1,0)</f>
        <v/>
      </c>
      <c r="P21" s="48">
        <f>Assumptions!$B$114*1+Assumptions!$B$115*IF(P2&gt;=Assumptions!$B$56,1,0)+Assumptions!$B$116*IF(P2&gt;=Assumptions!$B$57,1,0)</f>
        <v/>
      </c>
      <c r="Q21" s="48">
        <f>Assumptions!$B$114*1+Assumptions!$B$115*IF(Q2&gt;=Assumptions!$B$56,1,0)+Assumptions!$B$116*IF(Q2&gt;=Assumptions!$B$57,1,0)</f>
        <v/>
      </c>
      <c r="R21" s="48">
        <f>Assumptions!$B$114*1+Assumptions!$B$115*IF(R2&gt;=Assumptions!$B$56,1,0)+Assumptions!$B$116*IF(R2&gt;=Assumptions!$B$57,1,0)</f>
        <v/>
      </c>
      <c r="S21" s="48">
        <f>Assumptions!$B$114*1+Assumptions!$B$115*IF(S2&gt;=Assumptions!$B$56,1,0)+Assumptions!$B$116*IF(S2&gt;=Assumptions!$B$57,1,0)</f>
        <v/>
      </c>
      <c r="T21" s="48">
        <f>Assumptions!$B$114*1+Assumptions!$B$115*IF(T2&gt;=Assumptions!$B$56,1,0)+Assumptions!$B$116*IF(T2&gt;=Assumptions!$B$57,1,0)</f>
        <v/>
      </c>
      <c r="U21" s="48">
        <f>Assumptions!$B$114*1+Assumptions!$B$115*IF(U2&gt;=Assumptions!$B$56,1,0)+Assumptions!$B$116*IF(U2&gt;=Assumptions!$B$57,1,0)</f>
        <v/>
      </c>
      <c r="V21" s="48">
        <f>Assumptions!$B$114*1+Assumptions!$B$115*IF(V2&gt;=Assumptions!$B$56,1,0)+Assumptions!$B$116*IF(V2&gt;=Assumptions!$B$57,1,0)</f>
        <v/>
      </c>
      <c r="W21" s="48">
        <f>Assumptions!$B$114*1+Assumptions!$B$115*IF(W2&gt;=Assumptions!$B$56,1,0)+Assumptions!$B$116*IF(W2&gt;=Assumptions!$B$57,1,0)</f>
        <v/>
      </c>
      <c r="X21" s="48">
        <f>Assumptions!$B$114*1+Assumptions!$B$115*IF(X2&gt;=Assumptions!$B$56,1,0)+Assumptions!$B$116*IF(X2&gt;=Assumptions!$B$57,1,0)</f>
        <v/>
      </c>
      <c r="Y21" s="48">
        <f>Assumptions!$B$114*1+Assumptions!$B$115*IF(Y2&gt;=Assumptions!$B$56,1,0)+Assumptions!$B$116*IF(Y2&gt;=Assumptions!$B$57,1,0)</f>
        <v/>
      </c>
      <c r="Z21" s="48">
        <f>Assumptions!$B$114*1+Assumptions!$B$115*IF(Z2&gt;=Assumptions!$B$56,1,0)+Assumptions!$B$116*IF(Z2&gt;=Assumptions!$B$57,1,0)</f>
        <v/>
      </c>
      <c r="AA21" s="48">
        <f>Assumptions!$B$114*1+Assumptions!$B$115*IF(AA2&gt;=Assumptions!$B$56,1,0)+Assumptions!$B$116*IF(AA2&gt;=Assumptions!$B$57,1,0)</f>
        <v/>
      </c>
      <c r="AB21" s="48">
        <f>Assumptions!$B$114*1+Assumptions!$B$115*IF(AB2&gt;=Assumptions!$B$56,1,0)+Assumptions!$B$116*IF(AB2&gt;=Assumptions!$B$57,1,0)</f>
        <v/>
      </c>
      <c r="AC21" s="48">
        <f>Assumptions!$B$114*1+Assumptions!$B$115*IF(AC2&gt;=Assumptions!$B$56,1,0)+Assumptions!$B$116*IF(AC2&gt;=Assumptions!$B$57,1,0)</f>
        <v/>
      </c>
      <c r="AD21" s="48">
        <f>Assumptions!$B$114*1+Assumptions!$B$115*IF(AD2&gt;=Assumptions!$B$56,1,0)+Assumptions!$B$116*IF(AD2&gt;=Assumptions!$B$57,1,0)</f>
        <v/>
      </c>
      <c r="AE21" s="48">
        <f>Assumptions!$B$114*1+Assumptions!$B$115*IF(AE2&gt;=Assumptions!$B$56,1,0)+Assumptions!$B$116*IF(AE2&gt;=Assumptions!$B$57,1,0)</f>
        <v/>
      </c>
    </row>
    <row r="23">
      <c r="A23" s="46" t="inlineStr">
        <is>
          <t>REGION: UAE</t>
        </is>
      </c>
      <c r="B23" s="47" t="n"/>
      <c r="C23" s="47" t="n"/>
      <c r="D23" s="47" t="n"/>
      <c r="E23" s="47" t="n"/>
      <c r="F23" s="47" t="n"/>
      <c r="G23" s="47" t="n"/>
      <c r="H23" s="47" t="n"/>
      <c r="I23" s="47" t="n"/>
      <c r="J23" s="47" t="n"/>
      <c r="K23" s="47" t="n"/>
      <c r="L23" s="47" t="n"/>
      <c r="M23" s="47" t="n"/>
      <c r="N23" s="47" t="n"/>
      <c r="O23" s="47" t="n"/>
      <c r="P23" s="47" t="n"/>
      <c r="Q23" s="47" t="n"/>
      <c r="R23" s="47" t="n"/>
      <c r="S23" s="47" t="n"/>
      <c r="T23" s="47" t="n"/>
      <c r="U23" s="47" t="n"/>
      <c r="V23" s="47" t="n"/>
      <c r="W23" s="47" t="n"/>
      <c r="X23" s="47" t="n"/>
      <c r="Y23" s="47" t="n"/>
      <c r="Z23" s="47" t="n"/>
      <c r="AA23" s="47" t="n"/>
      <c r="AB23" s="47" t="n"/>
      <c r="AC23" s="47" t="n"/>
      <c r="AD23" s="47" t="n"/>
      <c r="AE23" s="47" t="n"/>
    </row>
    <row r="24">
      <c r="A24" s="6" t="inlineStr">
        <is>
          <t xml:space="preserve">  Direct-driven (this market's budget at its own CAC)</t>
        </is>
      </c>
      <c r="B24" s="23" t="inlineStr">
        <is>
          <t>accounts</t>
        </is>
      </c>
      <c r="C24" s="53">
        <f>INDEX(Assumptions!$B$100:$B$106,C5)*Assumptions!$B$126/12*C7/Assumptions!$B$123*(1+Assumptions!$B$131)*1</f>
        <v/>
      </c>
      <c r="D24" s="53">
        <f>INDEX(Assumptions!$B$100:$B$106,D5)*Assumptions!$B$126/12*D7/Assumptions!$B$123*(1+Assumptions!$B$131)*1</f>
        <v/>
      </c>
      <c r="E24" s="53">
        <f>INDEX(Assumptions!$B$100:$B$106,E5)*Assumptions!$B$126/12*E7/Assumptions!$B$123*(1+Assumptions!$B$131)*1</f>
        <v/>
      </c>
      <c r="F24" s="53">
        <f>INDEX(Assumptions!$B$100:$B$106,F5)*Assumptions!$B$126/12*F7/Assumptions!$B$123*(1+Assumptions!$B$131)*1</f>
        <v/>
      </c>
      <c r="G24" s="53">
        <f>INDEX(Assumptions!$B$100:$B$106,G5)*Assumptions!$B$126/12*G7/Assumptions!$B$123*(1+Assumptions!$B$131)*1</f>
        <v/>
      </c>
      <c r="H24" s="53">
        <f>INDEX(Assumptions!$B$100:$B$106,H5)*Assumptions!$B$126/12*H7/Assumptions!$B$123*(1+Assumptions!$B$131)*1</f>
        <v/>
      </c>
      <c r="I24" s="53">
        <f>INDEX(Assumptions!$B$100:$B$106,I5)*Assumptions!$B$126/12*I7/Assumptions!$B$123*(1+Assumptions!$B$131)*1</f>
        <v/>
      </c>
      <c r="J24" s="53">
        <f>INDEX(Assumptions!$B$100:$B$106,J5)*Assumptions!$B$126/12*J7/Assumptions!$B$123*(1+Assumptions!$B$131)*1</f>
        <v/>
      </c>
      <c r="K24" s="53">
        <f>INDEX(Assumptions!$B$100:$B$106,K5)*Assumptions!$B$126/12*K7/Assumptions!$B$123*(1+Assumptions!$B$131)*1</f>
        <v/>
      </c>
      <c r="L24" s="53">
        <f>INDEX(Assumptions!$B$100:$B$106,L5)*Assumptions!$B$126/12*L7/Assumptions!$B$123*(1+Assumptions!$B$131)*1</f>
        <v/>
      </c>
      <c r="M24" s="53">
        <f>INDEX(Assumptions!$B$100:$B$106,M5)*Assumptions!$B$126/12*M7/Assumptions!$B$123*(1+Assumptions!$B$131)*1</f>
        <v/>
      </c>
      <c r="N24" s="53">
        <f>INDEX(Assumptions!$B$100:$B$106,N5)*Assumptions!$B$126/12*N7/Assumptions!$B$123*(1+Assumptions!$B$131)*1</f>
        <v/>
      </c>
      <c r="O24" s="53">
        <f>INDEX(Assumptions!$B$100:$B$106,O5)*Assumptions!$B$126/12*O7/Assumptions!$B$123*(1+Assumptions!$B$131)*1</f>
        <v/>
      </c>
      <c r="P24" s="53">
        <f>INDEX(Assumptions!$B$100:$B$106,P5)*Assumptions!$B$126/12*P7/Assumptions!$B$123*(1+Assumptions!$B$131)*1</f>
        <v/>
      </c>
      <c r="Q24" s="53">
        <f>INDEX(Assumptions!$B$100:$B$106,Q5)*Assumptions!$B$126/12*Q7/Assumptions!$B$123*(1+Assumptions!$B$131)*1</f>
        <v/>
      </c>
      <c r="R24" s="53">
        <f>INDEX(Assumptions!$B$100:$B$106,R5)*Assumptions!$B$126/12*R7/Assumptions!$B$123*(1+Assumptions!$B$131)*1</f>
        <v/>
      </c>
      <c r="S24" s="53">
        <f>INDEX(Assumptions!$B$100:$B$106,S5)*Assumptions!$B$126/12*S7/Assumptions!$B$123*(1+Assumptions!$B$131)*1</f>
        <v/>
      </c>
      <c r="T24" s="53">
        <f>INDEX(Assumptions!$B$100:$B$106,T5)*Assumptions!$B$126/12*T7/Assumptions!$B$123*(1+Assumptions!$B$131)*1</f>
        <v/>
      </c>
      <c r="U24" s="53">
        <f>INDEX(Assumptions!$B$100:$B$106,U5)*Assumptions!$B$126/12*U7/Assumptions!$B$123*(1+Assumptions!$B$131)*1</f>
        <v/>
      </c>
      <c r="V24" s="53">
        <f>INDEX(Assumptions!$B$100:$B$106,V5)*Assumptions!$B$126/12*V7/Assumptions!$B$123*(1+Assumptions!$B$131)*1</f>
        <v/>
      </c>
      <c r="W24" s="53">
        <f>INDEX(Assumptions!$B$100:$B$106,W5)*Assumptions!$B$126/12*W7/Assumptions!$B$123*(1+Assumptions!$B$131)*1</f>
        <v/>
      </c>
      <c r="X24" s="53">
        <f>INDEX(Assumptions!$B$100:$B$106,X5)*Assumptions!$B$126/12*X7/Assumptions!$B$123*(1+Assumptions!$B$131)*1</f>
        <v/>
      </c>
      <c r="Y24" s="53">
        <f>INDEX(Assumptions!$B$100:$B$106,Y5)*Assumptions!$B$126/12*Y7/Assumptions!$B$123*(1+Assumptions!$B$131)*1</f>
        <v/>
      </c>
      <c r="Z24" s="53">
        <f>INDEX(Assumptions!$B$100:$B$106,Z5)*Assumptions!$B$126/12*Z7/Assumptions!$B$123*(1+Assumptions!$B$131)*1</f>
        <v/>
      </c>
      <c r="AA24" s="53">
        <f>INDEX(Assumptions!$B$100:$B$106,AA5)*Assumptions!$B$126/12*AA7/Assumptions!$B$123*(1+Assumptions!$B$131)*1</f>
        <v/>
      </c>
      <c r="AB24" s="53">
        <f>INDEX(Assumptions!$B$100:$B$106,AB5)*Assumptions!$B$126/12*AB7/Assumptions!$B$123*(1+Assumptions!$B$131)*1</f>
        <v/>
      </c>
      <c r="AC24" s="53">
        <f>INDEX(Assumptions!$B$100:$B$106,AC5)*Assumptions!$B$126/12*AC7/Assumptions!$B$123*(1+Assumptions!$B$131)*1</f>
        <v/>
      </c>
      <c r="AD24" s="53">
        <f>INDEX(Assumptions!$B$100:$B$106,AD5)*Assumptions!$B$126/12*AD7/Assumptions!$B$123*(1+Assumptions!$B$131)*1</f>
        <v/>
      </c>
      <c r="AE24" s="53">
        <f>INDEX(Assumptions!$B$100:$B$106,AE5)*Assumptions!$B$126/12*AE7/Assumptions!$B$123*(1+Assumptions!$B$131)*1</f>
        <v/>
      </c>
    </row>
    <row r="25">
      <c r="A25" s="6" t="inlineStr">
        <is>
          <t xml:space="preserve">  Referral-driven (from this market's own base)</t>
        </is>
      </c>
      <c r="B25" s="23" t="inlineStr">
        <is>
          <t>accounts</t>
        </is>
      </c>
      <c r="C25" s="54" t="n">
        <v>0</v>
      </c>
      <c r="D25" s="54">
        <f>IF(D2&gt;=Assumptions!$B$55,C29*Assumptions!$B$129/12*Assumptions!$B$130*D7,0)</f>
        <v/>
      </c>
      <c r="E25" s="54">
        <f>IF(E2&gt;=Assumptions!$B$55,D29*Assumptions!$B$129/12*Assumptions!$B$130*E7,0)</f>
        <v/>
      </c>
      <c r="F25" s="54">
        <f>IF(F2&gt;=Assumptions!$B$55,E29*Assumptions!$B$129/12*Assumptions!$B$130*F7,0)</f>
        <v/>
      </c>
      <c r="G25" s="54">
        <f>IF(G2&gt;=Assumptions!$B$55,F29*Assumptions!$B$129/12*Assumptions!$B$130*G7,0)</f>
        <v/>
      </c>
      <c r="H25" s="54">
        <f>IF(H2&gt;=Assumptions!$B$55,G29*Assumptions!$B$129/12*Assumptions!$B$130*H7,0)</f>
        <v/>
      </c>
      <c r="I25" s="54">
        <f>IF(I2&gt;=Assumptions!$B$55,H29*Assumptions!$B$129/12*Assumptions!$B$130*I7,0)</f>
        <v/>
      </c>
      <c r="J25" s="54">
        <f>IF(J2&gt;=Assumptions!$B$55,I29*Assumptions!$B$129/12*Assumptions!$B$130*J7,0)</f>
        <v/>
      </c>
      <c r="K25" s="54">
        <f>IF(K2&gt;=Assumptions!$B$55,J29*Assumptions!$B$129/12*Assumptions!$B$130*K7,0)</f>
        <v/>
      </c>
      <c r="L25" s="54">
        <f>IF(L2&gt;=Assumptions!$B$55,K29*Assumptions!$B$129/12*Assumptions!$B$130*L7,0)</f>
        <v/>
      </c>
      <c r="M25" s="54">
        <f>IF(M2&gt;=Assumptions!$B$55,L29*Assumptions!$B$129/12*Assumptions!$B$130*M7,0)</f>
        <v/>
      </c>
      <c r="N25" s="54">
        <f>IF(N2&gt;=Assumptions!$B$55,M29*Assumptions!$B$129/12*Assumptions!$B$130*N7,0)</f>
        <v/>
      </c>
      <c r="O25" s="54">
        <f>IF(O2&gt;=Assumptions!$B$55,N29*Assumptions!$B$129/12*Assumptions!$B$130*O7,0)</f>
        <v/>
      </c>
      <c r="P25" s="54">
        <f>IF(P2&gt;=Assumptions!$B$55,O29*Assumptions!$B$129/12*Assumptions!$B$130*P7,0)</f>
        <v/>
      </c>
      <c r="Q25" s="54">
        <f>IF(Q2&gt;=Assumptions!$B$55,P29*Assumptions!$B$129/12*Assumptions!$B$130*Q7,0)</f>
        <v/>
      </c>
      <c r="R25" s="54">
        <f>IF(R2&gt;=Assumptions!$B$55,Q29*Assumptions!$B$129/12*Assumptions!$B$130*R7,0)</f>
        <v/>
      </c>
      <c r="S25" s="54">
        <f>IF(S2&gt;=Assumptions!$B$55,R29*Assumptions!$B$129/12*Assumptions!$B$130*S7,0)</f>
        <v/>
      </c>
      <c r="T25" s="54">
        <f>IF(T2&gt;=Assumptions!$B$55,S29*Assumptions!$B$129/12*Assumptions!$B$130*T7,0)</f>
        <v/>
      </c>
      <c r="U25" s="54">
        <f>IF(U2&gt;=Assumptions!$B$55,T29*Assumptions!$B$129/12*Assumptions!$B$130*U7,0)</f>
        <v/>
      </c>
      <c r="V25" s="54">
        <f>IF(V2&gt;=Assumptions!$B$55,U29*Assumptions!$B$129/12*Assumptions!$B$130*V7,0)</f>
        <v/>
      </c>
      <c r="W25" s="54">
        <f>IF(W2&gt;=Assumptions!$B$55,V29*Assumptions!$B$129/12*Assumptions!$B$130*W7,0)</f>
        <v/>
      </c>
      <c r="X25" s="54">
        <f>IF(X2&gt;=Assumptions!$B$55,W29*Assumptions!$B$129/12*Assumptions!$B$130*X7,0)</f>
        <v/>
      </c>
      <c r="Y25" s="54">
        <f>IF(Y2&gt;=Assumptions!$B$55,X29*Assumptions!$B$129/12*Assumptions!$B$130*Y7,0)</f>
        <v/>
      </c>
      <c r="Z25" s="54">
        <f>IF(Z2&gt;=Assumptions!$B$55,Y29*Assumptions!$B$129/12*Assumptions!$B$130*Z7,0)</f>
        <v/>
      </c>
      <c r="AA25" s="54">
        <f>IF(AA2&gt;=Assumptions!$B$55,Z29*Assumptions!$B$129/12*Assumptions!$B$130*AA7,0)</f>
        <v/>
      </c>
      <c r="AB25" s="54">
        <f>IF(AB2&gt;=Assumptions!$B$55,AA29*Assumptions!$B$129/12*Assumptions!$B$130*AB7,0)</f>
        <v/>
      </c>
      <c r="AC25" s="54">
        <f>IF(AC2&gt;=Assumptions!$B$55,AB29*Assumptions!$B$129/12*Assumptions!$B$130*AC7,0)</f>
        <v/>
      </c>
      <c r="AD25" s="54">
        <f>IF(AD2&gt;=Assumptions!$B$55,AC29*Assumptions!$B$129/12*Assumptions!$B$130*AD7,0)</f>
        <v/>
      </c>
      <c r="AE25" s="54">
        <f>IF(AE2&gt;=Assumptions!$B$55,AD29*Assumptions!$B$129/12*Assumptions!$B$130*AE7,0)</f>
        <v/>
      </c>
    </row>
    <row r="26">
      <c r="A26" s="6" t="inlineStr">
        <is>
          <t xml:space="preserve">  Raw demand</t>
        </is>
      </c>
      <c r="B26" s="23" t="inlineStr">
        <is>
          <t>accounts</t>
        </is>
      </c>
      <c r="C26" s="54">
        <f>C24+C25+IF(C21=0,0,C20*Assumptions!$B$114/C21*1)</f>
        <v/>
      </c>
      <c r="D26" s="54">
        <f>D24+D25+IF(D21=0,0,D20*Assumptions!$B$114/D21*1)</f>
        <v/>
      </c>
      <c r="E26" s="54">
        <f>E24+E25+IF(E21=0,0,E20*Assumptions!$B$114/E21*1)</f>
        <v/>
      </c>
      <c r="F26" s="54">
        <f>F24+F25+IF(F21=0,0,F20*Assumptions!$B$114/F21*1)</f>
        <v/>
      </c>
      <c r="G26" s="54">
        <f>G24+G25+IF(G21=0,0,G20*Assumptions!$B$114/G21*1)</f>
        <v/>
      </c>
      <c r="H26" s="54">
        <f>H24+H25+IF(H21=0,0,H20*Assumptions!$B$114/H21*1)</f>
        <v/>
      </c>
      <c r="I26" s="54">
        <f>I24+I25+IF(I21=0,0,I20*Assumptions!$B$114/I21*1)</f>
        <v/>
      </c>
      <c r="J26" s="54">
        <f>J24+J25+IF(J21=0,0,J20*Assumptions!$B$114/J21*1)</f>
        <v/>
      </c>
      <c r="K26" s="54">
        <f>K24+K25+IF(K21=0,0,K20*Assumptions!$B$114/K21*1)</f>
        <v/>
      </c>
      <c r="L26" s="54">
        <f>L24+L25+IF(L21=0,0,L20*Assumptions!$B$114/L21*1)</f>
        <v/>
      </c>
      <c r="M26" s="54">
        <f>M24+M25+IF(M21=0,0,M20*Assumptions!$B$114/M21*1)</f>
        <v/>
      </c>
      <c r="N26" s="54">
        <f>N24+N25+IF(N21=0,0,N20*Assumptions!$B$114/N21*1)</f>
        <v/>
      </c>
      <c r="O26" s="54">
        <f>O24+O25+IF(O21=0,0,O20*Assumptions!$B$114/O21*1)</f>
        <v/>
      </c>
      <c r="P26" s="54">
        <f>P24+P25+IF(P21=0,0,P20*Assumptions!$B$114/P21*1)</f>
        <v/>
      </c>
      <c r="Q26" s="54">
        <f>Q24+Q25+IF(Q21=0,0,Q20*Assumptions!$B$114/Q21*1)</f>
        <v/>
      </c>
      <c r="R26" s="54">
        <f>R24+R25+IF(R21=0,0,R20*Assumptions!$B$114/R21*1)</f>
        <v/>
      </c>
      <c r="S26" s="54">
        <f>S24+S25+IF(S21=0,0,S20*Assumptions!$B$114/S21*1)</f>
        <v/>
      </c>
      <c r="T26" s="54">
        <f>T24+T25+IF(T21=0,0,T20*Assumptions!$B$114/T21*1)</f>
        <v/>
      </c>
      <c r="U26" s="54">
        <f>U24+U25+IF(U21=0,0,U20*Assumptions!$B$114/U21*1)</f>
        <v/>
      </c>
      <c r="V26" s="54">
        <f>V24+V25+IF(V21=0,0,V20*Assumptions!$B$114/V21*1)</f>
        <v/>
      </c>
      <c r="W26" s="54">
        <f>W24+W25+IF(W21=0,0,W20*Assumptions!$B$114/W21*1)</f>
        <v/>
      </c>
      <c r="X26" s="54">
        <f>X24+X25+IF(X21=0,0,X20*Assumptions!$B$114/X21*1)</f>
        <v/>
      </c>
      <c r="Y26" s="54">
        <f>Y24+Y25+IF(Y21=0,0,Y20*Assumptions!$B$114/Y21*1)</f>
        <v/>
      </c>
      <c r="Z26" s="54">
        <f>Z24+Z25+IF(Z21=0,0,Z20*Assumptions!$B$114/Z21*1)</f>
        <v/>
      </c>
      <c r="AA26" s="54">
        <f>AA24+AA25+IF(AA21=0,0,AA20*Assumptions!$B$114/AA21*1)</f>
        <v/>
      </c>
      <c r="AB26" s="54">
        <f>AB24+AB25+IF(AB21=0,0,AB20*Assumptions!$B$114/AB21*1)</f>
        <v/>
      </c>
      <c r="AC26" s="54">
        <f>AC24+AC25+IF(AC21=0,0,AC20*Assumptions!$B$114/AC21*1)</f>
        <v/>
      </c>
      <c r="AD26" s="54">
        <f>AD24+AD25+IF(AD21=0,0,AD20*Assumptions!$B$114/AD21*1)</f>
        <v/>
      </c>
      <c r="AE26" s="54">
        <f>AE24+AE25+IF(AE21=0,0,AE20*Assumptions!$B$114/AE21*1)</f>
        <v/>
      </c>
    </row>
    <row r="27">
      <c r="A27" s="6" t="inlineStr">
        <is>
          <t xml:space="preserve">  Saturation (this region's own headroom)</t>
        </is>
      </c>
      <c r="B27" s="23" t="inlineStr">
        <is>
          <t>x</t>
        </is>
      </c>
      <c r="C27" s="51" t="n">
        <v>1</v>
      </c>
      <c r="D27" s="51">
        <f>MAX(0,1-C32/Assumptions!$B$84)</f>
        <v/>
      </c>
      <c r="E27" s="51">
        <f>MAX(0,1-D32/Assumptions!$B$84)</f>
        <v/>
      </c>
      <c r="F27" s="51">
        <f>MAX(0,1-E32/Assumptions!$B$84)</f>
        <v/>
      </c>
      <c r="G27" s="51">
        <f>MAX(0,1-F32/Assumptions!$B$84)</f>
        <v/>
      </c>
      <c r="H27" s="51">
        <f>MAX(0,1-G32/Assumptions!$B$84)</f>
        <v/>
      </c>
      <c r="I27" s="51">
        <f>MAX(0,1-H32/Assumptions!$B$84)</f>
        <v/>
      </c>
      <c r="J27" s="51">
        <f>MAX(0,1-I32/Assumptions!$B$84)</f>
        <v/>
      </c>
      <c r="K27" s="51">
        <f>MAX(0,1-J32/Assumptions!$B$84)</f>
        <v/>
      </c>
      <c r="L27" s="51">
        <f>MAX(0,1-K32/Assumptions!$B$84)</f>
        <v/>
      </c>
      <c r="M27" s="51">
        <f>MAX(0,1-L32/Assumptions!$B$84)</f>
        <v/>
      </c>
      <c r="N27" s="51">
        <f>MAX(0,1-M32/Assumptions!$B$84)</f>
        <v/>
      </c>
      <c r="O27" s="51">
        <f>MAX(0,1-N32/Assumptions!$B$84)</f>
        <v/>
      </c>
      <c r="P27" s="51">
        <f>MAX(0,1-O32/Assumptions!$B$84)</f>
        <v/>
      </c>
      <c r="Q27" s="51">
        <f>MAX(0,1-P32/Assumptions!$B$84)</f>
        <v/>
      </c>
      <c r="R27" s="51">
        <f>MAX(0,1-Q32/Assumptions!$B$84)</f>
        <v/>
      </c>
      <c r="S27" s="51">
        <f>MAX(0,1-R32/Assumptions!$B$84)</f>
        <v/>
      </c>
      <c r="T27" s="51">
        <f>MAX(0,1-S32/Assumptions!$B$84)</f>
        <v/>
      </c>
      <c r="U27" s="51">
        <f>MAX(0,1-T32/Assumptions!$B$84)</f>
        <v/>
      </c>
      <c r="V27" s="51">
        <f>MAX(0,1-U32/Assumptions!$B$84)</f>
        <v/>
      </c>
      <c r="W27" s="51">
        <f>MAX(0,1-V32/Assumptions!$B$84)</f>
        <v/>
      </c>
      <c r="X27" s="51">
        <f>MAX(0,1-W32/Assumptions!$B$84)</f>
        <v/>
      </c>
      <c r="Y27" s="51">
        <f>MAX(0,1-X32/Assumptions!$B$84)</f>
        <v/>
      </c>
      <c r="Z27" s="51">
        <f>MAX(0,1-Y32/Assumptions!$B$84)</f>
        <v/>
      </c>
      <c r="AA27" s="51">
        <f>MAX(0,1-Z32/Assumptions!$B$84)</f>
        <v/>
      </c>
      <c r="AB27" s="51">
        <f>MAX(0,1-AA32/Assumptions!$B$84)</f>
        <v/>
      </c>
      <c r="AC27" s="51">
        <f>MAX(0,1-AB32/Assumptions!$B$84)</f>
        <v/>
      </c>
      <c r="AD27" s="51">
        <f>MAX(0,1-AC32/Assumptions!$B$84)</f>
        <v/>
      </c>
      <c r="AE27" s="51">
        <f>MAX(0,1-AD32/Assumptions!$B$84)</f>
        <v/>
      </c>
    </row>
    <row r="28">
      <c r="A28" s="6" t="inlineStr">
        <is>
          <t xml:space="preserve">  New customers</t>
        </is>
      </c>
      <c r="B28" s="23" t="inlineStr">
        <is>
          <t>accounts</t>
        </is>
      </c>
      <c r="C28" s="54">
        <f>C26*C27*C15</f>
        <v/>
      </c>
      <c r="D28" s="54">
        <f>D26*D27*D15</f>
        <v/>
      </c>
      <c r="E28" s="54">
        <f>E26*E27*E15</f>
        <v/>
      </c>
      <c r="F28" s="54">
        <f>F26*F27*F15</f>
        <v/>
      </c>
      <c r="G28" s="54">
        <f>G26*G27*G15</f>
        <v/>
      </c>
      <c r="H28" s="54">
        <f>H26*H27*H15</f>
        <v/>
      </c>
      <c r="I28" s="54">
        <f>I26*I27*I15</f>
        <v/>
      </c>
      <c r="J28" s="54">
        <f>J26*J27*J15</f>
        <v/>
      </c>
      <c r="K28" s="54">
        <f>K26*K27*K15</f>
        <v/>
      </c>
      <c r="L28" s="54">
        <f>L26*L27*L15</f>
        <v/>
      </c>
      <c r="M28" s="54">
        <f>M26*M27*M15</f>
        <v/>
      </c>
      <c r="N28" s="54">
        <f>N26*N27*N15</f>
        <v/>
      </c>
      <c r="O28" s="54">
        <f>O26*O27*O15</f>
        <v/>
      </c>
      <c r="P28" s="54">
        <f>P26*P27*P15</f>
        <v/>
      </c>
      <c r="Q28" s="54">
        <f>Q26*Q27*Q15</f>
        <v/>
      </c>
      <c r="R28" s="54">
        <f>R26*R27*R15</f>
        <v/>
      </c>
      <c r="S28" s="54">
        <f>S26*S27*S15</f>
        <v/>
      </c>
      <c r="T28" s="54">
        <f>T26*T27*T15</f>
        <v/>
      </c>
      <c r="U28" s="54">
        <f>U26*U27*U15</f>
        <v/>
      </c>
      <c r="V28" s="54">
        <f>V26*V27*V15</f>
        <v/>
      </c>
      <c r="W28" s="54">
        <f>W26*W27*W15</f>
        <v/>
      </c>
      <c r="X28" s="54">
        <f>X26*X27*X15</f>
        <v/>
      </c>
      <c r="Y28" s="54">
        <f>Y26*Y27*Y15</f>
        <v/>
      </c>
      <c r="Z28" s="54">
        <f>Z26*Z27*Z15</f>
        <v/>
      </c>
      <c r="AA28" s="54">
        <f>AA26*AA27*AA15</f>
        <v/>
      </c>
      <c r="AB28" s="54">
        <f>AB26*AB27*AB15</f>
        <v/>
      </c>
      <c r="AC28" s="54">
        <f>AC26*AC27*AC15</f>
        <v/>
      </c>
      <c r="AD28" s="54">
        <f>AD26*AD27*AD15</f>
        <v/>
      </c>
      <c r="AE28" s="54">
        <f>AE26*AE27*AE15</f>
        <v/>
      </c>
    </row>
    <row r="29">
      <c r="A29" s="6" t="inlineStr">
        <is>
          <t xml:space="preserve">  Paying customers</t>
        </is>
      </c>
      <c r="B29" s="23" t="inlineStr">
        <is>
          <t>accounts</t>
        </is>
      </c>
      <c r="C29" s="28">
        <f>C28*(1-Assumptions!$B$121)^(C7/2)</f>
        <v/>
      </c>
      <c r="D29" s="28">
        <f>C29*(1-Assumptions!$B$121)^D7+D28*(1-Assumptions!$B$121)^(D7/2)</f>
        <v/>
      </c>
      <c r="E29" s="28">
        <f>D29*(1-Assumptions!$B$121)^E7+E28*(1-Assumptions!$B$121)^(E7/2)</f>
        <v/>
      </c>
      <c r="F29" s="28">
        <f>E29*(1-Assumptions!$B$121)^F7+F28*(1-Assumptions!$B$121)^(F7/2)</f>
        <v/>
      </c>
      <c r="G29" s="28">
        <f>F29*(1-Assumptions!$B$121)^G7+G28*(1-Assumptions!$B$121)^(G7/2)</f>
        <v/>
      </c>
      <c r="H29" s="28">
        <f>G29*(1-Assumptions!$B$121)^H7+H28*(1-Assumptions!$B$121)^(H7/2)</f>
        <v/>
      </c>
      <c r="I29" s="28">
        <f>H29*(1-Assumptions!$B$121)^I7+I28*(1-Assumptions!$B$121)^(I7/2)</f>
        <v/>
      </c>
      <c r="J29" s="28">
        <f>I29*(1-Assumptions!$B$121)^J7+J28*(1-Assumptions!$B$121)^(J7/2)</f>
        <v/>
      </c>
      <c r="K29" s="28">
        <f>J29*(1-Assumptions!$B$121)^K7+K28*(1-Assumptions!$B$121)^(K7/2)</f>
        <v/>
      </c>
      <c r="L29" s="28">
        <f>K29*(1-Assumptions!$B$121)^L7+L28*(1-Assumptions!$B$121)^(L7/2)</f>
        <v/>
      </c>
      <c r="M29" s="28">
        <f>L29*(1-Assumptions!$B$121)^M7+M28*(1-Assumptions!$B$121)^(M7/2)</f>
        <v/>
      </c>
      <c r="N29" s="28">
        <f>M29*(1-Assumptions!$B$121)^N7+N28*(1-Assumptions!$B$121)^(N7/2)</f>
        <v/>
      </c>
      <c r="O29" s="28">
        <f>N29*(1-Assumptions!$B$121)^O7+O28*(1-Assumptions!$B$121)^(O7/2)</f>
        <v/>
      </c>
      <c r="P29" s="28">
        <f>O29*(1-Assumptions!$B$121)^P7+P28*(1-Assumptions!$B$121)^(P7/2)</f>
        <v/>
      </c>
      <c r="Q29" s="28">
        <f>P29*(1-Assumptions!$B$121)^Q7+Q28*(1-Assumptions!$B$121)^(Q7/2)</f>
        <v/>
      </c>
      <c r="R29" s="28">
        <f>Q29*(1-Assumptions!$B$121)^R7+R28*(1-Assumptions!$B$121)^(R7/2)</f>
        <v/>
      </c>
      <c r="S29" s="28">
        <f>R29*(1-Assumptions!$B$121)^S7+S28*(1-Assumptions!$B$121)^(S7/2)</f>
        <v/>
      </c>
      <c r="T29" s="28">
        <f>S29*(1-Assumptions!$B$121)^T7+T28*(1-Assumptions!$B$121)^(T7/2)</f>
        <v/>
      </c>
      <c r="U29" s="28">
        <f>T29*(1-Assumptions!$B$121)^U7+U28*(1-Assumptions!$B$121)^(U7/2)</f>
        <v/>
      </c>
      <c r="V29" s="28">
        <f>U29*(1-Assumptions!$B$121)^V7+V28*(1-Assumptions!$B$121)^(V7/2)</f>
        <v/>
      </c>
      <c r="W29" s="28">
        <f>V29*(1-Assumptions!$B$121)^W7+W28*(1-Assumptions!$B$121)^(W7/2)</f>
        <v/>
      </c>
      <c r="X29" s="28">
        <f>W29*(1-Assumptions!$B$121)^X7+X28*(1-Assumptions!$B$121)^(X7/2)</f>
        <v/>
      </c>
      <c r="Y29" s="28">
        <f>X29*(1-Assumptions!$B$121)^Y7+Y28*(1-Assumptions!$B$121)^(Y7/2)</f>
        <v/>
      </c>
      <c r="Z29" s="28">
        <f>Y29*(1-Assumptions!$B$121)^Z7+Z28*(1-Assumptions!$B$121)^(Z7/2)</f>
        <v/>
      </c>
      <c r="AA29" s="28">
        <f>Z29*(1-Assumptions!$B$121)^AA7+AA28*(1-Assumptions!$B$121)^(AA7/2)</f>
        <v/>
      </c>
      <c r="AB29" s="28">
        <f>AA29*(1-Assumptions!$B$121)^AB7+AB28*(1-Assumptions!$B$121)^(AB7/2)</f>
        <v/>
      </c>
      <c r="AC29" s="28">
        <f>AB29*(1-Assumptions!$B$121)^AC7+AC28*(1-Assumptions!$B$121)^(AC7/2)</f>
        <v/>
      </c>
      <c r="AD29" s="28">
        <f>AC29*(1-Assumptions!$B$121)^AD7+AD28*(1-Assumptions!$B$121)^(AD7/2)</f>
        <v/>
      </c>
      <c r="AE29" s="28">
        <f>AD29*(1-Assumptions!$B$121)^AE7+AE28*(1-Assumptions!$B$121)^(AE7/2)</f>
        <v/>
      </c>
    </row>
    <row r="30">
      <c r="A30" s="6" t="inlineStr">
        <is>
          <t xml:space="preserve">  Churned this period</t>
        </is>
      </c>
      <c r="B30" s="23" t="inlineStr">
        <is>
          <t>accounts</t>
        </is>
      </c>
      <c r="C30" s="54">
        <f>C28-C29</f>
        <v/>
      </c>
      <c r="D30" s="54">
        <f>C29+D28-D29</f>
        <v/>
      </c>
      <c r="E30" s="54">
        <f>D29+E28-E29</f>
        <v/>
      </c>
      <c r="F30" s="54">
        <f>E29+F28-F29</f>
        <v/>
      </c>
      <c r="G30" s="54">
        <f>F29+G28-G29</f>
        <v/>
      </c>
      <c r="H30" s="54">
        <f>G29+H28-H29</f>
        <v/>
      </c>
      <c r="I30" s="54">
        <f>H29+I28-I29</f>
        <v/>
      </c>
      <c r="J30" s="54">
        <f>I29+J28-J29</f>
        <v/>
      </c>
      <c r="K30" s="54">
        <f>J29+K28-K29</f>
        <v/>
      </c>
      <c r="L30" s="54">
        <f>K29+L28-L29</f>
        <v/>
      </c>
      <c r="M30" s="54">
        <f>L29+M28-M29</f>
        <v/>
      </c>
      <c r="N30" s="54">
        <f>M29+N28-N29</f>
        <v/>
      </c>
      <c r="O30" s="54">
        <f>N29+O28-O29</f>
        <v/>
      </c>
      <c r="P30" s="54">
        <f>O29+P28-P29</f>
        <v/>
      </c>
      <c r="Q30" s="54">
        <f>P29+Q28-Q29</f>
        <v/>
      </c>
      <c r="R30" s="54">
        <f>Q29+R28-R29</f>
        <v/>
      </c>
      <c r="S30" s="54">
        <f>R29+S28-S29</f>
        <v/>
      </c>
      <c r="T30" s="54">
        <f>S29+T28-T29</f>
        <v/>
      </c>
      <c r="U30" s="54">
        <f>T29+U28-U29</f>
        <v/>
      </c>
      <c r="V30" s="54">
        <f>U29+V28-V29</f>
        <v/>
      </c>
      <c r="W30" s="54">
        <f>V29+W28-W29</f>
        <v/>
      </c>
      <c r="X30" s="54">
        <f>W29+X28-X29</f>
        <v/>
      </c>
      <c r="Y30" s="54">
        <f>X29+Y28-Y29</f>
        <v/>
      </c>
      <c r="Z30" s="54">
        <f>Y29+Z28-Z29</f>
        <v/>
      </c>
      <c r="AA30" s="54">
        <f>Z29+AA28-AA29</f>
        <v/>
      </c>
      <c r="AB30" s="54">
        <f>AA29+AB28-AB29</f>
        <v/>
      </c>
      <c r="AC30" s="54">
        <f>AB29+AC28-AC29</f>
        <v/>
      </c>
      <c r="AD30" s="54">
        <f>AC29+AD28-AD29</f>
        <v/>
      </c>
      <c r="AE30" s="54">
        <f>AD29+AE28-AE29</f>
        <v/>
      </c>
    </row>
    <row r="31">
      <c r="A31" s="6" t="inlineStr">
        <is>
          <t xml:space="preserve">  Holders (stopped paying, still hold gold)</t>
        </is>
      </c>
      <c r="B31" s="23" t="inlineStr">
        <is>
          <t>accounts</t>
        </is>
      </c>
      <c r="C31" s="45">
        <f>C30</f>
        <v/>
      </c>
      <c r="D31" s="45">
        <f>C31+D30</f>
        <v/>
      </c>
      <c r="E31" s="45">
        <f>D31+E30</f>
        <v/>
      </c>
      <c r="F31" s="45">
        <f>E31+F30</f>
        <v/>
      </c>
      <c r="G31" s="45">
        <f>F31+G30</f>
        <v/>
      </c>
      <c r="H31" s="45">
        <f>G31+H30</f>
        <v/>
      </c>
      <c r="I31" s="45">
        <f>H31+I30</f>
        <v/>
      </c>
      <c r="J31" s="45">
        <f>I31+J30</f>
        <v/>
      </c>
      <c r="K31" s="45">
        <f>J31+K30</f>
        <v/>
      </c>
      <c r="L31" s="45">
        <f>K31+L30</f>
        <v/>
      </c>
      <c r="M31" s="45">
        <f>L31+M30</f>
        <v/>
      </c>
      <c r="N31" s="45">
        <f>M31+N30</f>
        <v/>
      </c>
      <c r="O31" s="45">
        <f>N31+O30</f>
        <v/>
      </c>
      <c r="P31" s="45">
        <f>O31+P30</f>
        <v/>
      </c>
      <c r="Q31" s="45">
        <f>P31+Q30</f>
        <v/>
      </c>
      <c r="R31" s="45">
        <f>Q31+R30</f>
        <v/>
      </c>
      <c r="S31" s="45">
        <f>R31+S30</f>
        <v/>
      </c>
      <c r="T31" s="45">
        <f>S31+T30</f>
        <v/>
      </c>
      <c r="U31" s="45">
        <f>T31+U30</f>
        <v/>
      </c>
      <c r="V31" s="45">
        <f>U31+V30</f>
        <v/>
      </c>
      <c r="W31" s="45">
        <f>V31+W30</f>
        <v/>
      </c>
      <c r="X31" s="45">
        <f>W31+X30</f>
        <v/>
      </c>
      <c r="Y31" s="45">
        <f>X31+Y30</f>
        <v/>
      </c>
      <c r="Z31" s="45">
        <f>Y31+Z30</f>
        <v/>
      </c>
      <c r="AA31" s="45">
        <f>Z31+AA30</f>
        <v/>
      </c>
      <c r="AB31" s="45">
        <f>AA31+AB30</f>
        <v/>
      </c>
      <c r="AC31" s="45">
        <f>AB31+AC30</f>
        <v/>
      </c>
      <c r="AD31" s="45">
        <f>AC31+AD30</f>
        <v/>
      </c>
      <c r="AE31" s="45">
        <f>AD31+AE30</f>
        <v/>
      </c>
    </row>
    <row r="32">
      <c r="A32" s="6" t="inlineStr">
        <is>
          <t xml:space="preserve">  Cumulative ever acquired</t>
        </is>
      </c>
      <c r="B32" s="23" t="inlineStr">
        <is>
          <t>accounts</t>
        </is>
      </c>
      <c r="C32" s="45">
        <f>C28</f>
        <v/>
      </c>
      <c r="D32" s="45">
        <f>C32+D28</f>
        <v/>
      </c>
      <c r="E32" s="45">
        <f>D32+E28</f>
        <v/>
      </c>
      <c r="F32" s="45">
        <f>E32+F28</f>
        <v/>
      </c>
      <c r="G32" s="45">
        <f>F32+G28</f>
        <v/>
      </c>
      <c r="H32" s="45">
        <f>G32+H28</f>
        <v/>
      </c>
      <c r="I32" s="45">
        <f>H32+I28</f>
        <v/>
      </c>
      <c r="J32" s="45">
        <f>I32+J28</f>
        <v/>
      </c>
      <c r="K32" s="45">
        <f>J32+K28</f>
        <v/>
      </c>
      <c r="L32" s="45">
        <f>K32+L28</f>
        <v/>
      </c>
      <c r="M32" s="45">
        <f>L32+M28</f>
        <v/>
      </c>
      <c r="N32" s="45">
        <f>M32+N28</f>
        <v/>
      </c>
      <c r="O32" s="45">
        <f>N32+O28</f>
        <v/>
      </c>
      <c r="P32" s="45">
        <f>O32+P28</f>
        <v/>
      </c>
      <c r="Q32" s="45">
        <f>P32+Q28</f>
        <v/>
      </c>
      <c r="R32" s="45">
        <f>Q32+R28</f>
        <v/>
      </c>
      <c r="S32" s="45">
        <f>R32+S28</f>
        <v/>
      </c>
      <c r="T32" s="45">
        <f>S32+T28</f>
        <v/>
      </c>
      <c r="U32" s="45">
        <f>T32+U28</f>
        <v/>
      </c>
      <c r="V32" s="45">
        <f>U32+V28</f>
        <v/>
      </c>
      <c r="W32" s="45">
        <f>V32+W28</f>
        <v/>
      </c>
      <c r="X32" s="45">
        <f>W32+X28</f>
        <v/>
      </c>
      <c r="Y32" s="45">
        <f>X32+Y28</f>
        <v/>
      </c>
      <c r="Z32" s="45">
        <f>Y32+Z28</f>
        <v/>
      </c>
      <c r="AA32" s="45">
        <f>Z32+AA28</f>
        <v/>
      </c>
      <c r="AB32" s="45">
        <f>AA32+AB28</f>
        <v/>
      </c>
      <c r="AC32" s="45">
        <f>AB32+AC28</f>
        <v/>
      </c>
      <c r="AD32" s="45">
        <f>AC32+AD28</f>
        <v/>
      </c>
      <c r="AE32" s="45">
        <f>AD32+AE28</f>
        <v/>
      </c>
    </row>
    <row r="33">
      <c r="A33" s="6" t="inlineStr">
        <is>
          <t xml:space="preserve">  SIP contributions</t>
        </is>
      </c>
      <c r="B33" s="23" t="inlineStr">
        <is>
          <t>USD</t>
        </is>
      </c>
      <c r="C33" s="55">
        <f>IF(C2&gt;=Assumptions!$B$47,C29*Assumptions!$B$167*C7,0)</f>
        <v/>
      </c>
      <c r="D33" s="55">
        <f>IF(D2&gt;=Assumptions!$B$47,D29*Assumptions!$B$167*D7,0)</f>
        <v/>
      </c>
      <c r="E33" s="55">
        <f>IF(E2&gt;=Assumptions!$B$47,E29*Assumptions!$B$167*E7,0)</f>
        <v/>
      </c>
      <c r="F33" s="55">
        <f>IF(F2&gt;=Assumptions!$B$47,F29*Assumptions!$B$167*F7,0)</f>
        <v/>
      </c>
      <c r="G33" s="55">
        <f>IF(G2&gt;=Assumptions!$B$47,G29*Assumptions!$B$167*G7,0)</f>
        <v/>
      </c>
      <c r="H33" s="55">
        <f>IF(H2&gt;=Assumptions!$B$47,H29*Assumptions!$B$167*H7,0)</f>
        <v/>
      </c>
      <c r="I33" s="55">
        <f>IF(I2&gt;=Assumptions!$B$47,I29*Assumptions!$B$167*I7,0)</f>
        <v/>
      </c>
      <c r="J33" s="55">
        <f>IF(J2&gt;=Assumptions!$B$47,J29*Assumptions!$B$167*J7,0)</f>
        <v/>
      </c>
      <c r="K33" s="55">
        <f>IF(K2&gt;=Assumptions!$B$47,K29*Assumptions!$B$167*K7,0)</f>
        <v/>
      </c>
      <c r="L33" s="55">
        <f>IF(L2&gt;=Assumptions!$B$47,L29*Assumptions!$B$167*L7,0)</f>
        <v/>
      </c>
      <c r="M33" s="55">
        <f>IF(M2&gt;=Assumptions!$B$47,M29*Assumptions!$B$167*M7,0)</f>
        <v/>
      </c>
      <c r="N33" s="55">
        <f>IF(N2&gt;=Assumptions!$B$47,N29*Assumptions!$B$167*N7,0)</f>
        <v/>
      </c>
      <c r="O33" s="55">
        <f>IF(O2&gt;=Assumptions!$B$47,O29*Assumptions!$B$167*O7,0)</f>
        <v/>
      </c>
      <c r="P33" s="55">
        <f>IF(P2&gt;=Assumptions!$B$47,P29*Assumptions!$B$167*P7,0)</f>
        <v/>
      </c>
      <c r="Q33" s="55">
        <f>IF(Q2&gt;=Assumptions!$B$47,Q29*Assumptions!$B$167*Q7,0)</f>
        <v/>
      </c>
      <c r="R33" s="55">
        <f>IF(R2&gt;=Assumptions!$B$47,R29*Assumptions!$B$167*R7,0)</f>
        <v/>
      </c>
      <c r="S33" s="55">
        <f>IF(S2&gt;=Assumptions!$B$47,S29*Assumptions!$B$167*S7,0)</f>
        <v/>
      </c>
      <c r="T33" s="55">
        <f>IF(T2&gt;=Assumptions!$B$47,T29*Assumptions!$B$167*T7,0)</f>
        <v/>
      </c>
      <c r="U33" s="55">
        <f>IF(U2&gt;=Assumptions!$B$47,U29*Assumptions!$B$167*U7,0)</f>
        <v/>
      </c>
      <c r="V33" s="55">
        <f>IF(V2&gt;=Assumptions!$B$47,V29*Assumptions!$B$167*V7,0)</f>
        <v/>
      </c>
      <c r="W33" s="55">
        <f>IF(W2&gt;=Assumptions!$B$47,W29*Assumptions!$B$167*W7,0)</f>
        <v/>
      </c>
      <c r="X33" s="55">
        <f>IF(X2&gt;=Assumptions!$B$47,X29*Assumptions!$B$167*X7,0)</f>
        <v/>
      </c>
      <c r="Y33" s="55">
        <f>IF(Y2&gt;=Assumptions!$B$47,Y29*Assumptions!$B$167*Y7,0)</f>
        <v/>
      </c>
      <c r="Z33" s="55">
        <f>IF(Z2&gt;=Assumptions!$B$47,Z29*Assumptions!$B$167*Z7,0)</f>
        <v/>
      </c>
      <c r="AA33" s="55">
        <f>IF(AA2&gt;=Assumptions!$B$47,AA29*Assumptions!$B$167*AA7,0)</f>
        <v/>
      </c>
      <c r="AB33" s="55">
        <f>IF(AB2&gt;=Assumptions!$B$47,AB29*Assumptions!$B$167*AB7,0)</f>
        <v/>
      </c>
      <c r="AC33" s="55">
        <f>IF(AC2&gt;=Assumptions!$B$47,AC29*Assumptions!$B$167*AC7,0)</f>
        <v/>
      </c>
      <c r="AD33" s="55">
        <f>IF(AD2&gt;=Assumptions!$B$47,AD29*Assumptions!$B$167*AD7,0)</f>
        <v/>
      </c>
      <c r="AE33" s="55">
        <f>IF(AE2&gt;=Assumptions!$B$47,AE29*Assumptions!$B$167*AE7,0)</f>
        <v/>
      </c>
    </row>
    <row r="34">
      <c r="A34" s="6" t="inlineStr">
        <is>
          <t xml:space="preserve">  Spot purchase volume</t>
        </is>
      </c>
      <c r="B34" s="23" t="inlineStr">
        <is>
          <t>USD</t>
        </is>
      </c>
      <c r="C34" s="55">
        <f>IF(C2&gt;=Assumptions!$B$48,C29*Assumptions!$B$35*Assumptions!$B$138*Assumptions!$B$140*Assumptions!$B$32*Assumptions!$B$139/12*C7,0)</f>
        <v/>
      </c>
      <c r="D34" s="55">
        <f>IF(D2&gt;=Assumptions!$B$48,D29*Assumptions!$B$35*Assumptions!$B$138*Assumptions!$B$140*Assumptions!$B$32*Assumptions!$B$139/12*D7,0)</f>
        <v/>
      </c>
      <c r="E34" s="55">
        <f>IF(E2&gt;=Assumptions!$B$48,E29*Assumptions!$B$35*Assumptions!$B$138*Assumptions!$B$140*Assumptions!$B$32*Assumptions!$B$139/12*E7,0)</f>
        <v/>
      </c>
      <c r="F34" s="55">
        <f>IF(F2&gt;=Assumptions!$B$48,F29*Assumptions!$B$35*Assumptions!$B$138*Assumptions!$B$140*Assumptions!$B$32*Assumptions!$B$139/12*F7,0)</f>
        <v/>
      </c>
      <c r="G34" s="55">
        <f>IF(G2&gt;=Assumptions!$B$48,G29*Assumptions!$B$35*Assumptions!$B$138*Assumptions!$B$140*Assumptions!$B$32*Assumptions!$B$139/12*G7,0)</f>
        <v/>
      </c>
      <c r="H34" s="55">
        <f>IF(H2&gt;=Assumptions!$B$48,H29*Assumptions!$B$35*Assumptions!$B$138*Assumptions!$B$140*Assumptions!$B$32*Assumptions!$B$139/12*H7,0)</f>
        <v/>
      </c>
      <c r="I34" s="55">
        <f>IF(I2&gt;=Assumptions!$B$48,I29*Assumptions!$B$35*Assumptions!$B$138*Assumptions!$B$140*Assumptions!$B$32*Assumptions!$B$139/12*I7,0)</f>
        <v/>
      </c>
      <c r="J34" s="55">
        <f>IF(J2&gt;=Assumptions!$B$48,J29*Assumptions!$B$35*Assumptions!$B$138*Assumptions!$B$140*Assumptions!$B$32*Assumptions!$B$139/12*J7,0)</f>
        <v/>
      </c>
      <c r="K34" s="55">
        <f>IF(K2&gt;=Assumptions!$B$48,K29*Assumptions!$B$35*Assumptions!$B$138*Assumptions!$B$140*Assumptions!$B$32*Assumptions!$B$139/12*K7,0)</f>
        <v/>
      </c>
      <c r="L34" s="55">
        <f>IF(L2&gt;=Assumptions!$B$48,L29*Assumptions!$B$35*Assumptions!$B$138*Assumptions!$B$140*Assumptions!$B$32*Assumptions!$B$139/12*L7,0)</f>
        <v/>
      </c>
      <c r="M34" s="55">
        <f>IF(M2&gt;=Assumptions!$B$48,M29*Assumptions!$B$35*Assumptions!$B$138*Assumptions!$B$140*Assumptions!$B$32*Assumptions!$B$139/12*M7,0)</f>
        <v/>
      </c>
      <c r="N34" s="55">
        <f>IF(N2&gt;=Assumptions!$B$48,N29*Assumptions!$B$35*Assumptions!$B$138*Assumptions!$B$140*Assumptions!$B$32*Assumptions!$B$139/12*N7,0)</f>
        <v/>
      </c>
      <c r="O34" s="55">
        <f>IF(O2&gt;=Assumptions!$B$48,O29*Assumptions!$B$35*Assumptions!$B$138*Assumptions!$B$140*Assumptions!$B$32*Assumptions!$B$139/12*O7,0)</f>
        <v/>
      </c>
      <c r="P34" s="55">
        <f>IF(P2&gt;=Assumptions!$B$48,P29*Assumptions!$B$35*Assumptions!$B$138*Assumptions!$B$140*Assumptions!$B$32*Assumptions!$B$139/12*P7,0)</f>
        <v/>
      </c>
      <c r="Q34" s="55">
        <f>IF(Q2&gt;=Assumptions!$B$48,Q29*Assumptions!$B$35*Assumptions!$B$138*Assumptions!$B$140*Assumptions!$B$32*Assumptions!$B$139/12*Q7,0)</f>
        <v/>
      </c>
      <c r="R34" s="55">
        <f>IF(R2&gt;=Assumptions!$B$48,R29*Assumptions!$B$35*Assumptions!$B$138*Assumptions!$B$140*Assumptions!$B$32*Assumptions!$B$139/12*R7,0)</f>
        <v/>
      </c>
      <c r="S34" s="55">
        <f>IF(S2&gt;=Assumptions!$B$48,S29*Assumptions!$B$35*Assumptions!$B$138*Assumptions!$B$140*Assumptions!$B$32*Assumptions!$B$139/12*S7,0)</f>
        <v/>
      </c>
      <c r="T34" s="55">
        <f>IF(T2&gt;=Assumptions!$B$48,T29*Assumptions!$B$35*Assumptions!$B$138*Assumptions!$B$140*Assumptions!$B$32*Assumptions!$B$139/12*T7,0)</f>
        <v/>
      </c>
      <c r="U34" s="55">
        <f>IF(U2&gt;=Assumptions!$B$48,U29*Assumptions!$B$35*Assumptions!$B$138*Assumptions!$B$140*Assumptions!$B$32*Assumptions!$B$139/12*U7,0)</f>
        <v/>
      </c>
      <c r="V34" s="55">
        <f>IF(V2&gt;=Assumptions!$B$48,V29*Assumptions!$B$35*Assumptions!$B$138*Assumptions!$B$140*Assumptions!$B$32*Assumptions!$B$139/12*V7,0)</f>
        <v/>
      </c>
      <c r="W34" s="55">
        <f>IF(W2&gt;=Assumptions!$B$48,W29*Assumptions!$B$35*Assumptions!$B$138*Assumptions!$B$140*Assumptions!$B$32*Assumptions!$B$139/12*W7,0)</f>
        <v/>
      </c>
      <c r="X34" s="55">
        <f>IF(X2&gt;=Assumptions!$B$48,X29*Assumptions!$B$35*Assumptions!$B$138*Assumptions!$B$140*Assumptions!$B$32*Assumptions!$B$139/12*X7,0)</f>
        <v/>
      </c>
      <c r="Y34" s="55">
        <f>IF(Y2&gt;=Assumptions!$B$48,Y29*Assumptions!$B$35*Assumptions!$B$138*Assumptions!$B$140*Assumptions!$B$32*Assumptions!$B$139/12*Y7,0)</f>
        <v/>
      </c>
      <c r="Z34" s="55">
        <f>IF(Z2&gt;=Assumptions!$B$48,Z29*Assumptions!$B$35*Assumptions!$B$138*Assumptions!$B$140*Assumptions!$B$32*Assumptions!$B$139/12*Z7,0)</f>
        <v/>
      </c>
      <c r="AA34" s="55">
        <f>IF(AA2&gt;=Assumptions!$B$48,AA29*Assumptions!$B$35*Assumptions!$B$138*Assumptions!$B$140*Assumptions!$B$32*Assumptions!$B$139/12*AA7,0)</f>
        <v/>
      </c>
      <c r="AB34" s="55">
        <f>IF(AB2&gt;=Assumptions!$B$48,AB29*Assumptions!$B$35*Assumptions!$B$138*Assumptions!$B$140*Assumptions!$B$32*Assumptions!$B$139/12*AB7,0)</f>
        <v/>
      </c>
      <c r="AC34" s="55">
        <f>IF(AC2&gt;=Assumptions!$B$48,AC29*Assumptions!$B$35*Assumptions!$B$138*Assumptions!$B$140*Assumptions!$B$32*Assumptions!$B$139/12*AC7,0)</f>
        <v/>
      </c>
      <c r="AD34" s="55">
        <f>IF(AD2&gt;=Assumptions!$B$48,AD29*Assumptions!$B$35*Assumptions!$B$138*Assumptions!$B$140*Assumptions!$B$32*Assumptions!$B$139/12*AD7,0)</f>
        <v/>
      </c>
      <c r="AE34" s="55">
        <f>IF(AE2&gt;=Assumptions!$B$48,AE29*Assumptions!$B$35*Assumptions!$B$138*Assumptions!$B$140*Assumptions!$B$32*Assumptions!$B$139/12*AE7,0)</f>
        <v/>
      </c>
    </row>
    <row r="35">
      <c r="A35" s="6" t="inlineStr">
        <is>
          <t xml:space="preserve">  Grams purchased</t>
        </is>
      </c>
      <c r="B35" s="23" t="inlineStr">
        <is>
          <t>grams</t>
        </is>
      </c>
      <c r="C35" s="54">
        <f>(C33+C34)*(1-Assumptions!$B$8)/Assumptions!$B$6/(1+Assumptions!$B$9)</f>
        <v/>
      </c>
      <c r="D35" s="54">
        <f>(D33+D34)*(1-Assumptions!$B$8)/Assumptions!$B$6/(1+Assumptions!$B$9)</f>
        <v/>
      </c>
      <c r="E35" s="54">
        <f>(E33+E34)*(1-Assumptions!$B$8)/Assumptions!$B$6/(1+Assumptions!$B$9)</f>
        <v/>
      </c>
      <c r="F35" s="54">
        <f>(F33+F34)*(1-Assumptions!$B$8)/Assumptions!$B$6/(1+Assumptions!$B$9)</f>
        <v/>
      </c>
      <c r="G35" s="54">
        <f>(G33+G34)*(1-Assumptions!$B$8)/Assumptions!$B$6/(1+Assumptions!$B$9)</f>
        <v/>
      </c>
      <c r="H35" s="54">
        <f>(H33+H34)*(1-Assumptions!$B$8)/Assumptions!$B$6/(1+Assumptions!$B$9)</f>
        <v/>
      </c>
      <c r="I35" s="54">
        <f>(I33+I34)*(1-Assumptions!$B$8)/Assumptions!$B$6/(1+Assumptions!$B$9)</f>
        <v/>
      </c>
      <c r="J35" s="54">
        <f>(J33+J34)*(1-Assumptions!$B$8)/Assumptions!$B$6/(1+Assumptions!$B$9)</f>
        <v/>
      </c>
      <c r="K35" s="54">
        <f>(K33+K34)*(1-Assumptions!$B$8)/Assumptions!$B$6/(1+Assumptions!$B$9)</f>
        <v/>
      </c>
      <c r="L35" s="54">
        <f>(L33+L34)*(1-Assumptions!$B$8)/Assumptions!$B$6/(1+Assumptions!$B$9)</f>
        <v/>
      </c>
      <c r="M35" s="54">
        <f>(M33+M34)*(1-Assumptions!$B$8)/Assumptions!$B$6/(1+Assumptions!$B$9)</f>
        <v/>
      </c>
      <c r="N35" s="54">
        <f>(N33+N34)*(1-Assumptions!$B$8)/Assumptions!$B$6/(1+Assumptions!$B$9)</f>
        <v/>
      </c>
      <c r="O35" s="54">
        <f>(O33+O34)*(1-Assumptions!$B$8)/Assumptions!$B$6/(1+Assumptions!$B$9)</f>
        <v/>
      </c>
      <c r="P35" s="54">
        <f>(P33+P34)*(1-Assumptions!$B$8)/Assumptions!$B$6/(1+Assumptions!$B$9)</f>
        <v/>
      </c>
      <c r="Q35" s="54">
        <f>(Q33+Q34)*(1-Assumptions!$B$8)/Assumptions!$B$6/(1+Assumptions!$B$9)</f>
        <v/>
      </c>
      <c r="R35" s="54">
        <f>(R33+R34)*(1-Assumptions!$B$8)/Assumptions!$B$6/(1+Assumptions!$B$9)</f>
        <v/>
      </c>
      <c r="S35" s="54">
        <f>(S33+S34)*(1-Assumptions!$B$8)/Assumptions!$B$6/(1+Assumptions!$B$9)</f>
        <v/>
      </c>
      <c r="T35" s="54">
        <f>(T33+T34)*(1-Assumptions!$B$8)/Assumptions!$B$6/(1+Assumptions!$B$9)</f>
        <v/>
      </c>
      <c r="U35" s="54">
        <f>(U33+U34)*(1-Assumptions!$B$8)/Assumptions!$B$6/(1+Assumptions!$B$9)</f>
        <v/>
      </c>
      <c r="V35" s="54">
        <f>(V33+V34)*(1-Assumptions!$B$8)/Assumptions!$B$6/(1+Assumptions!$B$9)</f>
        <v/>
      </c>
      <c r="W35" s="54">
        <f>(W33+W34)*(1-Assumptions!$B$8)/Assumptions!$B$6/(1+Assumptions!$B$9)</f>
        <v/>
      </c>
      <c r="X35" s="54">
        <f>(X33+X34)*(1-Assumptions!$B$8)/Assumptions!$B$6/(1+Assumptions!$B$9)</f>
        <v/>
      </c>
      <c r="Y35" s="54">
        <f>(Y33+Y34)*(1-Assumptions!$B$8)/Assumptions!$B$6/(1+Assumptions!$B$9)</f>
        <v/>
      </c>
      <c r="Z35" s="54">
        <f>(Z33+Z34)*(1-Assumptions!$B$8)/Assumptions!$B$6/(1+Assumptions!$B$9)</f>
        <v/>
      </c>
      <c r="AA35" s="54">
        <f>(AA33+AA34)*(1-Assumptions!$B$8)/Assumptions!$B$6/(1+Assumptions!$B$9)</f>
        <v/>
      </c>
      <c r="AB35" s="54">
        <f>(AB33+AB34)*(1-Assumptions!$B$8)/Assumptions!$B$6/(1+Assumptions!$B$9)</f>
        <v/>
      </c>
      <c r="AC35" s="54">
        <f>(AC33+AC34)*(1-Assumptions!$B$8)/Assumptions!$B$6/(1+Assumptions!$B$9)</f>
        <v/>
      </c>
      <c r="AD35" s="54">
        <f>(AD33+AD34)*(1-Assumptions!$B$8)/Assumptions!$B$6/(1+Assumptions!$B$9)</f>
        <v/>
      </c>
      <c r="AE35" s="54">
        <f>(AE33+AE34)*(1-Assumptions!$B$8)/Assumptions!$B$6/(1+Assumptions!$B$9)</f>
        <v/>
      </c>
    </row>
    <row r="36">
      <c r="A36" s="6" t="inlineStr">
        <is>
          <t xml:space="preserve">  Collateral-eligible AUM decay rate (holder-weighted)</t>
        </is>
      </c>
      <c r="B36" s="23" t="inlineStr">
        <is>
          <t>%/period</t>
        </is>
      </c>
      <c r="C36" s="56">
        <f>(Assumptions!$B$135+Assumptions!$B$136*IF(C29+C31=0,1,(C29+C31*Assumptions!$B$137)/(C29+C31)))*C7/12</f>
        <v/>
      </c>
      <c r="D36" s="56">
        <f>(Assumptions!$B$135+Assumptions!$B$136*IF(D29+D31=0,1,(D29+D31*Assumptions!$B$137)/(D29+D31)))*D7/12</f>
        <v/>
      </c>
      <c r="E36" s="56">
        <f>(Assumptions!$B$135+Assumptions!$B$136*IF(E29+E31=0,1,(E29+E31*Assumptions!$B$137)/(E29+E31)))*E7/12</f>
        <v/>
      </c>
      <c r="F36" s="56">
        <f>(Assumptions!$B$135+Assumptions!$B$136*IF(F29+F31=0,1,(F29+F31*Assumptions!$B$137)/(F29+F31)))*F7/12</f>
        <v/>
      </c>
      <c r="G36" s="56">
        <f>(Assumptions!$B$135+Assumptions!$B$136*IF(G29+G31=0,1,(G29+G31*Assumptions!$B$137)/(G29+G31)))*G7/12</f>
        <v/>
      </c>
      <c r="H36" s="56">
        <f>(Assumptions!$B$135+Assumptions!$B$136*IF(H29+H31=0,1,(H29+H31*Assumptions!$B$137)/(H29+H31)))*H7/12</f>
        <v/>
      </c>
      <c r="I36" s="56">
        <f>(Assumptions!$B$135+Assumptions!$B$136*IF(I29+I31=0,1,(I29+I31*Assumptions!$B$137)/(I29+I31)))*I7/12</f>
        <v/>
      </c>
      <c r="J36" s="56">
        <f>(Assumptions!$B$135+Assumptions!$B$136*IF(J29+J31=0,1,(J29+J31*Assumptions!$B$137)/(J29+J31)))*J7/12</f>
        <v/>
      </c>
      <c r="K36" s="56">
        <f>(Assumptions!$B$135+Assumptions!$B$136*IF(K29+K31=0,1,(K29+K31*Assumptions!$B$137)/(K29+K31)))*K7/12</f>
        <v/>
      </c>
      <c r="L36" s="56">
        <f>(Assumptions!$B$135+Assumptions!$B$136*IF(L29+L31=0,1,(L29+L31*Assumptions!$B$137)/(L29+L31)))*L7/12</f>
        <v/>
      </c>
      <c r="M36" s="56">
        <f>(Assumptions!$B$135+Assumptions!$B$136*IF(M29+M31=0,1,(M29+M31*Assumptions!$B$137)/(M29+M31)))*M7/12</f>
        <v/>
      </c>
      <c r="N36" s="56">
        <f>(Assumptions!$B$135+Assumptions!$B$136*IF(N29+N31=0,1,(N29+N31*Assumptions!$B$137)/(N29+N31)))*N7/12</f>
        <v/>
      </c>
      <c r="O36" s="56">
        <f>(Assumptions!$B$135+Assumptions!$B$136*IF(O29+O31=0,1,(O29+O31*Assumptions!$B$137)/(O29+O31)))*O7/12</f>
        <v/>
      </c>
      <c r="P36" s="56">
        <f>(Assumptions!$B$135+Assumptions!$B$136*IF(P29+P31=0,1,(P29+P31*Assumptions!$B$137)/(P29+P31)))*P7/12</f>
        <v/>
      </c>
      <c r="Q36" s="56">
        <f>(Assumptions!$B$135+Assumptions!$B$136*IF(Q29+Q31=0,1,(Q29+Q31*Assumptions!$B$137)/(Q29+Q31)))*Q7/12</f>
        <v/>
      </c>
      <c r="R36" s="56">
        <f>(Assumptions!$B$135+Assumptions!$B$136*IF(R29+R31=0,1,(R29+R31*Assumptions!$B$137)/(R29+R31)))*R7/12</f>
        <v/>
      </c>
      <c r="S36" s="56">
        <f>(Assumptions!$B$135+Assumptions!$B$136*IF(S29+S31=0,1,(S29+S31*Assumptions!$B$137)/(S29+S31)))*S7/12</f>
        <v/>
      </c>
      <c r="T36" s="56">
        <f>(Assumptions!$B$135+Assumptions!$B$136*IF(T29+T31=0,1,(T29+T31*Assumptions!$B$137)/(T29+T31)))*T7/12</f>
        <v/>
      </c>
      <c r="U36" s="56">
        <f>(Assumptions!$B$135+Assumptions!$B$136*IF(U29+U31=0,1,(U29+U31*Assumptions!$B$137)/(U29+U31)))*U7/12</f>
        <v/>
      </c>
      <c r="V36" s="56">
        <f>(Assumptions!$B$135+Assumptions!$B$136*IF(V29+V31=0,1,(V29+V31*Assumptions!$B$137)/(V29+V31)))*V7/12</f>
        <v/>
      </c>
      <c r="W36" s="56">
        <f>(Assumptions!$B$135+Assumptions!$B$136*IF(W29+W31=0,1,(W29+W31*Assumptions!$B$137)/(W29+W31)))*W7/12</f>
        <v/>
      </c>
      <c r="X36" s="56">
        <f>(Assumptions!$B$135+Assumptions!$B$136*IF(X29+X31=0,1,(X29+X31*Assumptions!$B$137)/(X29+X31)))*X7/12</f>
        <v/>
      </c>
      <c r="Y36" s="56">
        <f>(Assumptions!$B$135+Assumptions!$B$136*IF(Y29+Y31=0,1,(Y29+Y31*Assumptions!$B$137)/(Y29+Y31)))*Y7/12</f>
        <v/>
      </c>
      <c r="Z36" s="56">
        <f>(Assumptions!$B$135+Assumptions!$B$136*IF(Z29+Z31=0,1,(Z29+Z31*Assumptions!$B$137)/(Z29+Z31)))*Z7/12</f>
        <v/>
      </c>
      <c r="AA36" s="56">
        <f>(Assumptions!$B$135+Assumptions!$B$136*IF(AA29+AA31=0,1,(AA29+AA31*Assumptions!$B$137)/(AA29+AA31)))*AA7/12</f>
        <v/>
      </c>
      <c r="AB36" s="56">
        <f>(Assumptions!$B$135+Assumptions!$B$136*IF(AB29+AB31=0,1,(AB29+AB31*Assumptions!$B$137)/(AB29+AB31)))*AB7/12</f>
        <v/>
      </c>
      <c r="AC36" s="56">
        <f>(Assumptions!$B$135+Assumptions!$B$136*IF(AC29+AC31=0,1,(AC29+AC31*Assumptions!$B$137)/(AC29+AC31)))*AC7/12</f>
        <v/>
      </c>
      <c r="AD36" s="56">
        <f>(Assumptions!$B$135+Assumptions!$B$136*IF(AD29+AD31=0,1,(AD29+AD31*Assumptions!$B$137)/(AD29+AD31)))*AD7/12</f>
        <v/>
      </c>
      <c r="AE36" s="56">
        <f>(Assumptions!$B$135+Assumptions!$B$136*IF(AE29+AE31=0,1,(AE29+AE31*Assumptions!$B$137)/(AE29+AE31)))*AE7/12</f>
        <v/>
      </c>
    </row>
    <row r="37">
      <c r="A37" s="6" t="inlineStr">
        <is>
          <t xml:space="preserve">  Grams held</t>
        </is>
      </c>
      <c r="B37" s="23" t="inlineStr">
        <is>
          <t>grams</t>
        </is>
      </c>
      <c r="C37" s="45">
        <f>C35</f>
        <v/>
      </c>
      <c r="D37" s="45">
        <f>C37*(1-D36)+D35</f>
        <v/>
      </c>
      <c r="E37" s="45">
        <f>D37*(1-E36)+E35</f>
        <v/>
      </c>
      <c r="F37" s="45">
        <f>E37*(1-F36)+F35</f>
        <v/>
      </c>
      <c r="G37" s="45">
        <f>F37*(1-G36)+G35</f>
        <v/>
      </c>
      <c r="H37" s="45">
        <f>G37*(1-H36)+H35</f>
        <v/>
      </c>
      <c r="I37" s="45">
        <f>H37*(1-I36)+I35</f>
        <v/>
      </c>
      <c r="J37" s="45">
        <f>I37*(1-J36)+J35</f>
        <v/>
      </c>
      <c r="K37" s="45">
        <f>J37*(1-K36)+K35</f>
        <v/>
      </c>
      <c r="L37" s="45">
        <f>K37*(1-L36)+L35</f>
        <v/>
      </c>
      <c r="M37" s="45">
        <f>L37*(1-M36)+M35</f>
        <v/>
      </c>
      <c r="N37" s="45">
        <f>M37*(1-N36)+N35</f>
        <v/>
      </c>
      <c r="O37" s="45">
        <f>N37*(1-O36)+O35</f>
        <v/>
      </c>
      <c r="P37" s="45">
        <f>O37*(1-P36)+P35</f>
        <v/>
      </c>
      <c r="Q37" s="45">
        <f>P37*(1-Q36)+Q35</f>
        <v/>
      </c>
      <c r="R37" s="45">
        <f>Q37*(1-R36)+R35</f>
        <v/>
      </c>
      <c r="S37" s="45">
        <f>R37*(1-S36)+S35</f>
        <v/>
      </c>
      <c r="T37" s="45">
        <f>S37*(1-T36)+T35</f>
        <v/>
      </c>
      <c r="U37" s="45">
        <f>T37*(1-U36)+U35</f>
        <v/>
      </c>
      <c r="V37" s="45">
        <f>U37*(1-V36)+V35</f>
        <v/>
      </c>
      <c r="W37" s="45">
        <f>V37*(1-W36)+W35</f>
        <v/>
      </c>
      <c r="X37" s="45">
        <f>W37*(1-X36)+X35</f>
        <v/>
      </c>
      <c r="Y37" s="45">
        <f>X37*(1-Y36)+Y35</f>
        <v/>
      </c>
      <c r="Z37" s="45">
        <f>Y37*(1-Z36)+Z35</f>
        <v/>
      </c>
      <c r="AA37" s="45">
        <f>Z37*(1-AA36)+AA35</f>
        <v/>
      </c>
      <c r="AB37" s="45">
        <f>AA37*(1-AB36)+AB35</f>
        <v/>
      </c>
      <c r="AC37" s="45">
        <f>AB37*(1-AC36)+AC35</f>
        <v/>
      </c>
      <c r="AD37" s="45">
        <f>AC37*(1-AD36)+AD35</f>
        <v/>
      </c>
      <c r="AE37" s="45">
        <f>AD37*(1-AE36)+AE35</f>
        <v/>
      </c>
    </row>
    <row r="38">
      <c r="A38" s="6" t="inlineStr">
        <is>
          <t xml:space="preserve">  AUM</t>
        </is>
      </c>
      <c r="B38" s="23" t="inlineStr">
        <is>
          <t>USD</t>
        </is>
      </c>
      <c r="C38" s="57">
        <f>C37*Assumptions!$B$6</f>
        <v/>
      </c>
      <c r="D38" s="57">
        <f>D37*Assumptions!$B$6</f>
        <v/>
      </c>
      <c r="E38" s="57">
        <f>E37*Assumptions!$B$6</f>
        <v/>
      </c>
      <c r="F38" s="57">
        <f>F37*Assumptions!$B$6</f>
        <v/>
      </c>
      <c r="G38" s="57">
        <f>G37*Assumptions!$B$6</f>
        <v/>
      </c>
      <c r="H38" s="57">
        <f>H37*Assumptions!$B$6</f>
        <v/>
      </c>
      <c r="I38" s="57">
        <f>I37*Assumptions!$B$6</f>
        <v/>
      </c>
      <c r="J38" s="57">
        <f>J37*Assumptions!$B$6</f>
        <v/>
      </c>
      <c r="K38" s="57">
        <f>K37*Assumptions!$B$6</f>
        <v/>
      </c>
      <c r="L38" s="57">
        <f>L37*Assumptions!$B$6</f>
        <v/>
      </c>
      <c r="M38" s="57">
        <f>M37*Assumptions!$B$6</f>
        <v/>
      </c>
      <c r="N38" s="57">
        <f>N37*Assumptions!$B$6</f>
        <v/>
      </c>
      <c r="O38" s="57">
        <f>O37*Assumptions!$B$6</f>
        <v/>
      </c>
      <c r="P38" s="57">
        <f>P37*Assumptions!$B$6</f>
        <v/>
      </c>
      <c r="Q38" s="57">
        <f>Q37*Assumptions!$B$6</f>
        <v/>
      </c>
      <c r="R38" s="57">
        <f>R37*Assumptions!$B$6</f>
        <v/>
      </c>
      <c r="S38" s="57">
        <f>S37*Assumptions!$B$6</f>
        <v/>
      </c>
      <c r="T38" s="57">
        <f>T37*Assumptions!$B$6</f>
        <v/>
      </c>
      <c r="U38" s="57">
        <f>U37*Assumptions!$B$6</f>
        <v/>
      </c>
      <c r="V38" s="57">
        <f>V37*Assumptions!$B$6</f>
        <v/>
      </c>
      <c r="W38" s="57">
        <f>W37*Assumptions!$B$6</f>
        <v/>
      </c>
      <c r="X38" s="57">
        <f>X37*Assumptions!$B$6</f>
        <v/>
      </c>
      <c r="Y38" s="57">
        <f>Y37*Assumptions!$B$6</f>
        <v/>
      </c>
      <c r="Z38" s="57">
        <f>Z37*Assumptions!$B$6</f>
        <v/>
      </c>
      <c r="AA38" s="57">
        <f>AA37*Assumptions!$B$6</f>
        <v/>
      </c>
      <c r="AB38" s="57">
        <f>AB37*Assumptions!$B$6</f>
        <v/>
      </c>
      <c r="AC38" s="57">
        <f>AC37*Assumptions!$B$6</f>
        <v/>
      </c>
      <c r="AD38" s="57">
        <f>AD37*Assumptions!$B$6</f>
        <v/>
      </c>
      <c r="AE38" s="57">
        <f>AE37*Assumptions!$B$6</f>
        <v/>
      </c>
    </row>
    <row r="39">
      <c r="A39" s="6" t="inlineStr">
        <is>
          <t xml:space="preserve">  Card-eligible base</t>
        </is>
      </c>
      <c r="B39" s="23" t="inlineStr">
        <is>
          <t>accounts</t>
        </is>
      </c>
      <c r="C39" s="54">
        <f>C29+C31*Assumptions!$B$171</f>
        <v/>
      </c>
      <c r="D39" s="54">
        <f>D29+D31*Assumptions!$B$171</f>
        <v/>
      </c>
      <c r="E39" s="54">
        <f>E29+E31*Assumptions!$B$171</f>
        <v/>
      </c>
      <c r="F39" s="54">
        <f>F29+F31*Assumptions!$B$171</f>
        <v/>
      </c>
      <c r="G39" s="54">
        <f>G29+G31*Assumptions!$B$171</f>
        <v/>
      </c>
      <c r="H39" s="54">
        <f>H29+H31*Assumptions!$B$171</f>
        <v/>
      </c>
      <c r="I39" s="54">
        <f>I29+I31*Assumptions!$B$171</f>
        <v/>
      </c>
      <c r="J39" s="54">
        <f>J29+J31*Assumptions!$B$171</f>
        <v/>
      </c>
      <c r="K39" s="54">
        <f>K29+K31*Assumptions!$B$171</f>
        <v/>
      </c>
      <c r="L39" s="54">
        <f>L29+L31*Assumptions!$B$171</f>
        <v/>
      </c>
      <c r="M39" s="54">
        <f>M29+M31*Assumptions!$B$171</f>
        <v/>
      </c>
      <c r="N39" s="54">
        <f>N29+N31*Assumptions!$B$171</f>
        <v/>
      </c>
      <c r="O39" s="54">
        <f>O29+O31*Assumptions!$B$171</f>
        <v/>
      </c>
      <c r="P39" s="54">
        <f>P29+P31*Assumptions!$B$171</f>
        <v/>
      </c>
      <c r="Q39" s="54">
        <f>Q29+Q31*Assumptions!$B$171</f>
        <v/>
      </c>
      <c r="R39" s="54">
        <f>R29+R31*Assumptions!$B$171</f>
        <v/>
      </c>
      <c r="S39" s="54">
        <f>S29+S31*Assumptions!$B$171</f>
        <v/>
      </c>
      <c r="T39" s="54">
        <f>T29+T31*Assumptions!$B$171</f>
        <v/>
      </c>
      <c r="U39" s="54">
        <f>U29+U31*Assumptions!$B$171</f>
        <v/>
      </c>
      <c r="V39" s="54">
        <f>V29+V31*Assumptions!$B$171</f>
        <v/>
      </c>
      <c r="W39" s="54">
        <f>W29+W31*Assumptions!$B$171</f>
        <v/>
      </c>
      <c r="X39" s="54">
        <f>X29+X31*Assumptions!$B$171</f>
        <v/>
      </c>
      <c r="Y39" s="54">
        <f>Y29+Y31*Assumptions!$B$171</f>
        <v/>
      </c>
      <c r="Z39" s="54">
        <f>Z29+Z31*Assumptions!$B$171</f>
        <v/>
      </c>
      <c r="AA39" s="54">
        <f>AA29+AA31*Assumptions!$B$171</f>
        <v/>
      </c>
      <c r="AB39" s="54">
        <f>AB29+AB31*Assumptions!$B$171</f>
        <v/>
      </c>
      <c r="AC39" s="54">
        <f>AC29+AC31*Assumptions!$B$171</f>
        <v/>
      </c>
      <c r="AD39" s="54">
        <f>AD29+AD31*Assumptions!$B$171</f>
        <v/>
      </c>
      <c r="AE39" s="54">
        <f>AE29+AE31*Assumptions!$B$171</f>
        <v/>
      </c>
    </row>
    <row r="40">
      <c r="A40" s="6" t="inlineStr">
        <is>
          <t xml:space="preserve">  Cleared the six-payment gate</t>
        </is>
      </c>
      <c r="B40" s="23" t="inlineStr">
        <is>
          <t>accounts</t>
        </is>
      </c>
      <c r="C40" s="45">
        <f>IF(C7&gt;1,C39*Assumptions!$B$133,IF(C2&gt;Assumptions!$B$134,INDEX($C$39:$AE$39,1,C2-Assumptions!$B$134)*Assumptions!$B$133,0))</f>
        <v/>
      </c>
      <c r="D40" s="45">
        <f>IF(D7&gt;1,D39*Assumptions!$B$133,IF(D2&gt;Assumptions!$B$134,INDEX($C$39:$AE$39,1,D2-Assumptions!$B$134)*Assumptions!$B$133,0))</f>
        <v/>
      </c>
      <c r="E40" s="45">
        <f>IF(E7&gt;1,E39*Assumptions!$B$133,IF(E2&gt;Assumptions!$B$134,INDEX($C$39:$AE$39,1,E2-Assumptions!$B$134)*Assumptions!$B$133,0))</f>
        <v/>
      </c>
      <c r="F40" s="45">
        <f>IF(F7&gt;1,F39*Assumptions!$B$133,IF(F2&gt;Assumptions!$B$134,INDEX($C$39:$AE$39,1,F2-Assumptions!$B$134)*Assumptions!$B$133,0))</f>
        <v/>
      </c>
      <c r="G40" s="45">
        <f>IF(G7&gt;1,G39*Assumptions!$B$133,IF(G2&gt;Assumptions!$B$134,INDEX($C$39:$AE$39,1,G2-Assumptions!$B$134)*Assumptions!$B$133,0))</f>
        <v/>
      </c>
      <c r="H40" s="45">
        <f>IF(H7&gt;1,H39*Assumptions!$B$133,IF(H2&gt;Assumptions!$B$134,INDEX($C$39:$AE$39,1,H2-Assumptions!$B$134)*Assumptions!$B$133,0))</f>
        <v/>
      </c>
      <c r="I40" s="45">
        <f>IF(I7&gt;1,I39*Assumptions!$B$133,IF(I2&gt;Assumptions!$B$134,INDEX($C$39:$AE$39,1,I2-Assumptions!$B$134)*Assumptions!$B$133,0))</f>
        <v/>
      </c>
      <c r="J40" s="45">
        <f>IF(J7&gt;1,J39*Assumptions!$B$133,IF(J2&gt;Assumptions!$B$134,INDEX($C$39:$AE$39,1,J2-Assumptions!$B$134)*Assumptions!$B$133,0))</f>
        <v/>
      </c>
      <c r="K40" s="45">
        <f>IF(K7&gt;1,K39*Assumptions!$B$133,IF(K2&gt;Assumptions!$B$134,INDEX($C$39:$AE$39,1,K2-Assumptions!$B$134)*Assumptions!$B$133,0))</f>
        <v/>
      </c>
      <c r="L40" s="45">
        <f>IF(L7&gt;1,L39*Assumptions!$B$133,IF(L2&gt;Assumptions!$B$134,INDEX($C$39:$AE$39,1,L2-Assumptions!$B$134)*Assumptions!$B$133,0))</f>
        <v/>
      </c>
      <c r="M40" s="45">
        <f>IF(M7&gt;1,M39*Assumptions!$B$133,IF(M2&gt;Assumptions!$B$134,INDEX($C$39:$AE$39,1,M2-Assumptions!$B$134)*Assumptions!$B$133,0))</f>
        <v/>
      </c>
      <c r="N40" s="45">
        <f>IF(N7&gt;1,N39*Assumptions!$B$133,IF(N2&gt;Assumptions!$B$134,INDEX($C$39:$AE$39,1,N2-Assumptions!$B$134)*Assumptions!$B$133,0))</f>
        <v/>
      </c>
      <c r="O40" s="45">
        <f>IF(O7&gt;1,O39*Assumptions!$B$133,IF(O2&gt;Assumptions!$B$134,INDEX($C$39:$AE$39,1,O2-Assumptions!$B$134)*Assumptions!$B$133,0))</f>
        <v/>
      </c>
      <c r="P40" s="45">
        <f>IF(P7&gt;1,P39*Assumptions!$B$133,IF(P2&gt;Assumptions!$B$134,INDEX($C$39:$AE$39,1,P2-Assumptions!$B$134)*Assumptions!$B$133,0))</f>
        <v/>
      </c>
      <c r="Q40" s="45">
        <f>IF(Q7&gt;1,Q39*Assumptions!$B$133,IF(Q2&gt;Assumptions!$B$134,INDEX($C$39:$AE$39,1,Q2-Assumptions!$B$134)*Assumptions!$B$133,0))</f>
        <v/>
      </c>
      <c r="R40" s="45">
        <f>IF(R7&gt;1,R39*Assumptions!$B$133,IF(R2&gt;Assumptions!$B$134,INDEX($C$39:$AE$39,1,R2-Assumptions!$B$134)*Assumptions!$B$133,0))</f>
        <v/>
      </c>
      <c r="S40" s="45">
        <f>IF(S7&gt;1,S39*Assumptions!$B$133,IF(S2&gt;Assumptions!$B$134,INDEX($C$39:$AE$39,1,S2-Assumptions!$B$134)*Assumptions!$B$133,0))</f>
        <v/>
      </c>
      <c r="T40" s="45">
        <f>IF(T7&gt;1,T39*Assumptions!$B$133,IF(T2&gt;Assumptions!$B$134,INDEX($C$39:$AE$39,1,T2-Assumptions!$B$134)*Assumptions!$B$133,0))</f>
        <v/>
      </c>
      <c r="U40" s="45">
        <f>IF(U7&gt;1,U39*Assumptions!$B$133,IF(U2&gt;Assumptions!$B$134,INDEX($C$39:$AE$39,1,U2-Assumptions!$B$134)*Assumptions!$B$133,0))</f>
        <v/>
      </c>
      <c r="V40" s="45">
        <f>IF(V7&gt;1,V39*Assumptions!$B$133,IF(V2&gt;Assumptions!$B$134,INDEX($C$39:$AE$39,1,V2-Assumptions!$B$134)*Assumptions!$B$133,0))</f>
        <v/>
      </c>
      <c r="W40" s="45">
        <f>IF(W7&gt;1,W39*Assumptions!$B$133,IF(W2&gt;Assumptions!$B$134,INDEX($C$39:$AE$39,1,W2-Assumptions!$B$134)*Assumptions!$B$133,0))</f>
        <v/>
      </c>
      <c r="X40" s="45">
        <f>IF(X7&gt;1,X39*Assumptions!$B$133,IF(X2&gt;Assumptions!$B$134,INDEX($C$39:$AE$39,1,X2-Assumptions!$B$134)*Assumptions!$B$133,0))</f>
        <v/>
      </c>
      <c r="Y40" s="45">
        <f>IF(Y7&gt;1,Y39*Assumptions!$B$133,IF(Y2&gt;Assumptions!$B$134,INDEX($C$39:$AE$39,1,Y2-Assumptions!$B$134)*Assumptions!$B$133,0))</f>
        <v/>
      </c>
      <c r="Z40" s="45">
        <f>IF(Z7&gt;1,Z39*Assumptions!$B$133,IF(Z2&gt;Assumptions!$B$134,INDEX($C$39:$AE$39,1,Z2-Assumptions!$B$134)*Assumptions!$B$133,0))</f>
        <v/>
      </c>
      <c r="AA40" s="45">
        <f>IF(AA7&gt;1,AA39*Assumptions!$B$133,IF(AA2&gt;Assumptions!$B$134,INDEX($C$39:$AE$39,1,AA2-Assumptions!$B$134)*Assumptions!$B$133,0))</f>
        <v/>
      </c>
      <c r="AB40" s="45">
        <f>IF(AB7&gt;1,AB39*Assumptions!$B$133,IF(AB2&gt;Assumptions!$B$134,INDEX($C$39:$AE$39,1,AB2-Assumptions!$B$134)*Assumptions!$B$133,0))</f>
        <v/>
      </c>
      <c r="AC40" s="45">
        <f>IF(AC7&gt;1,AC39*Assumptions!$B$133,IF(AC2&gt;Assumptions!$B$134,INDEX($C$39:$AE$39,1,AC2-Assumptions!$B$134)*Assumptions!$B$133,0))</f>
        <v/>
      </c>
      <c r="AD40" s="45">
        <f>IF(AD7&gt;1,AD39*Assumptions!$B$133,IF(AD2&gt;Assumptions!$B$134,INDEX($C$39:$AE$39,1,AD2-Assumptions!$B$134)*Assumptions!$B$133,0))</f>
        <v/>
      </c>
      <c r="AE40" s="45">
        <f>IF(AE7&gt;1,AE39*Assumptions!$B$133,IF(AE2&gt;Assumptions!$B$134,INDEX($C$39:$AE$39,1,AE2-Assumptions!$B$134)*Assumptions!$B$133,0))</f>
        <v/>
      </c>
    </row>
    <row r="41">
      <c r="A41" s="6" t="inlineStr">
        <is>
          <t xml:space="preserve">  Active cards</t>
        </is>
      </c>
      <c r="B41" s="23" t="inlineStr">
        <is>
          <t>cards</t>
        </is>
      </c>
      <c r="C41" s="28">
        <f>IF(C2&gt;=Assumptions!$B$51,C40*Assumptions!$B$142,0)</f>
        <v/>
      </c>
      <c r="D41" s="28">
        <f>IF(D2&gt;=Assumptions!$B$51,D40*Assumptions!$B$142,0)</f>
        <v/>
      </c>
      <c r="E41" s="28">
        <f>IF(E2&gt;=Assumptions!$B$51,E40*Assumptions!$B$142,0)</f>
        <v/>
      </c>
      <c r="F41" s="28">
        <f>IF(F2&gt;=Assumptions!$B$51,F40*Assumptions!$B$142,0)</f>
        <v/>
      </c>
      <c r="G41" s="28">
        <f>IF(G2&gt;=Assumptions!$B$51,G40*Assumptions!$B$142,0)</f>
        <v/>
      </c>
      <c r="H41" s="28">
        <f>IF(H2&gt;=Assumptions!$B$51,H40*Assumptions!$B$142,0)</f>
        <v/>
      </c>
      <c r="I41" s="28">
        <f>IF(I2&gt;=Assumptions!$B$51,I40*Assumptions!$B$142,0)</f>
        <v/>
      </c>
      <c r="J41" s="28">
        <f>IF(J2&gt;=Assumptions!$B$51,J40*Assumptions!$B$142,0)</f>
        <v/>
      </c>
      <c r="K41" s="28">
        <f>IF(K2&gt;=Assumptions!$B$51,K40*Assumptions!$B$142,0)</f>
        <v/>
      </c>
      <c r="L41" s="28">
        <f>IF(L2&gt;=Assumptions!$B$51,L40*Assumptions!$B$142,0)</f>
        <v/>
      </c>
      <c r="M41" s="28">
        <f>IF(M2&gt;=Assumptions!$B$51,M40*Assumptions!$B$142,0)</f>
        <v/>
      </c>
      <c r="N41" s="28">
        <f>IF(N2&gt;=Assumptions!$B$51,N40*Assumptions!$B$142,0)</f>
        <v/>
      </c>
      <c r="O41" s="28">
        <f>IF(O2&gt;=Assumptions!$B$51,O40*Assumptions!$B$142,0)</f>
        <v/>
      </c>
      <c r="P41" s="28">
        <f>IF(P2&gt;=Assumptions!$B$51,P40*Assumptions!$B$142,0)</f>
        <v/>
      </c>
      <c r="Q41" s="28">
        <f>IF(Q2&gt;=Assumptions!$B$51,Q40*Assumptions!$B$142,0)</f>
        <v/>
      </c>
      <c r="R41" s="28">
        <f>IF(R2&gt;=Assumptions!$B$51,R40*Assumptions!$B$142,0)</f>
        <v/>
      </c>
      <c r="S41" s="28">
        <f>IF(S2&gt;=Assumptions!$B$51,S40*Assumptions!$B$142,0)</f>
        <v/>
      </c>
      <c r="T41" s="28">
        <f>IF(T2&gt;=Assumptions!$B$51,T40*Assumptions!$B$142,0)</f>
        <v/>
      </c>
      <c r="U41" s="28">
        <f>IF(U2&gt;=Assumptions!$B$51,U40*Assumptions!$B$142,0)</f>
        <v/>
      </c>
      <c r="V41" s="28">
        <f>IF(V2&gt;=Assumptions!$B$51,V40*Assumptions!$B$142,0)</f>
        <v/>
      </c>
      <c r="W41" s="28">
        <f>IF(W2&gt;=Assumptions!$B$51,W40*Assumptions!$B$142,0)</f>
        <v/>
      </c>
      <c r="X41" s="28">
        <f>IF(X2&gt;=Assumptions!$B$51,X40*Assumptions!$B$142,0)</f>
        <v/>
      </c>
      <c r="Y41" s="28">
        <f>IF(Y2&gt;=Assumptions!$B$51,Y40*Assumptions!$B$142,0)</f>
        <v/>
      </c>
      <c r="Z41" s="28">
        <f>IF(Z2&gt;=Assumptions!$B$51,Z40*Assumptions!$B$142,0)</f>
        <v/>
      </c>
      <c r="AA41" s="28">
        <f>IF(AA2&gt;=Assumptions!$B$51,AA40*Assumptions!$B$142,0)</f>
        <v/>
      </c>
      <c r="AB41" s="28">
        <f>IF(AB2&gt;=Assumptions!$B$51,AB40*Assumptions!$B$142,0)</f>
        <v/>
      </c>
      <c r="AC41" s="28">
        <f>IF(AC2&gt;=Assumptions!$B$51,AC40*Assumptions!$B$142,0)</f>
        <v/>
      </c>
      <c r="AD41" s="28">
        <f>IF(AD2&gt;=Assumptions!$B$51,AD40*Assumptions!$B$142,0)</f>
        <v/>
      </c>
      <c r="AE41" s="28">
        <f>IF(AE2&gt;=Assumptions!$B$51,AE40*Assumptions!$B$142,0)</f>
        <v/>
      </c>
    </row>
    <row r="42">
      <c r="A42" s="6" t="inlineStr">
        <is>
          <t xml:space="preserve">  Credit limit per customer (gold x LTV)</t>
        </is>
      </c>
      <c r="B42" s="23" t="inlineStr">
        <is>
          <t>USD</t>
        </is>
      </c>
      <c r="C42" s="55">
        <f>IF(C29=0,0,C38/C29*Assumptions!$B$31)</f>
        <v/>
      </c>
      <c r="D42" s="55">
        <f>IF(D29=0,0,D38/D29*Assumptions!$B$31)</f>
        <v/>
      </c>
      <c r="E42" s="55">
        <f>IF(E29=0,0,E38/E29*Assumptions!$B$31)</f>
        <v/>
      </c>
      <c r="F42" s="55">
        <f>IF(F29=0,0,F38/F29*Assumptions!$B$31)</f>
        <v/>
      </c>
      <c r="G42" s="55">
        <f>IF(G29=0,0,G38/G29*Assumptions!$B$31)</f>
        <v/>
      </c>
      <c r="H42" s="55">
        <f>IF(H29=0,0,H38/H29*Assumptions!$B$31)</f>
        <v/>
      </c>
      <c r="I42" s="55">
        <f>IF(I29=0,0,I38/I29*Assumptions!$B$31)</f>
        <v/>
      </c>
      <c r="J42" s="55">
        <f>IF(J29=0,0,J38/J29*Assumptions!$B$31)</f>
        <v/>
      </c>
      <c r="K42" s="55">
        <f>IF(K29=0,0,K38/K29*Assumptions!$B$31)</f>
        <v/>
      </c>
      <c r="L42" s="55">
        <f>IF(L29=0,0,L38/L29*Assumptions!$B$31)</f>
        <v/>
      </c>
      <c r="M42" s="55">
        <f>IF(M29=0,0,M38/M29*Assumptions!$B$31)</f>
        <v/>
      </c>
      <c r="N42" s="55">
        <f>IF(N29=0,0,N38/N29*Assumptions!$B$31)</f>
        <v/>
      </c>
      <c r="O42" s="55">
        <f>IF(O29=0,0,O38/O29*Assumptions!$B$31)</f>
        <v/>
      </c>
      <c r="P42" s="55">
        <f>IF(P29=0,0,P38/P29*Assumptions!$B$31)</f>
        <v/>
      </c>
      <c r="Q42" s="55">
        <f>IF(Q29=0,0,Q38/Q29*Assumptions!$B$31)</f>
        <v/>
      </c>
      <c r="R42" s="55">
        <f>IF(R29=0,0,R38/R29*Assumptions!$B$31)</f>
        <v/>
      </c>
      <c r="S42" s="55">
        <f>IF(S29=0,0,S38/S29*Assumptions!$B$31)</f>
        <v/>
      </c>
      <c r="T42" s="55">
        <f>IF(T29=0,0,T38/T29*Assumptions!$B$31)</f>
        <v/>
      </c>
      <c r="U42" s="55">
        <f>IF(U29=0,0,U38/U29*Assumptions!$B$31)</f>
        <v/>
      </c>
      <c r="V42" s="55">
        <f>IF(V29=0,0,V38/V29*Assumptions!$B$31)</f>
        <v/>
      </c>
      <c r="W42" s="55">
        <f>IF(W29=0,0,W38/W29*Assumptions!$B$31)</f>
        <v/>
      </c>
      <c r="X42" s="55">
        <f>IF(X29=0,0,X38/X29*Assumptions!$B$31)</f>
        <v/>
      </c>
      <c r="Y42" s="55">
        <f>IF(Y29=0,0,Y38/Y29*Assumptions!$B$31)</f>
        <v/>
      </c>
      <c r="Z42" s="55">
        <f>IF(Z29=0,0,Z38/Z29*Assumptions!$B$31)</f>
        <v/>
      </c>
      <c r="AA42" s="55">
        <f>IF(AA29=0,0,AA38/AA29*Assumptions!$B$31)</f>
        <v/>
      </c>
      <c r="AB42" s="55">
        <f>IF(AB29=0,0,AB38/AB29*Assumptions!$B$31)</f>
        <v/>
      </c>
      <c r="AC42" s="55">
        <f>IF(AC29=0,0,AC38/AC29*Assumptions!$B$31)</f>
        <v/>
      </c>
      <c r="AD42" s="55">
        <f>IF(AD29=0,0,AD38/AD29*Assumptions!$B$31)</f>
        <v/>
      </c>
      <c r="AE42" s="55">
        <f>IF(AE29=0,0,AE38/AE29*Assumptions!$B$31)</f>
        <v/>
      </c>
    </row>
    <row r="43">
      <c r="A43" s="6" t="inlineStr">
        <is>
          <t xml:space="preserve">  Annual drawdown per card (limit x drawn x draws)</t>
        </is>
      </c>
      <c r="B43" s="23" t="inlineStr">
        <is>
          <t>USD/yr</t>
        </is>
      </c>
      <c r="C43" s="55">
        <f>C42*Assumptions!$B$155*Assumptions!$B$157</f>
        <v/>
      </c>
      <c r="D43" s="55">
        <f>D42*Assumptions!$B$155*Assumptions!$B$157</f>
        <v/>
      </c>
      <c r="E43" s="55">
        <f>E42*Assumptions!$B$155*Assumptions!$B$157</f>
        <v/>
      </c>
      <c r="F43" s="55">
        <f>F42*Assumptions!$B$155*Assumptions!$B$157</f>
        <v/>
      </c>
      <c r="G43" s="55">
        <f>G42*Assumptions!$B$155*Assumptions!$B$157</f>
        <v/>
      </c>
      <c r="H43" s="55">
        <f>H42*Assumptions!$B$155*Assumptions!$B$157</f>
        <v/>
      </c>
      <c r="I43" s="55">
        <f>I42*Assumptions!$B$155*Assumptions!$B$157</f>
        <v/>
      </c>
      <c r="J43" s="55">
        <f>J42*Assumptions!$B$155*Assumptions!$B$157</f>
        <v/>
      </c>
      <c r="K43" s="55">
        <f>K42*Assumptions!$B$155*Assumptions!$B$157</f>
        <v/>
      </c>
      <c r="L43" s="55">
        <f>L42*Assumptions!$B$155*Assumptions!$B$157</f>
        <v/>
      </c>
      <c r="M43" s="55">
        <f>M42*Assumptions!$B$155*Assumptions!$B$157</f>
        <v/>
      </c>
      <c r="N43" s="55">
        <f>N42*Assumptions!$B$155*Assumptions!$B$157</f>
        <v/>
      </c>
      <c r="O43" s="55">
        <f>O42*Assumptions!$B$155*Assumptions!$B$157</f>
        <v/>
      </c>
      <c r="P43" s="55">
        <f>P42*Assumptions!$B$155*Assumptions!$B$157</f>
        <v/>
      </c>
      <c r="Q43" s="55">
        <f>Q42*Assumptions!$B$155*Assumptions!$B$157</f>
        <v/>
      </c>
      <c r="R43" s="55">
        <f>R42*Assumptions!$B$155*Assumptions!$B$157</f>
        <v/>
      </c>
      <c r="S43" s="55">
        <f>S42*Assumptions!$B$155*Assumptions!$B$157</f>
        <v/>
      </c>
      <c r="T43" s="55">
        <f>T42*Assumptions!$B$155*Assumptions!$B$157</f>
        <v/>
      </c>
      <c r="U43" s="55">
        <f>U42*Assumptions!$B$155*Assumptions!$B$157</f>
        <v/>
      </c>
      <c r="V43" s="55">
        <f>V42*Assumptions!$B$155*Assumptions!$B$157</f>
        <v/>
      </c>
      <c r="W43" s="55">
        <f>W42*Assumptions!$B$155*Assumptions!$B$157</f>
        <v/>
      </c>
      <c r="X43" s="55">
        <f>X42*Assumptions!$B$155*Assumptions!$B$157</f>
        <v/>
      </c>
      <c r="Y43" s="55">
        <f>Y42*Assumptions!$B$155*Assumptions!$B$157</f>
        <v/>
      </c>
      <c r="Z43" s="55">
        <f>Z42*Assumptions!$B$155*Assumptions!$B$157</f>
        <v/>
      </c>
      <c r="AA43" s="55">
        <f>AA42*Assumptions!$B$155*Assumptions!$B$157</f>
        <v/>
      </c>
      <c r="AB43" s="55">
        <f>AB42*Assumptions!$B$155*Assumptions!$B$157</f>
        <v/>
      </c>
      <c r="AC43" s="55">
        <f>AC42*Assumptions!$B$155*Assumptions!$B$157</f>
        <v/>
      </c>
      <c r="AD43" s="55">
        <f>AD42*Assumptions!$B$155*Assumptions!$B$157</f>
        <v/>
      </c>
      <c r="AE43" s="55">
        <f>AE42*Assumptions!$B$155*Assumptions!$B$157</f>
        <v/>
      </c>
    </row>
    <row r="44">
      <c r="A44" s="6" t="inlineStr">
        <is>
          <t xml:space="preserve">  Card spend per card per month</t>
        </is>
      </c>
      <c r="B44" s="23" t="inlineStr">
        <is>
          <t>USD</t>
        </is>
      </c>
      <c r="C44" s="55">
        <f>C43/12*C16</f>
        <v/>
      </c>
      <c r="D44" s="55">
        <f>D43/12*D16</f>
        <v/>
      </c>
      <c r="E44" s="55">
        <f>E43/12*E16</f>
        <v/>
      </c>
      <c r="F44" s="55">
        <f>F43/12*F16</f>
        <v/>
      </c>
      <c r="G44" s="55">
        <f>G43/12*G16</f>
        <v/>
      </c>
      <c r="H44" s="55">
        <f>H43/12*H16</f>
        <v/>
      </c>
      <c r="I44" s="55">
        <f>I43/12*I16</f>
        <v/>
      </c>
      <c r="J44" s="55">
        <f>J43/12*J16</f>
        <v/>
      </c>
      <c r="K44" s="55">
        <f>K43/12*K16</f>
        <v/>
      </c>
      <c r="L44" s="55">
        <f>L43/12*L16</f>
        <v/>
      </c>
      <c r="M44" s="55">
        <f>M43/12*M16</f>
        <v/>
      </c>
      <c r="N44" s="55">
        <f>N43/12*N16</f>
        <v/>
      </c>
      <c r="O44" s="55">
        <f>O43/12*O16</f>
        <v/>
      </c>
      <c r="P44" s="55">
        <f>P43/12*P16</f>
        <v/>
      </c>
      <c r="Q44" s="55">
        <f>Q43/12*Q16</f>
        <v/>
      </c>
      <c r="R44" s="55">
        <f>R43/12*R16</f>
        <v/>
      </c>
      <c r="S44" s="55">
        <f>S43/12*S16</f>
        <v/>
      </c>
      <c r="T44" s="55">
        <f>T43/12*T16</f>
        <v/>
      </c>
      <c r="U44" s="55">
        <f>U43/12*U16</f>
        <v/>
      </c>
      <c r="V44" s="55">
        <f>V43/12*V16</f>
        <v/>
      </c>
      <c r="W44" s="55">
        <f>W43/12*W16</f>
        <v/>
      </c>
      <c r="X44" s="55">
        <f>X43/12*X16</f>
        <v/>
      </c>
      <c r="Y44" s="55">
        <f>Y43/12*Y16</f>
        <v/>
      </c>
      <c r="Z44" s="55">
        <f>Z43/12*Z16</f>
        <v/>
      </c>
      <c r="AA44" s="55">
        <f>AA43/12*AA16</f>
        <v/>
      </c>
      <c r="AB44" s="55">
        <f>AB43/12*AB16</f>
        <v/>
      </c>
      <c r="AC44" s="55">
        <f>AC43/12*AC16</f>
        <v/>
      </c>
      <c r="AD44" s="55">
        <f>AD43/12*AD16</f>
        <v/>
      </c>
      <c r="AE44" s="55">
        <f>AE43/12*AE16</f>
        <v/>
      </c>
    </row>
    <row r="45">
      <c r="A45" s="6" t="inlineStr">
        <is>
          <t xml:space="preserve">  Card spend</t>
        </is>
      </c>
      <c r="B45" s="23" t="inlineStr">
        <is>
          <t>AED</t>
        </is>
      </c>
      <c r="C45" s="45">
        <f>C41*C44*Assumptions!$B$7*C7</f>
        <v/>
      </c>
      <c r="D45" s="45">
        <f>D41*D44*Assumptions!$B$7*D7</f>
        <v/>
      </c>
      <c r="E45" s="45">
        <f>E41*E44*Assumptions!$B$7*E7</f>
        <v/>
      </c>
      <c r="F45" s="45">
        <f>F41*F44*Assumptions!$B$7*F7</f>
        <v/>
      </c>
      <c r="G45" s="45">
        <f>G41*G44*Assumptions!$B$7*G7</f>
        <v/>
      </c>
      <c r="H45" s="45">
        <f>H41*H44*Assumptions!$B$7*H7</f>
        <v/>
      </c>
      <c r="I45" s="45">
        <f>I41*I44*Assumptions!$B$7*I7</f>
        <v/>
      </c>
      <c r="J45" s="45">
        <f>J41*J44*Assumptions!$B$7*J7</f>
        <v/>
      </c>
      <c r="K45" s="45">
        <f>K41*K44*Assumptions!$B$7*K7</f>
        <v/>
      </c>
      <c r="L45" s="45">
        <f>L41*L44*Assumptions!$B$7*L7</f>
        <v/>
      </c>
      <c r="M45" s="45">
        <f>M41*M44*Assumptions!$B$7*M7</f>
        <v/>
      </c>
      <c r="N45" s="45">
        <f>N41*N44*Assumptions!$B$7*N7</f>
        <v/>
      </c>
      <c r="O45" s="45">
        <f>O41*O44*Assumptions!$B$7*O7</f>
        <v/>
      </c>
      <c r="P45" s="45">
        <f>P41*P44*Assumptions!$B$7*P7</f>
        <v/>
      </c>
      <c r="Q45" s="45">
        <f>Q41*Q44*Assumptions!$B$7*Q7</f>
        <v/>
      </c>
      <c r="R45" s="45">
        <f>R41*R44*Assumptions!$B$7*R7</f>
        <v/>
      </c>
      <c r="S45" s="45">
        <f>S41*S44*Assumptions!$B$7*S7</f>
        <v/>
      </c>
      <c r="T45" s="45">
        <f>T41*T44*Assumptions!$B$7*T7</f>
        <v/>
      </c>
      <c r="U45" s="45">
        <f>U41*U44*Assumptions!$B$7*U7</f>
        <v/>
      </c>
      <c r="V45" s="45">
        <f>V41*V44*Assumptions!$B$7*V7</f>
        <v/>
      </c>
      <c r="W45" s="45">
        <f>W41*W44*Assumptions!$B$7*W7</f>
        <v/>
      </c>
      <c r="X45" s="45">
        <f>X41*X44*Assumptions!$B$7*X7</f>
        <v/>
      </c>
      <c r="Y45" s="45">
        <f>Y41*Y44*Assumptions!$B$7*Y7</f>
        <v/>
      </c>
      <c r="Z45" s="45">
        <f>Z41*Z44*Assumptions!$B$7*Z7</f>
        <v/>
      </c>
      <c r="AA45" s="45">
        <f>AA41*AA44*Assumptions!$B$7*AA7</f>
        <v/>
      </c>
      <c r="AB45" s="45">
        <f>AB41*AB44*Assumptions!$B$7*AB7</f>
        <v/>
      </c>
      <c r="AC45" s="45">
        <f>AC41*AC44*Assumptions!$B$7*AC7</f>
        <v/>
      </c>
      <c r="AD45" s="45">
        <f>AD41*AD44*Assumptions!$B$7*AD7</f>
        <v/>
      </c>
      <c r="AE45" s="45">
        <f>AE41*AE44*Assumptions!$B$7*AE7</f>
        <v/>
      </c>
    </row>
    <row r="46">
      <c r="A46" s="6" t="inlineStr">
        <is>
          <t xml:space="preserve">  Card spend</t>
        </is>
      </c>
      <c r="B46" s="23" t="inlineStr">
        <is>
          <t>USD</t>
        </is>
      </c>
      <c r="C46" s="55">
        <f>C45/Assumptions!$B$7</f>
        <v/>
      </c>
      <c r="D46" s="55">
        <f>D45/Assumptions!$B$7</f>
        <v/>
      </c>
      <c r="E46" s="55">
        <f>E45/Assumptions!$B$7</f>
        <v/>
      </c>
      <c r="F46" s="55">
        <f>F45/Assumptions!$B$7</f>
        <v/>
      </c>
      <c r="G46" s="55">
        <f>G45/Assumptions!$B$7</f>
        <v/>
      </c>
      <c r="H46" s="55">
        <f>H45/Assumptions!$B$7</f>
        <v/>
      </c>
      <c r="I46" s="55">
        <f>I45/Assumptions!$B$7</f>
        <v/>
      </c>
      <c r="J46" s="55">
        <f>J45/Assumptions!$B$7</f>
        <v/>
      </c>
      <c r="K46" s="55">
        <f>K45/Assumptions!$B$7</f>
        <v/>
      </c>
      <c r="L46" s="55">
        <f>L45/Assumptions!$B$7</f>
        <v/>
      </c>
      <c r="M46" s="55">
        <f>M45/Assumptions!$B$7</f>
        <v/>
      </c>
      <c r="N46" s="55">
        <f>N45/Assumptions!$B$7</f>
        <v/>
      </c>
      <c r="O46" s="55">
        <f>O45/Assumptions!$B$7</f>
        <v/>
      </c>
      <c r="P46" s="55">
        <f>P45/Assumptions!$B$7</f>
        <v/>
      </c>
      <c r="Q46" s="55">
        <f>Q45/Assumptions!$B$7</f>
        <v/>
      </c>
      <c r="R46" s="55">
        <f>R45/Assumptions!$B$7</f>
        <v/>
      </c>
      <c r="S46" s="55">
        <f>S45/Assumptions!$B$7</f>
        <v/>
      </c>
      <c r="T46" s="55">
        <f>T45/Assumptions!$B$7</f>
        <v/>
      </c>
      <c r="U46" s="55">
        <f>U45/Assumptions!$B$7</f>
        <v/>
      </c>
      <c r="V46" s="55">
        <f>V45/Assumptions!$B$7</f>
        <v/>
      </c>
      <c r="W46" s="55">
        <f>W45/Assumptions!$B$7</f>
        <v/>
      </c>
      <c r="X46" s="55">
        <f>X45/Assumptions!$B$7</f>
        <v/>
      </c>
      <c r="Y46" s="55">
        <f>Y45/Assumptions!$B$7</f>
        <v/>
      </c>
      <c r="Z46" s="55">
        <f>Z45/Assumptions!$B$7</f>
        <v/>
      </c>
      <c r="AA46" s="55">
        <f>AA45/Assumptions!$B$7</f>
        <v/>
      </c>
      <c r="AB46" s="55">
        <f>AB45/Assumptions!$B$7</f>
        <v/>
      </c>
      <c r="AC46" s="55">
        <f>AC45/Assumptions!$B$7</f>
        <v/>
      </c>
      <c r="AD46" s="55">
        <f>AD45/Assumptions!$B$7</f>
        <v/>
      </c>
      <c r="AE46" s="55">
        <f>AE45/Assumptions!$B$7</f>
        <v/>
      </c>
    </row>
    <row r="47">
      <c r="A47" s="6" t="inlineStr">
        <is>
          <t xml:space="preserve">  Average transaction size (derived)</t>
        </is>
      </c>
      <c r="B47" s="23" t="inlineStr">
        <is>
          <t>AED</t>
        </is>
      </c>
      <c r="C47" s="45">
        <f>IF(Assumptions!$B$143=0,0,C42*Assumptions!$B$155*Assumptions!$B$7/Assumptions!$B$143)</f>
        <v/>
      </c>
      <c r="D47" s="45">
        <f>IF(Assumptions!$B$143=0,0,D42*Assumptions!$B$155*Assumptions!$B$7/Assumptions!$B$143)</f>
        <v/>
      </c>
      <c r="E47" s="45">
        <f>IF(Assumptions!$B$143=0,0,E42*Assumptions!$B$155*Assumptions!$B$7/Assumptions!$B$143)</f>
        <v/>
      </c>
      <c r="F47" s="45">
        <f>IF(Assumptions!$B$143=0,0,F42*Assumptions!$B$155*Assumptions!$B$7/Assumptions!$B$143)</f>
        <v/>
      </c>
      <c r="G47" s="45">
        <f>IF(Assumptions!$B$143=0,0,G42*Assumptions!$B$155*Assumptions!$B$7/Assumptions!$B$143)</f>
        <v/>
      </c>
      <c r="H47" s="45">
        <f>IF(Assumptions!$B$143=0,0,H42*Assumptions!$B$155*Assumptions!$B$7/Assumptions!$B$143)</f>
        <v/>
      </c>
      <c r="I47" s="45">
        <f>IF(Assumptions!$B$143=0,0,I42*Assumptions!$B$155*Assumptions!$B$7/Assumptions!$B$143)</f>
        <v/>
      </c>
      <c r="J47" s="45">
        <f>IF(Assumptions!$B$143=0,0,J42*Assumptions!$B$155*Assumptions!$B$7/Assumptions!$B$143)</f>
        <v/>
      </c>
      <c r="K47" s="45">
        <f>IF(Assumptions!$B$143=0,0,K42*Assumptions!$B$155*Assumptions!$B$7/Assumptions!$B$143)</f>
        <v/>
      </c>
      <c r="L47" s="45">
        <f>IF(Assumptions!$B$143=0,0,L42*Assumptions!$B$155*Assumptions!$B$7/Assumptions!$B$143)</f>
        <v/>
      </c>
      <c r="M47" s="45">
        <f>IF(Assumptions!$B$143=0,0,M42*Assumptions!$B$155*Assumptions!$B$7/Assumptions!$B$143)</f>
        <v/>
      </c>
      <c r="N47" s="45">
        <f>IF(Assumptions!$B$143=0,0,N42*Assumptions!$B$155*Assumptions!$B$7/Assumptions!$B$143)</f>
        <v/>
      </c>
      <c r="O47" s="45">
        <f>IF(Assumptions!$B$143=0,0,O42*Assumptions!$B$155*Assumptions!$B$7/Assumptions!$B$143)</f>
        <v/>
      </c>
      <c r="P47" s="45">
        <f>IF(Assumptions!$B$143=0,0,P42*Assumptions!$B$155*Assumptions!$B$7/Assumptions!$B$143)</f>
        <v/>
      </c>
      <c r="Q47" s="45">
        <f>IF(Assumptions!$B$143=0,0,Q42*Assumptions!$B$155*Assumptions!$B$7/Assumptions!$B$143)</f>
        <v/>
      </c>
      <c r="R47" s="45">
        <f>IF(Assumptions!$B$143=0,0,R42*Assumptions!$B$155*Assumptions!$B$7/Assumptions!$B$143)</f>
        <v/>
      </c>
      <c r="S47" s="45">
        <f>IF(Assumptions!$B$143=0,0,S42*Assumptions!$B$155*Assumptions!$B$7/Assumptions!$B$143)</f>
        <v/>
      </c>
      <c r="T47" s="45">
        <f>IF(Assumptions!$B$143=0,0,T42*Assumptions!$B$155*Assumptions!$B$7/Assumptions!$B$143)</f>
        <v/>
      </c>
      <c r="U47" s="45">
        <f>IF(Assumptions!$B$143=0,0,U42*Assumptions!$B$155*Assumptions!$B$7/Assumptions!$B$143)</f>
        <v/>
      </c>
      <c r="V47" s="45">
        <f>IF(Assumptions!$B$143=0,0,V42*Assumptions!$B$155*Assumptions!$B$7/Assumptions!$B$143)</f>
        <v/>
      </c>
      <c r="W47" s="45">
        <f>IF(Assumptions!$B$143=0,0,W42*Assumptions!$B$155*Assumptions!$B$7/Assumptions!$B$143)</f>
        <v/>
      </c>
      <c r="X47" s="45">
        <f>IF(Assumptions!$B$143=0,0,X42*Assumptions!$B$155*Assumptions!$B$7/Assumptions!$B$143)</f>
        <v/>
      </c>
      <c r="Y47" s="45">
        <f>IF(Assumptions!$B$143=0,0,Y42*Assumptions!$B$155*Assumptions!$B$7/Assumptions!$B$143)</f>
        <v/>
      </c>
      <c r="Z47" s="45">
        <f>IF(Assumptions!$B$143=0,0,Z42*Assumptions!$B$155*Assumptions!$B$7/Assumptions!$B$143)</f>
        <v/>
      </c>
      <c r="AA47" s="45">
        <f>IF(Assumptions!$B$143=0,0,AA42*Assumptions!$B$155*Assumptions!$B$7/Assumptions!$B$143)</f>
        <v/>
      </c>
      <c r="AB47" s="45">
        <f>IF(Assumptions!$B$143=0,0,AB42*Assumptions!$B$155*Assumptions!$B$7/Assumptions!$B$143)</f>
        <v/>
      </c>
      <c r="AC47" s="45">
        <f>IF(Assumptions!$B$143=0,0,AC42*Assumptions!$B$155*Assumptions!$B$7/Assumptions!$B$143)</f>
        <v/>
      </c>
      <c r="AD47" s="45">
        <f>IF(Assumptions!$B$143=0,0,AD42*Assumptions!$B$155*Assumptions!$B$7/Assumptions!$B$143)</f>
        <v/>
      </c>
      <c r="AE47" s="45">
        <f>IF(Assumptions!$B$143=0,0,AE42*Assumptions!$B$155*Assumptions!$B$7/Assumptions!$B$143)</f>
        <v/>
      </c>
    </row>
    <row r="48">
      <c r="A48" s="6" t="inlineStr">
        <is>
          <t xml:space="preserve">  Card authorisations (memo - drives cost, not revenue)</t>
        </is>
      </c>
      <c r="B48" s="23" t="inlineStr">
        <is>
          <t>auths</t>
        </is>
      </c>
      <c r="C48" s="45">
        <f>C41*Assumptions!$B$157*Assumptions!$B$143*C7/12*(1+Assumptions!$B$16)</f>
        <v/>
      </c>
      <c r="D48" s="45">
        <f>D41*Assumptions!$B$157*Assumptions!$B$143*D7/12*(1+Assumptions!$B$16)</f>
        <v/>
      </c>
      <c r="E48" s="45">
        <f>E41*Assumptions!$B$157*Assumptions!$B$143*E7/12*(1+Assumptions!$B$16)</f>
        <v/>
      </c>
      <c r="F48" s="45">
        <f>F41*Assumptions!$B$157*Assumptions!$B$143*F7/12*(1+Assumptions!$B$16)</f>
        <v/>
      </c>
      <c r="G48" s="45">
        <f>G41*Assumptions!$B$157*Assumptions!$B$143*G7/12*(1+Assumptions!$B$16)</f>
        <v/>
      </c>
      <c r="H48" s="45">
        <f>H41*Assumptions!$B$157*Assumptions!$B$143*H7/12*(1+Assumptions!$B$16)</f>
        <v/>
      </c>
      <c r="I48" s="45">
        <f>I41*Assumptions!$B$157*Assumptions!$B$143*I7/12*(1+Assumptions!$B$16)</f>
        <v/>
      </c>
      <c r="J48" s="45">
        <f>J41*Assumptions!$B$157*Assumptions!$B$143*J7/12*(1+Assumptions!$B$16)</f>
        <v/>
      </c>
      <c r="K48" s="45">
        <f>K41*Assumptions!$B$157*Assumptions!$B$143*K7/12*(1+Assumptions!$B$16)</f>
        <v/>
      </c>
      <c r="L48" s="45">
        <f>L41*Assumptions!$B$157*Assumptions!$B$143*L7/12*(1+Assumptions!$B$16)</f>
        <v/>
      </c>
      <c r="M48" s="45">
        <f>M41*Assumptions!$B$157*Assumptions!$B$143*M7/12*(1+Assumptions!$B$16)</f>
        <v/>
      </c>
      <c r="N48" s="45">
        <f>N41*Assumptions!$B$157*Assumptions!$B$143*N7/12*(1+Assumptions!$B$16)</f>
        <v/>
      </c>
      <c r="O48" s="45">
        <f>O41*Assumptions!$B$157*Assumptions!$B$143*O7/12*(1+Assumptions!$B$16)</f>
        <v/>
      </c>
      <c r="P48" s="45">
        <f>P41*Assumptions!$B$157*Assumptions!$B$143*P7/12*(1+Assumptions!$B$16)</f>
        <v/>
      </c>
      <c r="Q48" s="45">
        <f>Q41*Assumptions!$B$157*Assumptions!$B$143*Q7/12*(1+Assumptions!$B$16)</f>
        <v/>
      </c>
      <c r="R48" s="45">
        <f>R41*Assumptions!$B$157*Assumptions!$B$143*R7/12*(1+Assumptions!$B$16)</f>
        <v/>
      </c>
      <c r="S48" s="45">
        <f>S41*Assumptions!$B$157*Assumptions!$B$143*S7/12*(1+Assumptions!$B$16)</f>
        <v/>
      </c>
      <c r="T48" s="45">
        <f>T41*Assumptions!$B$157*Assumptions!$B$143*T7/12*(1+Assumptions!$B$16)</f>
        <v/>
      </c>
      <c r="U48" s="45">
        <f>U41*Assumptions!$B$157*Assumptions!$B$143*U7/12*(1+Assumptions!$B$16)</f>
        <v/>
      </c>
      <c r="V48" s="45">
        <f>V41*Assumptions!$B$157*Assumptions!$B$143*V7/12*(1+Assumptions!$B$16)</f>
        <v/>
      </c>
      <c r="W48" s="45">
        <f>W41*Assumptions!$B$157*Assumptions!$B$143*W7/12*(1+Assumptions!$B$16)</f>
        <v/>
      </c>
      <c r="X48" s="45">
        <f>X41*Assumptions!$B$157*Assumptions!$B$143*X7/12*(1+Assumptions!$B$16)</f>
        <v/>
      </c>
      <c r="Y48" s="45">
        <f>Y41*Assumptions!$B$157*Assumptions!$B$143*Y7/12*(1+Assumptions!$B$16)</f>
        <v/>
      </c>
      <c r="Z48" s="45">
        <f>Z41*Assumptions!$B$157*Assumptions!$B$143*Z7/12*(1+Assumptions!$B$16)</f>
        <v/>
      </c>
      <c r="AA48" s="45">
        <f>AA41*Assumptions!$B$157*Assumptions!$B$143*AA7/12*(1+Assumptions!$B$16)</f>
        <v/>
      </c>
      <c r="AB48" s="45">
        <f>AB41*Assumptions!$B$157*Assumptions!$B$143*AB7/12*(1+Assumptions!$B$16)</f>
        <v/>
      </c>
      <c r="AC48" s="45">
        <f>AC41*Assumptions!$B$157*Assumptions!$B$143*AC7/12*(1+Assumptions!$B$16)</f>
        <v/>
      </c>
      <c r="AD48" s="45">
        <f>AD41*Assumptions!$B$157*Assumptions!$B$143*AD7/12*(1+Assumptions!$B$16)</f>
        <v/>
      </c>
      <c r="AE48" s="45">
        <f>AE41*Assumptions!$B$157*Assumptions!$B$143*AE7/12*(1+Assumptions!$B$16)</f>
        <v/>
      </c>
    </row>
    <row r="49">
      <c r="A49" s="6" t="inlineStr">
        <is>
          <t xml:space="preserve">  Stream 1a - Entry fee, SIP</t>
        </is>
      </c>
      <c r="B49" s="23" t="inlineStr">
        <is>
          <t>USD</t>
        </is>
      </c>
      <c r="C49" s="55">
        <f>C33*Assumptions!$B$8</f>
        <v/>
      </c>
      <c r="D49" s="55">
        <f>D33*Assumptions!$B$8</f>
        <v/>
      </c>
      <c r="E49" s="55">
        <f>E33*Assumptions!$B$8</f>
        <v/>
      </c>
      <c r="F49" s="55">
        <f>F33*Assumptions!$B$8</f>
        <v/>
      </c>
      <c r="G49" s="55">
        <f>G33*Assumptions!$B$8</f>
        <v/>
      </c>
      <c r="H49" s="55">
        <f>H33*Assumptions!$B$8</f>
        <v/>
      </c>
      <c r="I49" s="55">
        <f>I33*Assumptions!$B$8</f>
        <v/>
      </c>
      <c r="J49" s="55">
        <f>J33*Assumptions!$B$8</f>
        <v/>
      </c>
      <c r="K49" s="55">
        <f>K33*Assumptions!$B$8</f>
        <v/>
      </c>
      <c r="L49" s="55">
        <f>L33*Assumptions!$B$8</f>
        <v/>
      </c>
      <c r="M49" s="55">
        <f>M33*Assumptions!$B$8</f>
        <v/>
      </c>
      <c r="N49" s="55">
        <f>N33*Assumptions!$B$8</f>
        <v/>
      </c>
      <c r="O49" s="55">
        <f>O33*Assumptions!$B$8</f>
        <v/>
      </c>
      <c r="P49" s="55">
        <f>P33*Assumptions!$B$8</f>
        <v/>
      </c>
      <c r="Q49" s="55">
        <f>Q33*Assumptions!$B$8</f>
        <v/>
      </c>
      <c r="R49" s="55">
        <f>R33*Assumptions!$B$8</f>
        <v/>
      </c>
      <c r="S49" s="55">
        <f>S33*Assumptions!$B$8</f>
        <v/>
      </c>
      <c r="T49" s="55">
        <f>T33*Assumptions!$B$8</f>
        <v/>
      </c>
      <c r="U49" s="55">
        <f>U33*Assumptions!$B$8</f>
        <v/>
      </c>
      <c r="V49" s="55">
        <f>V33*Assumptions!$B$8</f>
        <v/>
      </c>
      <c r="W49" s="55">
        <f>W33*Assumptions!$B$8</f>
        <v/>
      </c>
      <c r="X49" s="55">
        <f>X33*Assumptions!$B$8</f>
        <v/>
      </c>
      <c r="Y49" s="55">
        <f>Y33*Assumptions!$B$8</f>
        <v/>
      </c>
      <c r="Z49" s="55">
        <f>Z33*Assumptions!$B$8</f>
        <v/>
      </c>
      <c r="AA49" s="55">
        <f>AA33*Assumptions!$B$8</f>
        <v/>
      </c>
      <c r="AB49" s="55">
        <f>AB33*Assumptions!$B$8</f>
        <v/>
      </c>
      <c r="AC49" s="55">
        <f>AC33*Assumptions!$B$8</f>
        <v/>
      </c>
      <c r="AD49" s="55">
        <f>AD33*Assumptions!$B$8</f>
        <v/>
      </c>
      <c r="AE49" s="55">
        <f>AE33*Assumptions!$B$8</f>
        <v/>
      </c>
    </row>
    <row r="50">
      <c r="A50" s="6" t="inlineStr">
        <is>
          <t xml:space="preserve">  Stream 1b - Entry fee, SPOT</t>
        </is>
      </c>
      <c r="B50" s="23" t="inlineStr">
        <is>
          <t>USD</t>
        </is>
      </c>
      <c r="C50" s="55">
        <f>C34*Assumptions!$B$8</f>
        <v/>
      </c>
      <c r="D50" s="55">
        <f>D34*Assumptions!$B$8</f>
        <v/>
      </c>
      <c r="E50" s="55">
        <f>E34*Assumptions!$B$8</f>
        <v/>
      </c>
      <c r="F50" s="55">
        <f>F34*Assumptions!$B$8</f>
        <v/>
      </c>
      <c r="G50" s="55">
        <f>G34*Assumptions!$B$8</f>
        <v/>
      </c>
      <c r="H50" s="55">
        <f>H34*Assumptions!$B$8</f>
        <v/>
      </c>
      <c r="I50" s="55">
        <f>I34*Assumptions!$B$8</f>
        <v/>
      </c>
      <c r="J50" s="55">
        <f>J34*Assumptions!$B$8</f>
        <v/>
      </c>
      <c r="K50" s="55">
        <f>K34*Assumptions!$B$8</f>
        <v/>
      </c>
      <c r="L50" s="55">
        <f>L34*Assumptions!$B$8</f>
        <v/>
      </c>
      <c r="M50" s="55">
        <f>M34*Assumptions!$B$8</f>
        <v/>
      </c>
      <c r="N50" s="55">
        <f>N34*Assumptions!$B$8</f>
        <v/>
      </c>
      <c r="O50" s="55">
        <f>O34*Assumptions!$B$8</f>
        <v/>
      </c>
      <c r="P50" s="55">
        <f>P34*Assumptions!$B$8</f>
        <v/>
      </c>
      <c r="Q50" s="55">
        <f>Q34*Assumptions!$B$8</f>
        <v/>
      </c>
      <c r="R50" s="55">
        <f>R34*Assumptions!$B$8</f>
        <v/>
      </c>
      <c r="S50" s="55">
        <f>S34*Assumptions!$B$8</f>
        <v/>
      </c>
      <c r="T50" s="55">
        <f>T34*Assumptions!$B$8</f>
        <v/>
      </c>
      <c r="U50" s="55">
        <f>U34*Assumptions!$B$8</f>
        <v/>
      </c>
      <c r="V50" s="55">
        <f>V34*Assumptions!$B$8</f>
        <v/>
      </c>
      <c r="W50" s="55">
        <f>W34*Assumptions!$B$8</f>
        <v/>
      </c>
      <c r="X50" s="55">
        <f>X34*Assumptions!$B$8</f>
        <v/>
      </c>
      <c r="Y50" s="55">
        <f>Y34*Assumptions!$B$8</f>
        <v/>
      </c>
      <c r="Z50" s="55">
        <f>Z34*Assumptions!$B$8</f>
        <v/>
      </c>
      <c r="AA50" s="55">
        <f>AA34*Assumptions!$B$8</f>
        <v/>
      </c>
      <c r="AB50" s="55">
        <f>AB34*Assumptions!$B$8</f>
        <v/>
      </c>
      <c r="AC50" s="55">
        <f>AC34*Assumptions!$B$8</f>
        <v/>
      </c>
      <c r="AD50" s="55">
        <f>AD34*Assumptions!$B$8</f>
        <v/>
      </c>
      <c r="AE50" s="55">
        <f>AE34*Assumptions!$B$8</f>
        <v/>
      </c>
    </row>
    <row r="51">
      <c r="A51" s="6" t="inlineStr">
        <is>
          <t xml:space="preserve">  Stream 2 - Card interchange</t>
        </is>
      </c>
      <c r="B51" s="23" t="inlineStr">
        <is>
          <t>USD</t>
        </is>
      </c>
      <c r="C51" s="55">
        <f>C46*IF(Assumptions!$B$170=1,MIN(Assumptions!$B$14,1%),Assumptions!$B$14)*(1-Assumptions!$B$141)</f>
        <v/>
      </c>
      <c r="D51" s="55">
        <f>D46*IF(Assumptions!$B$170=1,MIN(Assumptions!$B$14,1%),Assumptions!$B$14)*(1-Assumptions!$B$141)</f>
        <v/>
      </c>
      <c r="E51" s="55">
        <f>E46*IF(Assumptions!$B$170=1,MIN(Assumptions!$B$14,1%),Assumptions!$B$14)*(1-Assumptions!$B$141)</f>
        <v/>
      </c>
      <c r="F51" s="55">
        <f>F46*IF(Assumptions!$B$170=1,MIN(Assumptions!$B$14,1%),Assumptions!$B$14)*(1-Assumptions!$B$141)</f>
        <v/>
      </c>
      <c r="G51" s="55">
        <f>G46*IF(Assumptions!$B$170=1,MIN(Assumptions!$B$14,1%),Assumptions!$B$14)*(1-Assumptions!$B$141)</f>
        <v/>
      </c>
      <c r="H51" s="55">
        <f>H46*IF(Assumptions!$B$170=1,MIN(Assumptions!$B$14,1%),Assumptions!$B$14)*(1-Assumptions!$B$141)</f>
        <v/>
      </c>
      <c r="I51" s="55">
        <f>I46*IF(Assumptions!$B$170=1,MIN(Assumptions!$B$14,1%),Assumptions!$B$14)*(1-Assumptions!$B$141)</f>
        <v/>
      </c>
      <c r="J51" s="55">
        <f>J46*IF(Assumptions!$B$170=1,MIN(Assumptions!$B$14,1%),Assumptions!$B$14)*(1-Assumptions!$B$141)</f>
        <v/>
      </c>
      <c r="K51" s="55">
        <f>K46*IF(Assumptions!$B$170=1,MIN(Assumptions!$B$14,1%),Assumptions!$B$14)*(1-Assumptions!$B$141)</f>
        <v/>
      </c>
      <c r="L51" s="55">
        <f>L46*IF(Assumptions!$B$170=1,MIN(Assumptions!$B$14,1%),Assumptions!$B$14)*(1-Assumptions!$B$141)</f>
        <v/>
      </c>
      <c r="M51" s="55">
        <f>M46*IF(Assumptions!$B$170=1,MIN(Assumptions!$B$14,1%),Assumptions!$B$14)*(1-Assumptions!$B$141)</f>
        <v/>
      </c>
      <c r="N51" s="55">
        <f>N46*IF(Assumptions!$B$170=1,MIN(Assumptions!$B$14,1%),Assumptions!$B$14)*(1-Assumptions!$B$141)</f>
        <v/>
      </c>
      <c r="O51" s="55">
        <f>O46*IF(Assumptions!$B$170=1,MIN(Assumptions!$B$14,1%),Assumptions!$B$14)*(1-Assumptions!$B$141)</f>
        <v/>
      </c>
      <c r="P51" s="55">
        <f>P46*IF(Assumptions!$B$170=1,MIN(Assumptions!$B$14,1%),Assumptions!$B$14)*(1-Assumptions!$B$141)</f>
        <v/>
      </c>
      <c r="Q51" s="55">
        <f>Q46*IF(Assumptions!$B$170=1,MIN(Assumptions!$B$14,1%),Assumptions!$B$14)*(1-Assumptions!$B$141)</f>
        <v/>
      </c>
      <c r="R51" s="55">
        <f>R46*IF(Assumptions!$B$170=1,MIN(Assumptions!$B$14,1%),Assumptions!$B$14)*(1-Assumptions!$B$141)</f>
        <v/>
      </c>
      <c r="S51" s="55">
        <f>S46*IF(Assumptions!$B$170=1,MIN(Assumptions!$B$14,1%),Assumptions!$B$14)*(1-Assumptions!$B$141)</f>
        <v/>
      </c>
      <c r="T51" s="55">
        <f>T46*IF(Assumptions!$B$170=1,MIN(Assumptions!$B$14,1%),Assumptions!$B$14)*(1-Assumptions!$B$141)</f>
        <v/>
      </c>
      <c r="U51" s="55">
        <f>U46*IF(Assumptions!$B$170=1,MIN(Assumptions!$B$14,1%),Assumptions!$B$14)*(1-Assumptions!$B$141)</f>
        <v/>
      </c>
      <c r="V51" s="55">
        <f>V46*IF(Assumptions!$B$170=1,MIN(Assumptions!$B$14,1%),Assumptions!$B$14)*(1-Assumptions!$B$141)</f>
        <v/>
      </c>
      <c r="W51" s="55">
        <f>W46*IF(Assumptions!$B$170=1,MIN(Assumptions!$B$14,1%),Assumptions!$B$14)*(1-Assumptions!$B$141)</f>
        <v/>
      </c>
      <c r="X51" s="55">
        <f>X46*IF(Assumptions!$B$170=1,MIN(Assumptions!$B$14,1%),Assumptions!$B$14)*(1-Assumptions!$B$141)</f>
        <v/>
      </c>
      <c r="Y51" s="55">
        <f>Y46*IF(Assumptions!$B$170=1,MIN(Assumptions!$B$14,1%),Assumptions!$B$14)*(1-Assumptions!$B$141)</f>
        <v/>
      </c>
      <c r="Z51" s="55">
        <f>Z46*IF(Assumptions!$B$170=1,MIN(Assumptions!$B$14,1%),Assumptions!$B$14)*(1-Assumptions!$B$141)</f>
        <v/>
      </c>
      <c r="AA51" s="55">
        <f>AA46*IF(Assumptions!$B$170=1,MIN(Assumptions!$B$14,1%),Assumptions!$B$14)*(1-Assumptions!$B$141)</f>
        <v/>
      </c>
      <c r="AB51" s="55">
        <f>AB46*IF(Assumptions!$B$170=1,MIN(Assumptions!$B$14,1%),Assumptions!$B$14)*(1-Assumptions!$B$141)</f>
        <v/>
      </c>
      <c r="AC51" s="55">
        <f>AC46*IF(Assumptions!$B$170=1,MIN(Assumptions!$B$14,1%),Assumptions!$B$14)*(1-Assumptions!$B$141)</f>
        <v/>
      </c>
      <c r="AD51" s="55">
        <f>AD46*IF(Assumptions!$B$170=1,MIN(Assumptions!$B$14,1%),Assumptions!$B$14)*(1-Assumptions!$B$141)</f>
        <v/>
      </c>
      <c r="AE51" s="55">
        <f>AE46*IF(Assumptions!$B$170=1,MIN(Assumptions!$B$14,1%),Assumptions!$B$14)*(1-Assumptions!$B$141)</f>
        <v/>
      </c>
    </row>
    <row r="52">
      <c r="A52" s="6" t="inlineStr">
        <is>
          <t xml:space="preserve">  Stream 3 - Family plan and Digital Will</t>
        </is>
      </c>
      <c r="B52" s="23" t="inlineStr">
        <is>
          <t>USD</t>
        </is>
      </c>
      <c r="C52" s="55">
        <f>IF(C2&gt;=Assumptions!$B$50,C29*Assumptions!$B$158*Assumptions!$B$25/12*C7,0)</f>
        <v/>
      </c>
      <c r="D52" s="55">
        <f>IF(D2&gt;=Assumptions!$B$50,D29*Assumptions!$B$158*Assumptions!$B$25/12*D7,0)</f>
        <v/>
      </c>
      <c r="E52" s="55">
        <f>IF(E2&gt;=Assumptions!$B$50,E29*Assumptions!$B$158*Assumptions!$B$25/12*E7,0)</f>
        <v/>
      </c>
      <c r="F52" s="55">
        <f>IF(F2&gt;=Assumptions!$B$50,F29*Assumptions!$B$158*Assumptions!$B$25/12*F7,0)</f>
        <v/>
      </c>
      <c r="G52" s="55">
        <f>IF(G2&gt;=Assumptions!$B$50,G29*Assumptions!$B$158*Assumptions!$B$25/12*G7,0)</f>
        <v/>
      </c>
      <c r="H52" s="55">
        <f>IF(H2&gt;=Assumptions!$B$50,H29*Assumptions!$B$158*Assumptions!$B$25/12*H7,0)</f>
        <v/>
      </c>
      <c r="I52" s="55">
        <f>IF(I2&gt;=Assumptions!$B$50,I29*Assumptions!$B$158*Assumptions!$B$25/12*I7,0)</f>
        <v/>
      </c>
      <c r="J52" s="55">
        <f>IF(J2&gt;=Assumptions!$B$50,J29*Assumptions!$B$158*Assumptions!$B$25/12*J7,0)</f>
        <v/>
      </c>
      <c r="K52" s="55">
        <f>IF(K2&gt;=Assumptions!$B$50,K29*Assumptions!$B$158*Assumptions!$B$25/12*K7,0)</f>
        <v/>
      </c>
      <c r="L52" s="55">
        <f>IF(L2&gt;=Assumptions!$B$50,L29*Assumptions!$B$158*Assumptions!$B$25/12*L7,0)</f>
        <v/>
      </c>
      <c r="M52" s="55">
        <f>IF(M2&gt;=Assumptions!$B$50,M29*Assumptions!$B$158*Assumptions!$B$25/12*M7,0)</f>
        <v/>
      </c>
      <c r="N52" s="55">
        <f>IF(N2&gt;=Assumptions!$B$50,N29*Assumptions!$B$158*Assumptions!$B$25/12*N7,0)</f>
        <v/>
      </c>
      <c r="O52" s="55">
        <f>IF(O2&gt;=Assumptions!$B$50,O29*Assumptions!$B$158*Assumptions!$B$25/12*O7,0)</f>
        <v/>
      </c>
      <c r="P52" s="55">
        <f>IF(P2&gt;=Assumptions!$B$50,P29*Assumptions!$B$158*Assumptions!$B$25/12*P7,0)</f>
        <v/>
      </c>
      <c r="Q52" s="55">
        <f>IF(Q2&gt;=Assumptions!$B$50,Q29*Assumptions!$B$158*Assumptions!$B$25/12*Q7,0)</f>
        <v/>
      </c>
      <c r="R52" s="55">
        <f>IF(R2&gt;=Assumptions!$B$50,R29*Assumptions!$B$158*Assumptions!$B$25/12*R7,0)</f>
        <v/>
      </c>
      <c r="S52" s="55">
        <f>IF(S2&gt;=Assumptions!$B$50,S29*Assumptions!$B$158*Assumptions!$B$25/12*S7,0)</f>
        <v/>
      </c>
      <c r="T52" s="55">
        <f>IF(T2&gt;=Assumptions!$B$50,T29*Assumptions!$B$158*Assumptions!$B$25/12*T7,0)</f>
        <v/>
      </c>
      <c r="U52" s="55">
        <f>IF(U2&gt;=Assumptions!$B$50,U29*Assumptions!$B$158*Assumptions!$B$25/12*U7,0)</f>
        <v/>
      </c>
      <c r="V52" s="55">
        <f>IF(V2&gt;=Assumptions!$B$50,V29*Assumptions!$B$158*Assumptions!$B$25/12*V7,0)</f>
        <v/>
      </c>
      <c r="W52" s="55">
        <f>IF(W2&gt;=Assumptions!$B$50,W29*Assumptions!$B$158*Assumptions!$B$25/12*W7,0)</f>
        <v/>
      </c>
      <c r="X52" s="55">
        <f>IF(X2&gt;=Assumptions!$B$50,X29*Assumptions!$B$158*Assumptions!$B$25/12*X7,0)</f>
        <v/>
      </c>
      <c r="Y52" s="55">
        <f>IF(Y2&gt;=Assumptions!$B$50,Y29*Assumptions!$B$158*Assumptions!$B$25/12*Y7,0)</f>
        <v/>
      </c>
      <c r="Z52" s="55">
        <f>IF(Z2&gt;=Assumptions!$B$50,Z29*Assumptions!$B$158*Assumptions!$B$25/12*Z7,0)</f>
        <v/>
      </c>
      <c r="AA52" s="55">
        <f>IF(AA2&gt;=Assumptions!$B$50,AA29*Assumptions!$B$158*Assumptions!$B$25/12*AA7,0)</f>
        <v/>
      </c>
      <c r="AB52" s="55">
        <f>IF(AB2&gt;=Assumptions!$B$50,AB29*Assumptions!$B$158*Assumptions!$B$25/12*AB7,0)</f>
        <v/>
      </c>
      <c r="AC52" s="55">
        <f>IF(AC2&gt;=Assumptions!$B$50,AC29*Assumptions!$B$158*Assumptions!$B$25/12*AC7,0)</f>
        <v/>
      </c>
      <c r="AD52" s="55">
        <f>IF(AD2&gt;=Assumptions!$B$50,AD29*Assumptions!$B$158*Assumptions!$B$25/12*AD7,0)</f>
        <v/>
      </c>
      <c r="AE52" s="55">
        <f>IF(AE2&gt;=Assumptions!$B$50,AE29*Assumptions!$B$158*Assumptions!$B$25/12*AE7,0)</f>
        <v/>
      </c>
    </row>
    <row r="53">
      <c r="A53" s="6" t="inlineStr">
        <is>
          <t xml:space="preserve">  Stream 4 - Cardholder fees (FX, ATM, events)</t>
        </is>
      </c>
      <c r="B53" s="23" t="inlineStr">
        <is>
          <t>USD</t>
        </is>
      </c>
      <c r="C53" s="55">
        <f>IF(C2&gt;=Assumptions!$B$52,C46*C17*Assumptions!$B$17+C41*(Assumptions!$B$147*MAX(0,Assumptions!$B$151-Assumptions!$B$18)+Assumptions!$B$148*MAX(0,Assumptions!$B$152-Assumptions!$B$18)+Assumptions!$B$149*MAX(0,Assumptions!$B$153-Assumptions!$B$18)+Assumptions!$B$150*MAX(0,Assumptions!$B$154-Assumptions!$B$18))*Assumptions!$B$19/Assumptions!$B$7*C7+C41*(Assumptions!$B$145*Assumptions!$B$20+Assumptions!$B$146*Assumptions!$B$21)/12/Assumptions!$B$7*C7,0)</f>
        <v/>
      </c>
      <c r="D53" s="55">
        <f>IF(D2&gt;=Assumptions!$B$52,D46*D17*Assumptions!$B$17+D41*(Assumptions!$B$147*MAX(0,Assumptions!$B$151-Assumptions!$B$18)+Assumptions!$B$148*MAX(0,Assumptions!$B$152-Assumptions!$B$18)+Assumptions!$B$149*MAX(0,Assumptions!$B$153-Assumptions!$B$18)+Assumptions!$B$150*MAX(0,Assumptions!$B$154-Assumptions!$B$18))*Assumptions!$B$19/Assumptions!$B$7*D7+D41*(Assumptions!$B$145*Assumptions!$B$20+Assumptions!$B$146*Assumptions!$B$21)/12/Assumptions!$B$7*D7,0)</f>
        <v/>
      </c>
      <c r="E53" s="55">
        <f>IF(E2&gt;=Assumptions!$B$52,E46*E17*Assumptions!$B$17+E41*(Assumptions!$B$147*MAX(0,Assumptions!$B$151-Assumptions!$B$18)+Assumptions!$B$148*MAX(0,Assumptions!$B$152-Assumptions!$B$18)+Assumptions!$B$149*MAX(0,Assumptions!$B$153-Assumptions!$B$18)+Assumptions!$B$150*MAX(0,Assumptions!$B$154-Assumptions!$B$18))*Assumptions!$B$19/Assumptions!$B$7*E7+E41*(Assumptions!$B$145*Assumptions!$B$20+Assumptions!$B$146*Assumptions!$B$21)/12/Assumptions!$B$7*E7,0)</f>
        <v/>
      </c>
      <c r="F53" s="55">
        <f>IF(F2&gt;=Assumptions!$B$52,F46*F17*Assumptions!$B$17+F41*(Assumptions!$B$147*MAX(0,Assumptions!$B$151-Assumptions!$B$18)+Assumptions!$B$148*MAX(0,Assumptions!$B$152-Assumptions!$B$18)+Assumptions!$B$149*MAX(0,Assumptions!$B$153-Assumptions!$B$18)+Assumptions!$B$150*MAX(0,Assumptions!$B$154-Assumptions!$B$18))*Assumptions!$B$19/Assumptions!$B$7*F7+F41*(Assumptions!$B$145*Assumptions!$B$20+Assumptions!$B$146*Assumptions!$B$21)/12/Assumptions!$B$7*F7,0)</f>
        <v/>
      </c>
      <c r="G53" s="55">
        <f>IF(G2&gt;=Assumptions!$B$52,G46*G17*Assumptions!$B$17+G41*(Assumptions!$B$147*MAX(0,Assumptions!$B$151-Assumptions!$B$18)+Assumptions!$B$148*MAX(0,Assumptions!$B$152-Assumptions!$B$18)+Assumptions!$B$149*MAX(0,Assumptions!$B$153-Assumptions!$B$18)+Assumptions!$B$150*MAX(0,Assumptions!$B$154-Assumptions!$B$18))*Assumptions!$B$19/Assumptions!$B$7*G7+G41*(Assumptions!$B$145*Assumptions!$B$20+Assumptions!$B$146*Assumptions!$B$21)/12/Assumptions!$B$7*G7,0)</f>
        <v/>
      </c>
      <c r="H53" s="55">
        <f>IF(H2&gt;=Assumptions!$B$52,H46*H17*Assumptions!$B$17+H41*(Assumptions!$B$147*MAX(0,Assumptions!$B$151-Assumptions!$B$18)+Assumptions!$B$148*MAX(0,Assumptions!$B$152-Assumptions!$B$18)+Assumptions!$B$149*MAX(0,Assumptions!$B$153-Assumptions!$B$18)+Assumptions!$B$150*MAX(0,Assumptions!$B$154-Assumptions!$B$18))*Assumptions!$B$19/Assumptions!$B$7*H7+H41*(Assumptions!$B$145*Assumptions!$B$20+Assumptions!$B$146*Assumptions!$B$21)/12/Assumptions!$B$7*H7,0)</f>
        <v/>
      </c>
      <c r="I53" s="55">
        <f>IF(I2&gt;=Assumptions!$B$52,I46*I17*Assumptions!$B$17+I41*(Assumptions!$B$147*MAX(0,Assumptions!$B$151-Assumptions!$B$18)+Assumptions!$B$148*MAX(0,Assumptions!$B$152-Assumptions!$B$18)+Assumptions!$B$149*MAX(0,Assumptions!$B$153-Assumptions!$B$18)+Assumptions!$B$150*MAX(0,Assumptions!$B$154-Assumptions!$B$18))*Assumptions!$B$19/Assumptions!$B$7*I7+I41*(Assumptions!$B$145*Assumptions!$B$20+Assumptions!$B$146*Assumptions!$B$21)/12/Assumptions!$B$7*I7,0)</f>
        <v/>
      </c>
      <c r="J53" s="55">
        <f>IF(J2&gt;=Assumptions!$B$52,J46*J17*Assumptions!$B$17+J41*(Assumptions!$B$147*MAX(0,Assumptions!$B$151-Assumptions!$B$18)+Assumptions!$B$148*MAX(0,Assumptions!$B$152-Assumptions!$B$18)+Assumptions!$B$149*MAX(0,Assumptions!$B$153-Assumptions!$B$18)+Assumptions!$B$150*MAX(0,Assumptions!$B$154-Assumptions!$B$18))*Assumptions!$B$19/Assumptions!$B$7*J7+J41*(Assumptions!$B$145*Assumptions!$B$20+Assumptions!$B$146*Assumptions!$B$21)/12/Assumptions!$B$7*J7,0)</f>
        <v/>
      </c>
      <c r="K53" s="55">
        <f>IF(K2&gt;=Assumptions!$B$52,K46*K17*Assumptions!$B$17+K41*(Assumptions!$B$147*MAX(0,Assumptions!$B$151-Assumptions!$B$18)+Assumptions!$B$148*MAX(0,Assumptions!$B$152-Assumptions!$B$18)+Assumptions!$B$149*MAX(0,Assumptions!$B$153-Assumptions!$B$18)+Assumptions!$B$150*MAX(0,Assumptions!$B$154-Assumptions!$B$18))*Assumptions!$B$19/Assumptions!$B$7*K7+K41*(Assumptions!$B$145*Assumptions!$B$20+Assumptions!$B$146*Assumptions!$B$21)/12/Assumptions!$B$7*K7,0)</f>
        <v/>
      </c>
      <c r="L53" s="55">
        <f>IF(L2&gt;=Assumptions!$B$52,L46*L17*Assumptions!$B$17+L41*(Assumptions!$B$147*MAX(0,Assumptions!$B$151-Assumptions!$B$18)+Assumptions!$B$148*MAX(0,Assumptions!$B$152-Assumptions!$B$18)+Assumptions!$B$149*MAX(0,Assumptions!$B$153-Assumptions!$B$18)+Assumptions!$B$150*MAX(0,Assumptions!$B$154-Assumptions!$B$18))*Assumptions!$B$19/Assumptions!$B$7*L7+L41*(Assumptions!$B$145*Assumptions!$B$20+Assumptions!$B$146*Assumptions!$B$21)/12/Assumptions!$B$7*L7,0)</f>
        <v/>
      </c>
      <c r="M53" s="55">
        <f>IF(M2&gt;=Assumptions!$B$52,M46*M17*Assumptions!$B$17+M41*(Assumptions!$B$147*MAX(0,Assumptions!$B$151-Assumptions!$B$18)+Assumptions!$B$148*MAX(0,Assumptions!$B$152-Assumptions!$B$18)+Assumptions!$B$149*MAX(0,Assumptions!$B$153-Assumptions!$B$18)+Assumptions!$B$150*MAX(0,Assumptions!$B$154-Assumptions!$B$18))*Assumptions!$B$19/Assumptions!$B$7*M7+M41*(Assumptions!$B$145*Assumptions!$B$20+Assumptions!$B$146*Assumptions!$B$21)/12/Assumptions!$B$7*M7,0)</f>
        <v/>
      </c>
      <c r="N53" s="55">
        <f>IF(N2&gt;=Assumptions!$B$52,N46*N17*Assumptions!$B$17+N41*(Assumptions!$B$147*MAX(0,Assumptions!$B$151-Assumptions!$B$18)+Assumptions!$B$148*MAX(0,Assumptions!$B$152-Assumptions!$B$18)+Assumptions!$B$149*MAX(0,Assumptions!$B$153-Assumptions!$B$18)+Assumptions!$B$150*MAX(0,Assumptions!$B$154-Assumptions!$B$18))*Assumptions!$B$19/Assumptions!$B$7*N7+N41*(Assumptions!$B$145*Assumptions!$B$20+Assumptions!$B$146*Assumptions!$B$21)/12/Assumptions!$B$7*N7,0)</f>
        <v/>
      </c>
      <c r="O53" s="55">
        <f>IF(O2&gt;=Assumptions!$B$52,O46*O17*Assumptions!$B$17+O41*(Assumptions!$B$147*MAX(0,Assumptions!$B$151-Assumptions!$B$18)+Assumptions!$B$148*MAX(0,Assumptions!$B$152-Assumptions!$B$18)+Assumptions!$B$149*MAX(0,Assumptions!$B$153-Assumptions!$B$18)+Assumptions!$B$150*MAX(0,Assumptions!$B$154-Assumptions!$B$18))*Assumptions!$B$19/Assumptions!$B$7*O7+O41*(Assumptions!$B$145*Assumptions!$B$20+Assumptions!$B$146*Assumptions!$B$21)/12/Assumptions!$B$7*O7,0)</f>
        <v/>
      </c>
      <c r="P53" s="55">
        <f>IF(P2&gt;=Assumptions!$B$52,P46*P17*Assumptions!$B$17+P41*(Assumptions!$B$147*MAX(0,Assumptions!$B$151-Assumptions!$B$18)+Assumptions!$B$148*MAX(0,Assumptions!$B$152-Assumptions!$B$18)+Assumptions!$B$149*MAX(0,Assumptions!$B$153-Assumptions!$B$18)+Assumptions!$B$150*MAX(0,Assumptions!$B$154-Assumptions!$B$18))*Assumptions!$B$19/Assumptions!$B$7*P7+P41*(Assumptions!$B$145*Assumptions!$B$20+Assumptions!$B$146*Assumptions!$B$21)/12/Assumptions!$B$7*P7,0)</f>
        <v/>
      </c>
      <c r="Q53" s="55">
        <f>IF(Q2&gt;=Assumptions!$B$52,Q46*Q17*Assumptions!$B$17+Q41*(Assumptions!$B$147*MAX(0,Assumptions!$B$151-Assumptions!$B$18)+Assumptions!$B$148*MAX(0,Assumptions!$B$152-Assumptions!$B$18)+Assumptions!$B$149*MAX(0,Assumptions!$B$153-Assumptions!$B$18)+Assumptions!$B$150*MAX(0,Assumptions!$B$154-Assumptions!$B$18))*Assumptions!$B$19/Assumptions!$B$7*Q7+Q41*(Assumptions!$B$145*Assumptions!$B$20+Assumptions!$B$146*Assumptions!$B$21)/12/Assumptions!$B$7*Q7,0)</f>
        <v/>
      </c>
      <c r="R53" s="55">
        <f>IF(R2&gt;=Assumptions!$B$52,R46*R17*Assumptions!$B$17+R41*(Assumptions!$B$147*MAX(0,Assumptions!$B$151-Assumptions!$B$18)+Assumptions!$B$148*MAX(0,Assumptions!$B$152-Assumptions!$B$18)+Assumptions!$B$149*MAX(0,Assumptions!$B$153-Assumptions!$B$18)+Assumptions!$B$150*MAX(0,Assumptions!$B$154-Assumptions!$B$18))*Assumptions!$B$19/Assumptions!$B$7*R7+R41*(Assumptions!$B$145*Assumptions!$B$20+Assumptions!$B$146*Assumptions!$B$21)/12/Assumptions!$B$7*R7,0)</f>
        <v/>
      </c>
      <c r="S53" s="55">
        <f>IF(S2&gt;=Assumptions!$B$52,S46*S17*Assumptions!$B$17+S41*(Assumptions!$B$147*MAX(0,Assumptions!$B$151-Assumptions!$B$18)+Assumptions!$B$148*MAX(0,Assumptions!$B$152-Assumptions!$B$18)+Assumptions!$B$149*MAX(0,Assumptions!$B$153-Assumptions!$B$18)+Assumptions!$B$150*MAX(0,Assumptions!$B$154-Assumptions!$B$18))*Assumptions!$B$19/Assumptions!$B$7*S7+S41*(Assumptions!$B$145*Assumptions!$B$20+Assumptions!$B$146*Assumptions!$B$21)/12/Assumptions!$B$7*S7,0)</f>
        <v/>
      </c>
      <c r="T53" s="55">
        <f>IF(T2&gt;=Assumptions!$B$52,T46*T17*Assumptions!$B$17+T41*(Assumptions!$B$147*MAX(0,Assumptions!$B$151-Assumptions!$B$18)+Assumptions!$B$148*MAX(0,Assumptions!$B$152-Assumptions!$B$18)+Assumptions!$B$149*MAX(0,Assumptions!$B$153-Assumptions!$B$18)+Assumptions!$B$150*MAX(0,Assumptions!$B$154-Assumptions!$B$18))*Assumptions!$B$19/Assumptions!$B$7*T7+T41*(Assumptions!$B$145*Assumptions!$B$20+Assumptions!$B$146*Assumptions!$B$21)/12/Assumptions!$B$7*T7,0)</f>
        <v/>
      </c>
      <c r="U53" s="55">
        <f>IF(U2&gt;=Assumptions!$B$52,U46*U17*Assumptions!$B$17+U41*(Assumptions!$B$147*MAX(0,Assumptions!$B$151-Assumptions!$B$18)+Assumptions!$B$148*MAX(0,Assumptions!$B$152-Assumptions!$B$18)+Assumptions!$B$149*MAX(0,Assumptions!$B$153-Assumptions!$B$18)+Assumptions!$B$150*MAX(0,Assumptions!$B$154-Assumptions!$B$18))*Assumptions!$B$19/Assumptions!$B$7*U7+U41*(Assumptions!$B$145*Assumptions!$B$20+Assumptions!$B$146*Assumptions!$B$21)/12/Assumptions!$B$7*U7,0)</f>
        <v/>
      </c>
      <c r="V53" s="55">
        <f>IF(V2&gt;=Assumptions!$B$52,V46*V17*Assumptions!$B$17+V41*(Assumptions!$B$147*MAX(0,Assumptions!$B$151-Assumptions!$B$18)+Assumptions!$B$148*MAX(0,Assumptions!$B$152-Assumptions!$B$18)+Assumptions!$B$149*MAX(0,Assumptions!$B$153-Assumptions!$B$18)+Assumptions!$B$150*MAX(0,Assumptions!$B$154-Assumptions!$B$18))*Assumptions!$B$19/Assumptions!$B$7*V7+V41*(Assumptions!$B$145*Assumptions!$B$20+Assumptions!$B$146*Assumptions!$B$21)/12/Assumptions!$B$7*V7,0)</f>
        <v/>
      </c>
      <c r="W53" s="55">
        <f>IF(W2&gt;=Assumptions!$B$52,W46*W17*Assumptions!$B$17+W41*(Assumptions!$B$147*MAX(0,Assumptions!$B$151-Assumptions!$B$18)+Assumptions!$B$148*MAX(0,Assumptions!$B$152-Assumptions!$B$18)+Assumptions!$B$149*MAX(0,Assumptions!$B$153-Assumptions!$B$18)+Assumptions!$B$150*MAX(0,Assumptions!$B$154-Assumptions!$B$18))*Assumptions!$B$19/Assumptions!$B$7*W7+W41*(Assumptions!$B$145*Assumptions!$B$20+Assumptions!$B$146*Assumptions!$B$21)/12/Assumptions!$B$7*W7,0)</f>
        <v/>
      </c>
      <c r="X53" s="55">
        <f>IF(X2&gt;=Assumptions!$B$52,X46*X17*Assumptions!$B$17+X41*(Assumptions!$B$147*MAX(0,Assumptions!$B$151-Assumptions!$B$18)+Assumptions!$B$148*MAX(0,Assumptions!$B$152-Assumptions!$B$18)+Assumptions!$B$149*MAX(0,Assumptions!$B$153-Assumptions!$B$18)+Assumptions!$B$150*MAX(0,Assumptions!$B$154-Assumptions!$B$18))*Assumptions!$B$19/Assumptions!$B$7*X7+X41*(Assumptions!$B$145*Assumptions!$B$20+Assumptions!$B$146*Assumptions!$B$21)/12/Assumptions!$B$7*X7,0)</f>
        <v/>
      </c>
      <c r="Y53" s="55">
        <f>IF(Y2&gt;=Assumptions!$B$52,Y46*Y17*Assumptions!$B$17+Y41*(Assumptions!$B$147*MAX(0,Assumptions!$B$151-Assumptions!$B$18)+Assumptions!$B$148*MAX(0,Assumptions!$B$152-Assumptions!$B$18)+Assumptions!$B$149*MAX(0,Assumptions!$B$153-Assumptions!$B$18)+Assumptions!$B$150*MAX(0,Assumptions!$B$154-Assumptions!$B$18))*Assumptions!$B$19/Assumptions!$B$7*Y7+Y41*(Assumptions!$B$145*Assumptions!$B$20+Assumptions!$B$146*Assumptions!$B$21)/12/Assumptions!$B$7*Y7,0)</f>
        <v/>
      </c>
      <c r="Z53" s="55">
        <f>IF(Z2&gt;=Assumptions!$B$52,Z46*Z17*Assumptions!$B$17+Z41*(Assumptions!$B$147*MAX(0,Assumptions!$B$151-Assumptions!$B$18)+Assumptions!$B$148*MAX(0,Assumptions!$B$152-Assumptions!$B$18)+Assumptions!$B$149*MAX(0,Assumptions!$B$153-Assumptions!$B$18)+Assumptions!$B$150*MAX(0,Assumptions!$B$154-Assumptions!$B$18))*Assumptions!$B$19/Assumptions!$B$7*Z7+Z41*(Assumptions!$B$145*Assumptions!$B$20+Assumptions!$B$146*Assumptions!$B$21)/12/Assumptions!$B$7*Z7,0)</f>
        <v/>
      </c>
      <c r="AA53" s="55">
        <f>IF(AA2&gt;=Assumptions!$B$52,AA46*AA17*Assumptions!$B$17+AA41*(Assumptions!$B$147*MAX(0,Assumptions!$B$151-Assumptions!$B$18)+Assumptions!$B$148*MAX(0,Assumptions!$B$152-Assumptions!$B$18)+Assumptions!$B$149*MAX(0,Assumptions!$B$153-Assumptions!$B$18)+Assumptions!$B$150*MAX(0,Assumptions!$B$154-Assumptions!$B$18))*Assumptions!$B$19/Assumptions!$B$7*AA7+AA41*(Assumptions!$B$145*Assumptions!$B$20+Assumptions!$B$146*Assumptions!$B$21)/12/Assumptions!$B$7*AA7,0)</f>
        <v/>
      </c>
      <c r="AB53" s="55">
        <f>IF(AB2&gt;=Assumptions!$B$52,AB46*AB17*Assumptions!$B$17+AB41*(Assumptions!$B$147*MAX(0,Assumptions!$B$151-Assumptions!$B$18)+Assumptions!$B$148*MAX(0,Assumptions!$B$152-Assumptions!$B$18)+Assumptions!$B$149*MAX(0,Assumptions!$B$153-Assumptions!$B$18)+Assumptions!$B$150*MAX(0,Assumptions!$B$154-Assumptions!$B$18))*Assumptions!$B$19/Assumptions!$B$7*AB7+AB41*(Assumptions!$B$145*Assumptions!$B$20+Assumptions!$B$146*Assumptions!$B$21)/12/Assumptions!$B$7*AB7,0)</f>
        <v/>
      </c>
      <c r="AC53" s="55">
        <f>IF(AC2&gt;=Assumptions!$B$52,AC46*AC17*Assumptions!$B$17+AC41*(Assumptions!$B$147*MAX(0,Assumptions!$B$151-Assumptions!$B$18)+Assumptions!$B$148*MAX(0,Assumptions!$B$152-Assumptions!$B$18)+Assumptions!$B$149*MAX(0,Assumptions!$B$153-Assumptions!$B$18)+Assumptions!$B$150*MAX(0,Assumptions!$B$154-Assumptions!$B$18))*Assumptions!$B$19/Assumptions!$B$7*AC7+AC41*(Assumptions!$B$145*Assumptions!$B$20+Assumptions!$B$146*Assumptions!$B$21)/12/Assumptions!$B$7*AC7,0)</f>
        <v/>
      </c>
      <c r="AD53" s="55">
        <f>IF(AD2&gt;=Assumptions!$B$52,AD46*AD17*Assumptions!$B$17+AD41*(Assumptions!$B$147*MAX(0,Assumptions!$B$151-Assumptions!$B$18)+Assumptions!$B$148*MAX(0,Assumptions!$B$152-Assumptions!$B$18)+Assumptions!$B$149*MAX(0,Assumptions!$B$153-Assumptions!$B$18)+Assumptions!$B$150*MAX(0,Assumptions!$B$154-Assumptions!$B$18))*Assumptions!$B$19/Assumptions!$B$7*AD7+AD41*(Assumptions!$B$145*Assumptions!$B$20+Assumptions!$B$146*Assumptions!$B$21)/12/Assumptions!$B$7*AD7,0)</f>
        <v/>
      </c>
      <c r="AE53" s="55">
        <f>IF(AE2&gt;=Assumptions!$B$52,AE46*AE17*Assumptions!$B$17+AE41*(Assumptions!$B$147*MAX(0,Assumptions!$B$151-Assumptions!$B$18)+Assumptions!$B$148*MAX(0,Assumptions!$B$152-Assumptions!$B$18)+Assumptions!$B$149*MAX(0,Assumptions!$B$153-Assumptions!$B$18)+Assumptions!$B$150*MAX(0,Assumptions!$B$154-Assumptions!$B$18))*Assumptions!$B$19/Assumptions!$B$7*AE7+AE41*(Assumptions!$B$145*Assumptions!$B$20+Assumptions!$B$146*Assumptions!$B$21)/12/Assumptions!$B$7*AE7,0)</f>
        <v/>
      </c>
    </row>
    <row r="54">
      <c r="A54" s="6" t="inlineStr">
        <is>
          <t xml:space="preserve">  Average drawn balance outstanding</t>
        </is>
      </c>
      <c r="B54" s="23" t="inlineStr">
        <is>
          <t>USD</t>
        </is>
      </c>
      <c r="C54" s="55">
        <f>IF(C2&gt;=Assumptions!$B$53,C41*C42*(1-Assumptions!$B$170)*Assumptions!$B$155*Assumptions!$B$156,0)</f>
        <v/>
      </c>
      <c r="D54" s="55">
        <f>IF(D2&gt;=Assumptions!$B$53,D41*D42*(1-Assumptions!$B$170)*Assumptions!$B$155*Assumptions!$B$156,0)</f>
        <v/>
      </c>
      <c r="E54" s="55">
        <f>IF(E2&gt;=Assumptions!$B$53,E41*E42*(1-Assumptions!$B$170)*Assumptions!$B$155*Assumptions!$B$156,0)</f>
        <v/>
      </c>
      <c r="F54" s="55">
        <f>IF(F2&gt;=Assumptions!$B$53,F41*F42*(1-Assumptions!$B$170)*Assumptions!$B$155*Assumptions!$B$156,0)</f>
        <v/>
      </c>
      <c r="G54" s="55">
        <f>IF(G2&gt;=Assumptions!$B$53,G41*G42*(1-Assumptions!$B$170)*Assumptions!$B$155*Assumptions!$B$156,0)</f>
        <v/>
      </c>
      <c r="H54" s="55">
        <f>IF(H2&gt;=Assumptions!$B$53,H41*H42*(1-Assumptions!$B$170)*Assumptions!$B$155*Assumptions!$B$156,0)</f>
        <v/>
      </c>
      <c r="I54" s="55">
        <f>IF(I2&gt;=Assumptions!$B$53,I41*I42*(1-Assumptions!$B$170)*Assumptions!$B$155*Assumptions!$B$156,0)</f>
        <v/>
      </c>
      <c r="J54" s="55">
        <f>IF(J2&gt;=Assumptions!$B$53,J41*J42*(1-Assumptions!$B$170)*Assumptions!$B$155*Assumptions!$B$156,0)</f>
        <v/>
      </c>
      <c r="K54" s="55">
        <f>IF(K2&gt;=Assumptions!$B$53,K41*K42*(1-Assumptions!$B$170)*Assumptions!$B$155*Assumptions!$B$156,0)</f>
        <v/>
      </c>
      <c r="L54" s="55">
        <f>IF(L2&gt;=Assumptions!$B$53,L41*L42*(1-Assumptions!$B$170)*Assumptions!$B$155*Assumptions!$B$156,0)</f>
        <v/>
      </c>
      <c r="M54" s="55">
        <f>IF(M2&gt;=Assumptions!$B$53,M41*M42*(1-Assumptions!$B$170)*Assumptions!$B$155*Assumptions!$B$156,0)</f>
        <v/>
      </c>
      <c r="N54" s="55">
        <f>IF(N2&gt;=Assumptions!$B$53,N41*N42*(1-Assumptions!$B$170)*Assumptions!$B$155*Assumptions!$B$156,0)</f>
        <v/>
      </c>
      <c r="O54" s="55">
        <f>IF(O2&gt;=Assumptions!$B$53,O41*O42*(1-Assumptions!$B$170)*Assumptions!$B$155*Assumptions!$B$156,0)</f>
        <v/>
      </c>
      <c r="P54" s="55">
        <f>IF(P2&gt;=Assumptions!$B$53,P41*P42*(1-Assumptions!$B$170)*Assumptions!$B$155*Assumptions!$B$156,0)</f>
        <v/>
      </c>
      <c r="Q54" s="55">
        <f>IF(Q2&gt;=Assumptions!$B$53,Q41*Q42*(1-Assumptions!$B$170)*Assumptions!$B$155*Assumptions!$B$156,0)</f>
        <v/>
      </c>
      <c r="R54" s="55">
        <f>IF(R2&gt;=Assumptions!$B$53,R41*R42*(1-Assumptions!$B$170)*Assumptions!$B$155*Assumptions!$B$156,0)</f>
        <v/>
      </c>
      <c r="S54" s="55">
        <f>IF(S2&gt;=Assumptions!$B$53,S41*S42*(1-Assumptions!$B$170)*Assumptions!$B$155*Assumptions!$B$156,0)</f>
        <v/>
      </c>
      <c r="T54" s="55">
        <f>IF(T2&gt;=Assumptions!$B$53,T41*T42*(1-Assumptions!$B$170)*Assumptions!$B$155*Assumptions!$B$156,0)</f>
        <v/>
      </c>
      <c r="U54" s="55">
        <f>IF(U2&gt;=Assumptions!$B$53,U41*U42*(1-Assumptions!$B$170)*Assumptions!$B$155*Assumptions!$B$156,0)</f>
        <v/>
      </c>
      <c r="V54" s="55">
        <f>IF(V2&gt;=Assumptions!$B$53,V41*V42*(1-Assumptions!$B$170)*Assumptions!$B$155*Assumptions!$B$156,0)</f>
        <v/>
      </c>
      <c r="W54" s="55">
        <f>IF(W2&gt;=Assumptions!$B$53,W41*W42*(1-Assumptions!$B$170)*Assumptions!$B$155*Assumptions!$B$156,0)</f>
        <v/>
      </c>
      <c r="X54" s="55">
        <f>IF(X2&gt;=Assumptions!$B$53,X41*X42*(1-Assumptions!$B$170)*Assumptions!$B$155*Assumptions!$B$156,0)</f>
        <v/>
      </c>
      <c r="Y54" s="55">
        <f>IF(Y2&gt;=Assumptions!$B$53,Y41*Y42*(1-Assumptions!$B$170)*Assumptions!$B$155*Assumptions!$B$156,0)</f>
        <v/>
      </c>
      <c r="Z54" s="55">
        <f>IF(Z2&gt;=Assumptions!$B$53,Z41*Z42*(1-Assumptions!$B$170)*Assumptions!$B$155*Assumptions!$B$156,0)</f>
        <v/>
      </c>
      <c r="AA54" s="55">
        <f>IF(AA2&gt;=Assumptions!$B$53,AA41*AA42*(1-Assumptions!$B$170)*Assumptions!$B$155*Assumptions!$B$156,0)</f>
        <v/>
      </c>
      <c r="AB54" s="55">
        <f>IF(AB2&gt;=Assumptions!$B$53,AB41*AB42*(1-Assumptions!$B$170)*Assumptions!$B$155*Assumptions!$B$156,0)</f>
        <v/>
      </c>
      <c r="AC54" s="55">
        <f>IF(AC2&gt;=Assumptions!$B$53,AC41*AC42*(1-Assumptions!$B$170)*Assumptions!$B$155*Assumptions!$B$156,0)</f>
        <v/>
      </c>
      <c r="AD54" s="55">
        <f>IF(AD2&gt;=Assumptions!$B$53,AD41*AD42*(1-Assumptions!$B$170)*Assumptions!$B$155*Assumptions!$B$156,0)</f>
        <v/>
      </c>
      <c r="AE54" s="55">
        <f>IF(AE2&gt;=Assumptions!$B$53,AE41*AE42*(1-Assumptions!$B$170)*Assumptions!$B$155*Assumptions!$B$156,0)</f>
        <v/>
      </c>
    </row>
    <row r="55">
      <c r="A55" s="6" t="inlineStr">
        <is>
          <t xml:space="preserve">  Stream 5 - Lending revenue share</t>
        </is>
      </c>
      <c r="B55" s="23" t="inlineStr">
        <is>
          <t>USD</t>
        </is>
      </c>
      <c r="C55" s="55">
        <f>IF(C2&gt;=Assumptions!$B$53,(C54*Assumptions!$B$29*Assumptions!$B$30+C41*C43*(1-Assumptions!$B$170)*Assumptions!$B$27*Assumptions!$B$28)*C7/12,0)</f>
        <v/>
      </c>
      <c r="D55" s="55">
        <f>IF(D2&gt;=Assumptions!$B$53,(D54*Assumptions!$B$29*Assumptions!$B$30+D41*D43*(1-Assumptions!$B$170)*Assumptions!$B$27*Assumptions!$B$28)*D7/12,0)</f>
        <v/>
      </c>
      <c r="E55" s="55">
        <f>IF(E2&gt;=Assumptions!$B$53,(E54*Assumptions!$B$29*Assumptions!$B$30+E41*E43*(1-Assumptions!$B$170)*Assumptions!$B$27*Assumptions!$B$28)*E7/12,0)</f>
        <v/>
      </c>
      <c r="F55" s="55">
        <f>IF(F2&gt;=Assumptions!$B$53,(F54*Assumptions!$B$29*Assumptions!$B$30+F41*F43*(1-Assumptions!$B$170)*Assumptions!$B$27*Assumptions!$B$28)*F7/12,0)</f>
        <v/>
      </c>
      <c r="G55" s="55">
        <f>IF(G2&gt;=Assumptions!$B$53,(G54*Assumptions!$B$29*Assumptions!$B$30+G41*G43*(1-Assumptions!$B$170)*Assumptions!$B$27*Assumptions!$B$28)*G7/12,0)</f>
        <v/>
      </c>
      <c r="H55" s="55">
        <f>IF(H2&gt;=Assumptions!$B$53,(H54*Assumptions!$B$29*Assumptions!$B$30+H41*H43*(1-Assumptions!$B$170)*Assumptions!$B$27*Assumptions!$B$28)*H7/12,0)</f>
        <v/>
      </c>
      <c r="I55" s="55">
        <f>IF(I2&gt;=Assumptions!$B$53,(I54*Assumptions!$B$29*Assumptions!$B$30+I41*I43*(1-Assumptions!$B$170)*Assumptions!$B$27*Assumptions!$B$28)*I7/12,0)</f>
        <v/>
      </c>
      <c r="J55" s="55">
        <f>IF(J2&gt;=Assumptions!$B$53,(J54*Assumptions!$B$29*Assumptions!$B$30+J41*J43*(1-Assumptions!$B$170)*Assumptions!$B$27*Assumptions!$B$28)*J7/12,0)</f>
        <v/>
      </c>
      <c r="K55" s="55">
        <f>IF(K2&gt;=Assumptions!$B$53,(K54*Assumptions!$B$29*Assumptions!$B$30+K41*K43*(1-Assumptions!$B$170)*Assumptions!$B$27*Assumptions!$B$28)*K7/12,0)</f>
        <v/>
      </c>
      <c r="L55" s="55">
        <f>IF(L2&gt;=Assumptions!$B$53,(L54*Assumptions!$B$29*Assumptions!$B$30+L41*L43*(1-Assumptions!$B$170)*Assumptions!$B$27*Assumptions!$B$28)*L7/12,0)</f>
        <v/>
      </c>
      <c r="M55" s="55">
        <f>IF(M2&gt;=Assumptions!$B$53,(M54*Assumptions!$B$29*Assumptions!$B$30+M41*M43*(1-Assumptions!$B$170)*Assumptions!$B$27*Assumptions!$B$28)*M7/12,0)</f>
        <v/>
      </c>
      <c r="N55" s="55">
        <f>IF(N2&gt;=Assumptions!$B$53,(N54*Assumptions!$B$29*Assumptions!$B$30+N41*N43*(1-Assumptions!$B$170)*Assumptions!$B$27*Assumptions!$B$28)*N7/12,0)</f>
        <v/>
      </c>
      <c r="O55" s="55">
        <f>IF(O2&gt;=Assumptions!$B$53,(O54*Assumptions!$B$29*Assumptions!$B$30+O41*O43*(1-Assumptions!$B$170)*Assumptions!$B$27*Assumptions!$B$28)*O7/12,0)</f>
        <v/>
      </c>
      <c r="P55" s="55">
        <f>IF(P2&gt;=Assumptions!$B$53,(P54*Assumptions!$B$29*Assumptions!$B$30+P41*P43*(1-Assumptions!$B$170)*Assumptions!$B$27*Assumptions!$B$28)*P7/12,0)</f>
        <v/>
      </c>
      <c r="Q55" s="55">
        <f>IF(Q2&gt;=Assumptions!$B$53,(Q54*Assumptions!$B$29*Assumptions!$B$30+Q41*Q43*(1-Assumptions!$B$170)*Assumptions!$B$27*Assumptions!$B$28)*Q7/12,0)</f>
        <v/>
      </c>
      <c r="R55" s="55">
        <f>IF(R2&gt;=Assumptions!$B$53,(R54*Assumptions!$B$29*Assumptions!$B$30+R41*R43*(1-Assumptions!$B$170)*Assumptions!$B$27*Assumptions!$B$28)*R7/12,0)</f>
        <v/>
      </c>
      <c r="S55" s="55">
        <f>IF(S2&gt;=Assumptions!$B$53,(S54*Assumptions!$B$29*Assumptions!$B$30+S41*S43*(1-Assumptions!$B$170)*Assumptions!$B$27*Assumptions!$B$28)*S7/12,0)</f>
        <v/>
      </c>
      <c r="T55" s="55">
        <f>IF(T2&gt;=Assumptions!$B$53,(T54*Assumptions!$B$29*Assumptions!$B$30+T41*T43*(1-Assumptions!$B$170)*Assumptions!$B$27*Assumptions!$B$28)*T7/12,0)</f>
        <v/>
      </c>
      <c r="U55" s="55">
        <f>IF(U2&gt;=Assumptions!$B$53,(U54*Assumptions!$B$29*Assumptions!$B$30+U41*U43*(1-Assumptions!$B$170)*Assumptions!$B$27*Assumptions!$B$28)*U7/12,0)</f>
        <v/>
      </c>
      <c r="V55" s="55">
        <f>IF(V2&gt;=Assumptions!$B$53,(V54*Assumptions!$B$29*Assumptions!$B$30+V41*V43*(1-Assumptions!$B$170)*Assumptions!$B$27*Assumptions!$B$28)*V7/12,0)</f>
        <v/>
      </c>
      <c r="W55" s="55">
        <f>IF(W2&gt;=Assumptions!$B$53,(W54*Assumptions!$B$29*Assumptions!$B$30+W41*W43*(1-Assumptions!$B$170)*Assumptions!$B$27*Assumptions!$B$28)*W7/12,0)</f>
        <v/>
      </c>
      <c r="X55" s="55">
        <f>IF(X2&gt;=Assumptions!$B$53,(X54*Assumptions!$B$29*Assumptions!$B$30+X41*X43*(1-Assumptions!$B$170)*Assumptions!$B$27*Assumptions!$B$28)*X7/12,0)</f>
        <v/>
      </c>
      <c r="Y55" s="55">
        <f>IF(Y2&gt;=Assumptions!$B$53,(Y54*Assumptions!$B$29*Assumptions!$B$30+Y41*Y43*(1-Assumptions!$B$170)*Assumptions!$B$27*Assumptions!$B$28)*Y7/12,0)</f>
        <v/>
      </c>
      <c r="Z55" s="55">
        <f>IF(Z2&gt;=Assumptions!$B$53,(Z54*Assumptions!$B$29*Assumptions!$B$30+Z41*Z43*(1-Assumptions!$B$170)*Assumptions!$B$27*Assumptions!$B$28)*Z7/12,0)</f>
        <v/>
      </c>
      <c r="AA55" s="55">
        <f>IF(AA2&gt;=Assumptions!$B$53,(AA54*Assumptions!$B$29*Assumptions!$B$30+AA41*AA43*(1-Assumptions!$B$170)*Assumptions!$B$27*Assumptions!$B$28)*AA7/12,0)</f>
        <v/>
      </c>
      <c r="AB55" s="55">
        <f>IF(AB2&gt;=Assumptions!$B$53,(AB54*Assumptions!$B$29*Assumptions!$B$30+AB41*AB43*(1-Assumptions!$B$170)*Assumptions!$B$27*Assumptions!$B$28)*AB7/12,0)</f>
        <v/>
      </c>
      <c r="AC55" s="55">
        <f>IF(AC2&gt;=Assumptions!$B$53,(AC54*Assumptions!$B$29*Assumptions!$B$30+AC41*AC43*(1-Assumptions!$B$170)*Assumptions!$B$27*Assumptions!$B$28)*AC7/12,0)</f>
        <v/>
      </c>
      <c r="AD55" s="55">
        <f>IF(AD2&gt;=Assumptions!$B$53,(AD54*Assumptions!$B$29*Assumptions!$B$30+AD41*AD43*(1-Assumptions!$B$170)*Assumptions!$B$27*Assumptions!$B$28)*AD7/12,0)</f>
        <v/>
      </c>
      <c r="AE55" s="55">
        <f>IF(AE2&gt;=Assumptions!$B$53,(AE54*Assumptions!$B$29*Assumptions!$B$30+AE41*AE43*(1-Assumptions!$B$170)*Assumptions!$B$27*Assumptions!$B$28)*AE7/12,0)</f>
        <v/>
      </c>
    </row>
    <row r="56">
      <c r="A56" s="6" t="inlineStr">
        <is>
          <t xml:space="preserve">  Redemption events (memo - drives cost, not revenue)</t>
        </is>
      </c>
      <c r="B56" s="23" t="inlineStr">
        <is>
          <t>events</t>
        </is>
      </c>
      <c r="C56" s="45">
        <f>IF(C2&gt;=Assumptions!$B$49,(C29+C31*Assumptions!$B$137)*Assumptions!$B$136*C7/12,0)</f>
        <v/>
      </c>
      <c r="D56" s="45">
        <f>IF(D2&gt;=Assumptions!$B$49,(D29+D31*Assumptions!$B$137)*Assumptions!$B$136*D7/12,0)</f>
        <v/>
      </c>
      <c r="E56" s="45">
        <f>IF(E2&gt;=Assumptions!$B$49,(E29+E31*Assumptions!$B$137)*Assumptions!$B$136*E7/12,0)</f>
        <v/>
      </c>
      <c r="F56" s="45">
        <f>IF(F2&gt;=Assumptions!$B$49,(F29+F31*Assumptions!$B$137)*Assumptions!$B$136*F7/12,0)</f>
        <v/>
      </c>
      <c r="G56" s="45">
        <f>IF(G2&gt;=Assumptions!$B$49,(G29+G31*Assumptions!$B$137)*Assumptions!$B$136*G7/12,0)</f>
        <v/>
      </c>
      <c r="H56" s="45">
        <f>IF(H2&gt;=Assumptions!$B$49,(H29+H31*Assumptions!$B$137)*Assumptions!$B$136*H7/12,0)</f>
        <v/>
      </c>
      <c r="I56" s="45">
        <f>IF(I2&gt;=Assumptions!$B$49,(I29+I31*Assumptions!$B$137)*Assumptions!$B$136*I7/12,0)</f>
        <v/>
      </c>
      <c r="J56" s="45">
        <f>IF(J2&gt;=Assumptions!$B$49,(J29+J31*Assumptions!$B$137)*Assumptions!$B$136*J7/12,0)</f>
        <v/>
      </c>
      <c r="K56" s="45">
        <f>IF(K2&gt;=Assumptions!$B$49,(K29+K31*Assumptions!$B$137)*Assumptions!$B$136*K7/12,0)</f>
        <v/>
      </c>
      <c r="L56" s="45">
        <f>IF(L2&gt;=Assumptions!$B$49,(L29+L31*Assumptions!$B$137)*Assumptions!$B$136*L7/12,0)</f>
        <v/>
      </c>
      <c r="M56" s="45">
        <f>IF(M2&gt;=Assumptions!$B$49,(M29+M31*Assumptions!$B$137)*Assumptions!$B$136*M7/12,0)</f>
        <v/>
      </c>
      <c r="N56" s="45">
        <f>IF(N2&gt;=Assumptions!$B$49,(N29+N31*Assumptions!$B$137)*Assumptions!$B$136*N7/12,0)</f>
        <v/>
      </c>
      <c r="O56" s="45">
        <f>IF(O2&gt;=Assumptions!$B$49,(O29+O31*Assumptions!$B$137)*Assumptions!$B$136*O7/12,0)</f>
        <v/>
      </c>
      <c r="P56" s="45">
        <f>IF(P2&gt;=Assumptions!$B$49,(P29+P31*Assumptions!$B$137)*Assumptions!$B$136*P7/12,0)</f>
        <v/>
      </c>
      <c r="Q56" s="45">
        <f>IF(Q2&gt;=Assumptions!$B$49,(Q29+Q31*Assumptions!$B$137)*Assumptions!$B$136*Q7/12,0)</f>
        <v/>
      </c>
      <c r="R56" s="45">
        <f>IF(R2&gt;=Assumptions!$B$49,(R29+R31*Assumptions!$B$137)*Assumptions!$B$136*R7/12,0)</f>
        <v/>
      </c>
      <c r="S56" s="45">
        <f>IF(S2&gt;=Assumptions!$B$49,(S29+S31*Assumptions!$B$137)*Assumptions!$B$136*S7/12,0)</f>
        <v/>
      </c>
      <c r="T56" s="45">
        <f>IF(T2&gt;=Assumptions!$B$49,(T29+T31*Assumptions!$B$137)*Assumptions!$B$136*T7/12,0)</f>
        <v/>
      </c>
      <c r="U56" s="45">
        <f>IF(U2&gt;=Assumptions!$B$49,(U29+U31*Assumptions!$B$137)*Assumptions!$B$136*U7/12,0)</f>
        <v/>
      </c>
      <c r="V56" s="45">
        <f>IF(V2&gt;=Assumptions!$B$49,(V29+V31*Assumptions!$B$137)*Assumptions!$B$136*V7/12,0)</f>
        <v/>
      </c>
      <c r="W56" s="45">
        <f>IF(W2&gt;=Assumptions!$B$49,(W29+W31*Assumptions!$B$137)*Assumptions!$B$136*W7/12,0)</f>
        <v/>
      </c>
      <c r="X56" s="45">
        <f>IF(X2&gt;=Assumptions!$B$49,(X29+X31*Assumptions!$B$137)*Assumptions!$B$136*X7/12,0)</f>
        <v/>
      </c>
      <c r="Y56" s="45">
        <f>IF(Y2&gt;=Assumptions!$B$49,(Y29+Y31*Assumptions!$B$137)*Assumptions!$B$136*Y7/12,0)</f>
        <v/>
      </c>
      <c r="Z56" s="45">
        <f>IF(Z2&gt;=Assumptions!$B$49,(Z29+Z31*Assumptions!$B$137)*Assumptions!$B$136*Z7/12,0)</f>
        <v/>
      </c>
      <c r="AA56" s="45">
        <f>IF(AA2&gt;=Assumptions!$B$49,(AA29+AA31*Assumptions!$B$137)*Assumptions!$B$136*AA7/12,0)</f>
        <v/>
      </c>
      <c r="AB56" s="45">
        <f>IF(AB2&gt;=Assumptions!$B$49,(AB29+AB31*Assumptions!$B$137)*Assumptions!$B$136*AB7/12,0)</f>
        <v/>
      </c>
      <c r="AC56" s="45">
        <f>IF(AC2&gt;=Assumptions!$B$49,(AC29+AC31*Assumptions!$B$137)*Assumptions!$B$136*AC7/12,0)</f>
        <v/>
      </c>
      <c r="AD56" s="45">
        <f>IF(AD2&gt;=Assumptions!$B$49,(AD29+AD31*Assumptions!$B$137)*Assumptions!$B$136*AD7/12,0)</f>
        <v/>
      </c>
      <c r="AE56" s="45">
        <f>IF(AE2&gt;=Assumptions!$B$49,(AE29+AE31*Assumptions!$B$137)*Assumptions!$B$136*AE7/12,0)</f>
        <v/>
      </c>
    </row>
    <row r="57">
      <c r="A57" s="3" t="inlineStr">
        <is>
          <t xml:space="preserve">  SUBTOTAL - UAE</t>
        </is>
      </c>
      <c r="B57" s="23" t="inlineStr">
        <is>
          <t>USD</t>
        </is>
      </c>
      <c r="C57" s="57">
        <f>C49+C50+C51+C52+C53+C55</f>
        <v/>
      </c>
      <c r="D57" s="57">
        <f>D49+D50+D51+D52+D53+D55</f>
        <v/>
      </c>
      <c r="E57" s="57">
        <f>E49+E50+E51+E52+E53+E55</f>
        <v/>
      </c>
      <c r="F57" s="57">
        <f>F49+F50+F51+F52+F53+F55</f>
        <v/>
      </c>
      <c r="G57" s="57">
        <f>G49+G50+G51+G52+G53+G55</f>
        <v/>
      </c>
      <c r="H57" s="57">
        <f>H49+H50+H51+H52+H53+H55</f>
        <v/>
      </c>
      <c r="I57" s="57">
        <f>I49+I50+I51+I52+I53+I55</f>
        <v/>
      </c>
      <c r="J57" s="57">
        <f>J49+J50+J51+J52+J53+J55</f>
        <v/>
      </c>
      <c r="K57" s="57">
        <f>K49+K50+K51+K52+K53+K55</f>
        <v/>
      </c>
      <c r="L57" s="57">
        <f>L49+L50+L51+L52+L53+L55</f>
        <v/>
      </c>
      <c r="M57" s="57">
        <f>M49+M50+M51+M52+M53+M55</f>
        <v/>
      </c>
      <c r="N57" s="57">
        <f>N49+N50+N51+N52+N53+N55</f>
        <v/>
      </c>
      <c r="O57" s="57">
        <f>O49+O50+O51+O52+O53+O55</f>
        <v/>
      </c>
      <c r="P57" s="57">
        <f>P49+P50+P51+P52+P53+P55</f>
        <v/>
      </c>
      <c r="Q57" s="57">
        <f>Q49+Q50+Q51+Q52+Q53+Q55</f>
        <v/>
      </c>
      <c r="R57" s="57">
        <f>R49+R50+R51+R52+R53+R55</f>
        <v/>
      </c>
      <c r="S57" s="57">
        <f>S49+S50+S51+S52+S53+S55</f>
        <v/>
      </c>
      <c r="T57" s="57">
        <f>T49+T50+T51+T52+T53+T55</f>
        <v/>
      </c>
      <c r="U57" s="57">
        <f>U49+U50+U51+U52+U53+U55</f>
        <v/>
      </c>
      <c r="V57" s="57">
        <f>V49+V50+V51+V52+V53+V55</f>
        <v/>
      </c>
      <c r="W57" s="57">
        <f>W49+W50+W51+W52+W53+W55</f>
        <v/>
      </c>
      <c r="X57" s="57">
        <f>X49+X50+X51+X52+X53+X55</f>
        <v/>
      </c>
      <c r="Y57" s="57">
        <f>Y49+Y50+Y51+Y52+Y53+Y55</f>
        <v/>
      </c>
      <c r="Z57" s="57">
        <f>Z49+Z50+Z51+Z52+Z53+Z55</f>
        <v/>
      </c>
      <c r="AA57" s="57">
        <f>AA49+AA50+AA51+AA52+AA53+AA55</f>
        <v/>
      </c>
      <c r="AB57" s="57">
        <f>AB49+AB50+AB51+AB52+AB53+AB55</f>
        <v/>
      </c>
      <c r="AC57" s="57">
        <f>AC49+AC50+AC51+AC52+AC53+AC55</f>
        <v/>
      </c>
      <c r="AD57" s="57">
        <f>AD49+AD50+AD51+AD52+AD53+AD55</f>
        <v/>
      </c>
      <c r="AE57" s="57">
        <f>AE49+AE50+AE51+AE52+AE53+AE55</f>
        <v/>
      </c>
    </row>
    <row r="59">
      <c r="A59" s="46" t="inlineStr">
        <is>
          <t>REGION: OMAN AND BAHRAIN</t>
        </is>
      </c>
      <c r="B59" s="47" t="n"/>
      <c r="C59" s="47" t="n"/>
      <c r="D59" s="47" t="n"/>
      <c r="E59" s="47" t="n"/>
      <c r="F59" s="47" t="n"/>
      <c r="G59" s="47" t="n"/>
      <c r="H59" s="47" t="n"/>
      <c r="I59" s="47" t="n"/>
      <c r="J59" s="47" t="n"/>
      <c r="K59" s="47" t="n"/>
      <c r="L59" s="47" t="n"/>
      <c r="M59" s="47" t="n"/>
      <c r="N59" s="47" t="n"/>
      <c r="O59" s="47" t="n"/>
      <c r="P59" s="47" t="n"/>
      <c r="Q59" s="47" t="n"/>
      <c r="R59" s="47" t="n"/>
      <c r="S59" s="47" t="n"/>
      <c r="T59" s="47" t="n"/>
      <c r="U59" s="47" t="n"/>
      <c r="V59" s="47" t="n"/>
      <c r="W59" s="47" t="n"/>
      <c r="X59" s="47" t="n"/>
      <c r="Y59" s="47" t="n"/>
      <c r="Z59" s="47" t="n"/>
      <c r="AA59" s="47" t="n"/>
      <c r="AB59" s="47" t="n"/>
      <c r="AC59" s="47" t="n"/>
      <c r="AD59" s="47" t="n"/>
      <c r="AE59" s="47" t="n"/>
    </row>
    <row r="60">
      <c r="A60" s="6" t="inlineStr">
        <is>
          <t xml:space="preserve">  Direct-driven (this market's budget at its own CAC)</t>
        </is>
      </c>
      <c r="B60" s="23" t="inlineStr">
        <is>
          <t>accounts</t>
        </is>
      </c>
      <c r="C60" s="53">
        <f>INDEX(Assumptions!$B$100:$B$106,C5)*Assumptions!$B$127/12*C7/Assumptions!$B$124*(1+Assumptions!$B$131)*IF(C2&gt;=Assumptions!$B$56,1,0)</f>
        <v/>
      </c>
      <c r="D60" s="53">
        <f>INDEX(Assumptions!$B$100:$B$106,D5)*Assumptions!$B$127/12*D7/Assumptions!$B$124*(1+Assumptions!$B$131)*IF(D2&gt;=Assumptions!$B$56,1,0)</f>
        <v/>
      </c>
      <c r="E60" s="53">
        <f>INDEX(Assumptions!$B$100:$B$106,E5)*Assumptions!$B$127/12*E7/Assumptions!$B$124*(1+Assumptions!$B$131)*IF(E2&gt;=Assumptions!$B$56,1,0)</f>
        <v/>
      </c>
      <c r="F60" s="53">
        <f>INDEX(Assumptions!$B$100:$B$106,F5)*Assumptions!$B$127/12*F7/Assumptions!$B$124*(1+Assumptions!$B$131)*IF(F2&gt;=Assumptions!$B$56,1,0)</f>
        <v/>
      </c>
      <c r="G60" s="53">
        <f>INDEX(Assumptions!$B$100:$B$106,G5)*Assumptions!$B$127/12*G7/Assumptions!$B$124*(1+Assumptions!$B$131)*IF(G2&gt;=Assumptions!$B$56,1,0)</f>
        <v/>
      </c>
      <c r="H60" s="53">
        <f>INDEX(Assumptions!$B$100:$B$106,H5)*Assumptions!$B$127/12*H7/Assumptions!$B$124*(1+Assumptions!$B$131)*IF(H2&gt;=Assumptions!$B$56,1,0)</f>
        <v/>
      </c>
      <c r="I60" s="53">
        <f>INDEX(Assumptions!$B$100:$B$106,I5)*Assumptions!$B$127/12*I7/Assumptions!$B$124*(1+Assumptions!$B$131)*IF(I2&gt;=Assumptions!$B$56,1,0)</f>
        <v/>
      </c>
      <c r="J60" s="53">
        <f>INDEX(Assumptions!$B$100:$B$106,J5)*Assumptions!$B$127/12*J7/Assumptions!$B$124*(1+Assumptions!$B$131)*IF(J2&gt;=Assumptions!$B$56,1,0)</f>
        <v/>
      </c>
      <c r="K60" s="53">
        <f>INDEX(Assumptions!$B$100:$B$106,K5)*Assumptions!$B$127/12*K7/Assumptions!$B$124*(1+Assumptions!$B$131)*IF(K2&gt;=Assumptions!$B$56,1,0)</f>
        <v/>
      </c>
      <c r="L60" s="53">
        <f>INDEX(Assumptions!$B$100:$B$106,L5)*Assumptions!$B$127/12*L7/Assumptions!$B$124*(1+Assumptions!$B$131)*IF(L2&gt;=Assumptions!$B$56,1,0)</f>
        <v/>
      </c>
      <c r="M60" s="53">
        <f>INDEX(Assumptions!$B$100:$B$106,M5)*Assumptions!$B$127/12*M7/Assumptions!$B$124*(1+Assumptions!$B$131)*IF(M2&gt;=Assumptions!$B$56,1,0)</f>
        <v/>
      </c>
      <c r="N60" s="53">
        <f>INDEX(Assumptions!$B$100:$B$106,N5)*Assumptions!$B$127/12*N7/Assumptions!$B$124*(1+Assumptions!$B$131)*IF(N2&gt;=Assumptions!$B$56,1,0)</f>
        <v/>
      </c>
      <c r="O60" s="53">
        <f>INDEX(Assumptions!$B$100:$B$106,O5)*Assumptions!$B$127/12*O7/Assumptions!$B$124*(1+Assumptions!$B$131)*IF(O2&gt;=Assumptions!$B$56,1,0)</f>
        <v/>
      </c>
      <c r="P60" s="53">
        <f>INDEX(Assumptions!$B$100:$B$106,P5)*Assumptions!$B$127/12*P7/Assumptions!$B$124*(1+Assumptions!$B$131)*IF(P2&gt;=Assumptions!$B$56,1,0)</f>
        <v/>
      </c>
      <c r="Q60" s="53">
        <f>INDEX(Assumptions!$B$100:$B$106,Q5)*Assumptions!$B$127/12*Q7/Assumptions!$B$124*(1+Assumptions!$B$131)*IF(Q2&gt;=Assumptions!$B$56,1,0)</f>
        <v/>
      </c>
      <c r="R60" s="53">
        <f>INDEX(Assumptions!$B$100:$B$106,R5)*Assumptions!$B$127/12*R7/Assumptions!$B$124*(1+Assumptions!$B$131)*IF(R2&gt;=Assumptions!$B$56,1,0)</f>
        <v/>
      </c>
      <c r="S60" s="53">
        <f>INDEX(Assumptions!$B$100:$B$106,S5)*Assumptions!$B$127/12*S7/Assumptions!$B$124*(1+Assumptions!$B$131)*IF(S2&gt;=Assumptions!$B$56,1,0)</f>
        <v/>
      </c>
      <c r="T60" s="53">
        <f>INDEX(Assumptions!$B$100:$B$106,T5)*Assumptions!$B$127/12*T7/Assumptions!$B$124*(1+Assumptions!$B$131)*IF(T2&gt;=Assumptions!$B$56,1,0)</f>
        <v/>
      </c>
      <c r="U60" s="53">
        <f>INDEX(Assumptions!$B$100:$B$106,U5)*Assumptions!$B$127/12*U7/Assumptions!$B$124*(1+Assumptions!$B$131)*IF(U2&gt;=Assumptions!$B$56,1,0)</f>
        <v/>
      </c>
      <c r="V60" s="53">
        <f>INDEX(Assumptions!$B$100:$B$106,V5)*Assumptions!$B$127/12*V7/Assumptions!$B$124*(1+Assumptions!$B$131)*IF(V2&gt;=Assumptions!$B$56,1,0)</f>
        <v/>
      </c>
      <c r="W60" s="53">
        <f>INDEX(Assumptions!$B$100:$B$106,W5)*Assumptions!$B$127/12*W7/Assumptions!$B$124*(1+Assumptions!$B$131)*IF(W2&gt;=Assumptions!$B$56,1,0)</f>
        <v/>
      </c>
      <c r="X60" s="53">
        <f>INDEX(Assumptions!$B$100:$B$106,X5)*Assumptions!$B$127/12*X7/Assumptions!$B$124*(1+Assumptions!$B$131)*IF(X2&gt;=Assumptions!$B$56,1,0)</f>
        <v/>
      </c>
      <c r="Y60" s="53">
        <f>INDEX(Assumptions!$B$100:$B$106,Y5)*Assumptions!$B$127/12*Y7/Assumptions!$B$124*(1+Assumptions!$B$131)*IF(Y2&gt;=Assumptions!$B$56,1,0)</f>
        <v/>
      </c>
      <c r="Z60" s="53">
        <f>INDEX(Assumptions!$B$100:$B$106,Z5)*Assumptions!$B$127/12*Z7/Assumptions!$B$124*(1+Assumptions!$B$131)*IF(Z2&gt;=Assumptions!$B$56,1,0)</f>
        <v/>
      </c>
      <c r="AA60" s="53">
        <f>INDEX(Assumptions!$B$100:$B$106,AA5)*Assumptions!$B$127/12*AA7/Assumptions!$B$124*(1+Assumptions!$B$131)*IF(AA2&gt;=Assumptions!$B$56,1,0)</f>
        <v/>
      </c>
      <c r="AB60" s="53">
        <f>INDEX(Assumptions!$B$100:$B$106,AB5)*Assumptions!$B$127/12*AB7/Assumptions!$B$124*(1+Assumptions!$B$131)*IF(AB2&gt;=Assumptions!$B$56,1,0)</f>
        <v/>
      </c>
      <c r="AC60" s="53">
        <f>INDEX(Assumptions!$B$100:$B$106,AC5)*Assumptions!$B$127/12*AC7/Assumptions!$B$124*(1+Assumptions!$B$131)*IF(AC2&gt;=Assumptions!$B$56,1,0)</f>
        <v/>
      </c>
      <c r="AD60" s="53">
        <f>INDEX(Assumptions!$B$100:$B$106,AD5)*Assumptions!$B$127/12*AD7/Assumptions!$B$124*(1+Assumptions!$B$131)*IF(AD2&gt;=Assumptions!$B$56,1,0)</f>
        <v/>
      </c>
      <c r="AE60" s="53">
        <f>INDEX(Assumptions!$B$100:$B$106,AE5)*Assumptions!$B$127/12*AE7/Assumptions!$B$124*(1+Assumptions!$B$131)*IF(AE2&gt;=Assumptions!$B$56,1,0)</f>
        <v/>
      </c>
    </row>
    <row r="61">
      <c r="A61" s="6" t="inlineStr">
        <is>
          <t xml:space="preserve">  Referral-driven (from this market's own base)</t>
        </is>
      </c>
      <c r="B61" s="23" t="inlineStr">
        <is>
          <t>accounts</t>
        </is>
      </c>
      <c r="C61" s="54" t="n">
        <v>0</v>
      </c>
      <c r="D61" s="54">
        <f>IF(D2&gt;=Assumptions!$B$55,C65*Assumptions!$B$129/12*Assumptions!$B$130*D7,0)</f>
        <v/>
      </c>
      <c r="E61" s="54">
        <f>IF(E2&gt;=Assumptions!$B$55,D65*Assumptions!$B$129/12*Assumptions!$B$130*E7,0)</f>
        <v/>
      </c>
      <c r="F61" s="54">
        <f>IF(F2&gt;=Assumptions!$B$55,E65*Assumptions!$B$129/12*Assumptions!$B$130*F7,0)</f>
        <v/>
      </c>
      <c r="G61" s="54">
        <f>IF(G2&gt;=Assumptions!$B$55,F65*Assumptions!$B$129/12*Assumptions!$B$130*G7,0)</f>
        <v/>
      </c>
      <c r="H61" s="54">
        <f>IF(H2&gt;=Assumptions!$B$55,G65*Assumptions!$B$129/12*Assumptions!$B$130*H7,0)</f>
        <v/>
      </c>
      <c r="I61" s="54">
        <f>IF(I2&gt;=Assumptions!$B$55,H65*Assumptions!$B$129/12*Assumptions!$B$130*I7,0)</f>
        <v/>
      </c>
      <c r="J61" s="54">
        <f>IF(J2&gt;=Assumptions!$B$55,I65*Assumptions!$B$129/12*Assumptions!$B$130*J7,0)</f>
        <v/>
      </c>
      <c r="K61" s="54">
        <f>IF(K2&gt;=Assumptions!$B$55,J65*Assumptions!$B$129/12*Assumptions!$B$130*K7,0)</f>
        <v/>
      </c>
      <c r="L61" s="54">
        <f>IF(L2&gt;=Assumptions!$B$55,K65*Assumptions!$B$129/12*Assumptions!$B$130*L7,0)</f>
        <v/>
      </c>
      <c r="M61" s="54">
        <f>IF(M2&gt;=Assumptions!$B$55,L65*Assumptions!$B$129/12*Assumptions!$B$130*M7,0)</f>
        <v/>
      </c>
      <c r="N61" s="54">
        <f>IF(N2&gt;=Assumptions!$B$55,M65*Assumptions!$B$129/12*Assumptions!$B$130*N7,0)</f>
        <v/>
      </c>
      <c r="O61" s="54">
        <f>IF(O2&gt;=Assumptions!$B$55,N65*Assumptions!$B$129/12*Assumptions!$B$130*O7,0)</f>
        <v/>
      </c>
      <c r="P61" s="54">
        <f>IF(P2&gt;=Assumptions!$B$55,O65*Assumptions!$B$129/12*Assumptions!$B$130*P7,0)</f>
        <v/>
      </c>
      <c r="Q61" s="54">
        <f>IF(Q2&gt;=Assumptions!$B$55,P65*Assumptions!$B$129/12*Assumptions!$B$130*Q7,0)</f>
        <v/>
      </c>
      <c r="R61" s="54">
        <f>IF(R2&gt;=Assumptions!$B$55,Q65*Assumptions!$B$129/12*Assumptions!$B$130*R7,0)</f>
        <v/>
      </c>
      <c r="S61" s="54">
        <f>IF(S2&gt;=Assumptions!$B$55,R65*Assumptions!$B$129/12*Assumptions!$B$130*S7,0)</f>
        <v/>
      </c>
      <c r="T61" s="54">
        <f>IF(T2&gt;=Assumptions!$B$55,S65*Assumptions!$B$129/12*Assumptions!$B$130*T7,0)</f>
        <v/>
      </c>
      <c r="U61" s="54">
        <f>IF(U2&gt;=Assumptions!$B$55,T65*Assumptions!$B$129/12*Assumptions!$B$130*U7,0)</f>
        <v/>
      </c>
      <c r="V61" s="54">
        <f>IF(V2&gt;=Assumptions!$B$55,U65*Assumptions!$B$129/12*Assumptions!$B$130*V7,0)</f>
        <v/>
      </c>
      <c r="W61" s="54">
        <f>IF(W2&gt;=Assumptions!$B$55,V65*Assumptions!$B$129/12*Assumptions!$B$130*W7,0)</f>
        <v/>
      </c>
      <c r="X61" s="54">
        <f>IF(X2&gt;=Assumptions!$B$55,W65*Assumptions!$B$129/12*Assumptions!$B$130*X7,0)</f>
        <v/>
      </c>
      <c r="Y61" s="54">
        <f>IF(Y2&gt;=Assumptions!$B$55,X65*Assumptions!$B$129/12*Assumptions!$B$130*Y7,0)</f>
        <v/>
      </c>
      <c r="Z61" s="54">
        <f>IF(Z2&gt;=Assumptions!$B$55,Y65*Assumptions!$B$129/12*Assumptions!$B$130*Z7,0)</f>
        <v/>
      </c>
      <c r="AA61" s="54">
        <f>IF(AA2&gt;=Assumptions!$B$55,Z65*Assumptions!$B$129/12*Assumptions!$B$130*AA7,0)</f>
        <v/>
      </c>
      <c r="AB61" s="54">
        <f>IF(AB2&gt;=Assumptions!$B$55,AA65*Assumptions!$B$129/12*Assumptions!$B$130*AB7,0)</f>
        <v/>
      </c>
      <c r="AC61" s="54">
        <f>IF(AC2&gt;=Assumptions!$B$55,AB65*Assumptions!$B$129/12*Assumptions!$B$130*AC7,0)</f>
        <v/>
      </c>
      <c r="AD61" s="54">
        <f>IF(AD2&gt;=Assumptions!$B$55,AC65*Assumptions!$B$129/12*Assumptions!$B$130*AD7,0)</f>
        <v/>
      </c>
      <c r="AE61" s="54">
        <f>IF(AE2&gt;=Assumptions!$B$55,AD65*Assumptions!$B$129/12*Assumptions!$B$130*AE7,0)</f>
        <v/>
      </c>
    </row>
    <row r="62">
      <c r="A62" s="6" t="inlineStr">
        <is>
          <t xml:space="preserve">  Raw demand</t>
        </is>
      </c>
      <c r="B62" s="23" t="inlineStr">
        <is>
          <t>accounts</t>
        </is>
      </c>
      <c r="C62" s="54">
        <f>C60+C61+IF(C21=0,0,C20*Assumptions!$B$115/C21*IF(C2&gt;=Assumptions!$B$56,1,0))</f>
        <v/>
      </c>
      <c r="D62" s="54">
        <f>D60+D61+IF(D21=0,0,D20*Assumptions!$B$115/D21*IF(D2&gt;=Assumptions!$B$56,1,0))</f>
        <v/>
      </c>
      <c r="E62" s="54">
        <f>E60+E61+IF(E21=0,0,E20*Assumptions!$B$115/E21*IF(E2&gt;=Assumptions!$B$56,1,0))</f>
        <v/>
      </c>
      <c r="F62" s="54">
        <f>F60+F61+IF(F21=0,0,F20*Assumptions!$B$115/F21*IF(F2&gt;=Assumptions!$B$56,1,0))</f>
        <v/>
      </c>
      <c r="G62" s="54">
        <f>G60+G61+IF(G21=0,0,G20*Assumptions!$B$115/G21*IF(G2&gt;=Assumptions!$B$56,1,0))</f>
        <v/>
      </c>
      <c r="H62" s="54">
        <f>H60+H61+IF(H21=0,0,H20*Assumptions!$B$115/H21*IF(H2&gt;=Assumptions!$B$56,1,0))</f>
        <v/>
      </c>
      <c r="I62" s="54">
        <f>I60+I61+IF(I21=0,0,I20*Assumptions!$B$115/I21*IF(I2&gt;=Assumptions!$B$56,1,0))</f>
        <v/>
      </c>
      <c r="J62" s="54">
        <f>J60+J61+IF(J21=0,0,J20*Assumptions!$B$115/J21*IF(J2&gt;=Assumptions!$B$56,1,0))</f>
        <v/>
      </c>
      <c r="K62" s="54">
        <f>K60+K61+IF(K21=0,0,K20*Assumptions!$B$115/K21*IF(K2&gt;=Assumptions!$B$56,1,0))</f>
        <v/>
      </c>
      <c r="L62" s="54">
        <f>L60+L61+IF(L21=0,0,L20*Assumptions!$B$115/L21*IF(L2&gt;=Assumptions!$B$56,1,0))</f>
        <v/>
      </c>
      <c r="M62" s="54">
        <f>M60+M61+IF(M21=0,0,M20*Assumptions!$B$115/M21*IF(M2&gt;=Assumptions!$B$56,1,0))</f>
        <v/>
      </c>
      <c r="N62" s="54">
        <f>N60+N61+IF(N21=0,0,N20*Assumptions!$B$115/N21*IF(N2&gt;=Assumptions!$B$56,1,0))</f>
        <v/>
      </c>
      <c r="O62" s="54">
        <f>O60+O61+IF(O21=0,0,O20*Assumptions!$B$115/O21*IF(O2&gt;=Assumptions!$B$56,1,0))</f>
        <v/>
      </c>
      <c r="P62" s="54">
        <f>P60+P61+IF(P21=0,0,P20*Assumptions!$B$115/P21*IF(P2&gt;=Assumptions!$B$56,1,0))</f>
        <v/>
      </c>
      <c r="Q62" s="54">
        <f>Q60+Q61+IF(Q21=0,0,Q20*Assumptions!$B$115/Q21*IF(Q2&gt;=Assumptions!$B$56,1,0))</f>
        <v/>
      </c>
      <c r="R62" s="54">
        <f>R60+R61+IF(R21=0,0,R20*Assumptions!$B$115/R21*IF(R2&gt;=Assumptions!$B$56,1,0))</f>
        <v/>
      </c>
      <c r="S62" s="54">
        <f>S60+S61+IF(S21=0,0,S20*Assumptions!$B$115/S21*IF(S2&gt;=Assumptions!$B$56,1,0))</f>
        <v/>
      </c>
      <c r="T62" s="54">
        <f>T60+T61+IF(T21=0,0,T20*Assumptions!$B$115/T21*IF(T2&gt;=Assumptions!$B$56,1,0))</f>
        <v/>
      </c>
      <c r="U62" s="54">
        <f>U60+U61+IF(U21=0,0,U20*Assumptions!$B$115/U21*IF(U2&gt;=Assumptions!$B$56,1,0))</f>
        <v/>
      </c>
      <c r="V62" s="54">
        <f>V60+V61+IF(V21=0,0,V20*Assumptions!$B$115/V21*IF(V2&gt;=Assumptions!$B$56,1,0))</f>
        <v/>
      </c>
      <c r="W62" s="54">
        <f>W60+W61+IF(W21=0,0,W20*Assumptions!$B$115/W21*IF(W2&gt;=Assumptions!$B$56,1,0))</f>
        <v/>
      </c>
      <c r="X62" s="54">
        <f>X60+X61+IF(X21=0,0,X20*Assumptions!$B$115/X21*IF(X2&gt;=Assumptions!$B$56,1,0))</f>
        <v/>
      </c>
      <c r="Y62" s="54">
        <f>Y60+Y61+IF(Y21=0,0,Y20*Assumptions!$B$115/Y21*IF(Y2&gt;=Assumptions!$B$56,1,0))</f>
        <v/>
      </c>
      <c r="Z62" s="54">
        <f>Z60+Z61+IF(Z21=0,0,Z20*Assumptions!$B$115/Z21*IF(Z2&gt;=Assumptions!$B$56,1,0))</f>
        <v/>
      </c>
      <c r="AA62" s="54">
        <f>AA60+AA61+IF(AA21=0,0,AA20*Assumptions!$B$115/AA21*IF(AA2&gt;=Assumptions!$B$56,1,0))</f>
        <v/>
      </c>
      <c r="AB62" s="54">
        <f>AB60+AB61+IF(AB21=0,0,AB20*Assumptions!$B$115/AB21*IF(AB2&gt;=Assumptions!$B$56,1,0))</f>
        <v/>
      </c>
      <c r="AC62" s="54">
        <f>AC60+AC61+IF(AC21=0,0,AC20*Assumptions!$B$115/AC21*IF(AC2&gt;=Assumptions!$B$56,1,0))</f>
        <v/>
      </c>
      <c r="AD62" s="54">
        <f>AD60+AD61+IF(AD21=0,0,AD20*Assumptions!$B$115/AD21*IF(AD2&gt;=Assumptions!$B$56,1,0))</f>
        <v/>
      </c>
      <c r="AE62" s="54">
        <f>AE60+AE61+IF(AE21=0,0,AE20*Assumptions!$B$115/AE21*IF(AE2&gt;=Assumptions!$B$56,1,0))</f>
        <v/>
      </c>
    </row>
    <row r="63">
      <c r="A63" s="6" t="inlineStr">
        <is>
          <t xml:space="preserve">  Saturation (this region's own headroom)</t>
        </is>
      </c>
      <c r="B63" s="23" t="inlineStr">
        <is>
          <t>x</t>
        </is>
      </c>
      <c r="C63" s="51" t="n">
        <v>1</v>
      </c>
      <c r="D63" s="51">
        <f>MAX(0,1-C68/Assumptions!$B$85)</f>
        <v/>
      </c>
      <c r="E63" s="51">
        <f>MAX(0,1-D68/Assumptions!$B$85)</f>
        <v/>
      </c>
      <c r="F63" s="51">
        <f>MAX(0,1-E68/Assumptions!$B$85)</f>
        <v/>
      </c>
      <c r="G63" s="51">
        <f>MAX(0,1-F68/Assumptions!$B$85)</f>
        <v/>
      </c>
      <c r="H63" s="51">
        <f>MAX(0,1-G68/Assumptions!$B$85)</f>
        <v/>
      </c>
      <c r="I63" s="51">
        <f>MAX(0,1-H68/Assumptions!$B$85)</f>
        <v/>
      </c>
      <c r="J63" s="51">
        <f>MAX(0,1-I68/Assumptions!$B$85)</f>
        <v/>
      </c>
      <c r="K63" s="51">
        <f>MAX(0,1-J68/Assumptions!$B$85)</f>
        <v/>
      </c>
      <c r="L63" s="51">
        <f>MAX(0,1-K68/Assumptions!$B$85)</f>
        <v/>
      </c>
      <c r="M63" s="51">
        <f>MAX(0,1-L68/Assumptions!$B$85)</f>
        <v/>
      </c>
      <c r="N63" s="51">
        <f>MAX(0,1-M68/Assumptions!$B$85)</f>
        <v/>
      </c>
      <c r="O63" s="51">
        <f>MAX(0,1-N68/Assumptions!$B$85)</f>
        <v/>
      </c>
      <c r="P63" s="51">
        <f>MAX(0,1-O68/Assumptions!$B$85)</f>
        <v/>
      </c>
      <c r="Q63" s="51">
        <f>MAX(0,1-P68/Assumptions!$B$85)</f>
        <v/>
      </c>
      <c r="R63" s="51">
        <f>MAX(0,1-Q68/Assumptions!$B$85)</f>
        <v/>
      </c>
      <c r="S63" s="51">
        <f>MAX(0,1-R68/Assumptions!$B$85)</f>
        <v/>
      </c>
      <c r="T63" s="51">
        <f>MAX(0,1-S68/Assumptions!$B$85)</f>
        <v/>
      </c>
      <c r="U63" s="51">
        <f>MAX(0,1-T68/Assumptions!$B$85)</f>
        <v/>
      </c>
      <c r="V63" s="51">
        <f>MAX(0,1-U68/Assumptions!$B$85)</f>
        <v/>
      </c>
      <c r="W63" s="51">
        <f>MAX(0,1-V68/Assumptions!$B$85)</f>
        <v/>
      </c>
      <c r="X63" s="51">
        <f>MAX(0,1-W68/Assumptions!$B$85)</f>
        <v/>
      </c>
      <c r="Y63" s="51">
        <f>MAX(0,1-X68/Assumptions!$B$85)</f>
        <v/>
      </c>
      <c r="Z63" s="51">
        <f>MAX(0,1-Y68/Assumptions!$B$85)</f>
        <v/>
      </c>
      <c r="AA63" s="51">
        <f>MAX(0,1-Z68/Assumptions!$B$85)</f>
        <v/>
      </c>
      <c r="AB63" s="51">
        <f>MAX(0,1-AA68/Assumptions!$B$85)</f>
        <v/>
      </c>
      <c r="AC63" s="51">
        <f>MAX(0,1-AB68/Assumptions!$B$85)</f>
        <v/>
      </c>
      <c r="AD63" s="51">
        <f>MAX(0,1-AC68/Assumptions!$B$85)</f>
        <v/>
      </c>
      <c r="AE63" s="51">
        <f>MAX(0,1-AD68/Assumptions!$B$85)</f>
        <v/>
      </c>
    </row>
    <row r="64">
      <c r="A64" s="6" t="inlineStr">
        <is>
          <t xml:space="preserve">  New customers</t>
        </is>
      </c>
      <c r="B64" s="23" t="inlineStr">
        <is>
          <t>accounts</t>
        </is>
      </c>
      <c r="C64" s="54">
        <f>C62*C63*C15</f>
        <v/>
      </c>
      <c r="D64" s="54">
        <f>D62*D63*D15</f>
        <v/>
      </c>
      <c r="E64" s="54">
        <f>E62*E63*E15</f>
        <v/>
      </c>
      <c r="F64" s="54">
        <f>F62*F63*F15</f>
        <v/>
      </c>
      <c r="G64" s="54">
        <f>G62*G63*G15</f>
        <v/>
      </c>
      <c r="H64" s="54">
        <f>H62*H63*H15</f>
        <v/>
      </c>
      <c r="I64" s="54">
        <f>I62*I63*I15</f>
        <v/>
      </c>
      <c r="J64" s="54">
        <f>J62*J63*J15</f>
        <v/>
      </c>
      <c r="K64" s="54">
        <f>K62*K63*K15</f>
        <v/>
      </c>
      <c r="L64" s="54">
        <f>L62*L63*L15</f>
        <v/>
      </c>
      <c r="M64" s="54">
        <f>M62*M63*M15</f>
        <v/>
      </c>
      <c r="N64" s="54">
        <f>N62*N63*N15</f>
        <v/>
      </c>
      <c r="O64" s="54">
        <f>O62*O63*O15</f>
        <v/>
      </c>
      <c r="P64" s="54">
        <f>P62*P63*P15</f>
        <v/>
      </c>
      <c r="Q64" s="54">
        <f>Q62*Q63*Q15</f>
        <v/>
      </c>
      <c r="R64" s="54">
        <f>R62*R63*R15</f>
        <v/>
      </c>
      <c r="S64" s="54">
        <f>S62*S63*S15</f>
        <v/>
      </c>
      <c r="T64" s="54">
        <f>T62*T63*T15</f>
        <v/>
      </c>
      <c r="U64" s="54">
        <f>U62*U63*U15</f>
        <v/>
      </c>
      <c r="V64" s="54">
        <f>V62*V63*V15</f>
        <v/>
      </c>
      <c r="W64" s="54">
        <f>W62*W63*W15</f>
        <v/>
      </c>
      <c r="X64" s="54">
        <f>X62*X63*X15</f>
        <v/>
      </c>
      <c r="Y64" s="54">
        <f>Y62*Y63*Y15</f>
        <v/>
      </c>
      <c r="Z64" s="54">
        <f>Z62*Z63*Z15</f>
        <v/>
      </c>
      <c r="AA64" s="54">
        <f>AA62*AA63*AA15</f>
        <v/>
      </c>
      <c r="AB64" s="54">
        <f>AB62*AB63*AB15</f>
        <v/>
      </c>
      <c r="AC64" s="54">
        <f>AC62*AC63*AC15</f>
        <v/>
      </c>
      <c r="AD64" s="54">
        <f>AD62*AD63*AD15</f>
        <v/>
      </c>
      <c r="AE64" s="54">
        <f>AE62*AE63*AE15</f>
        <v/>
      </c>
    </row>
    <row r="65">
      <c r="A65" s="6" t="inlineStr">
        <is>
          <t xml:space="preserve">  Paying customers</t>
        </is>
      </c>
      <c r="B65" s="23" t="inlineStr">
        <is>
          <t>accounts</t>
        </is>
      </c>
      <c r="C65" s="28">
        <f>C64*(1-Assumptions!$B$121)^(C7/2)</f>
        <v/>
      </c>
      <c r="D65" s="28">
        <f>C65*(1-Assumptions!$B$121)^D7+D64*(1-Assumptions!$B$121)^(D7/2)</f>
        <v/>
      </c>
      <c r="E65" s="28">
        <f>D65*(1-Assumptions!$B$121)^E7+E64*(1-Assumptions!$B$121)^(E7/2)</f>
        <v/>
      </c>
      <c r="F65" s="28">
        <f>E65*(1-Assumptions!$B$121)^F7+F64*(1-Assumptions!$B$121)^(F7/2)</f>
        <v/>
      </c>
      <c r="G65" s="28">
        <f>F65*(1-Assumptions!$B$121)^G7+G64*(1-Assumptions!$B$121)^(G7/2)</f>
        <v/>
      </c>
      <c r="H65" s="28">
        <f>G65*(1-Assumptions!$B$121)^H7+H64*(1-Assumptions!$B$121)^(H7/2)</f>
        <v/>
      </c>
      <c r="I65" s="28">
        <f>H65*(1-Assumptions!$B$121)^I7+I64*(1-Assumptions!$B$121)^(I7/2)</f>
        <v/>
      </c>
      <c r="J65" s="28">
        <f>I65*(1-Assumptions!$B$121)^J7+J64*(1-Assumptions!$B$121)^(J7/2)</f>
        <v/>
      </c>
      <c r="K65" s="28">
        <f>J65*(1-Assumptions!$B$121)^K7+K64*(1-Assumptions!$B$121)^(K7/2)</f>
        <v/>
      </c>
      <c r="L65" s="28">
        <f>K65*(1-Assumptions!$B$121)^L7+L64*(1-Assumptions!$B$121)^(L7/2)</f>
        <v/>
      </c>
      <c r="M65" s="28">
        <f>L65*(1-Assumptions!$B$121)^M7+M64*(1-Assumptions!$B$121)^(M7/2)</f>
        <v/>
      </c>
      <c r="N65" s="28">
        <f>M65*(1-Assumptions!$B$121)^N7+N64*(1-Assumptions!$B$121)^(N7/2)</f>
        <v/>
      </c>
      <c r="O65" s="28">
        <f>N65*(1-Assumptions!$B$121)^O7+O64*(1-Assumptions!$B$121)^(O7/2)</f>
        <v/>
      </c>
      <c r="P65" s="28">
        <f>O65*(1-Assumptions!$B$121)^P7+P64*(1-Assumptions!$B$121)^(P7/2)</f>
        <v/>
      </c>
      <c r="Q65" s="28">
        <f>P65*(1-Assumptions!$B$121)^Q7+Q64*(1-Assumptions!$B$121)^(Q7/2)</f>
        <v/>
      </c>
      <c r="R65" s="28">
        <f>Q65*(1-Assumptions!$B$121)^R7+R64*(1-Assumptions!$B$121)^(R7/2)</f>
        <v/>
      </c>
      <c r="S65" s="28">
        <f>R65*(1-Assumptions!$B$121)^S7+S64*(1-Assumptions!$B$121)^(S7/2)</f>
        <v/>
      </c>
      <c r="T65" s="28">
        <f>S65*(1-Assumptions!$B$121)^T7+T64*(1-Assumptions!$B$121)^(T7/2)</f>
        <v/>
      </c>
      <c r="U65" s="28">
        <f>T65*(1-Assumptions!$B$121)^U7+U64*(1-Assumptions!$B$121)^(U7/2)</f>
        <v/>
      </c>
      <c r="V65" s="28">
        <f>U65*(1-Assumptions!$B$121)^V7+V64*(1-Assumptions!$B$121)^(V7/2)</f>
        <v/>
      </c>
      <c r="W65" s="28">
        <f>V65*(1-Assumptions!$B$121)^W7+W64*(1-Assumptions!$B$121)^(W7/2)</f>
        <v/>
      </c>
      <c r="X65" s="28">
        <f>W65*(1-Assumptions!$B$121)^X7+X64*(1-Assumptions!$B$121)^(X7/2)</f>
        <v/>
      </c>
      <c r="Y65" s="28">
        <f>X65*(1-Assumptions!$B$121)^Y7+Y64*(1-Assumptions!$B$121)^(Y7/2)</f>
        <v/>
      </c>
      <c r="Z65" s="28">
        <f>Y65*(1-Assumptions!$B$121)^Z7+Z64*(1-Assumptions!$B$121)^(Z7/2)</f>
        <v/>
      </c>
      <c r="AA65" s="28">
        <f>Z65*(1-Assumptions!$B$121)^AA7+AA64*(1-Assumptions!$B$121)^(AA7/2)</f>
        <v/>
      </c>
      <c r="AB65" s="28">
        <f>AA65*(1-Assumptions!$B$121)^AB7+AB64*(1-Assumptions!$B$121)^(AB7/2)</f>
        <v/>
      </c>
      <c r="AC65" s="28">
        <f>AB65*(1-Assumptions!$B$121)^AC7+AC64*(1-Assumptions!$B$121)^(AC7/2)</f>
        <v/>
      </c>
      <c r="AD65" s="28">
        <f>AC65*(1-Assumptions!$B$121)^AD7+AD64*(1-Assumptions!$B$121)^(AD7/2)</f>
        <v/>
      </c>
      <c r="AE65" s="28">
        <f>AD65*(1-Assumptions!$B$121)^AE7+AE64*(1-Assumptions!$B$121)^(AE7/2)</f>
        <v/>
      </c>
    </row>
    <row r="66">
      <c r="A66" s="6" t="inlineStr">
        <is>
          <t xml:space="preserve">  Churned this period</t>
        </is>
      </c>
      <c r="B66" s="23" t="inlineStr">
        <is>
          <t>accounts</t>
        </is>
      </c>
      <c r="C66" s="54">
        <f>C64-C65</f>
        <v/>
      </c>
      <c r="D66" s="54">
        <f>C65+D64-D65</f>
        <v/>
      </c>
      <c r="E66" s="54">
        <f>D65+E64-E65</f>
        <v/>
      </c>
      <c r="F66" s="54">
        <f>E65+F64-F65</f>
        <v/>
      </c>
      <c r="G66" s="54">
        <f>F65+G64-G65</f>
        <v/>
      </c>
      <c r="H66" s="54">
        <f>G65+H64-H65</f>
        <v/>
      </c>
      <c r="I66" s="54">
        <f>H65+I64-I65</f>
        <v/>
      </c>
      <c r="J66" s="54">
        <f>I65+J64-J65</f>
        <v/>
      </c>
      <c r="K66" s="54">
        <f>J65+K64-K65</f>
        <v/>
      </c>
      <c r="L66" s="54">
        <f>K65+L64-L65</f>
        <v/>
      </c>
      <c r="M66" s="54">
        <f>L65+M64-M65</f>
        <v/>
      </c>
      <c r="N66" s="54">
        <f>M65+N64-N65</f>
        <v/>
      </c>
      <c r="O66" s="54">
        <f>N65+O64-O65</f>
        <v/>
      </c>
      <c r="P66" s="54">
        <f>O65+P64-P65</f>
        <v/>
      </c>
      <c r="Q66" s="54">
        <f>P65+Q64-Q65</f>
        <v/>
      </c>
      <c r="R66" s="54">
        <f>Q65+R64-R65</f>
        <v/>
      </c>
      <c r="S66" s="54">
        <f>R65+S64-S65</f>
        <v/>
      </c>
      <c r="T66" s="54">
        <f>S65+T64-T65</f>
        <v/>
      </c>
      <c r="U66" s="54">
        <f>T65+U64-U65</f>
        <v/>
      </c>
      <c r="V66" s="54">
        <f>U65+V64-V65</f>
        <v/>
      </c>
      <c r="W66" s="54">
        <f>V65+W64-W65</f>
        <v/>
      </c>
      <c r="X66" s="54">
        <f>W65+X64-X65</f>
        <v/>
      </c>
      <c r="Y66" s="54">
        <f>X65+Y64-Y65</f>
        <v/>
      </c>
      <c r="Z66" s="54">
        <f>Y65+Z64-Z65</f>
        <v/>
      </c>
      <c r="AA66" s="54">
        <f>Z65+AA64-AA65</f>
        <v/>
      </c>
      <c r="AB66" s="54">
        <f>AA65+AB64-AB65</f>
        <v/>
      </c>
      <c r="AC66" s="54">
        <f>AB65+AC64-AC65</f>
        <v/>
      </c>
      <c r="AD66" s="54">
        <f>AC65+AD64-AD65</f>
        <v/>
      </c>
      <c r="AE66" s="54">
        <f>AD65+AE64-AE65</f>
        <v/>
      </c>
    </row>
    <row r="67">
      <c r="A67" s="6" t="inlineStr">
        <is>
          <t xml:space="preserve">  Holders (stopped paying, still hold gold)</t>
        </is>
      </c>
      <c r="B67" s="23" t="inlineStr">
        <is>
          <t>accounts</t>
        </is>
      </c>
      <c r="C67" s="45">
        <f>C66</f>
        <v/>
      </c>
      <c r="D67" s="45">
        <f>C67+D66</f>
        <v/>
      </c>
      <c r="E67" s="45">
        <f>D67+E66</f>
        <v/>
      </c>
      <c r="F67" s="45">
        <f>E67+F66</f>
        <v/>
      </c>
      <c r="G67" s="45">
        <f>F67+G66</f>
        <v/>
      </c>
      <c r="H67" s="45">
        <f>G67+H66</f>
        <v/>
      </c>
      <c r="I67" s="45">
        <f>H67+I66</f>
        <v/>
      </c>
      <c r="J67" s="45">
        <f>I67+J66</f>
        <v/>
      </c>
      <c r="K67" s="45">
        <f>J67+K66</f>
        <v/>
      </c>
      <c r="L67" s="45">
        <f>K67+L66</f>
        <v/>
      </c>
      <c r="M67" s="45">
        <f>L67+M66</f>
        <v/>
      </c>
      <c r="N67" s="45">
        <f>M67+N66</f>
        <v/>
      </c>
      <c r="O67" s="45">
        <f>N67+O66</f>
        <v/>
      </c>
      <c r="P67" s="45">
        <f>O67+P66</f>
        <v/>
      </c>
      <c r="Q67" s="45">
        <f>P67+Q66</f>
        <v/>
      </c>
      <c r="R67" s="45">
        <f>Q67+R66</f>
        <v/>
      </c>
      <c r="S67" s="45">
        <f>R67+S66</f>
        <v/>
      </c>
      <c r="T67" s="45">
        <f>S67+T66</f>
        <v/>
      </c>
      <c r="U67" s="45">
        <f>T67+U66</f>
        <v/>
      </c>
      <c r="V67" s="45">
        <f>U67+V66</f>
        <v/>
      </c>
      <c r="W67" s="45">
        <f>V67+W66</f>
        <v/>
      </c>
      <c r="X67" s="45">
        <f>W67+X66</f>
        <v/>
      </c>
      <c r="Y67" s="45">
        <f>X67+Y66</f>
        <v/>
      </c>
      <c r="Z67" s="45">
        <f>Y67+Z66</f>
        <v/>
      </c>
      <c r="AA67" s="45">
        <f>Z67+AA66</f>
        <v/>
      </c>
      <c r="AB67" s="45">
        <f>AA67+AB66</f>
        <v/>
      </c>
      <c r="AC67" s="45">
        <f>AB67+AC66</f>
        <v/>
      </c>
      <c r="AD67" s="45">
        <f>AC67+AD66</f>
        <v/>
      </c>
      <c r="AE67" s="45">
        <f>AD67+AE66</f>
        <v/>
      </c>
    </row>
    <row r="68">
      <c r="A68" s="6" t="inlineStr">
        <is>
          <t xml:space="preserve">  Cumulative ever acquired</t>
        </is>
      </c>
      <c r="B68" s="23" t="inlineStr">
        <is>
          <t>accounts</t>
        </is>
      </c>
      <c r="C68" s="45">
        <f>C64</f>
        <v/>
      </c>
      <c r="D68" s="45">
        <f>C68+D64</f>
        <v/>
      </c>
      <c r="E68" s="45">
        <f>D68+E64</f>
        <v/>
      </c>
      <c r="F68" s="45">
        <f>E68+F64</f>
        <v/>
      </c>
      <c r="G68" s="45">
        <f>F68+G64</f>
        <v/>
      </c>
      <c r="H68" s="45">
        <f>G68+H64</f>
        <v/>
      </c>
      <c r="I68" s="45">
        <f>H68+I64</f>
        <v/>
      </c>
      <c r="J68" s="45">
        <f>I68+J64</f>
        <v/>
      </c>
      <c r="K68" s="45">
        <f>J68+K64</f>
        <v/>
      </c>
      <c r="L68" s="45">
        <f>K68+L64</f>
        <v/>
      </c>
      <c r="M68" s="45">
        <f>L68+M64</f>
        <v/>
      </c>
      <c r="N68" s="45">
        <f>M68+N64</f>
        <v/>
      </c>
      <c r="O68" s="45">
        <f>N68+O64</f>
        <v/>
      </c>
      <c r="P68" s="45">
        <f>O68+P64</f>
        <v/>
      </c>
      <c r="Q68" s="45">
        <f>P68+Q64</f>
        <v/>
      </c>
      <c r="R68" s="45">
        <f>Q68+R64</f>
        <v/>
      </c>
      <c r="S68" s="45">
        <f>R68+S64</f>
        <v/>
      </c>
      <c r="T68" s="45">
        <f>S68+T64</f>
        <v/>
      </c>
      <c r="U68" s="45">
        <f>T68+U64</f>
        <v/>
      </c>
      <c r="V68" s="45">
        <f>U68+V64</f>
        <v/>
      </c>
      <c r="W68" s="45">
        <f>V68+W64</f>
        <v/>
      </c>
      <c r="X68" s="45">
        <f>W68+X64</f>
        <v/>
      </c>
      <c r="Y68" s="45">
        <f>X68+Y64</f>
        <v/>
      </c>
      <c r="Z68" s="45">
        <f>Y68+Z64</f>
        <v/>
      </c>
      <c r="AA68" s="45">
        <f>Z68+AA64</f>
        <v/>
      </c>
      <c r="AB68" s="45">
        <f>AA68+AB64</f>
        <v/>
      </c>
      <c r="AC68" s="45">
        <f>AB68+AC64</f>
        <v/>
      </c>
      <c r="AD68" s="45">
        <f>AC68+AD64</f>
        <v/>
      </c>
      <c r="AE68" s="45">
        <f>AD68+AE64</f>
        <v/>
      </c>
    </row>
    <row r="69">
      <c r="A69" s="6" t="inlineStr">
        <is>
          <t xml:space="preserve">  SIP contributions</t>
        </is>
      </c>
      <c r="B69" s="23" t="inlineStr">
        <is>
          <t>USD</t>
        </is>
      </c>
      <c r="C69" s="55">
        <f>IF(C2&gt;=Assumptions!$B$47,C65*Assumptions!$B$168*C7,0)</f>
        <v/>
      </c>
      <c r="D69" s="55">
        <f>IF(D2&gt;=Assumptions!$B$47,D65*Assumptions!$B$168*D7,0)</f>
        <v/>
      </c>
      <c r="E69" s="55">
        <f>IF(E2&gt;=Assumptions!$B$47,E65*Assumptions!$B$168*E7,0)</f>
        <v/>
      </c>
      <c r="F69" s="55">
        <f>IF(F2&gt;=Assumptions!$B$47,F65*Assumptions!$B$168*F7,0)</f>
        <v/>
      </c>
      <c r="G69" s="55">
        <f>IF(G2&gt;=Assumptions!$B$47,G65*Assumptions!$B$168*G7,0)</f>
        <v/>
      </c>
      <c r="H69" s="55">
        <f>IF(H2&gt;=Assumptions!$B$47,H65*Assumptions!$B$168*H7,0)</f>
        <v/>
      </c>
      <c r="I69" s="55">
        <f>IF(I2&gt;=Assumptions!$B$47,I65*Assumptions!$B$168*I7,0)</f>
        <v/>
      </c>
      <c r="J69" s="55">
        <f>IF(J2&gt;=Assumptions!$B$47,J65*Assumptions!$B$168*J7,0)</f>
        <v/>
      </c>
      <c r="K69" s="55">
        <f>IF(K2&gt;=Assumptions!$B$47,K65*Assumptions!$B$168*K7,0)</f>
        <v/>
      </c>
      <c r="L69" s="55">
        <f>IF(L2&gt;=Assumptions!$B$47,L65*Assumptions!$B$168*L7,0)</f>
        <v/>
      </c>
      <c r="M69" s="55">
        <f>IF(M2&gt;=Assumptions!$B$47,M65*Assumptions!$B$168*M7,0)</f>
        <v/>
      </c>
      <c r="N69" s="55">
        <f>IF(N2&gt;=Assumptions!$B$47,N65*Assumptions!$B$168*N7,0)</f>
        <v/>
      </c>
      <c r="O69" s="55">
        <f>IF(O2&gt;=Assumptions!$B$47,O65*Assumptions!$B$168*O7,0)</f>
        <v/>
      </c>
      <c r="P69" s="55">
        <f>IF(P2&gt;=Assumptions!$B$47,P65*Assumptions!$B$168*P7,0)</f>
        <v/>
      </c>
      <c r="Q69" s="55">
        <f>IF(Q2&gt;=Assumptions!$B$47,Q65*Assumptions!$B$168*Q7,0)</f>
        <v/>
      </c>
      <c r="R69" s="55">
        <f>IF(R2&gt;=Assumptions!$B$47,R65*Assumptions!$B$168*R7,0)</f>
        <v/>
      </c>
      <c r="S69" s="55">
        <f>IF(S2&gt;=Assumptions!$B$47,S65*Assumptions!$B$168*S7,0)</f>
        <v/>
      </c>
      <c r="T69" s="55">
        <f>IF(T2&gt;=Assumptions!$B$47,T65*Assumptions!$B$168*T7,0)</f>
        <v/>
      </c>
      <c r="U69" s="55">
        <f>IF(U2&gt;=Assumptions!$B$47,U65*Assumptions!$B$168*U7,0)</f>
        <v/>
      </c>
      <c r="V69" s="55">
        <f>IF(V2&gt;=Assumptions!$B$47,V65*Assumptions!$B$168*V7,0)</f>
        <v/>
      </c>
      <c r="W69" s="55">
        <f>IF(W2&gt;=Assumptions!$B$47,W65*Assumptions!$B$168*W7,0)</f>
        <v/>
      </c>
      <c r="X69" s="55">
        <f>IF(X2&gt;=Assumptions!$B$47,X65*Assumptions!$B$168*X7,0)</f>
        <v/>
      </c>
      <c r="Y69" s="55">
        <f>IF(Y2&gt;=Assumptions!$B$47,Y65*Assumptions!$B$168*Y7,0)</f>
        <v/>
      </c>
      <c r="Z69" s="55">
        <f>IF(Z2&gt;=Assumptions!$B$47,Z65*Assumptions!$B$168*Z7,0)</f>
        <v/>
      </c>
      <c r="AA69" s="55">
        <f>IF(AA2&gt;=Assumptions!$B$47,AA65*Assumptions!$B$168*AA7,0)</f>
        <v/>
      </c>
      <c r="AB69" s="55">
        <f>IF(AB2&gt;=Assumptions!$B$47,AB65*Assumptions!$B$168*AB7,0)</f>
        <v/>
      </c>
      <c r="AC69" s="55">
        <f>IF(AC2&gt;=Assumptions!$B$47,AC65*Assumptions!$B$168*AC7,0)</f>
        <v/>
      </c>
      <c r="AD69" s="55">
        <f>IF(AD2&gt;=Assumptions!$B$47,AD65*Assumptions!$B$168*AD7,0)</f>
        <v/>
      </c>
      <c r="AE69" s="55">
        <f>IF(AE2&gt;=Assumptions!$B$47,AE65*Assumptions!$B$168*AE7,0)</f>
        <v/>
      </c>
    </row>
    <row r="70">
      <c r="A70" s="6" t="inlineStr">
        <is>
          <t xml:space="preserve">  Spot purchase volume</t>
        </is>
      </c>
      <c r="B70" s="23" t="inlineStr">
        <is>
          <t>USD</t>
        </is>
      </c>
      <c r="C70" s="55">
        <f>IF(C2&gt;=Assumptions!$B$48,C65*Assumptions!$B$36*Assumptions!$B$138*Assumptions!$B$140*Assumptions!$B$33*Assumptions!$B$139/12*C7,0)</f>
        <v/>
      </c>
      <c r="D70" s="55">
        <f>IF(D2&gt;=Assumptions!$B$48,D65*Assumptions!$B$36*Assumptions!$B$138*Assumptions!$B$140*Assumptions!$B$33*Assumptions!$B$139/12*D7,0)</f>
        <v/>
      </c>
      <c r="E70" s="55">
        <f>IF(E2&gt;=Assumptions!$B$48,E65*Assumptions!$B$36*Assumptions!$B$138*Assumptions!$B$140*Assumptions!$B$33*Assumptions!$B$139/12*E7,0)</f>
        <v/>
      </c>
      <c r="F70" s="55">
        <f>IF(F2&gt;=Assumptions!$B$48,F65*Assumptions!$B$36*Assumptions!$B$138*Assumptions!$B$140*Assumptions!$B$33*Assumptions!$B$139/12*F7,0)</f>
        <v/>
      </c>
      <c r="G70" s="55">
        <f>IF(G2&gt;=Assumptions!$B$48,G65*Assumptions!$B$36*Assumptions!$B$138*Assumptions!$B$140*Assumptions!$B$33*Assumptions!$B$139/12*G7,0)</f>
        <v/>
      </c>
      <c r="H70" s="55">
        <f>IF(H2&gt;=Assumptions!$B$48,H65*Assumptions!$B$36*Assumptions!$B$138*Assumptions!$B$140*Assumptions!$B$33*Assumptions!$B$139/12*H7,0)</f>
        <v/>
      </c>
      <c r="I70" s="55">
        <f>IF(I2&gt;=Assumptions!$B$48,I65*Assumptions!$B$36*Assumptions!$B$138*Assumptions!$B$140*Assumptions!$B$33*Assumptions!$B$139/12*I7,0)</f>
        <v/>
      </c>
      <c r="J70" s="55">
        <f>IF(J2&gt;=Assumptions!$B$48,J65*Assumptions!$B$36*Assumptions!$B$138*Assumptions!$B$140*Assumptions!$B$33*Assumptions!$B$139/12*J7,0)</f>
        <v/>
      </c>
      <c r="K70" s="55">
        <f>IF(K2&gt;=Assumptions!$B$48,K65*Assumptions!$B$36*Assumptions!$B$138*Assumptions!$B$140*Assumptions!$B$33*Assumptions!$B$139/12*K7,0)</f>
        <v/>
      </c>
      <c r="L70" s="55">
        <f>IF(L2&gt;=Assumptions!$B$48,L65*Assumptions!$B$36*Assumptions!$B$138*Assumptions!$B$140*Assumptions!$B$33*Assumptions!$B$139/12*L7,0)</f>
        <v/>
      </c>
      <c r="M70" s="55">
        <f>IF(M2&gt;=Assumptions!$B$48,M65*Assumptions!$B$36*Assumptions!$B$138*Assumptions!$B$140*Assumptions!$B$33*Assumptions!$B$139/12*M7,0)</f>
        <v/>
      </c>
      <c r="N70" s="55">
        <f>IF(N2&gt;=Assumptions!$B$48,N65*Assumptions!$B$36*Assumptions!$B$138*Assumptions!$B$140*Assumptions!$B$33*Assumptions!$B$139/12*N7,0)</f>
        <v/>
      </c>
      <c r="O70" s="55">
        <f>IF(O2&gt;=Assumptions!$B$48,O65*Assumptions!$B$36*Assumptions!$B$138*Assumptions!$B$140*Assumptions!$B$33*Assumptions!$B$139/12*O7,0)</f>
        <v/>
      </c>
      <c r="P70" s="55">
        <f>IF(P2&gt;=Assumptions!$B$48,P65*Assumptions!$B$36*Assumptions!$B$138*Assumptions!$B$140*Assumptions!$B$33*Assumptions!$B$139/12*P7,0)</f>
        <v/>
      </c>
      <c r="Q70" s="55">
        <f>IF(Q2&gt;=Assumptions!$B$48,Q65*Assumptions!$B$36*Assumptions!$B$138*Assumptions!$B$140*Assumptions!$B$33*Assumptions!$B$139/12*Q7,0)</f>
        <v/>
      </c>
      <c r="R70" s="55">
        <f>IF(R2&gt;=Assumptions!$B$48,R65*Assumptions!$B$36*Assumptions!$B$138*Assumptions!$B$140*Assumptions!$B$33*Assumptions!$B$139/12*R7,0)</f>
        <v/>
      </c>
      <c r="S70" s="55">
        <f>IF(S2&gt;=Assumptions!$B$48,S65*Assumptions!$B$36*Assumptions!$B$138*Assumptions!$B$140*Assumptions!$B$33*Assumptions!$B$139/12*S7,0)</f>
        <v/>
      </c>
      <c r="T70" s="55">
        <f>IF(T2&gt;=Assumptions!$B$48,T65*Assumptions!$B$36*Assumptions!$B$138*Assumptions!$B$140*Assumptions!$B$33*Assumptions!$B$139/12*T7,0)</f>
        <v/>
      </c>
      <c r="U70" s="55">
        <f>IF(U2&gt;=Assumptions!$B$48,U65*Assumptions!$B$36*Assumptions!$B$138*Assumptions!$B$140*Assumptions!$B$33*Assumptions!$B$139/12*U7,0)</f>
        <v/>
      </c>
      <c r="V70" s="55">
        <f>IF(V2&gt;=Assumptions!$B$48,V65*Assumptions!$B$36*Assumptions!$B$138*Assumptions!$B$140*Assumptions!$B$33*Assumptions!$B$139/12*V7,0)</f>
        <v/>
      </c>
      <c r="W70" s="55">
        <f>IF(W2&gt;=Assumptions!$B$48,W65*Assumptions!$B$36*Assumptions!$B$138*Assumptions!$B$140*Assumptions!$B$33*Assumptions!$B$139/12*W7,0)</f>
        <v/>
      </c>
      <c r="X70" s="55">
        <f>IF(X2&gt;=Assumptions!$B$48,X65*Assumptions!$B$36*Assumptions!$B$138*Assumptions!$B$140*Assumptions!$B$33*Assumptions!$B$139/12*X7,0)</f>
        <v/>
      </c>
      <c r="Y70" s="55">
        <f>IF(Y2&gt;=Assumptions!$B$48,Y65*Assumptions!$B$36*Assumptions!$B$138*Assumptions!$B$140*Assumptions!$B$33*Assumptions!$B$139/12*Y7,0)</f>
        <v/>
      </c>
      <c r="Z70" s="55">
        <f>IF(Z2&gt;=Assumptions!$B$48,Z65*Assumptions!$B$36*Assumptions!$B$138*Assumptions!$B$140*Assumptions!$B$33*Assumptions!$B$139/12*Z7,0)</f>
        <v/>
      </c>
      <c r="AA70" s="55">
        <f>IF(AA2&gt;=Assumptions!$B$48,AA65*Assumptions!$B$36*Assumptions!$B$138*Assumptions!$B$140*Assumptions!$B$33*Assumptions!$B$139/12*AA7,0)</f>
        <v/>
      </c>
      <c r="AB70" s="55">
        <f>IF(AB2&gt;=Assumptions!$B$48,AB65*Assumptions!$B$36*Assumptions!$B$138*Assumptions!$B$140*Assumptions!$B$33*Assumptions!$B$139/12*AB7,0)</f>
        <v/>
      </c>
      <c r="AC70" s="55">
        <f>IF(AC2&gt;=Assumptions!$B$48,AC65*Assumptions!$B$36*Assumptions!$B$138*Assumptions!$B$140*Assumptions!$B$33*Assumptions!$B$139/12*AC7,0)</f>
        <v/>
      </c>
      <c r="AD70" s="55">
        <f>IF(AD2&gt;=Assumptions!$B$48,AD65*Assumptions!$B$36*Assumptions!$B$138*Assumptions!$B$140*Assumptions!$B$33*Assumptions!$B$139/12*AD7,0)</f>
        <v/>
      </c>
      <c r="AE70" s="55">
        <f>IF(AE2&gt;=Assumptions!$B$48,AE65*Assumptions!$B$36*Assumptions!$B$138*Assumptions!$B$140*Assumptions!$B$33*Assumptions!$B$139/12*AE7,0)</f>
        <v/>
      </c>
    </row>
    <row r="71">
      <c r="A71" s="6" t="inlineStr">
        <is>
          <t xml:space="preserve">  Grams purchased</t>
        </is>
      </c>
      <c r="B71" s="23" t="inlineStr">
        <is>
          <t>grams</t>
        </is>
      </c>
      <c r="C71" s="54">
        <f>(C69+C70)*(1-Assumptions!$B$8)/Assumptions!$B$6/(1+Assumptions!$B$9)</f>
        <v/>
      </c>
      <c r="D71" s="54">
        <f>(D69+D70)*(1-Assumptions!$B$8)/Assumptions!$B$6/(1+Assumptions!$B$9)</f>
        <v/>
      </c>
      <c r="E71" s="54">
        <f>(E69+E70)*(1-Assumptions!$B$8)/Assumptions!$B$6/(1+Assumptions!$B$9)</f>
        <v/>
      </c>
      <c r="F71" s="54">
        <f>(F69+F70)*(1-Assumptions!$B$8)/Assumptions!$B$6/(1+Assumptions!$B$9)</f>
        <v/>
      </c>
      <c r="G71" s="54">
        <f>(G69+G70)*(1-Assumptions!$B$8)/Assumptions!$B$6/(1+Assumptions!$B$9)</f>
        <v/>
      </c>
      <c r="H71" s="54">
        <f>(H69+H70)*(1-Assumptions!$B$8)/Assumptions!$B$6/(1+Assumptions!$B$9)</f>
        <v/>
      </c>
      <c r="I71" s="54">
        <f>(I69+I70)*(1-Assumptions!$B$8)/Assumptions!$B$6/(1+Assumptions!$B$9)</f>
        <v/>
      </c>
      <c r="J71" s="54">
        <f>(J69+J70)*(1-Assumptions!$B$8)/Assumptions!$B$6/(1+Assumptions!$B$9)</f>
        <v/>
      </c>
      <c r="K71" s="54">
        <f>(K69+K70)*(1-Assumptions!$B$8)/Assumptions!$B$6/(1+Assumptions!$B$9)</f>
        <v/>
      </c>
      <c r="L71" s="54">
        <f>(L69+L70)*(1-Assumptions!$B$8)/Assumptions!$B$6/(1+Assumptions!$B$9)</f>
        <v/>
      </c>
      <c r="M71" s="54">
        <f>(M69+M70)*(1-Assumptions!$B$8)/Assumptions!$B$6/(1+Assumptions!$B$9)</f>
        <v/>
      </c>
      <c r="N71" s="54">
        <f>(N69+N70)*(1-Assumptions!$B$8)/Assumptions!$B$6/(1+Assumptions!$B$9)</f>
        <v/>
      </c>
      <c r="O71" s="54">
        <f>(O69+O70)*(1-Assumptions!$B$8)/Assumptions!$B$6/(1+Assumptions!$B$9)</f>
        <v/>
      </c>
      <c r="P71" s="54">
        <f>(P69+P70)*(1-Assumptions!$B$8)/Assumptions!$B$6/(1+Assumptions!$B$9)</f>
        <v/>
      </c>
      <c r="Q71" s="54">
        <f>(Q69+Q70)*(1-Assumptions!$B$8)/Assumptions!$B$6/(1+Assumptions!$B$9)</f>
        <v/>
      </c>
      <c r="R71" s="54">
        <f>(R69+R70)*(1-Assumptions!$B$8)/Assumptions!$B$6/(1+Assumptions!$B$9)</f>
        <v/>
      </c>
      <c r="S71" s="54">
        <f>(S69+S70)*(1-Assumptions!$B$8)/Assumptions!$B$6/(1+Assumptions!$B$9)</f>
        <v/>
      </c>
      <c r="T71" s="54">
        <f>(T69+T70)*(1-Assumptions!$B$8)/Assumptions!$B$6/(1+Assumptions!$B$9)</f>
        <v/>
      </c>
      <c r="U71" s="54">
        <f>(U69+U70)*(1-Assumptions!$B$8)/Assumptions!$B$6/(1+Assumptions!$B$9)</f>
        <v/>
      </c>
      <c r="V71" s="54">
        <f>(V69+V70)*(1-Assumptions!$B$8)/Assumptions!$B$6/(1+Assumptions!$B$9)</f>
        <v/>
      </c>
      <c r="W71" s="54">
        <f>(W69+W70)*(1-Assumptions!$B$8)/Assumptions!$B$6/(1+Assumptions!$B$9)</f>
        <v/>
      </c>
      <c r="X71" s="54">
        <f>(X69+X70)*(1-Assumptions!$B$8)/Assumptions!$B$6/(1+Assumptions!$B$9)</f>
        <v/>
      </c>
      <c r="Y71" s="54">
        <f>(Y69+Y70)*(1-Assumptions!$B$8)/Assumptions!$B$6/(1+Assumptions!$B$9)</f>
        <v/>
      </c>
      <c r="Z71" s="54">
        <f>(Z69+Z70)*(1-Assumptions!$B$8)/Assumptions!$B$6/(1+Assumptions!$B$9)</f>
        <v/>
      </c>
      <c r="AA71" s="54">
        <f>(AA69+AA70)*(1-Assumptions!$B$8)/Assumptions!$B$6/(1+Assumptions!$B$9)</f>
        <v/>
      </c>
      <c r="AB71" s="54">
        <f>(AB69+AB70)*(1-Assumptions!$B$8)/Assumptions!$B$6/(1+Assumptions!$B$9)</f>
        <v/>
      </c>
      <c r="AC71" s="54">
        <f>(AC69+AC70)*(1-Assumptions!$B$8)/Assumptions!$B$6/(1+Assumptions!$B$9)</f>
        <v/>
      </c>
      <c r="AD71" s="54">
        <f>(AD69+AD70)*(1-Assumptions!$B$8)/Assumptions!$B$6/(1+Assumptions!$B$9)</f>
        <v/>
      </c>
      <c r="AE71" s="54">
        <f>(AE69+AE70)*(1-Assumptions!$B$8)/Assumptions!$B$6/(1+Assumptions!$B$9)</f>
        <v/>
      </c>
    </row>
    <row r="72">
      <c r="A72" s="6" t="inlineStr">
        <is>
          <t xml:space="preserve">  Collateral-eligible AUM decay rate (holder-weighted)</t>
        </is>
      </c>
      <c r="B72" s="23" t="inlineStr">
        <is>
          <t>%/period</t>
        </is>
      </c>
      <c r="C72" s="56">
        <f>(Assumptions!$B$135+Assumptions!$B$136*IF(C65+C67=0,1,(C65+C67*Assumptions!$B$137)/(C65+C67)))*C7/12</f>
        <v/>
      </c>
      <c r="D72" s="56">
        <f>(Assumptions!$B$135+Assumptions!$B$136*IF(D65+D67=0,1,(D65+D67*Assumptions!$B$137)/(D65+D67)))*D7/12</f>
        <v/>
      </c>
      <c r="E72" s="56">
        <f>(Assumptions!$B$135+Assumptions!$B$136*IF(E65+E67=0,1,(E65+E67*Assumptions!$B$137)/(E65+E67)))*E7/12</f>
        <v/>
      </c>
      <c r="F72" s="56">
        <f>(Assumptions!$B$135+Assumptions!$B$136*IF(F65+F67=0,1,(F65+F67*Assumptions!$B$137)/(F65+F67)))*F7/12</f>
        <v/>
      </c>
      <c r="G72" s="56">
        <f>(Assumptions!$B$135+Assumptions!$B$136*IF(G65+G67=0,1,(G65+G67*Assumptions!$B$137)/(G65+G67)))*G7/12</f>
        <v/>
      </c>
      <c r="H72" s="56">
        <f>(Assumptions!$B$135+Assumptions!$B$136*IF(H65+H67=0,1,(H65+H67*Assumptions!$B$137)/(H65+H67)))*H7/12</f>
        <v/>
      </c>
      <c r="I72" s="56">
        <f>(Assumptions!$B$135+Assumptions!$B$136*IF(I65+I67=0,1,(I65+I67*Assumptions!$B$137)/(I65+I67)))*I7/12</f>
        <v/>
      </c>
      <c r="J72" s="56">
        <f>(Assumptions!$B$135+Assumptions!$B$136*IF(J65+J67=0,1,(J65+J67*Assumptions!$B$137)/(J65+J67)))*J7/12</f>
        <v/>
      </c>
      <c r="K72" s="56">
        <f>(Assumptions!$B$135+Assumptions!$B$136*IF(K65+K67=0,1,(K65+K67*Assumptions!$B$137)/(K65+K67)))*K7/12</f>
        <v/>
      </c>
      <c r="L72" s="56">
        <f>(Assumptions!$B$135+Assumptions!$B$136*IF(L65+L67=0,1,(L65+L67*Assumptions!$B$137)/(L65+L67)))*L7/12</f>
        <v/>
      </c>
      <c r="M72" s="56">
        <f>(Assumptions!$B$135+Assumptions!$B$136*IF(M65+M67=0,1,(M65+M67*Assumptions!$B$137)/(M65+M67)))*M7/12</f>
        <v/>
      </c>
      <c r="N72" s="56">
        <f>(Assumptions!$B$135+Assumptions!$B$136*IF(N65+N67=0,1,(N65+N67*Assumptions!$B$137)/(N65+N67)))*N7/12</f>
        <v/>
      </c>
      <c r="O72" s="56">
        <f>(Assumptions!$B$135+Assumptions!$B$136*IF(O65+O67=0,1,(O65+O67*Assumptions!$B$137)/(O65+O67)))*O7/12</f>
        <v/>
      </c>
      <c r="P72" s="56">
        <f>(Assumptions!$B$135+Assumptions!$B$136*IF(P65+P67=0,1,(P65+P67*Assumptions!$B$137)/(P65+P67)))*P7/12</f>
        <v/>
      </c>
      <c r="Q72" s="56">
        <f>(Assumptions!$B$135+Assumptions!$B$136*IF(Q65+Q67=0,1,(Q65+Q67*Assumptions!$B$137)/(Q65+Q67)))*Q7/12</f>
        <v/>
      </c>
      <c r="R72" s="56">
        <f>(Assumptions!$B$135+Assumptions!$B$136*IF(R65+R67=0,1,(R65+R67*Assumptions!$B$137)/(R65+R67)))*R7/12</f>
        <v/>
      </c>
      <c r="S72" s="56">
        <f>(Assumptions!$B$135+Assumptions!$B$136*IF(S65+S67=0,1,(S65+S67*Assumptions!$B$137)/(S65+S67)))*S7/12</f>
        <v/>
      </c>
      <c r="T72" s="56">
        <f>(Assumptions!$B$135+Assumptions!$B$136*IF(T65+T67=0,1,(T65+T67*Assumptions!$B$137)/(T65+T67)))*T7/12</f>
        <v/>
      </c>
      <c r="U72" s="56">
        <f>(Assumptions!$B$135+Assumptions!$B$136*IF(U65+U67=0,1,(U65+U67*Assumptions!$B$137)/(U65+U67)))*U7/12</f>
        <v/>
      </c>
      <c r="V72" s="56">
        <f>(Assumptions!$B$135+Assumptions!$B$136*IF(V65+V67=0,1,(V65+V67*Assumptions!$B$137)/(V65+V67)))*V7/12</f>
        <v/>
      </c>
      <c r="W72" s="56">
        <f>(Assumptions!$B$135+Assumptions!$B$136*IF(W65+W67=0,1,(W65+W67*Assumptions!$B$137)/(W65+W67)))*W7/12</f>
        <v/>
      </c>
      <c r="X72" s="56">
        <f>(Assumptions!$B$135+Assumptions!$B$136*IF(X65+X67=0,1,(X65+X67*Assumptions!$B$137)/(X65+X67)))*X7/12</f>
        <v/>
      </c>
      <c r="Y72" s="56">
        <f>(Assumptions!$B$135+Assumptions!$B$136*IF(Y65+Y67=0,1,(Y65+Y67*Assumptions!$B$137)/(Y65+Y67)))*Y7/12</f>
        <v/>
      </c>
      <c r="Z72" s="56">
        <f>(Assumptions!$B$135+Assumptions!$B$136*IF(Z65+Z67=0,1,(Z65+Z67*Assumptions!$B$137)/(Z65+Z67)))*Z7/12</f>
        <v/>
      </c>
      <c r="AA72" s="56">
        <f>(Assumptions!$B$135+Assumptions!$B$136*IF(AA65+AA67=0,1,(AA65+AA67*Assumptions!$B$137)/(AA65+AA67)))*AA7/12</f>
        <v/>
      </c>
      <c r="AB72" s="56">
        <f>(Assumptions!$B$135+Assumptions!$B$136*IF(AB65+AB67=0,1,(AB65+AB67*Assumptions!$B$137)/(AB65+AB67)))*AB7/12</f>
        <v/>
      </c>
      <c r="AC72" s="56">
        <f>(Assumptions!$B$135+Assumptions!$B$136*IF(AC65+AC67=0,1,(AC65+AC67*Assumptions!$B$137)/(AC65+AC67)))*AC7/12</f>
        <v/>
      </c>
      <c r="AD72" s="56">
        <f>(Assumptions!$B$135+Assumptions!$B$136*IF(AD65+AD67=0,1,(AD65+AD67*Assumptions!$B$137)/(AD65+AD67)))*AD7/12</f>
        <v/>
      </c>
      <c r="AE72" s="56">
        <f>(Assumptions!$B$135+Assumptions!$B$136*IF(AE65+AE67=0,1,(AE65+AE67*Assumptions!$B$137)/(AE65+AE67)))*AE7/12</f>
        <v/>
      </c>
    </row>
    <row r="73">
      <c r="A73" s="6" t="inlineStr">
        <is>
          <t xml:space="preserve">  Grams held</t>
        </is>
      </c>
      <c r="B73" s="23" t="inlineStr">
        <is>
          <t>grams</t>
        </is>
      </c>
      <c r="C73" s="45">
        <f>C71</f>
        <v/>
      </c>
      <c r="D73" s="45">
        <f>C73*(1-D72)+D71</f>
        <v/>
      </c>
      <c r="E73" s="45">
        <f>D73*(1-E72)+E71</f>
        <v/>
      </c>
      <c r="F73" s="45">
        <f>E73*(1-F72)+F71</f>
        <v/>
      </c>
      <c r="G73" s="45">
        <f>F73*(1-G72)+G71</f>
        <v/>
      </c>
      <c r="H73" s="45">
        <f>G73*(1-H72)+H71</f>
        <v/>
      </c>
      <c r="I73" s="45">
        <f>H73*(1-I72)+I71</f>
        <v/>
      </c>
      <c r="J73" s="45">
        <f>I73*(1-J72)+J71</f>
        <v/>
      </c>
      <c r="K73" s="45">
        <f>J73*(1-K72)+K71</f>
        <v/>
      </c>
      <c r="L73" s="45">
        <f>K73*(1-L72)+L71</f>
        <v/>
      </c>
      <c r="M73" s="45">
        <f>L73*(1-M72)+M71</f>
        <v/>
      </c>
      <c r="N73" s="45">
        <f>M73*(1-N72)+N71</f>
        <v/>
      </c>
      <c r="O73" s="45">
        <f>N73*(1-O72)+O71</f>
        <v/>
      </c>
      <c r="P73" s="45">
        <f>O73*(1-P72)+P71</f>
        <v/>
      </c>
      <c r="Q73" s="45">
        <f>P73*(1-Q72)+Q71</f>
        <v/>
      </c>
      <c r="R73" s="45">
        <f>Q73*(1-R72)+R71</f>
        <v/>
      </c>
      <c r="S73" s="45">
        <f>R73*(1-S72)+S71</f>
        <v/>
      </c>
      <c r="T73" s="45">
        <f>S73*(1-T72)+T71</f>
        <v/>
      </c>
      <c r="U73" s="45">
        <f>T73*(1-U72)+U71</f>
        <v/>
      </c>
      <c r="V73" s="45">
        <f>U73*(1-V72)+V71</f>
        <v/>
      </c>
      <c r="W73" s="45">
        <f>V73*(1-W72)+W71</f>
        <v/>
      </c>
      <c r="X73" s="45">
        <f>W73*(1-X72)+X71</f>
        <v/>
      </c>
      <c r="Y73" s="45">
        <f>X73*(1-Y72)+Y71</f>
        <v/>
      </c>
      <c r="Z73" s="45">
        <f>Y73*(1-Z72)+Z71</f>
        <v/>
      </c>
      <c r="AA73" s="45">
        <f>Z73*(1-AA72)+AA71</f>
        <v/>
      </c>
      <c r="AB73" s="45">
        <f>AA73*(1-AB72)+AB71</f>
        <v/>
      </c>
      <c r="AC73" s="45">
        <f>AB73*(1-AC72)+AC71</f>
        <v/>
      </c>
      <c r="AD73" s="45">
        <f>AC73*(1-AD72)+AD71</f>
        <v/>
      </c>
      <c r="AE73" s="45">
        <f>AD73*(1-AE72)+AE71</f>
        <v/>
      </c>
    </row>
    <row r="74">
      <c r="A74" s="6" t="inlineStr">
        <is>
          <t xml:space="preserve">  AUM</t>
        </is>
      </c>
      <c r="B74" s="23" t="inlineStr">
        <is>
          <t>USD</t>
        </is>
      </c>
      <c r="C74" s="57">
        <f>C73*Assumptions!$B$6</f>
        <v/>
      </c>
      <c r="D74" s="57">
        <f>D73*Assumptions!$B$6</f>
        <v/>
      </c>
      <c r="E74" s="57">
        <f>E73*Assumptions!$B$6</f>
        <v/>
      </c>
      <c r="F74" s="57">
        <f>F73*Assumptions!$B$6</f>
        <v/>
      </c>
      <c r="G74" s="57">
        <f>G73*Assumptions!$B$6</f>
        <v/>
      </c>
      <c r="H74" s="57">
        <f>H73*Assumptions!$B$6</f>
        <v/>
      </c>
      <c r="I74" s="57">
        <f>I73*Assumptions!$B$6</f>
        <v/>
      </c>
      <c r="J74" s="57">
        <f>J73*Assumptions!$B$6</f>
        <v/>
      </c>
      <c r="K74" s="57">
        <f>K73*Assumptions!$B$6</f>
        <v/>
      </c>
      <c r="L74" s="57">
        <f>L73*Assumptions!$B$6</f>
        <v/>
      </c>
      <c r="M74" s="57">
        <f>M73*Assumptions!$B$6</f>
        <v/>
      </c>
      <c r="N74" s="57">
        <f>N73*Assumptions!$B$6</f>
        <v/>
      </c>
      <c r="O74" s="57">
        <f>O73*Assumptions!$B$6</f>
        <v/>
      </c>
      <c r="P74" s="57">
        <f>P73*Assumptions!$B$6</f>
        <v/>
      </c>
      <c r="Q74" s="57">
        <f>Q73*Assumptions!$B$6</f>
        <v/>
      </c>
      <c r="R74" s="57">
        <f>R73*Assumptions!$B$6</f>
        <v/>
      </c>
      <c r="S74" s="57">
        <f>S73*Assumptions!$B$6</f>
        <v/>
      </c>
      <c r="T74" s="57">
        <f>T73*Assumptions!$B$6</f>
        <v/>
      </c>
      <c r="U74" s="57">
        <f>U73*Assumptions!$B$6</f>
        <v/>
      </c>
      <c r="V74" s="57">
        <f>V73*Assumptions!$B$6</f>
        <v/>
      </c>
      <c r="W74" s="57">
        <f>W73*Assumptions!$B$6</f>
        <v/>
      </c>
      <c r="X74" s="57">
        <f>X73*Assumptions!$B$6</f>
        <v/>
      </c>
      <c r="Y74" s="57">
        <f>Y73*Assumptions!$B$6</f>
        <v/>
      </c>
      <c r="Z74" s="57">
        <f>Z73*Assumptions!$B$6</f>
        <v/>
      </c>
      <c r="AA74" s="57">
        <f>AA73*Assumptions!$B$6</f>
        <v/>
      </c>
      <c r="AB74" s="57">
        <f>AB73*Assumptions!$B$6</f>
        <v/>
      </c>
      <c r="AC74" s="57">
        <f>AC73*Assumptions!$B$6</f>
        <v/>
      </c>
      <c r="AD74" s="57">
        <f>AD73*Assumptions!$B$6</f>
        <v/>
      </c>
      <c r="AE74" s="57">
        <f>AE73*Assumptions!$B$6</f>
        <v/>
      </c>
    </row>
    <row r="75">
      <c r="A75" s="6" t="inlineStr">
        <is>
          <t xml:space="preserve">  Card-eligible base</t>
        </is>
      </c>
      <c r="B75" s="23" t="inlineStr">
        <is>
          <t>accounts</t>
        </is>
      </c>
      <c r="C75" s="54">
        <f>C65+C67*Assumptions!$B$171</f>
        <v/>
      </c>
      <c r="D75" s="54">
        <f>D65+D67*Assumptions!$B$171</f>
        <v/>
      </c>
      <c r="E75" s="54">
        <f>E65+E67*Assumptions!$B$171</f>
        <v/>
      </c>
      <c r="F75" s="54">
        <f>F65+F67*Assumptions!$B$171</f>
        <v/>
      </c>
      <c r="G75" s="54">
        <f>G65+G67*Assumptions!$B$171</f>
        <v/>
      </c>
      <c r="H75" s="54">
        <f>H65+H67*Assumptions!$B$171</f>
        <v/>
      </c>
      <c r="I75" s="54">
        <f>I65+I67*Assumptions!$B$171</f>
        <v/>
      </c>
      <c r="J75" s="54">
        <f>J65+J67*Assumptions!$B$171</f>
        <v/>
      </c>
      <c r="K75" s="54">
        <f>K65+K67*Assumptions!$B$171</f>
        <v/>
      </c>
      <c r="L75" s="54">
        <f>L65+L67*Assumptions!$B$171</f>
        <v/>
      </c>
      <c r="M75" s="54">
        <f>M65+M67*Assumptions!$B$171</f>
        <v/>
      </c>
      <c r="N75" s="54">
        <f>N65+N67*Assumptions!$B$171</f>
        <v/>
      </c>
      <c r="O75" s="54">
        <f>O65+O67*Assumptions!$B$171</f>
        <v/>
      </c>
      <c r="P75" s="54">
        <f>P65+P67*Assumptions!$B$171</f>
        <v/>
      </c>
      <c r="Q75" s="54">
        <f>Q65+Q67*Assumptions!$B$171</f>
        <v/>
      </c>
      <c r="R75" s="54">
        <f>R65+R67*Assumptions!$B$171</f>
        <v/>
      </c>
      <c r="S75" s="54">
        <f>S65+S67*Assumptions!$B$171</f>
        <v/>
      </c>
      <c r="T75" s="54">
        <f>T65+T67*Assumptions!$B$171</f>
        <v/>
      </c>
      <c r="U75" s="54">
        <f>U65+U67*Assumptions!$B$171</f>
        <v/>
      </c>
      <c r="V75" s="54">
        <f>V65+V67*Assumptions!$B$171</f>
        <v/>
      </c>
      <c r="W75" s="54">
        <f>W65+W67*Assumptions!$B$171</f>
        <v/>
      </c>
      <c r="X75" s="54">
        <f>X65+X67*Assumptions!$B$171</f>
        <v/>
      </c>
      <c r="Y75" s="54">
        <f>Y65+Y67*Assumptions!$B$171</f>
        <v/>
      </c>
      <c r="Z75" s="54">
        <f>Z65+Z67*Assumptions!$B$171</f>
        <v/>
      </c>
      <c r="AA75" s="54">
        <f>AA65+AA67*Assumptions!$B$171</f>
        <v/>
      </c>
      <c r="AB75" s="54">
        <f>AB65+AB67*Assumptions!$B$171</f>
        <v/>
      </c>
      <c r="AC75" s="54">
        <f>AC65+AC67*Assumptions!$B$171</f>
        <v/>
      </c>
      <c r="AD75" s="54">
        <f>AD65+AD67*Assumptions!$B$171</f>
        <v/>
      </c>
      <c r="AE75" s="54">
        <f>AE65+AE67*Assumptions!$B$171</f>
        <v/>
      </c>
    </row>
    <row r="76">
      <c r="A76" s="6" t="inlineStr">
        <is>
          <t xml:space="preserve">  Cleared the six-payment gate</t>
        </is>
      </c>
      <c r="B76" s="23" t="inlineStr">
        <is>
          <t>accounts</t>
        </is>
      </c>
      <c r="C76" s="45">
        <f>IF(C7&gt;1,C75*Assumptions!$B$133,IF(C2&gt;Assumptions!$B$134,INDEX($C$75:$AE$75,1,C2-Assumptions!$B$134)*Assumptions!$B$133,0))</f>
        <v/>
      </c>
      <c r="D76" s="45">
        <f>IF(D7&gt;1,D75*Assumptions!$B$133,IF(D2&gt;Assumptions!$B$134,INDEX($C$75:$AE$75,1,D2-Assumptions!$B$134)*Assumptions!$B$133,0))</f>
        <v/>
      </c>
      <c r="E76" s="45">
        <f>IF(E7&gt;1,E75*Assumptions!$B$133,IF(E2&gt;Assumptions!$B$134,INDEX($C$75:$AE$75,1,E2-Assumptions!$B$134)*Assumptions!$B$133,0))</f>
        <v/>
      </c>
      <c r="F76" s="45">
        <f>IF(F7&gt;1,F75*Assumptions!$B$133,IF(F2&gt;Assumptions!$B$134,INDEX($C$75:$AE$75,1,F2-Assumptions!$B$134)*Assumptions!$B$133,0))</f>
        <v/>
      </c>
      <c r="G76" s="45">
        <f>IF(G7&gt;1,G75*Assumptions!$B$133,IF(G2&gt;Assumptions!$B$134,INDEX($C$75:$AE$75,1,G2-Assumptions!$B$134)*Assumptions!$B$133,0))</f>
        <v/>
      </c>
      <c r="H76" s="45">
        <f>IF(H7&gt;1,H75*Assumptions!$B$133,IF(H2&gt;Assumptions!$B$134,INDEX($C$75:$AE$75,1,H2-Assumptions!$B$134)*Assumptions!$B$133,0))</f>
        <v/>
      </c>
      <c r="I76" s="45">
        <f>IF(I7&gt;1,I75*Assumptions!$B$133,IF(I2&gt;Assumptions!$B$134,INDEX($C$75:$AE$75,1,I2-Assumptions!$B$134)*Assumptions!$B$133,0))</f>
        <v/>
      </c>
      <c r="J76" s="45">
        <f>IF(J7&gt;1,J75*Assumptions!$B$133,IF(J2&gt;Assumptions!$B$134,INDEX($C$75:$AE$75,1,J2-Assumptions!$B$134)*Assumptions!$B$133,0))</f>
        <v/>
      </c>
      <c r="K76" s="45">
        <f>IF(K7&gt;1,K75*Assumptions!$B$133,IF(K2&gt;Assumptions!$B$134,INDEX($C$75:$AE$75,1,K2-Assumptions!$B$134)*Assumptions!$B$133,0))</f>
        <v/>
      </c>
      <c r="L76" s="45">
        <f>IF(L7&gt;1,L75*Assumptions!$B$133,IF(L2&gt;Assumptions!$B$134,INDEX($C$75:$AE$75,1,L2-Assumptions!$B$134)*Assumptions!$B$133,0))</f>
        <v/>
      </c>
      <c r="M76" s="45">
        <f>IF(M7&gt;1,M75*Assumptions!$B$133,IF(M2&gt;Assumptions!$B$134,INDEX($C$75:$AE$75,1,M2-Assumptions!$B$134)*Assumptions!$B$133,0))</f>
        <v/>
      </c>
      <c r="N76" s="45">
        <f>IF(N7&gt;1,N75*Assumptions!$B$133,IF(N2&gt;Assumptions!$B$134,INDEX($C$75:$AE$75,1,N2-Assumptions!$B$134)*Assumptions!$B$133,0))</f>
        <v/>
      </c>
      <c r="O76" s="45">
        <f>IF(O7&gt;1,O75*Assumptions!$B$133,IF(O2&gt;Assumptions!$B$134,INDEX($C$75:$AE$75,1,O2-Assumptions!$B$134)*Assumptions!$B$133,0))</f>
        <v/>
      </c>
      <c r="P76" s="45">
        <f>IF(P7&gt;1,P75*Assumptions!$B$133,IF(P2&gt;Assumptions!$B$134,INDEX($C$75:$AE$75,1,P2-Assumptions!$B$134)*Assumptions!$B$133,0))</f>
        <v/>
      </c>
      <c r="Q76" s="45">
        <f>IF(Q7&gt;1,Q75*Assumptions!$B$133,IF(Q2&gt;Assumptions!$B$134,INDEX($C$75:$AE$75,1,Q2-Assumptions!$B$134)*Assumptions!$B$133,0))</f>
        <v/>
      </c>
      <c r="R76" s="45">
        <f>IF(R7&gt;1,R75*Assumptions!$B$133,IF(R2&gt;Assumptions!$B$134,INDEX($C$75:$AE$75,1,R2-Assumptions!$B$134)*Assumptions!$B$133,0))</f>
        <v/>
      </c>
      <c r="S76" s="45">
        <f>IF(S7&gt;1,S75*Assumptions!$B$133,IF(S2&gt;Assumptions!$B$134,INDEX($C$75:$AE$75,1,S2-Assumptions!$B$134)*Assumptions!$B$133,0))</f>
        <v/>
      </c>
      <c r="T76" s="45">
        <f>IF(T7&gt;1,T75*Assumptions!$B$133,IF(T2&gt;Assumptions!$B$134,INDEX($C$75:$AE$75,1,T2-Assumptions!$B$134)*Assumptions!$B$133,0))</f>
        <v/>
      </c>
      <c r="U76" s="45">
        <f>IF(U7&gt;1,U75*Assumptions!$B$133,IF(U2&gt;Assumptions!$B$134,INDEX($C$75:$AE$75,1,U2-Assumptions!$B$134)*Assumptions!$B$133,0))</f>
        <v/>
      </c>
      <c r="V76" s="45">
        <f>IF(V7&gt;1,V75*Assumptions!$B$133,IF(V2&gt;Assumptions!$B$134,INDEX($C$75:$AE$75,1,V2-Assumptions!$B$134)*Assumptions!$B$133,0))</f>
        <v/>
      </c>
      <c r="W76" s="45">
        <f>IF(W7&gt;1,W75*Assumptions!$B$133,IF(W2&gt;Assumptions!$B$134,INDEX($C$75:$AE$75,1,W2-Assumptions!$B$134)*Assumptions!$B$133,0))</f>
        <v/>
      </c>
      <c r="X76" s="45">
        <f>IF(X7&gt;1,X75*Assumptions!$B$133,IF(X2&gt;Assumptions!$B$134,INDEX($C$75:$AE$75,1,X2-Assumptions!$B$134)*Assumptions!$B$133,0))</f>
        <v/>
      </c>
      <c r="Y76" s="45">
        <f>IF(Y7&gt;1,Y75*Assumptions!$B$133,IF(Y2&gt;Assumptions!$B$134,INDEX($C$75:$AE$75,1,Y2-Assumptions!$B$134)*Assumptions!$B$133,0))</f>
        <v/>
      </c>
      <c r="Z76" s="45">
        <f>IF(Z7&gt;1,Z75*Assumptions!$B$133,IF(Z2&gt;Assumptions!$B$134,INDEX($C$75:$AE$75,1,Z2-Assumptions!$B$134)*Assumptions!$B$133,0))</f>
        <v/>
      </c>
      <c r="AA76" s="45">
        <f>IF(AA7&gt;1,AA75*Assumptions!$B$133,IF(AA2&gt;Assumptions!$B$134,INDEX($C$75:$AE$75,1,AA2-Assumptions!$B$134)*Assumptions!$B$133,0))</f>
        <v/>
      </c>
      <c r="AB76" s="45">
        <f>IF(AB7&gt;1,AB75*Assumptions!$B$133,IF(AB2&gt;Assumptions!$B$134,INDEX($C$75:$AE$75,1,AB2-Assumptions!$B$134)*Assumptions!$B$133,0))</f>
        <v/>
      </c>
      <c r="AC76" s="45">
        <f>IF(AC7&gt;1,AC75*Assumptions!$B$133,IF(AC2&gt;Assumptions!$B$134,INDEX($C$75:$AE$75,1,AC2-Assumptions!$B$134)*Assumptions!$B$133,0))</f>
        <v/>
      </c>
      <c r="AD76" s="45">
        <f>IF(AD7&gt;1,AD75*Assumptions!$B$133,IF(AD2&gt;Assumptions!$B$134,INDEX($C$75:$AE$75,1,AD2-Assumptions!$B$134)*Assumptions!$B$133,0))</f>
        <v/>
      </c>
      <c r="AE76" s="45">
        <f>IF(AE7&gt;1,AE75*Assumptions!$B$133,IF(AE2&gt;Assumptions!$B$134,INDEX($C$75:$AE$75,1,AE2-Assumptions!$B$134)*Assumptions!$B$133,0))</f>
        <v/>
      </c>
    </row>
    <row r="77">
      <c r="A77" s="6" t="inlineStr">
        <is>
          <t xml:space="preserve">  Active cards</t>
        </is>
      </c>
      <c r="B77" s="23" t="inlineStr">
        <is>
          <t>cards</t>
        </is>
      </c>
      <c r="C77" s="28">
        <f>IF(C2&gt;=Assumptions!$B$51,C76*Assumptions!$B$142,0)</f>
        <v/>
      </c>
      <c r="D77" s="28">
        <f>IF(D2&gt;=Assumptions!$B$51,D76*Assumptions!$B$142,0)</f>
        <v/>
      </c>
      <c r="E77" s="28">
        <f>IF(E2&gt;=Assumptions!$B$51,E76*Assumptions!$B$142,0)</f>
        <v/>
      </c>
      <c r="F77" s="28">
        <f>IF(F2&gt;=Assumptions!$B$51,F76*Assumptions!$B$142,0)</f>
        <v/>
      </c>
      <c r="G77" s="28">
        <f>IF(G2&gt;=Assumptions!$B$51,G76*Assumptions!$B$142,0)</f>
        <v/>
      </c>
      <c r="H77" s="28">
        <f>IF(H2&gt;=Assumptions!$B$51,H76*Assumptions!$B$142,0)</f>
        <v/>
      </c>
      <c r="I77" s="28">
        <f>IF(I2&gt;=Assumptions!$B$51,I76*Assumptions!$B$142,0)</f>
        <v/>
      </c>
      <c r="J77" s="28">
        <f>IF(J2&gt;=Assumptions!$B$51,J76*Assumptions!$B$142,0)</f>
        <v/>
      </c>
      <c r="K77" s="28">
        <f>IF(K2&gt;=Assumptions!$B$51,K76*Assumptions!$B$142,0)</f>
        <v/>
      </c>
      <c r="L77" s="28">
        <f>IF(L2&gt;=Assumptions!$B$51,L76*Assumptions!$B$142,0)</f>
        <v/>
      </c>
      <c r="M77" s="28">
        <f>IF(M2&gt;=Assumptions!$B$51,M76*Assumptions!$B$142,0)</f>
        <v/>
      </c>
      <c r="N77" s="28">
        <f>IF(N2&gt;=Assumptions!$B$51,N76*Assumptions!$B$142,0)</f>
        <v/>
      </c>
      <c r="O77" s="28">
        <f>IF(O2&gt;=Assumptions!$B$51,O76*Assumptions!$B$142,0)</f>
        <v/>
      </c>
      <c r="P77" s="28">
        <f>IF(P2&gt;=Assumptions!$B$51,P76*Assumptions!$B$142,0)</f>
        <v/>
      </c>
      <c r="Q77" s="28">
        <f>IF(Q2&gt;=Assumptions!$B$51,Q76*Assumptions!$B$142,0)</f>
        <v/>
      </c>
      <c r="R77" s="28">
        <f>IF(R2&gt;=Assumptions!$B$51,R76*Assumptions!$B$142,0)</f>
        <v/>
      </c>
      <c r="S77" s="28">
        <f>IF(S2&gt;=Assumptions!$B$51,S76*Assumptions!$B$142,0)</f>
        <v/>
      </c>
      <c r="T77" s="28">
        <f>IF(T2&gt;=Assumptions!$B$51,T76*Assumptions!$B$142,0)</f>
        <v/>
      </c>
      <c r="U77" s="28">
        <f>IF(U2&gt;=Assumptions!$B$51,U76*Assumptions!$B$142,0)</f>
        <v/>
      </c>
      <c r="V77" s="28">
        <f>IF(V2&gt;=Assumptions!$B$51,V76*Assumptions!$B$142,0)</f>
        <v/>
      </c>
      <c r="W77" s="28">
        <f>IF(W2&gt;=Assumptions!$B$51,W76*Assumptions!$B$142,0)</f>
        <v/>
      </c>
      <c r="X77" s="28">
        <f>IF(X2&gt;=Assumptions!$B$51,X76*Assumptions!$B$142,0)</f>
        <v/>
      </c>
      <c r="Y77" s="28">
        <f>IF(Y2&gt;=Assumptions!$B$51,Y76*Assumptions!$B$142,0)</f>
        <v/>
      </c>
      <c r="Z77" s="28">
        <f>IF(Z2&gt;=Assumptions!$B$51,Z76*Assumptions!$B$142,0)</f>
        <v/>
      </c>
      <c r="AA77" s="28">
        <f>IF(AA2&gt;=Assumptions!$B$51,AA76*Assumptions!$B$142,0)</f>
        <v/>
      </c>
      <c r="AB77" s="28">
        <f>IF(AB2&gt;=Assumptions!$B$51,AB76*Assumptions!$B$142,0)</f>
        <v/>
      </c>
      <c r="AC77" s="28">
        <f>IF(AC2&gt;=Assumptions!$B$51,AC76*Assumptions!$B$142,0)</f>
        <v/>
      </c>
      <c r="AD77" s="28">
        <f>IF(AD2&gt;=Assumptions!$B$51,AD76*Assumptions!$B$142,0)</f>
        <v/>
      </c>
      <c r="AE77" s="28">
        <f>IF(AE2&gt;=Assumptions!$B$51,AE76*Assumptions!$B$142,0)</f>
        <v/>
      </c>
    </row>
    <row r="78">
      <c r="A78" s="6" t="inlineStr">
        <is>
          <t xml:space="preserve">  Credit limit per customer (gold x LTV)</t>
        </is>
      </c>
      <c r="B78" s="23" t="inlineStr">
        <is>
          <t>USD</t>
        </is>
      </c>
      <c r="C78" s="55">
        <f>IF(C65=0,0,C74/C65*Assumptions!$B$31)</f>
        <v/>
      </c>
      <c r="D78" s="55">
        <f>IF(D65=0,0,D74/D65*Assumptions!$B$31)</f>
        <v/>
      </c>
      <c r="E78" s="55">
        <f>IF(E65=0,0,E74/E65*Assumptions!$B$31)</f>
        <v/>
      </c>
      <c r="F78" s="55">
        <f>IF(F65=0,0,F74/F65*Assumptions!$B$31)</f>
        <v/>
      </c>
      <c r="G78" s="55">
        <f>IF(G65=0,0,G74/G65*Assumptions!$B$31)</f>
        <v/>
      </c>
      <c r="H78" s="55">
        <f>IF(H65=0,0,H74/H65*Assumptions!$B$31)</f>
        <v/>
      </c>
      <c r="I78" s="55">
        <f>IF(I65=0,0,I74/I65*Assumptions!$B$31)</f>
        <v/>
      </c>
      <c r="J78" s="55">
        <f>IF(J65=0,0,J74/J65*Assumptions!$B$31)</f>
        <v/>
      </c>
      <c r="K78" s="55">
        <f>IF(K65=0,0,K74/K65*Assumptions!$B$31)</f>
        <v/>
      </c>
      <c r="L78" s="55">
        <f>IF(L65=0,0,L74/L65*Assumptions!$B$31)</f>
        <v/>
      </c>
      <c r="M78" s="55">
        <f>IF(M65=0,0,M74/M65*Assumptions!$B$31)</f>
        <v/>
      </c>
      <c r="N78" s="55">
        <f>IF(N65=0,0,N74/N65*Assumptions!$B$31)</f>
        <v/>
      </c>
      <c r="O78" s="55">
        <f>IF(O65=0,0,O74/O65*Assumptions!$B$31)</f>
        <v/>
      </c>
      <c r="P78" s="55">
        <f>IF(P65=0,0,P74/P65*Assumptions!$B$31)</f>
        <v/>
      </c>
      <c r="Q78" s="55">
        <f>IF(Q65=0,0,Q74/Q65*Assumptions!$B$31)</f>
        <v/>
      </c>
      <c r="R78" s="55">
        <f>IF(R65=0,0,R74/R65*Assumptions!$B$31)</f>
        <v/>
      </c>
      <c r="S78" s="55">
        <f>IF(S65=0,0,S74/S65*Assumptions!$B$31)</f>
        <v/>
      </c>
      <c r="T78" s="55">
        <f>IF(T65=0,0,T74/T65*Assumptions!$B$31)</f>
        <v/>
      </c>
      <c r="U78" s="55">
        <f>IF(U65=0,0,U74/U65*Assumptions!$B$31)</f>
        <v/>
      </c>
      <c r="V78" s="55">
        <f>IF(V65=0,0,V74/V65*Assumptions!$B$31)</f>
        <v/>
      </c>
      <c r="W78" s="55">
        <f>IF(W65=0,0,W74/W65*Assumptions!$B$31)</f>
        <v/>
      </c>
      <c r="X78" s="55">
        <f>IF(X65=0,0,X74/X65*Assumptions!$B$31)</f>
        <v/>
      </c>
      <c r="Y78" s="55">
        <f>IF(Y65=0,0,Y74/Y65*Assumptions!$B$31)</f>
        <v/>
      </c>
      <c r="Z78" s="55">
        <f>IF(Z65=0,0,Z74/Z65*Assumptions!$B$31)</f>
        <v/>
      </c>
      <c r="AA78" s="55">
        <f>IF(AA65=0,0,AA74/AA65*Assumptions!$B$31)</f>
        <v/>
      </c>
      <c r="AB78" s="55">
        <f>IF(AB65=0,0,AB74/AB65*Assumptions!$B$31)</f>
        <v/>
      </c>
      <c r="AC78" s="55">
        <f>IF(AC65=0,0,AC74/AC65*Assumptions!$B$31)</f>
        <v/>
      </c>
      <c r="AD78" s="55">
        <f>IF(AD65=0,0,AD74/AD65*Assumptions!$B$31)</f>
        <v/>
      </c>
      <c r="AE78" s="55">
        <f>IF(AE65=0,0,AE74/AE65*Assumptions!$B$31)</f>
        <v/>
      </c>
    </row>
    <row r="79">
      <c r="A79" s="6" t="inlineStr">
        <is>
          <t xml:space="preserve">  Annual drawdown per card (limit x drawn x draws)</t>
        </is>
      </c>
      <c r="B79" s="23" t="inlineStr">
        <is>
          <t>USD/yr</t>
        </is>
      </c>
      <c r="C79" s="55">
        <f>C78*Assumptions!$B$155*Assumptions!$B$157</f>
        <v/>
      </c>
      <c r="D79" s="55">
        <f>D78*Assumptions!$B$155*Assumptions!$B$157</f>
        <v/>
      </c>
      <c r="E79" s="55">
        <f>E78*Assumptions!$B$155*Assumptions!$B$157</f>
        <v/>
      </c>
      <c r="F79" s="55">
        <f>F78*Assumptions!$B$155*Assumptions!$B$157</f>
        <v/>
      </c>
      <c r="G79" s="55">
        <f>G78*Assumptions!$B$155*Assumptions!$B$157</f>
        <v/>
      </c>
      <c r="H79" s="55">
        <f>H78*Assumptions!$B$155*Assumptions!$B$157</f>
        <v/>
      </c>
      <c r="I79" s="55">
        <f>I78*Assumptions!$B$155*Assumptions!$B$157</f>
        <v/>
      </c>
      <c r="J79" s="55">
        <f>J78*Assumptions!$B$155*Assumptions!$B$157</f>
        <v/>
      </c>
      <c r="K79" s="55">
        <f>K78*Assumptions!$B$155*Assumptions!$B$157</f>
        <v/>
      </c>
      <c r="L79" s="55">
        <f>L78*Assumptions!$B$155*Assumptions!$B$157</f>
        <v/>
      </c>
      <c r="M79" s="55">
        <f>M78*Assumptions!$B$155*Assumptions!$B$157</f>
        <v/>
      </c>
      <c r="N79" s="55">
        <f>N78*Assumptions!$B$155*Assumptions!$B$157</f>
        <v/>
      </c>
      <c r="O79" s="55">
        <f>O78*Assumptions!$B$155*Assumptions!$B$157</f>
        <v/>
      </c>
      <c r="P79" s="55">
        <f>P78*Assumptions!$B$155*Assumptions!$B$157</f>
        <v/>
      </c>
      <c r="Q79" s="55">
        <f>Q78*Assumptions!$B$155*Assumptions!$B$157</f>
        <v/>
      </c>
      <c r="R79" s="55">
        <f>R78*Assumptions!$B$155*Assumptions!$B$157</f>
        <v/>
      </c>
      <c r="S79" s="55">
        <f>S78*Assumptions!$B$155*Assumptions!$B$157</f>
        <v/>
      </c>
      <c r="T79" s="55">
        <f>T78*Assumptions!$B$155*Assumptions!$B$157</f>
        <v/>
      </c>
      <c r="U79" s="55">
        <f>U78*Assumptions!$B$155*Assumptions!$B$157</f>
        <v/>
      </c>
      <c r="V79" s="55">
        <f>V78*Assumptions!$B$155*Assumptions!$B$157</f>
        <v/>
      </c>
      <c r="W79" s="55">
        <f>W78*Assumptions!$B$155*Assumptions!$B$157</f>
        <v/>
      </c>
      <c r="X79" s="55">
        <f>X78*Assumptions!$B$155*Assumptions!$B$157</f>
        <v/>
      </c>
      <c r="Y79" s="55">
        <f>Y78*Assumptions!$B$155*Assumptions!$B$157</f>
        <v/>
      </c>
      <c r="Z79" s="55">
        <f>Z78*Assumptions!$B$155*Assumptions!$B$157</f>
        <v/>
      </c>
      <c r="AA79" s="55">
        <f>AA78*Assumptions!$B$155*Assumptions!$B$157</f>
        <v/>
      </c>
      <c r="AB79" s="55">
        <f>AB78*Assumptions!$B$155*Assumptions!$B$157</f>
        <v/>
      </c>
      <c r="AC79" s="55">
        <f>AC78*Assumptions!$B$155*Assumptions!$B$157</f>
        <v/>
      </c>
      <c r="AD79" s="55">
        <f>AD78*Assumptions!$B$155*Assumptions!$B$157</f>
        <v/>
      </c>
      <c r="AE79" s="55">
        <f>AE78*Assumptions!$B$155*Assumptions!$B$157</f>
        <v/>
      </c>
    </row>
    <row r="80">
      <c r="A80" s="6" t="inlineStr">
        <is>
          <t xml:space="preserve">  Card spend per card per month</t>
        </is>
      </c>
      <c r="B80" s="23" t="inlineStr">
        <is>
          <t>USD</t>
        </is>
      </c>
      <c r="C80" s="55">
        <f>C79/12*C16</f>
        <v/>
      </c>
      <c r="D80" s="55">
        <f>D79/12*D16</f>
        <v/>
      </c>
      <c r="E80" s="55">
        <f>E79/12*E16</f>
        <v/>
      </c>
      <c r="F80" s="55">
        <f>F79/12*F16</f>
        <v/>
      </c>
      <c r="G80" s="55">
        <f>G79/12*G16</f>
        <v/>
      </c>
      <c r="H80" s="55">
        <f>H79/12*H16</f>
        <v/>
      </c>
      <c r="I80" s="55">
        <f>I79/12*I16</f>
        <v/>
      </c>
      <c r="J80" s="55">
        <f>J79/12*J16</f>
        <v/>
      </c>
      <c r="K80" s="55">
        <f>K79/12*K16</f>
        <v/>
      </c>
      <c r="L80" s="55">
        <f>L79/12*L16</f>
        <v/>
      </c>
      <c r="M80" s="55">
        <f>M79/12*M16</f>
        <v/>
      </c>
      <c r="N80" s="55">
        <f>N79/12*N16</f>
        <v/>
      </c>
      <c r="O80" s="55">
        <f>O79/12*O16</f>
        <v/>
      </c>
      <c r="P80" s="55">
        <f>P79/12*P16</f>
        <v/>
      </c>
      <c r="Q80" s="55">
        <f>Q79/12*Q16</f>
        <v/>
      </c>
      <c r="R80" s="55">
        <f>R79/12*R16</f>
        <v/>
      </c>
      <c r="S80" s="55">
        <f>S79/12*S16</f>
        <v/>
      </c>
      <c r="T80" s="55">
        <f>T79/12*T16</f>
        <v/>
      </c>
      <c r="U80" s="55">
        <f>U79/12*U16</f>
        <v/>
      </c>
      <c r="V80" s="55">
        <f>V79/12*V16</f>
        <v/>
      </c>
      <c r="W80" s="55">
        <f>W79/12*W16</f>
        <v/>
      </c>
      <c r="X80" s="55">
        <f>X79/12*X16</f>
        <v/>
      </c>
      <c r="Y80" s="55">
        <f>Y79/12*Y16</f>
        <v/>
      </c>
      <c r="Z80" s="55">
        <f>Z79/12*Z16</f>
        <v/>
      </c>
      <c r="AA80" s="55">
        <f>AA79/12*AA16</f>
        <v/>
      </c>
      <c r="AB80" s="55">
        <f>AB79/12*AB16</f>
        <v/>
      </c>
      <c r="AC80" s="55">
        <f>AC79/12*AC16</f>
        <v/>
      </c>
      <c r="AD80" s="55">
        <f>AD79/12*AD16</f>
        <v/>
      </c>
      <c r="AE80" s="55">
        <f>AE79/12*AE16</f>
        <v/>
      </c>
    </row>
    <row r="81">
      <c r="A81" s="6" t="inlineStr">
        <is>
          <t xml:space="preserve">  Card spend</t>
        </is>
      </c>
      <c r="B81" s="23" t="inlineStr">
        <is>
          <t>AED</t>
        </is>
      </c>
      <c r="C81" s="45">
        <f>C77*C80*Assumptions!$B$7*C7</f>
        <v/>
      </c>
      <c r="D81" s="45">
        <f>D77*D80*Assumptions!$B$7*D7</f>
        <v/>
      </c>
      <c r="E81" s="45">
        <f>E77*E80*Assumptions!$B$7*E7</f>
        <v/>
      </c>
      <c r="F81" s="45">
        <f>F77*F80*Assumptions!$B$7*F7</f>
        <v/>
      </c>
      <c r="G81" s="45">
        <f>G77*G80*Assumptions!$B$7*G7</f>
        <v/>
      </c>
      <c r="H81" s="45">
        <f>H77*H80*Assumptions!$B$7*H7</f>
        <v/>
      </c>
      <c r="I81" s="45">
        <f>I77*I80*Assumptions!$B$7*I7</f>
        <v/>
      </c>
      <c r="J81" s="45">
        <f>J77*J80*Assumptions!$B$7*J7</f>
        <v/>
      </c>
      <c r="K81" s="45">
        <f>K77*K80*Assumptions!$B$7*K7</f>
        <v/>
      </c>
      <c r="L81" s="45">
        <f>L77*L80*Assumptions!$B$7*L7</f>
        <v/>
      </c>
      <c r="M81" s="45">
        <f>M77*M80*Assumptions!$B$7*M7</f>
        <v/>
      </c>
      <c r="N81" s="45">
        <f>N77*N80*Assumptions!$B$7*N7</f>
        <v/>
      </c>
      <c r="O81" s="45">
        <f>O77*O80*Assumptions!$B$7*O7</f>
        <v/>
      </c>
      <c r="P81" s="45">
        <f>P77*P80*Assumptions!$B$7*P7</f>
        <v/>
      </c>
      <c r="Q81" s="45">
        <f>Q77*Q80*Assumptions!$B$7*Q7</f>
        <v/>
      </c>
      <c r="R81" s="45">
        <f>R77*R80*Assumptions!$B$7*R7</f>
        <v/>
      </c>
      <c r="S81" s="45">
        <f>S77*S80*Assumptions!$B$7*S7</f>
        <v/>
      </c>
      <c r="T81" s="45">
        <f>T77*T80*Assumptions!$B$7*T7</f>
        <v/>
      </c>
      <c r="U81" s="45">
        <f>U77*U80*Assumptions!$B$7*U7</f>
        <v/>
      </c>
      <c r="V81" s="45">
        <f>V77*V80*Assumptions!$B$7*V7</f>
        <v/>
      </c>
      <c r="W81" s="45">
        <f>W77*W80*Assumptions!$B$7*W7</f>
        <v/>
      </c>
      <c r="X81" s="45">
        <f>X77*X80*Assumptions!$B$7*X7</f>
        <v/>
      </c>
      <c r="Y81" s="45">
        <f>Y77*Y80*Assumptions!$B$7*Y7</f>
        <v/>
      </c>
      <c r="Z81" s="45">
        <f>Z77*Z80*Assumptions!$B$7*Z7</f>
        <v/>
      </c>
      <c r="AA81" s="45">
        <f>AA77*AA80*Assumptions!$B$7*AA7</f>
        <v/>
      </c>
      <c r="AB81" s="45">
        <f>AB77*AB80*Assumptions!$B$7*AB7</f>
        <v/>
      </c>
      <c r="AC81" s="45">
        <f>AC77*AC80*Assumptions!$B$7*AC7</f>
        <v/>
      </c>
      <c r="AD81" s="45">
        <f>AD77*AD80*Assumptions!$B$7*AD7</f>
        <v/>
      </c>
      <c r="AE81" s="45">
        <f>AE77*AE80*Assumptions!$B$7*AE7</f>
        <v/>
      </c>
    </row>
    <row r="82">
      <c r="A82" s="6" t="inlineStr">
        <is>
          <t xml:space="preserve">  Card spend</t>
        </is>
      </c>
      <c r="B82" s="23" t="inlineStr">
        <is>
          <t>USD</t>
        </is>
      </c>
      <c r="C82" s="55">
        <f>C81/Assumptions!$B$7</f>
        <v/>
      </c>
      <c r="D82" s="55">
        <f>D81/Assumptions!$B$7</f>
        <v/>
      </c>
      <c r="E82" s="55">
        <f>E81/Assumptions!$B$7</f>
        <v/>
      </c>
      <c r="F82" s="55">
        <f>F81/Assumptions!$B$7</f>
        <v/>
      </c>
      <c r="G82" s="55">
        <f>G81/Assumptions!$B$7</f>
        <v/>
      </c>
      <c r="H82" s="55">
        <f>H81/Assumptions!$B$7</f>
        <v/>
      </c>
      <c r="I82" s="55">
        <f>I81/Assumptions!$B$7</f>
        <v/>
      </c>
      <c r="J82" s="55">
        <f>J81/Assumptions!$B$7</f>
        <v/>
      </c>
      <c r="K82" s="55">
        <f>K81/Assumptions!$B$7</f>
        <v/>
      </c>
      <c r="L82" s="55">
        <f>L81/Assumptions!$B$7</f>
        <v/>
      </c>
      <c r="M82" s="55">
        <f>M81/Assumptions!$B$7</f>
        <v/>
      </c>
      <c r="N82" s="55">
        <f>N81/Assumptions!$B$7</f>
        <v/>
      </c>
      <c r="O82" s="55">
        <f>O81/Assumptions!$B$7</f>
        <v/>
      </c>
      <c r="P82" s="55">
        <f>P81/Assumptions!$B$7</f>
        <v/>
      </c>
      <c r="Q82" s="55">
        <f>Q81/Assumptions!$B$7</f>
        <v/>
      </c>
      <c r="R82" s="55">
        <f>R81/Assumptions!$B$7</f>
        <v/>
      </c>
      <c r="S82" s="55">
        <f>S81/Assumptions!$B$7</f>
        <v/>
      </c>
      <c r="T82" s="55">
        <f>T81/Assumptions!$B$7</f>
        <v/>
      </c>
      <c r="U82" s="55">
        <f>U81/Assumptions!$B$7</f>
        <v/>
      </c>
      <c r="V82" s="55">
        <f>V81/Assumptions!$B$7</f>
        <v/>
      </c>
      <c r="W82" s="55">
        <f>W81/Assumptions!$B$7</f>
        <v/>
      </c>
      <c r="X82" s="55">
        <f>X81/Assumptions!$B$7</f>
        <v/>
      </c>
      <c r="Y82" s="55">
        <f>Y81/Assumptions!$B$7</f>
        <v/>
      </c>
      <c r="Z82" s="55">
        <f>Z81/Assumptions!$B$7</f>
        <v/>
      </c>
      <c r="AA82" s="55">
        <f>AA81/Assumptions!$B$7</f>
        <v/>
      </c>
      <c r="AB82" s="55">
        <f>AB81/Assumptions!$B$7</f>
        <v/>
      </c>
      <c r="AC82" s="55">
        <f>AC81/Assumptions!$B$7</f>
        <v/>
      </c>
      <c r="AD82" s="55">
        <f>AD81/Assumptions!$B$7</f>
        <v/>
      </c>
      <c r="AE82" s="55">
        <f>AE81/Assumptions!$B$7</f>
        <v/>
      </c>
    </row>
    <row r="83">
      <c r="A83" s="6" t="inlineStr">
        <is>
          <t xml:space="preserve">  Average transaction size (derived)</t>
        </is>
      </c>
      <c r="B83" s="23" t="inlineStr">
        <is>
          <t>AED</t>
        </is>
      </c>
      <c r="C83" s="45">
        <f>IF(Assumptions!$B$143=0,0,C78*Assumptions!$B$155*Assumptions!$B$7/Assumptions!$B$143)</f>
        <v/>
      </c>
      <c r="D83" s="45">
        <f>IF(Assumptions!$B$143=0,0,D78*Assumptions!$B$155*Assumptions!$B$7/Assumptions!$B$143)</f>
        <v/>
      </c>
      <c r="E83" s="45">
        <f>IF(Assumptions!$B$143=0,0,E78*Assumptions!$B$155*Assumptions!$B$7/Assumptions!$B$143)</f>
        <v/>
      </c>
      <c r="F83" s="45">
        <f>IF(Assumptions!$B$143=0,0,F78*Assumptions!$B$155*Assumptions!$B$7/Assumptions!$B$143)</f>
        <v/>
      </c>
      <c r="G83" s="45">
        <f>IF(Assumptions!$B$143=0,0,G78*Assumptions!$B$155*Assumptions!$B$7/Assumptions!$B$143)</f>
        <v/>
      </c>
      <c r="H83" s="45">
        <f>IF(Assumptions!$B$143=0,0,H78*Assumptions!$B$155*Assumptions!$B$7/Assumptions!$B$143)</f>
        <v/>
      </c>
      <c r="I83" s="45">
        <f>IF(Assumptions!$B$143=0,0,I78*Assumptions!$B$155*Assumptions!$B$7/Assumptions!$B$143)</f>
        <v/>
      </c>
      <c r="J83" s="45">
        <f>IF(Assumptions!$B$143=0,0,J78*Assumptions!$B$155*Assumptions!$B$7/Assumptions!$B$143)</f>
        <v/>
      </c>
      <c r="K83" s="45">
        <f>IF(Assumptions!$B$143=0,0,K78*Assumptions!$B$155*Assumptions!$B$7/Assumptions!$B$143)</f>
        <v/>
      </c>
      <c r="L83" s="45">
        <f>IF(Assumptions!$B$143=0,0,L78*Assumptions!$B$155*Assumptions!$B$7/Assumptions!$B$143)</f>
        <v/>
      </c>
      <c r="M83" s="45">
        <f>IF(Assumptions!$B$143=0,0,M78*Assumptions!$B$155*Assumptions!$B$7/Assumptions!$B$143)</f>
        <v/>
      </c>
      <c r="N83" s="45">
        <f>IF(Assumptions!$B$143=0,0,N78*Assumptions!$B$155*Assumptions!$B$7/Assumptions!$B$143)</f>
        <v/>
      </c>
      <c r="O83" s="45">
        <f>IF(Assumptions!$B$143=0,0,O78*Assumptions!$B$155*Assumptions!$B$7/Assumptions!$B$143)</f>
        <v/>
      </c>
      <c r="P83" s="45">
        <f>IF(Assumptions!$B$143=0,0,P78*Assumptions!$B$155*Assumptions!$B$7/Assumptions!$B$143)</f>
        <v/>
      </c>
      <c r="Q83" s="45">
        <f>IF(Assumptions!$B$143=0,0,Q78*Assumptions!$B$155*Assumptions!$B$7/Assumptions!$B$143)</f>
        <v/>
      </c>
      <c r="R83" s="45">
        <f>IF(Assumptions!$B$143=0,0,R78*Assumptions!$B$155*Assumptions!$B$7/Assumptions!$B$143)</f>
        <v/>
      </c>
      <c r="S83" s="45">
        <f>IF(Assumptions!$B$143=0,0,S78*Assumptions!$B$155*Assumptions!$B$7/Assumptions!$B$143)</f>
        <v/>
      </c>
      <c r="T83" s="45">
        <f>IF(Assumptions!$B$143=0,0,T78*Assumptions!$B$155*Assumptions!$B$7/Assumptions!$B$143)</f>
        <v/>
      </c>
      <c r="U83" s="45">
        <f>IF(Assumptions!$B$143=0,0,U78*Assumptions!$B$155*Assumptions!$B$7/Assumptions!$B$143)</f>
        <v/>
      </c>
      <c r="V83" s="45">
        <f>IF(Assumptions!$B$143=0,0,V78*Assumptions!$B$155*Assumptions!$B$7/Assumptions!$B$143)</f>
        <v/>
      </c>
      <c r="W83" s="45">
        <f>IF(Assumptions!$B$143=0,0,W78*Assumptions!$B$155*Assumptions!$B$7/Assumptions!$B$143)</f>
        <v/>
      </c>
      <c r="X83" s="45">
        <f>IF(Assumptions!$B$143=0,0,X78*Assumptions!$B$155*Assumptions!$B$7/Assumptions!$B$143)</f>
        <v/>
      </c>
      <c r="Y83" s="45">
        <f>IF(Assumptions!$B$143=0,0,Y78*Assumptions!$B$155*Assumptions!$B$7/Assumptions!$B$143)</f>
        <v/>
      </c>
      <c r="Z83" s="45">
        <f>IF(Assumptions!$B$143=0,0,Z78*Assumptions!$B$155*Assumptions!$B$7/Assumptions!$B$143)</f>
        <v/>
      </c>
      <c r="AA83" s="45">
        <f>IF(Assumptions!$B$143=0,0,AA78*Assumptions!$B$155*Assumptions!$B$7/Assumptions!$B$143)</f>
        <v/>
      </c>
      <c r="AB83" s="45">
        <f>IF(Assumptions!$B$143=0,0,AB78*Assumptions!$B$155*Assumptions!$B$7/Assumptions!$B$143)</f>
        <v/>
      </c>
      <c r="AC83" s="45">
        <f>IF(Assumptions!$B$143=0,0,AC78*Assumptions!$B$155*Assumptions!$B$7/Assumptions!$B$143)</f>
        <v/>
      </c>
      <c r="AD83" s="45">
        <f>IF(Assumptions!$B$143=0,0,AD78*Assumptions!$B$155*Assumptions!$B$7/Assumptions!$B$143)</f>
        <v/>
      </c>
      <c r="AE83" s="45">
        <f>IF(Assumptions!$B$143=0,0,AE78*Assumptions!$B$155*Assumptions!$B$7/Assumptions!$B$143)</f>
        <v/>
      </c>
    </row>
    <row r="84">
      <c r="A84" s="6" t="inlineStr">
        <is>
          <t xml:space="preserve">  Card authorisations (memo - drives cost, not revenue)</t>
        </is>
      </c>
      <c r="B84" s="23" t="inlineStr">
        <is>
          <t>auths</t>
        </is>
      </c>
      <c r="C84" s="45">
        <f>C77*Assumptions!$B$157*Assumptions!$B$143*C7/12*(1+Assumptions!$B$16)</f>
        <v/>
      </c>
      <c r="D84" s="45">
        <f>D77*Assumptions!$B$157*Assumptions!$B$143*D7/12*(1+Assumptions!$B$16)</f>
        <v/>
      </c>
      <c r="E84" s="45">
        <f>E77*Assumptions!$B$157*Assumptions!$B$143*E7/12*(1+Assumptions!$B$16)</f>
        <v/>
      </c>
      <c r="F84" s="45">
        <f>F77*Assumptions!$B$157*Assumptions!$B$143*F7/12*(1+Assumptions!$B$16)</f>
        <v/>
      </c>
      <c r="G84" s="45">
        <f>G77*Assumptions!$B$157*Assumptions!$B$143*G7/12*(1+Assumptions!$B$16)</f>
        <v/>
      </c>
      <c r="H84" s="45">
        <f>H77*Assumptions!$B$157*Assumptions!$B$143*H7/12*(1+Assumptions!$B$16)</f>
        <v/>
      </c>
      <c r="I84" s="45">
        <f>I77*Assumptions!$B$157*Assumptions!$B$143*I7/12*(1+Assumptions!$B$16)</f>
        <v/>
      </c>
      <c r="J84" s="45">
        <f>J77*Assumptions!$B$157*Assumptions!$B$143*J7/12*(1+Assumptions!$B$16)</f>
        <v/>
      </c>
      <c r="K84" s="45">
        <f>K77*Assumptions!$B$157*Assumptions!$B$143*K7/12*(1+Assumptions!$B$16)</f>
        <v/>
      </c>
      <c r="L84" s="45">
        <f>L77*Assumptions!$B$157*Assumptions!$B$143*L7/12*(1+Assumptions!$B$16)</f>
        <v/>
      </c>
      <c r="M84" s="45">
        <f>M77*Assumptions!$B$157*Assumptions!$B$143*M7/12*(1+Assumptions!$B$16)</f>
        <v/>
      </c>
      <c r="N84" s="45">
        <f>N77*Assumptions!$B$157*Assumptions!$B$143*N7/12*(1+Assumptions!$B$16)</f>
        <v/>
      </c>
      <c r="O84" s="45">
        <f>O77*Assumptions!$B$157*Assumptions!$B$143*O7/12*(1+Assumptions!$B$16)</f>
        <v/>
      </c>
      <c r="P84" s="45">
        <f>P77*Assumptions!$B$157*Assumptions!$B$143*P7/12*(1+Assumptions!$B$16)</f>
        <v/>
      </c>
      <c r="Q84" s="45">
        <f>Q77*Assumptions!$B$157*Assumptions!$B$143*Q7/12*(1+Assumptions!$B$16)</f>
        <v/>
      </c>
      <c r="R84" s="45">
        <f>R77*Assumptions!$B$157*Assumptions!$B$143*R7/12*(1+Assumptions!$B$16)</f>
        <v/>
      </c>
      <c r="S84" s="45">
        <f>S77*Assumptions!$B$157*Assumptions!$B$143*S7/12*(1+Assumptions!$B$16)</f>
        <v/>
      </c>
      <c r="T84" s="45">
        <f>T77*Assumptions!$B$157*Assumptions!$B$143*T7/12*(1+Assumptions!$B$16)</f>
        <v/>
      </c>
      <c r="U84" s="45">
        <f>U77*Assumptions!$B$157*Assumptions!$B$143*U7/12*(1+Assumptions!$B$16)</f>
        <v/>
      </c>
      <c r="V84" s="45">
        <f>V77*Assumptions!$B$157*Assumptions!$B$143*V7/12*(1+Assumptions!$B$16)</f>
        <v/>
      </c>
      <c r="W84" s="45">
        <f>W77*Assumptions!$B$157*Assumptions!$B$143*W7/12*(1+Assumptions!$B$16)</f>
        <v/>
      </c>
      <c r="X84" s="45">
        <f>X77*Assumptions!$B$157*Assumptions!$B$143*X7/12*(1+Assumptions!$B$16)</f>
        <v/>
      </c>
      <c r="Y84" s="45">
        <f>Y77*Assumptions!$B$157*Assumptions!$B$143*Y7/12*(1+Assumptions!$B$16)</f>
        <v/>
      </c>
      <c r="Z84" s="45">
        <f>Z77*Assumptions!$B$157*Assumptions!$B$143*Z7/12*(1+Assumptions!$B$16)</f>
        <v/>
      </c>
      <c r="AA84" s="45">
        <f>AA77*Assumptions!$B$157*Assumptions!$B$143*AA7/12*(1+Assumptions!$B$16)</f>
        <v/>
      </c>
      <c r="AB84" s="45">
        <f>AB77*Assumptions!$B$157*Assumptions!$B$143*AB7/12*(1+Assumptions!$B$16)</f>
        <v/>
      </c>
      <c r="AC84" s="45">
        <f>AC77*Assumptions!$B$157*Assumptions!$B$143*AC7/12*(1+Assumptions!$B$16)</f>
        <v/>
      </c>
      <c r="AD84" s="45">
        <f>AD77*Assumptions!$B$157*Assumptions!$B$143*AD7/12*(1+Assumptions!$B$16)</f>
        <v/>
      </c>
      <c r="AE84" s="45">
        <f>AE77*Assumptions!$B$157*Assumptions!$B$143*AE7/12*(1+Assumptions!$B$16)</f>
        <v/>
      </c>
    </row>
    <row r="85">
      <c r="A85" s="6" t="inlineStr">
        <is>
          <t xml:space="preserve">  Stream 1a - Entry fee, SIP</t>
        </is>
      </c>
      <c r="B85" s="23" t="inlineStr">
        <is>
          <t>USD</t>
        </is>
      </c>
      <c r="C85" s="55">
        <f>C69*Assumptions!$B$8</f>
        <v/>
      </c>
      <c r="D85" s="55">
        <f>D69*Assumptions!$B$8</f>
        <v/>
      </c>
      <c r="E85" s="55">
        <f>E69*Assumptions!$B$8</f>
        <v/>
      </c>
      <c r="F85" s="55">
        <f>F69*Assumptions!$B$8</f>
        <v/>
      </c>
      <c r="G85" s="55">
        <f>G69*Assumptions!$B$8</f>
        <v/>
      </c>
      <c r="H85" s="55">
        <f>H69*Assumptions!$B$8</f>
        <v/>
      </c>
      <c r="I85" s="55">
        <f>I69*Assumptions!$B$8</f>
        <v/>
      </c>
      <c r="J85" s="55">
        <f>J69*Assumptions!$B$8</f>
        <v/>
      </c>
      <c r="K85" s="55">
        <f>K69*Assumptions!$B$8</f>
        <v/>
      </c>
      <c r="L85" s="55">
        <f>L69*Assumptions!$B$8</f>
        <v/>
      </c>
      <c r="M85" s="55">
        <f>M69*Assumptions!$B$8</f>
        <v/>
      </c>
      <c r="N85" s="55">
        <f>N69*Assumptions!$B$8</f>
        <v/>
      </c>
      <c r="O85" s="55">
        <f>O69*Assumptions!$B$8</f>
        <v/>
      </c>
      <c r="P85" s="55">
        <f>P69*Assumptions!$B$8</f>
        <v/>
      </c>
      <c r="Q85" s="55">
        <f>Q69*Assumptions!$B$8</f>
        <v/>
      </c>
      <c r="R85" s="55">
        <f>R69*Assumptions!$B$8</f>
        <v/>
      </c>
      <c r="S85" s="55">
        <f>S69*Assumptions!$B$8</f>
        <v/>
      </c>
      <c r="T85" s="55">
        <f>T69*Assumptions!$B$8</f>
        <v/>
      </c>
      <c r="U85" s="55">
        <f>U69*Assumptions!$B$8</f>
        <v/>
      </c>
      <c r="V85" s="55">
        <f>V69*Assumptions!$B$8</f>
        <v/>
      </c>
      <c r="W85" s="55">
        <f>W69*Assumptions!$B$8</f>
        <v/>
      </c>
      <c r="X85" s="55">
        <f>X69*Assumptions!$B$8</f>
        <v/>
      </c>
      <c r="Y85" s="55">
        <f>Y69*Assumptions!$B$8</f>
        <v/>
      </c>
      <c r="Z85" s="55">
        <f>Z69*Assumptions!$B$8</f>
        <v/>
      </c>
      <c r="AA85" s="55">
        <f>AA69*Assumptions!$B$8</f>
        <v/>
      </c>
      <c r="AB85" s="55">
        <f>AB69*Assumptions!$B$8</f>
        <v/>
      </c>
      <c r="AC85" s="55">
        <f>AC69*Assumptions!$B$8</f>
        <v/>
      </c>
      <c r="AD85" s="55">
        <f>AD69*Assumptions!$B$8</f>
        <v/>
      </c>
      <c r="AE85" s="55">
        <f>AE69*Assumptions!$B$8</f>
        <v/>
      </c>
    </row>
    <row r="86">
      <c r="A86" s="6" t="inlineStr">
        <is>
          <t xml:space="preserve">  Stream 1b - Entry fee, SPOT</t>
        </is>
      </c>
      <c r="B86" s="23" t="inlineStr">
        <is>
          <t>USD</t>
        </is>
      </c>
      <c r="C86" s="55">
        <f>C70*Assumptions!$B$8</f>
        <v/>
      </c>
      <c r="D86" s="55">
        <f>D70*Assumptions!$B$8</f>
        <v/>
      </c>
      <c r="E86" s="55">
        <f>E70*Assumptions!$B$8</f>
        <v/>
      </c>
      <c r="F86" s="55">
        <f>F70*Assumptions!$B$8</f>
        <v/>
      </c>
      <c r="G86" s="55">
        <f>G70*Assumptions!$B$8</f>
        <v/>
      </c>
      <c r="H86" s="55">
        <f>H70*Assumptions!$B$8</f>
        <v/>
      </c>
      <c r="I86" s="55">
        <f>I70*Assumptions!$B$8</f>
        <v/>
      </c>
      <c r="J86" s="55">
        <f>J70*Assumptions!$B$8</f>
        <v/>
      </c>
      <c r="K86" s="55">
        <f>K70*Assumptions!$B$8</f>
        <v/>
      </c>
      <c r="L86" s="55">
        <f>L70*Assumptions!$B$8</f>
        <v/>
      </c>
      <c r="M86" s="55">
        <f>M70*Assumptions!$B$8</f>
        <v/>
      </c>
      <c r="N86" s="55">
        <f>N70*Assumptions!$B$8</f>
        <v/>
      </c>
      <c r="O86" s="55">
        <f>O70*Assumptions!$B$8</f>
        <v/>
      </c>
      <c r="P86" s="55">
        <f>P70*Assumptions!$B$8</f>
        <v/>
      </c>
      <c r="Q86" s="55">
        <f>Q70*Assumptions!$B$8</f>
        <v/>
      </c>
      <c r="R86" s="55">
        <f>R70*Assumptions!$B$8</f>
        <v/>
      </c>
      <c r="S86" s="55">
        <f>S70*Assumptions!$B$8</f>
        <v/>
      </c>
      <c r="T86" s="55">
        <f>T70*Assumptions!$B$8</f>
        <v/>
      </c>
      <c r="U86" s="55">
        <f>U70*Assumptions!$B$8</f>
        <v/>
      </c>
      <c r="V86" s="55">
        <f>V70*Assumptions!$B$8</f>
        <v/>
      </c>
      <c r="W86" s="55">
        <f>W70*Assumptions!$B$8</f>
        <v/>
      </c>
      <c r="X86" s="55">
        <f>X70*Assumptions!$B$8</f>
        <v/>
      </c>
      <c r="Y86" s="55">
        <f>Y70*Assumptions!$B$8</f>
        <v/>
      </c>
      <c r="Z86" s="55">
        <f>Z70*Assumptions!$B$8</f>
        <v/>
      </c>
      <c r="AA86" s="55">
        <f>AA70*Assumptions!$B$8</f>
        <v/>
      </c>
      <c r="AB86" s="55">
        <f>AB70*Assumptions!$B$8</f>
        <v/>
      </c>
      <c r="AC86" s="55">
        <f>AC70*Assumptions!$B$8</f>
        <v/>
      </c>
      <c r="AD86" s="55">
        <f>AD70*Assumptions!$B$8</f>
        <v/>
      </c>
      <c r="AE86" s="55">
        <f>AE70*Assumptions!$B$8</f>
        <v/>
      </c>
    </row>
    <row r="87">
      <c r="A87" s="6" t="inlineStr">
        <is>
          <t xml:space="preserve">  Stream 2 - Card interchange</t>
        </is>
      </c>
      <c r="B87" s="23" t="inlineStr">
        <is>
          <t>USD</t>
        </is>
      </c>
      <c r="C87" s="55">
        <f>C82*IF(Assumptions!$B$170=1,MIN(Assumptions!$B$14,1%),Assumptions!$B$14)*(1-Assumptions!$B$141)</f>
        <v/>
      </c>
      <c r="D87" s="55">
        <f>D82*IF(Assumptions!$B$170=1,MIN(Assumptions!$B$14,1%),Assumptions!$B$14)*(1-Assumptions!$B$141)</f>
        <v/>
      </c>
      <c r="E87" s="55">
        <f>E82*IF(Assumptions!$B$170=1,MIN(Assumptions!$B$14,1%),Assumptions!$B$14)*(1-Assumptions!$B$141)</f>
        <v/>
      </c>
      <c r="F87" s="55">
        <f>F82*IF(Assumptions!$B$170=1,MIN(Assumptions!$B$14,1%),Assumptions!$B$14)*(1-Assumptions!$B$141)</f>
        <v/>
      </c>
      <c r="G87" s="55">
        <f>G82*IF(Assumptions!$B$170=1,MIN(Assumptions!$B$14,1%),Assumptions!$B$14)*(1-Assumptions!$B$141)</f>
        <v/>
      </c>
      <c r="H87" s="55">
        <f>H82*IF(Assumptions!$B$170=1,MIN(Assumptions!$B$14,1%),Assumptions!$B$14)*(1-Assumptions!$B$141)</f>
        <v/>
      </c>
      <c r="I87" s="55">
        <f>I82*IF(Assumptions!$B$170=1,MIN(Assumptions!$B$14,1%),Assumptions!$B$14)*(1-Assumptions!$B$141)</f>
        <v/>
      </c>
      <c r="J87" s="55">
        <f>J82*IF(Assumptions!$B$170=1,MIN(Assumptions!$B$14,1%),Assumptions!$B$14)*(1-Assumptions!$B$141)</f>
        <v/>
      </c>
      <c r="K87" s="55">
        <f>K82*IF(Assumptions!$B$170=1,MIN(Assumptions!$B$14,1%),Assumptions!$B$14)*(1-Assumptions!$B$141)</f>
        <v/>
      </c>
      <c r="L87" s="55">
        <f>L82*IF(Assumptions!$B$170=1,MIN(Assumptions!$B$14,1%),Assumptions!$B$14)*(1-Assumptions!$B$141)</f>
        <v/>
      </c>
      <c r="M87" s="55">
        <f>M82*IF(Assumptions!$B$170=1,MIN(Assumptions!$B$14,1%),Assumptions!$B$14)*(1-Assumptions!$B$141)</f>
        <v/>
      </c>
      <c r="N87" s="55">
        <f>N82*IF(Assumptions!$B$170=1,MIN(Assumptions!$B$14,1%),Assumptions!$B$14)*(1-Assumptions!$B$141)</f>
        <v/>
      </c>
      <c r="O87" s="55">
        <f>O82*IF(Assumptions!$B$170=1,MIN(Assumptions!$B$14,1%),Assumptions!$B$14)*(1-Assumptions!$B$141)</f>
        <v/>
      </c>
      <c r="P87" s="55">
        <f>P82*IF(Assumptions!$B$170=1,MIN(Assumptions!$B$14,1%),Assumptions!$B$14)*(1-Assumptions!$B$141)</f>
        <v/>
      </c>
      <c r="Q87" s="55">
        <f>Q82*IF(Assumptions!$B$170=1,MIN(Assumptions!$B$14,1%),Assumptions!$B$14)*(1-Assumptions!$B$141)</f>
        <v/>
      </c>
      <c r="R87" s="55">
        <f>R82*IF(Assumptions!$B$170=1,MIN(Assumptions!$B$14,1%),Assumptions!$B$14)*(1-Assumptions!$B$141)</f>
        <v/>
      </c>
      <c r="S87" s="55">
        <f>S82*IF(Assumptions!$B$170=1,MIN(Assumptions!$B$14,1%),Assumptions!$B$14)*(1-Assumptions!$B$141)</f>
        <v/>
      </c>
      <c r="T87" s="55">
        <f>T82*IF(Assumptions!$B$170=1,MIN(Assumptions!$B$14,1%),Assumptions!$B$14)*(1-Assumptions!$B$141)</f>
        <v/>
      </c>
      <c r="U87" s="55">
        <f>U82*IF(Assumptions!$B$170=1,MIN(Assumptions!$B$14,1%),Assumptions!$B$14)*(1-Assumptions!$B$141)</f>
        <v/>
      </c>
      <c r="V87" s="55">
        <f>V82*IF(Assumptions!$B$170=1,MIN(Assumptions!$B$14,1%),Assumptions!$B$14)*(1-Assumptions!$B$141)</f>
        <v/>
      </c>
      <c r="W87" s="55">
        <f>W82*IF(Assumptions!$B$170=1,MIN(Assumptions!$B$14,1%),Assumptions!$B$14)*(1-Assumptions!$B$141)</f>
        <v/>
      </c>
      <c r="X87" s="55">
        <f>X82*IF(Assumptions!$B$170=1,MIN(Assumptions!$B$14,1%),Assumptions!$B$14)*(1-Assumptions!$B$141)</f>
        <v/>
      </c>
      <c r="Y87" s="55">
        <f>Y82*IF(Assumptions!$B$170=1,MIN(Assumptions!$B$14,1%),Assumptions!$B$14)*(1-Assumptions!$B$141)</f>
        <v/>
      </c>
      <c r="Z87" s="55">
        <f>Z82*IF(Assumptions!$B$170=1,MIN(Assumptions!$B$14,1%),Assumptions!$B$14)*(1-Assumptions!$B$141)</f>
        <v/>
      </c>
      <c r="AA87" s="55">
        <f>AA82*IF(Assumptions!$B$170=1,MIN(Assumptions!$B$14,1%),Assumptions!$B$14)*(1-Assumptions!$B$141)</f>
        <v/>
      </c>
      <c r="AB87" s="55">
        <f>AB82*IF(Assumptions!$B$170=1,MIN(Assumptions!$B$14,1%),Assumptions!$B$14)*(1-Assumptions!$B$141)</f>
        <v/>
      </c>
      <c r="AC87" s="55">
        <f>AC82*IF(Assumptions!$B$170=1,MIN(Assumptions!$B$14,1%),Assumptions!$B$14)*(1-Assumptions!$B$141)</f>
        <v/>
      </c>
      <c r="AD87" s="55">
        <f>AD82*IF(Assumptions!$B$170=1,MIN(Assumptions!$B$14,1%),Assumptions!$B$14)*(1-Assumptions!$B$141)</f>
        <v/>
      </c>
      <c r="AE87" s="55">
        <f>AE82*IF(Assumptions!$B$170=1,MIN(Assumptions!$B$14,1%),Assumptions!$B$14)*(1-Assumptions!$B$141)</f>
        <v/>
      </c>
    </row>
    <row r="88">
      <c r="A88" s="6" t="inlineStr">
        <is>
          <t xml:space="preserve">  Stream 3 - Family plan and Digital Will</t>
        </is>
      </c>
      <c r="B88" s="23" t="inlineStr">
        <is>
          <t>USD</t>
        </is>
      </c>
      <c r="C88" s="55">
        <f>IF(C2&gt;=Assumptions!$B$50,C65*Assumptions!$B$158*Assumptions!$B$25/12*C7,0)</f>
        <v/>
      </c>
      <c r="D88" s="55">
        <f>IF(D2&gt;=Assumptions!$B$50,D65*Assumptions!$B$158*Assumptions!$B$25/12*D7,0)</f>
        <v/>
      </c>
      <c r="E88" s="55">
        <f>IF(E2&gt;=Assumptions!$B$50,E65*Assumptions!$B$158*Assumptions!$B$25/12*E7,0)</f>
        <v/>
      </c>
      <c r="F88" s="55">
        <f>IF(F2&gt;=Assumptions!$B$50,F65*Assumptions!$B$158*Assumptions!$B$25/12*F7,0)</f>
        <v/>
      </c>
      <c r="G88" s="55">
        <f>IF(G2&gt;=Assumptions!$B$50,G65*Assumptions!$B$158*Assumptions!$B$25/12*G7,0)</f>
        <v/>
      </c>
      <c r="H88" s="55">
        <f>IF(H2&gt;=Assumptions!$B$50,H65*Assumptions!$B$158*Assumptions!$B$25/12*H7,0)</f>
        <v/>
      </c>
      <c r="I88" s="55">
        <f>IF(I2&gt;=Assumptions!$B$50,I65*Assumptions!$B$158*Assumptions!$B$25/12*I7,0)</f>
        <v/>
      </c>
      <c r="J88" s="55">
        <f>IF(J2&gt;=Assumptions!$B$50,J65*Assumptions!$B$158*Assumptions!$B$25/12*J7,0)</f>
        <v/>
      </c>
      <c r="K88" s="55">
        <f>IF(K2&gt;=Assumptions!$B$50,K65*Assumptions!$B$158*Assumptions!$B$25/12*K7,0)</f>
        <v/>
      </c>
      <c r="L88" s="55">
        <f>IF(L2&gt;=Assumptions!$B$50,L65*Assumptions!$B$158*Assumptions!$B$25/12*L7,0)</f>
        <v/>
      </c>
      <c r="M88" s="55">
        <f>IF(M2&gt;=Assumptions!$B$50,M65*Assumptions!$B$158*Assumptions!$B$25/12*M7,0)</f>
        <v/>
      </c>
      <c r="N88" s="55">
        <f>IF(N2&gt;=Assumptions!$B$50,N65*Assumptions!$B$158*Assumptions!$B$25/12*N7,0)</f>
        <v/>
      </c>
      <c r="O88" s="55">
        <f>IF(O2&gt;=Assumptions!$B$50,O65*Assumptions!$B$158*Assumptions!$B$25/12*O7,0)</f>
        <v/>
      </c>
      <c r="P88" s="55">
        <f>IF(P2&gt;=Assumptions!$B$50,P65*Assumptions!$B$158*Assumptions!$B$25/12*P7,0)</f>
        <v/>
      </c>
      <c r="Q88" s="55">
        <f>IF(Q2&gt;=Assumptions!$B$50,Q65*Assumptions!$B$158*Assumptions!$B$25/12*Q7,0)</f>
        <v/>
      </c>
      <c r="R88" s="55">
        <f>IF(R2&gt;=Assumptions!$B$50,R65*Assumptions!$B$158*Assumptions!$B$25/12*R7,0)</f>
        <v/>
      </c>
      <c r="S88" s="55">
        <f>IF(S2&gt;=Assumptions!$B$50,S65*Assumptions!$B$158*Assumptions!$B$25/12*S7,0)</f>
        <v/>
      </c>
      <c r="T88" s="55">
        <f>IF(T2&gt;=Assumptions!$B$50,T65*Assumptions!$B$158*Assumptions!$B$25/12*T7,0)</f>
        <v/>
      </c>
      <c r="U88" s="55">
        <f>IF(U2&gt;=Assumptions!$B$50,U65*Assumptions!$B$158*Assumptions!$B$25/12*U7,0)</f>
        <v/>
      </c>
      <c r="V88" s="55">
        <f>IF(V2&gt;=Assumptions!$B$50,V65*Assumptions!$B$158*Assumptions!$B$25/12*V7,0)</f>
        <v/>
      </c>
      <c r="W88" s="55">
        <f>IF(W2&gt;=Assumptions!$B$50,W65*Assumptions!$B$158*Assumptions!$B$25/12*W7,0)</f>
        <v/>
      </c>
      <c r="X88" s="55">
        <f>IF(X2&gt;=Assumptions!$B$50,X65*Assumptions!$B$158*Assumptions!$B$25/12*X7,0)</f>
        <v/>
      </c>
      <c r="Y88" s="55">
        <f>IF(Y2&gt;=Assumptions!$B$50,Y65*Assumptions!$B$158*Assumptions!$B$25/12*Y7,0)</f>
        <v/>
      </c>
      <c r="Z88" s="55">
        <f>IF(Z2&gt;=Assumptions!$B$50,Z65*Assumptions!$B$158*Assumptions!$B$25/12*Z7,0)</f>
        <v/>
      </c>
      <c r="AA88" s="55">
        <f>IF(AA2&gt;=Assumptions!$B$50,AA65*Assumptions!$B$158*Assumptions!$B$25/12*AA7,0)</f>
        <v/>
      </c>
      <c r="AB88" s="55">
        <f>IF(AB2&gt;=Assumptions!$B$50,AB65*Assumptions!$B$158*Assumptions!$B$25/12*AB7,0)</f>
        <v/>
      </c>
      <c r="AC88" s="55">
        <f>IF(AC2&gt;=Assumptions!$B$50,AC65*Assumptions!$B$158*Assumptions!$B$25/12*AC7,0)</f>
        <v/>
      </c>
      <c r="AD88" s="55">
        <f>IF(AD2&gt;=Assumptions!$B$50,AD65*Assumptions!$B$158*Assumptions!$B$25/12*AD7,0)</f>
        <v/>
      </c>
      <c r="AE88" s="55">
        <f>IF(AE2&gt;=Assumptions!$B$50,AE65*Assumptions!$B$158*Assumptions!$B$25/12*AE7,0)</f>
        <v/>
      </c>
    </row>
    <row r="89">
      <c r="A89" s="6" t="inlineStr">
        <is>
          <t xml:space="preserve">  Stream 4 - Cardholder fees (FX, ATM, events)</t>
        </is>
      </c>
      <c r="B89" s="23" t="inlineStr">
        <is>
          <t>USD</t>
        </is>
      </c>
      <c r="C89" s="55">
        <f>IF(C2&gt;=Assumptions!$B$52,C82*C17*Assumptions!$B$17+C77*(Assumptions!$B$147*MAX(0,Assumptions!$B$151-Assumptions!$B$18)+Assumptions!$B$148*MAX(0,Assumptions!$B$152-Assumptions!$B$18)+Assumptions!$B$149*MAX(0,Assumptions!$B$153-Assumptions!$B$18)+Assumptions!$B$150*MAX(0,Assumptions!$B$154-Assumptions!$B$18))*Assumptions!$B$19/Assumptions!$B$7*C7+C77*(Assumptions!$B$145*Assumptions!$B$20+Assumptions!$B$146*Assumptions!$B$21)/12/Assumptions!$B$7*C7,0)</f>
        <v/>
      </c>
      <c r="D89" s="55">
        <f>IF(D2&gt;=Assumptions!$B$52,D82*D17*Assumptions!$B$17+D77*(Assumptions!$B$147*MAX(0,Assumptions!$B$151-Assumptions!$B$18)+Assumptions!$B$148*MAX(0,Assumptions!$B$152-Assumptions!$B$18)+Assumptions!$B$149*MAX(0,Assumptions!$B$153-Assumptions!$B$18)+Assumptions!$B$150*MAX(0,Assumptions!$B$154-Assumptions!$B$18))*Assumptions!$B$19/Assumptions!$B$7*D7+D77*(Assumptions!$B$145*Assumptions!$B$20+Assumptions!$B$146*Assumptions!$B$21)/12/Assumptions!$B$7*D7,0)</f>
        <v/>
      </c>
      <c r="E89" s="55">
        <f>IF(E2&gt;=Assumptions!$B$52,E82*E17*Assumptions!$B$17+E77*(Assumptions!$B$147*MAX(0,Assumptions!$B$151-Assumptions!$B$18)+Assumptions!$B$148*MAX(0,Assumptions!$B$152-Assumptions!$B$18)+Assumptions!$B$149*MAX(0,Assumptions!$B$153-Assumptions!$B$18)+Assumptions!$B$150*MAX(0,Assumptions!$B$154-Assumptions!$B$18))*Assumptions!$B$19/Assumptions!$B$7*E7+E77*(Assumptions!$B$145*Assumptions!$B$20+Assumptions!$B$146*Assumptions!$B$21)/12/Assumptions!$B$7*E7,0)</f>
        <v/>
      </c>
      <c r="F89" s="55">
        <f>IF(F2&gt;=Assumptions!$B$52,F82*F17*Assumptions!$B$17+F77*(Assumptions!$B$147*MAX(0,Assumptions!$B$151-Assumptions!$B$18)+Assumptions!$B$148*MAX(0,Assumptions!$B$152-Assumptions!$B$18)+Assumptions!$B$149*MAX(0,Assumptions!$B$153-Assumptions!$B$18)+Assumptions!$B$150*MAX(0,Assumptions!$B$154-Assumptions!$B$18))*Assumptions!$B$19/Assumptions!$B$7*F7+F77*(Assumptions!$B$145*Assumptions!$B$20+Assumptions!$B$146*Assumptions!$B$21)/12/Assumptions!$B$7*F7,0)</f>
        <v/>
      </c>
      <c r="G89" s="55">
        <f>IF(G2&gt;=Assumptions!$B$52,G82*G17*Assumptions!$B$17+G77*(Assumptions!$B$147*MAX(0,Assumptions!$B$151-Assumptions!$B$18)+Assumptions!$B$148*MAX(0,Assumptions!$B$152-Assumptions!$B$18)+Assumptions!$B$149*MAX(0,Assumptions!$B$153-Assumptions!$B$18)+Assumptions!$B$150*MAX(0,Assumptions!$B$154-Assumptions!$B$18))*Assumptions!$B$19/Assumptions!$B$7*G7+G77*(Assumptions!$B$145*Assumptions!$B$20+Assumptions!$B$146*Assumptions!$B$21)/12/Assumptions!$B$7*G7,0)</f>
        <v/>
      </c>
      <c r="H89" s="55">
        <f>IF(H2&gt;=Assumptions!$B$52,H82*H17*Assumptions!$B$17+H77*(Assumptions!$B$147*MAX(0,Assumptions!$B$151-Assumptions!$B$18)+Assumptions!$B$148*MAX(0,Assumptions!$B$152-Assumptions!$B$18)+Assumptions!$B$149*MAX(0,Assumptions!$B$153-Assumptions!$B$18)+Assumptions!$B$150*MAX(0,Assumptions!$B$154-Assumptions!$B$18))*Assumptions!$B$19/Assumptions!$B$7*H7+H77*(Assumptions!$B$145*Assumptions!$B$20+Assumptions!$B$146*Assumptions!$B$21)/12/Assumptions!$B$7*H7,0)</f>
        <v/>
      </c>
      <c r="I89" s="55">
        <f>IF(I2&gt;=Assumptions!$B$52,I82*I17*Assumptions!$B$17+I77*(Assumptions!$B$147*MAX(0,Assumptions!$B$151-Assumptions!$B$18)+Assumptions!$B$148*MAX(0,Assumptions!$B$152-Assumptions!$B$18)+Assumptions!$B$149*MAX(0,Assumptions!$B$153-Assumptions!$B$18)+Assumptions!$B$150*MAX(0,Assumptions!$B$154-Assumptions!$B$18))*Assumptions!$B$19/Assumptions!$B$7*I7+I77*(Assumptions!$B$145*Assumptions!$B$20+Assumptions!$B$146*Assumptions!$B$21)/12/Assumptions!$B$7*I7,0)</f>
        <v/>
      </c>
      <c r="J89" s="55">
        <f>IF(J2&gt;=Assumptions!$B$52,J82*J17*Assumptions!$B$17+J77*(Assumptions!$B$147*MAX(0,Assumptions!$B$151-Assumptions!$B$18)+Assumptions!$B$148*MAX(0,Assumptions!$B$152-Assumptions!$B$18)+Assumptions!$B$149*MAX(0,Assumptions!$B$153-Assumptions!$B$18)+Assumptions!$B$150*MAX(0,Assumptions!$B$154-Assumptions!$B$18))*Assumptions!$B$19/Assumptions!$B$7*J7+J77*(Assumptions!$B$145*Assumptions!$B$20+Assumptions!$B$146*Assumptions!$B$21)/12/Assumptions!$B$7*J7,0)</f>
        <v/>
      </c>
      <c r="K89" s="55">
        <f>IF(K2&gt;=Assumptions!$B$52,K82*K17*Assumptions!$B$17+K77*(Assumptions!$B$147*MAX(0,Assumptions!$B$151-Assumptions!$B$18)+Assumptions!$B$148*MAX(0,Assumptions!$B$152-Assumptions!$B$18)+Assumptions!$B$149*MAX(0,Assumptions!$B$153-Assumptions!$B$18)+Assumptions!$B$150*MAX(0,Assumptions!$B$154-Assumptions!$B$18))*Assumptions!$B$19/Assumptions!$B$7*K7+K77*(Assumptions!$B$145*Assumptions!$B$20+Assumptions!$B$146*Assumptions!$B$21)/12/Assumptions!$B$7*K7,0)</f>
        <v/>
      </c>
      <c r="L89" s="55">
        <f>IF(L2&gt;=Assumptions!$B$52,L82*L17*Assumptions!$B$17+L77*(Assumptions!$B$147*MAX(0,Assumptions!$B$151-Assumptions!$B$18)+Assumptions!$B$148*MAX(0,Assumptions!$B$152-Assumptions!$B$18)+Assumptions!$B$149*MAX(0,Assumptions!$B$153-Assumptions!$B$18)+Assumptions!$B$150*MAX(0,Assumptions!$B$154-Assumptions!$B$18))*Assumptions!$B$19/Assumptions!$B$7*L7+L77*(Assumptions!$B$145*Assumptions!$B$20+Assumptions!$B$146*Assumptions!$B$21)/12/Assumptions!$B$7*L7,0)</f>
        <v/>
      </c>
      <c r="M89" s="55">
        <f>IF(M2&gt;=Assumptions!$B$52,M82*M17*Assumptions!$B$17+M77*(Assumptions!$B$147*MAX(0,Assumptions!$B$151-Assumptions!$B$18)+Assumptions!$B$148*MAX(0,Assumptions!$B$152-Assumptions!$B$18)+Assumptions!$B$149*MAX(0,Assumptions!$B$153-Assumptions!$B$18)+Assumptions!$B$150*MAX(0,Assumptions!$B$154-Assumptions!$B$18))*Assumptions!$B$19/Assumptions!$B$7*M7+M77*(Assumptions!$B$145*Assumptions!$B$20+Assumptions!$B$146*Assumptions!$B$21)/12/Assumptions!$B$7*M7,0)</f>
        <v/>
      </c>
      <c r="N89" s="55">
        <f>IF(N2&gt;=Assumptions!$B$52,N82*N17*Assumptions!$B$17+N77*(Assumptions!$B$147*MAX(0,Assumptions!$B$151-Assumptions!$B$18)+Assumptions!$B$148*MAX(0,Assumptions!$B$152-Assumptions!$B$18)+Assumptions!$B$149*MAX(0,Assumptions!$B$153-Assumptions!$B$18)+Assumptions!$B$150*MAX(0,Assumptions!$B$154-Assumptions!$B$18))*Assumptions!$B$19/Assumptions!$B$7*N7+N77*(Assumptions!$B$145*Assumptions!$B$20+Assumptions!$B$146*Assumptions!$B$21)/12/Assumptions!$B$7*N7,0)</f>
        <v/>
      </c>
      <c r="O89" s="55">
        <f>IF(O2&gt;=Assumptions!$B$52,O82*O17*Assumptions!$B$17+O77*(Assumptions!$B$147*MAX(0,Assumptions!$B$151-Assumptions!$B$18)+Assumptions!$B$148*MAX(0,Assumptions!$B$152-Assumptions!$B$18)+Assumptions!$B$149*MAX(0,Assumptions!$B$153-Assumptions!$B$18)+Assumptions!$B$150*MAX(0,Assumptions!$B$154-Assumptions!$B$18))*Assumptions!$B$19/Assumptions!$B$7*O7+O77*(Assumptions!$B$145*Assumptions!$B$20+Assumptions!$B$146*Assumptions!$B$21)/12/Assumptions!$B$7*O7,0)</f>
        <v/>
      </c>
      <c r="P89" s="55">
        <f>IF(P2&gt;=Assumptions!$B$52,P82*P17*Assumptions!$B$17+P77*(Assumptions!$B$147*MAX(0,Assumptions!$B$151-Assumptions!$B$18)+Assumptions!$B$148*MAX(0,Assumptions!$B$152-Assumptions!$B$18)+Assumptions!$B$149*MAX(0,Assumptions!$B$153-Assumptions!$B$18)+Assumptions!$B$150*MAX(0,Assumptions!$B$154-Assumptions!$B$18))*Assumptions!$B$19/Assumptions!$B$7*P7+P77*(Assumptions!$B$145*Assumptions!$B$20+Assumptions!$B$146*Assumptions!$B$21)/12/Assumptions!$B$7*P7,0)</f>
        <v/>
      </c>
      <c r="Q89" s="55">
        <f>IF(Q2&gt;=Assumptions!$B$52,Q82*Q17*Assumptions!$B$17+Q77*(Assumptions!$B$147*MAX(0,Assumptions!$B$151-Assumptions!$B$18)+Assumptions!$B$148*MAX(0,Assumptions!$B$152-Assumptions!$B$18)+Assumptions!$B$149*MAX(0,Assumptions!$B$153-Assumptions!$B$18)+Assumptions!$B$150*MAX(0,Assumptions!$B$154-Assumptions!$B$18))*Assumptions!$B$19/Assumptions!$B$7*Q7+Q77*(Assumptions!$B$145*Assumptions!$B$20+Assumptions!$B$146*Assumptions!$B$21)/12/Assumptions!$B$7*Q7,0)</f>
        <v/>
      </c>
      <c r="R89" s="55">
        <f>IF(R2&gt;=Assumptions!$B$52,R82*R17*Assumptions!$B$17+R77*(Assumptions!$B$147*MAX(0,Assumptions!$B$151-Assumptions!$B$18)+Assumptions!$B$148*MAX(0,Assumptions!$B$152-Assumptions!$B$18)+Assumptions!$B$149*MAX(0,Assumptions!$B$153-Assumptions!$B$18)+Assumptions!$B$150*MAX(0,Assumptions!$B$154-Assumptions!$B$18))*Assumptions!$B$19/Assumptions!$B$7*R7+R77*(Assumptions!$B$145*Assumptions!$B$20+Assumptions!$B$146*Assumptions!$B$21)/12/Assumptions!$B$7*R7,0)</f>
        <v/>
      </c>
      <c r="S89" s="55">
        <f>IF(S2&gt;=Assumptions!$B$52,S82*S17*Assumptions!$B$17+S77*(Assumptions!$B$147*MAX(0,Assumptions!$B$151-Assumptions!$B$18)+Assumptions!$B$148*MAX(0,Assumptions!$B$152-Assumptions!$B$18)+Assumptions!$B$149*MAX(0,Assumptions!$B$153-Assumptions!$B$18)+Assumptions!$B$150*MAX(0,Assumptions!$B$154-Assumptions!$B$18))*Assumptions!$B$19/Assumptions!$B$7*S7+S77*(Assumptions!$B$145*Assumptions!$B$20+Assumptions!$B$146*Assumptions!$B$21)/12/Assumptions!$B$7*S7,0)</f>
        <v/>
      </c>
      <c r="T89" s="55">
        <f>IF(T2&gt;=Assumptions!$B$52,T82*T17*Assumptions!$B$17+T77*(Assumptions!$B$147*MAX(0,Assumptions!$B$151-Assumptions!$B$18)+Assumptions!$B$148*MAX(0,Assumptions!$B$152-Assumptions!$B$18)+Assumptions!$B$149*MAX(0,Assumptions!$B$153-Assumptions!$B$18)+Assumptions!$B$150*MAX(0,Assumptions!$B$154-Assumptions!$B$18))*Assumptions!$B$19/Assumptions!$B$7*T7+T77*(Assumptions!$B$145*Assumptions!$B$20+Assumptions!$B$146*Assumptions!$B$21)/12/Assumptions!$B$7*T7,0)</f>
        <v/>
      </c>
      <c r="U89" s="55">
        <f>IF(U2&gt;=Assumptions!$B$52,U82*U17*Assumptions!$B$17+U77*(Assumptions!$B$147*MAX(0,Assumptions!$B$151-Assumptions!$B$18)+Assumptions!$B$148*MAX(0,Assumptions!$B$152-Assumptions!$B$18)+Assumptions!$B$149*MAX(0,Assumptions!$B$153-Assumptions!$B$18)+Assumptions!$B$150*MAX(0,Assumptions!$B$154-Assumptions!$B$18))*Assumptions!$B$19/Assumptions!$B$7*U7+U77*(Assumptions!$B$145*Assumptions!$B$20+Assumptions!$B$146*Assumptions!$B$21)/12/Assumptions!$B$7*U7,0)</f>
        <v/>
      </c>
      <c r="V89" s="55">
        <f>IF(V2&gt;=Assumptions!$B$52,V82*V17*Assumptions!$B$17+V77*(Assumptions!$B$147*MAX(0,Assumptions!$B$151-Assumptions!$B$18)+Assumptions!$B$148*MAX(0,Assumptions!$B$152-Assumptions!$B$18)+Assumptions!$B$149*MAX(0,Assumptions!$B$153-Assumptions!$B$18)+Assumptions!$B$150*MAX(0,Assumptions!$B$154-Assumptions!$B$18))*Assumptions!$B$19/Assumptions!$B$7*V7+V77*(Assumptions!$B$145*Assumptions!$B$20+Assumptions!$B$146*Assumptions!$B$21)/12/Assumptions!$B$7*V7,0)</f>
        <v/>
      </c>
      <c r="W89" s="55">
        <f>IF(W2&gt;=Assumptions!$B$52,W82*W17*Assumptions!$B$17+W77*(Assumptions!$B$147*MAX(0,Assumptions!$B$151-Assumptions!$B$18)+Assumptions!$B$148*MAX(0,Assumptions!$B$152-Assumptions!$B$18)+Assumptions!$B$149*MAX(0,Assumptions!$B$153-Assumptions!$B$18)+Assumptions!$B$150*MAX(0,Assumptions!$B$154-Assumptions!$B$18))*Assumptions!$B$19/Assumptions!$B$7*W7+W77*(Assumptions!$B$145*Assumptions!$B$20+Assumptions!$B$146*Assumptions!$B$21)/12/Assumptions!$B$7*W7,0)</f>
        <v/>
      </c>
      <c r="X89" s="55">
        <f>IF(X2&gt;=Assumptions!$B$52,X82*X17*Assumptions!$B$17+X77*(Assumptions!$B$147*MAX(0,Assumptions!$B$151-Assumptions!$B$18)+Assumptions!$B$148*MAX(0,Assumptions!$B$152-Assumptions!$B$18)+Assumptions!$B$149*MAX(0,Assumptions!$B$153-Assumptions!$B$18)+Assumptions!$B$150*MAX(0,Assumptions!$B$154-Assumptions!$B$18))*Assumptions!$B$19/Assumptions!$B$7*X7+X77*(Assumptions!$B$145*Assumptions!$B$20+Assumptions!$B$146*Assumptions!$B$21)/12/Assumptions!$B$7*X7,0)</f>
        <v/>
      </c>
      <c r="Y89" s="55">
        <f>IF(Y2&gt;=Assumptions!$B$52,Y82*Y17*Assumptions!$B$17+Y77*(Assumptions!$B$147*MAX(0,Assumptions!$B$151-Assumptions!$B$18)+Assumptions!$B$148*MAX(0,Assumptions!$B$152-Assumptions!$B$18)+Assumptions!$B$149*MAX(0,Assumptions!$B$153-Assumptions!$B$18)+Assumptions!$B$150*MAX(0,Assumptions!$B$154-Assumptions!$B$18))*Assumptions!$B$19/Assumptions!$B$7*Y7+Y77*(Assumptions!$B$145*Assumptions!$B$20+Assumptions!$B$146*Assumptions!$B$21)/12/Assumptions!$B$7*Y7,0)</f>
        <v/>
      </c>
      <c r="Z89" s="55">
        <f>IF(Z2&gt;=Assumptions!$B$52,Z82*Z17*Assumptions!$B$17+Z77*(Assumptions!$B$147*MAX(0,Assumptions!$B$151-Assumptions!$B$18)+Assumptions!$B$148*MAX(0,Assumptions!$B$152-Assumptions!$B$18)+Assumptions!$B$149*MAX(0,Assumptions!$B$153-Assumptions!$B$18)+Assumptions!$B$150*MAX(0,Assumptions!$B$154-Assumptions!$B$18))*Assumptions!$B$19/Assumptions!$B$7*Z7+Z77*(Assumptions!$B$145*Assumptions!$B$20+Assumptions!$B$146*Assumptions!$B$21)/12/Assumptions!$B$7*Z7,0)</f>
        <v/>
      </c>
      <c r="AA89" s="55">
        <f>IF(AA2&gt;=Assumptions!$B$52,AA82*AA17*Assumptions!$B$17+AA77*(Assumptions!$B$147*MAX(0,Assumptions!$B$151-Assumptions!$B$18)+Assumptions!$B$148*MAX(0,Assumptions!$B$152-Assumptions!$B$18)+Assumptions!$B$149*MAX(0,Assumptions!$B$153-Assumptions!$B$18)+Assumptions!$B$150*MAX(0,Assumptions!$B$154-Assumptions!$B$18))*Assumptions!$B$19/Assumptions!$B$7*AA7+AA77*(Assumptions!$B$145*Assumptions!$B$20+Assumptions!$B$146*Assumptions!$B$21)/12/Assumptions!$B$7*AA7,0)</f>
        <v/>
      </c>
      <c r="AB89" s="55">
        <f>IF(AB2&gt;=Assumptions!$B$52,AB82*AB17*Assumptions!$B$17+AB77*(Assumptions!$B$147*MAX(0,Assumptions!$B$151-Assumptions!$B$18)+Assumptions!$B$148*MAX(0,Assumptions!$B$152-Assumptions!$B$18)+Assumptions!$B$149*MAX(0,Assumptions!$B$153-Assumptions!$B$18)+Assumptions!$B$150*MAX(0,Assumptions!$B$154-Assumptions!$B$18))*Assumptions!$B$19/Assumptions!$B$7*AB7+AB77*(Assumptions!$B$145*Assumptions!$B$20+Assumptions!$B$146*Assumptions!$B$21)/12/Assumptions!$B$7*AB7,0)</f>
        <v/>
      </c>
      <c r="AC89" s="55">
        <f>IF(AC2&gt;=Assumptions!$B$52,AC82*AC17*Assumptions!$B$17+AC77*(Assumptions!$B$147*MAX(0,Assumptions!$B$151-Assumptions!$B$18)+Assumptions!$B$148*MAX(0,Assumptions!$B$152-Assumptions!$B$18)+Assumptions!$B$149*MAX(0,Assumptions!$B$153-Assumptions!$B$18)+Assumptions!$B$150*MAX(0,Assumptions!$B$154-Assumptions!$B$18))*Assumptions!$B$19/Assumptions!$B$7*AC7+AC77*(Assumptions!$B$145*Assumptions!$B$20+Assumptions!$B$146*Assumptions!$B$21)/12/Assumptions!$B$7*AC7,0)</f>
        <v/>
      </c>
      <c r="AD89" s="55">
        <f>IF(AD2&gt;=Assumptions!$B$52,AD82*AD17*Assumptions!$B$17+AD77*(Assumptions!$B$147*MAX(0,Assumptions!$B$151-Assumptions!$B$18)+Assumptions!$B$148*MAX(0,Assumptions!$B$152-Assumptions!$B$18)+Assumptions!$B$149*MAX(0,Assumptions!$B$153-Assumptions!$B$18)+Assumptions!$B$150*MAX(0,Assumptions!$B$154-Assumptions!$B$18))*Assumptions!$B$19/Assumptions!$B$7*AD7+AD77*(Assumptions!$B$145*Assumptions!$B$20+Assumptions!$B$146*Assumptions!$B$21)/12/Assumptions!$B$7*AD7,0)</f>
        <v/>
      </c>
      <c r="AE89" s="55">
        <f>IF(AE2&gt;=Assumptions!$B$52,AE82*AE17*Assumptions!$B$17+AE77*(Assumptions!$B$147*MAX(0,Assumptions!$B$151-Assumptions!$B$18)+Assumptions!$B$148*MAX(0,Assumptions!$B$152-Assumptions!$B$18)+Assumptions!$B$149*MAX(0,Assumptions!$B$153-Assumptions!$B$18)+Assumptions!$B$150*MAX(0,Assumptions!$B$154-Assumptions!$B$18))*Assumptions!$B$19/Assumptions!$B$7*AE7+AE77*(Assumptions!$B$145*Assumptions!$B$20+Assumptions!$B$146*Assumptions!$B$21)/12/Assumptions!$B$7*AE7,0)</f>
        <v/>
      </c>
    </row>
    <row r="90">
      <c r="A90" s="6" t="inlineStr">
        <is>
          <t xml:space="preserve">  Average drawn balance outstanding</t>
        </is>
      </c>
      <c r="B90" s="23" t="inlineStr">
        <is>
          <t>USD</t>
        </is>
      </c>
      <c r="C90" s="55">
        <f>IF(C2&gt;=Assumptions!$B$53,C77*C78*(1-Assumptions!$B$170)*Assumptions!$B$155*Assumptions!$B$156,0)</f>
        <v/>
      </c>
      <c r="D90" s="55">
        <f>IF(D2&gt;=Assumptions!$B$53,D77*D78*(1-Assumptions!$B$170)*Assumptions!$B$155*Assumptions!$B$156,0)</f>
        <v/>
      </c>
      <c r="E90" s="55">
        <f>IF(E2&gt;=Assumptions!$B$53,E77*E78*(1-Assumptions!$B$170)*Assumptions!$B$155*Assumptions!$B$156,0)</f>
        <v/>
      </c>
      <c r="F90" s="55">
        <f>IF(F2&gt;=Assumptions!$B$53,F77*F78*(1-Assumptions!$B$170)*Assumptions!$B$155*Assumptions!$B$156,0)</f>
        <v/>
      </c>
      <c r="G90" s="55">
        <f>IF(G2&gt;=Assumptions!$B$53,G77*G78*(1-Assumptions!$B$170)*Assumptions!$B$155*Assumptions!$B$156,0)</f>
        <v/>
      </c>
      <c r="H90" s="55">
        <f>IF(H2&gt;=Assumptions!$B$53,H77*H78*(1-Assumptions!$B$170)*Assumptions!$B$155*Assumptions!$B$156,0)</f>
        <v/>
      </c>
      <c r="I90" s="55">
        <f>IF(I2&gt;=Assumptions!$B$53,I77*I78*(1-Assumptions!$B$170)*Assumptions!$B$155*Assumptions!$B$156,0)</f>
        <v/>
      </c>
      <c r="J90" s="55">
        <f>IF(J2&gt;=Assumptions!$B$53,J77*J78*(1-Assumptions!$B$170)*Assumptions!$B$155*Assumptions!$B$156,0)</f>
        <v/>
      </c>
      <c r="K90" s="55">
        <f>IF(K2&gt;=Assumptions!$B$53,K77*K78*(1-Assumptions!$B$170)*Assumptions!$B$155*Assumptions!$B$156,0)</f>
        <v/>
      </c>
      <c r="L90" s="55">
        <f>IF(L2&gt;=Assumptions!$B$53,L77*L78*(1-Assumptions!$B$170)*Assumptions!$B$155*Assumptions!$B$156,0)</f>
        <v/>
      </c>
      <c r="M90" s="55">
        <f>IF(M2&gt;=Assumptions!$B$53,M77*M78*(1-Assumptions!$B$170)*Assumptions!$B$155*Assumptions!$B$156,0)</f>
        <v/>
      </c>
      <c r="N90" s="55">
        <f>IF(N2&gt;=Assumptions!$B$53,N77*N78*(1-Assumptions!$B$170)*Assumptions!$B$155*Assumptions!$B$156,0)</f>
        <v/>
      </c>
      <c r="O90" s="55">
        <f>IF(O2&gt;=Assumptions!$B$53,O77*O78*(1-Assumptions!$B$170)*Assumptions!$B$155*Assumptions!$B$156,0)</f>
        <v/>
      </c>
      <c r="P90" s="55">
        <f>IF(P2&gt;=Assumptions!$B$53,P77*P78*(1-Assumptions!$B$170)*Assumptions!$B$155*Assumptions!$B$156,0)</f>
        <v/>
      </c>
      <c r="Q90" s="55">
        <f>IF(Q2&gt;=Assumptions!$B$53,Q77*Q78*(1-Assumptions!$B$170)*Assumptions!$B$155*Assumptions!$B$156,0)</f>
        <v/>
      </c>
      <c r="R90" s="55">
        <f>IF(R2&gt;=Assumptions!$B$53,R77*R78*(1-Assumptions!$B$170)*Assumptions!$B$155*Assumptions!$B$156,0)</f>
        <v/>
      </c>
      <c r="S90" s="55">
        <f>IF(S2&gt;=Assumptions!$B$53,S77*S78*(1-Assumptions!$B$170)*Assumptions!$B$155*Assumptions!$B$156,0)</f>
        <v/>
      </c>
      <c r="T90" s="55">
        <f>IF(T2&gt;=Assumptions!$B$53,T77*T78*(1-Assumptions!$B$170)*Assumptions!$B$155*Assumptions!$B$156,0)</f>
        <v/>
      </c>
      <c r="U90" s="55">
        <f>IF(U2&gt;=Assumptions!$B$53,U77*U78*(1-Assumptions!$B$170)*Assumptions!$B$155*Assumptions!$B$156,0)</f>
        <v/>
      </c>
      <c r="V90" s="55">
        <f>IF(V2&gt;=Assumptions!$B$53,V77*V78*(1-Assumptions!$B$170)*Assumptions!$B$155*Assumptions!$B$156,0)</f>
        <v/>
      </c>
      <c r="W90" s="55">
        <f>IF(W2&gt;=Assumptions!$B$53,W77*W78*(1-Assumptions!$B$170)*Assumptions!$B$155*Assumptions!$B$156,0)</f>
        <v/>
      </c>
      <c r="X90" s="55">
        <f>IF(X2&gt;=Assumptions!$B$53,X77*X78*(1-Assumptions!$B$170)*Assumptions!$B$155*Assumptions!$B$156,0)</f>
        <v/>
      </c>
      <c r="Y90" s="55">
        <f>IF(Y2&gt;=Assumptions!$B$53,Y77*Y78*(1-Assumptions!$B$170)*Assumptions!$B$155*Assumptions!$B$156,0)</f>
        <v/>
      </c>
      <c r="Z90" s="55">
        <f>IF(Z2&gt;=Assumptions!$B$53,Z77*Z78*(1-Assumptions!$B$170)*Assumptions!$B$155*Assumptions!$B$156,0)</f>
        <v/>
      </c>
      <c r="AA90" s="55">
        <f>IF(AA2&gt;=Assumptions!$B$53,AA77*AA78*(1-Assumptions!$B$170)*Assumptions!$B$155*Assumptions!$B$156,0)</f>
        <v/>
      </c>
      <c r="AB90" s="55">
        <f>IF(AB2&gt;=Assumptions!$B$53,AB77*AB78*(1-Assumptions!$B$170)*Assumptions!$B$155*Assumptions!$B$156,0)</f>
        <v/>
      </c>
      <c r="AC90" s="55">
        <f>IF(AC2&gt;=Assumptions!$B$53,AC77*AC78*(1-Assumptions!$B$170)*Assumptions!$B$155*Assumptions!$B$156,0)</f>
        <v/>
      </c>
      <c r="AD90" s="55">
        <f>IF(AD2&gt;=Assumptions!$B$53,AD77*AD78*(1-Assumptions!$B$170)*Assumptions!$B$155*Assumptions!$B$156,0)</f>
        <v/>
      </c>
      <c r="AE90" s="55">
        <f>IF(AE2&gt;=Assumptions!$B$53,AE77*AE78*(1-Assumptions!$B$170)*Assumptions!$B$155*Assumptions!$B$156,0)</f>
        <v/>
      </c>
    </row>
    <row r="91">
      <c r="A91" s="6" t="inlineStr">
        <is>
          <t xml:space="preserve">  Stream 5 - Lending revenue share</t>
        </is>
      </c>
      <c r="B91" s="23" t="inlineStr">
        <is>
          <t>USD</t>
        </is>
      </c>
      <c r="C91" s="55">
        <f>IF(C2&gt;=Assumptions!$B$53,(C90*Assumptions!$B$29*Assumptions!$B$30+C77*C79*(1-Assumptions!$B$170)*Assumptions!$B$27*Assumptions!$B$28)*C7/12,0)</f>
        <v/>
      </c>
      <c r="D91" s="55">
        <f>IF(D2&gt;=Assumptions!$B$53,(D90*Assumptions!$B$29*Assumptions!$B$30+D77*D79*(1-Assumptions!$B$170)*Assumptions!$B$27*Assumptions!$B$28)*D7/12,0)</f>
        <v/>
      </c>
      <c r="E91" s="55">
        <f>IF(E2&gt;=Assumptions!$B$53,(E90*Assumptions!$B$29*Assumptions!$B$30+E77*E79*(1-Assumptions!$B$170)*Assumptions!$B$27*Assumptions!$B$28)*E7/12,0)</f>
        <v/>
      </c>
      <c r="F91" s="55">
        <f>IF(F2&gt;=Assumptions!$B$53,(F90*Assumptions!$B$29*Assumptions!$B$30+F77*F79*(1-Assumptions!$B$170)*Assumptions!$B$27*Assumptions!$B$28)*F7/12,0)</f>
        <v/>
      </c>
      <c r="G91" s="55">
        <f>IF(G2&gt;=Assumptions!$B$53,(G90*Assumptions!$B$29*Assumptions!$B$30+G77*G79*(1-Assumptions!$B$170)*Assumptions!$B$27*Assumptions!$B$28)*G7/12,0)</f>
        <v/>
      </c>
      <c r="H91" s="55">
        <f>IF(H2&gt;=Assumptions!$B$53,(H90*Assumptions!$B$29*Assumptions!$B$30+H77*H79*(1-Assumptions!$B$170)*Assumptions!$B$27*Assumptions!$B$28)*H7/12,0)</f>
        <v/>
      </c>
      <c r="I91" s="55">
        <f>IF(I2&gt;=Assumptions!$B$53,(I90*Assumptions!$B$29*Assumptions!$B$30+I77*I79*(1-Assumptions!$B$170)*Assumptions!$B$27*Assumptions!$B$28)*I7/12,0)</f>
        <v/>
      </c>
      <c r="J91" s="55">
        <f>IF(J2&gt;=Assumptions!$B$53,(J90*Assumptions!$B$29*Assumptions!$B$30+J77*J79*(1-Assumptions!$B$170)*Assumptions!$B$27*Assumptions!$B$28)*J7/12,0)</f>
        <v/>
      </c>
      <c r="K91" s="55">
        <f>IF(K2&gt;=Assumptions!$B$53,(K90*Assumptions!$B$29*Assumptions!$B$30+K77*K79*(1-Assumptions!$B$170)*Assumptions!$B$27*Assumptions!$B$28)*K7/12,0)</f>
        <v/>
      </c>
      <c r="L91" s="55">
        <f>IF(L2&gt;=Assumptions!$B$53,(L90*Assumptions!$B$29*Assumptions!$B$30+L77*L79*(1-Assumptions!$B$170)*Assumptions!$B$27*Assumptions!$B$28)*L7/12,0)</f>
        <v/>
      </c>
      <c r="M91" s="55">
        <f>IF(M2&gt;=Assumptions!$B$53,(M90*Assumptions!$B$29*Assumptions!$B$30+M77*M79*(1-Assumptions!$B$170)*Assumptions!$B$27*Assumptions!$B$28)*M7/12,0)</f>
        <v/>
      </c>
      <c r="N91" s="55">
        <f>IF(N2&gt;=Assumptions!$B$53,(N90*Assumptions!$B$29*Assumptions!$B$30+N77*N79*(1-Assumptions!$B$170)*Assumptions!$B$27*Assumptions!$B$28)*N7/12,0)</f>
        <v/>
      </c>
      <c r="O91" s="55">
        <f>IF(O2&gt;=Assumptions!$B$53,(O90*Assumptions!$B$29*Assumptions!$B$30+O77*O79*(1-Assumptions!$B$170)*Assumptions!$B$27*Assumptions!$B$28)*O7/12,0)</f>
        <v/>
      </c>
      <c r="P91" s="55">
        <f>IF(P2&gt;=Assumptions!$B$53,(P90*Assumptions!$B$29*Assumptions!$B$30+P77*P79*(1-Assumptions!$B$170)*Assumptions!$B$27*Assumptions!$B$28)*P7/12,0)</f>
        <v/>
      </c>
      <c r="Q91" s="55">
        <f>IF(Q2&gt;=Assumptions!$B$53,(Q90*Assumptions!$B$29*Assumptions!$B$30+Q77*Q79*(1-Assumptions!$B$170)*Assumptions!$B$27*Assumptions!$B$28)*Q7/12,0)</f>
        <v/>
      </c>
      <c r="R91" s="55">
        <f>IF(R2&gt;=Assumptions!$B$53,(R90*Assumptions!$B$29*Assumptions!$B$30+R77*R79*(1-Assumptions!$B$170)*Assumptions!$B$27*Assumptions!$B$28)*R7/12,0)</f>
        <v/>
      </c>
      <c r="S91" s="55">
        <f>IF(S2&gt;=Assumptions!$B$53,(S90*Assumptions!$B$29*Assumptions!$B$30+S77*S79*(1-Assumptions!$B$170)*Assumptions!$B$27*Assumptions!$B$28)*S7/12,0)</f>
        <v/>
      </c>
      <c r="T91" s="55">
        <f>IF(T2&gt;=Assumptions!$B$53,(T90*Assumptions!$B$29*Assumptions!$B$30+T77*T79*(1-Assumptions!$B$170)*Assumptions!$B$27*Assumptions!$B$28)*T7/12,0)</f>
        <v/>
      </c>
      <c r="U91" s="55">
        <f>IF(U2&gt;=Assumptions!$B$53,(U90*Assumptions!$B$29*Assumptions!$B$30+U77*U79*(1-Assumptions!$B$170)*Assumptions!$B$27*Assumptions!$B$28)*U7/12,0)</f>
        <v/>
      </c>
      <c r="V91" s="55">
        <f>IF(V2&gt;=Assumptions!$B$53,(V90*Assumptions!$B$29*Assumptions!$B$30+V77*V79*(1-Assumptions!$B$170)*Assumptions!$B$27*Assumptions!$B$28)*V7/12,0)</f>
        <v/>
      </c>
      <c r="W91" s="55">
        <f>IF(W2&gt;=Assumptions!$B$53,(W90*Assumptions!$B$29*Assumptions!$B$30+W77*W79*(1-Assumptions!$B$170)*Assumptions!$B$27*Assumptions!$B$28)*W7/12,0)</f>
        <v/>
      </c>
      <c r="X91" s="55">
        <f>IF(X2&gt;=Assumptions!$B$53,(X90*Assumptions!$B$29*Assumptions!$B$30+X77*X79*(1-Assumptions!$B$170)*Assumptions!$B$27*Assumptions!$B$28)*X7/12,0)</f>
        <v/>
      </c>
      <c r="Y91" s="55">
        <f>IF(Y2&gt;=Assumptions!$B$53,(Y90*Assumptions!$B$29*Assumptions!$B$30+Y77*Y79*(1-Assumptions!$B$170)*Assumptions!$B$27*Assumptions!$B$28)*Y7/12,0)</f>
        <v/>
      </c>
      <c r="Z91" s="55">
        <f>IF(Z2&gt;=Assumptions!$B$53,(Z90*Assumptions!$B$29*Assumptions!$B$30+Z77*Z79*(1-Assumptions!$B$170)*Assumptions!$B$27*Assumptions!$B$28)*Z7/12,0)</f>
        <v/>
      </c>
      <c r="AA91" s="55">
        <f>IF(AA2&gt;=Assumptions!$B$53,(AA90*Assumptions!$B$29*Assumptions!$B$30+AA77*AA79*(1-Assumptions!$B$170)*Assumptions!$B$27*Assumptions!$B$28)*AA7/12,0)</f>
        <v/>
      </c>
      <c r="AB91" s="55">
        <f>IF(AB2&gt;=Assumptions!$B$53,(AB90*Assumptions!$B$29*Assumptions!$B$30+AB77*AB79*(1-Assumptions!$B$170)*Assumptions!$B$27*Assumptions!$B$28)*AB7/12,0)</f>
        <v/>
      </c>
      <c r="AC91" s="55">
        <f>IF(AC2&gt;=Assumptions!$B$53,(AC90*Assumptions!$B$29*Assumptions!$B$30+AC77*AC79*(1-Assumptions!$B$170)*Assumptions!$B$27*Assumptions!$B$28)*AC7/12,0)</f>
        <v/>
      </c>
      <c r="AD91" s="55">
        <f>IF(AD2&gt;=Assumptions!$B$53,(AD90*Assumptions!$B$29*Assumptions!$B$30+AD77*AD79*(1-Assumptions!$B$170)*Assumptions!$B$27*Assumptions!$B$28)*AD7/12,0)</f>
        <v/>
      </c>
      <c r="AE91" s="55">
        <f>IF(AE2&gt;=Assumptions!$B$53,(AE90*Assumptions!$B$29*Assumptions!$B$30+AE77*AE79*(1-Assumptions!$B$170)*Assumptions!$B$27*Assumptions!$B$28)*AE7/12,0)</f>
        <v/>
      </c>
    </row>
    <row r="92">
      <c r="A92" s="6" t="inlineStr">
        <is>
          <t xml:space="preserve">  Redemption events (memo - drives cost, not revenue)</t>
        </is>
      </c>
      <c r="B92" s="23" t="inlineStr">
        <is>
          <t>events</t>
        </is>
      </c>
      <c r="C92" s="45">
        <f>IF(C2&gt;=Assumptions!$B$49,(C65+C67*Assumptions!$B$137)*Assumptions!$B$136*C7/12,0)</f>
        <v/>
      </c>
      <c r="D92" s="45">
        <f>IF(D2&gt;=Assumptions!$B$49,(D65+D67*Assumptions!$B$137)*Assumptions!$B$136*D7/12,0)</f>
        <v/>
      </c>
      <c r="E92" s="45">
        <f>IF(E2&gt;=Assumptions!$B$49,(E65+E67*Assumptions!$B$137)*Assumptions!$B$136*E7/12,0)</f>
        <v/>
      </c>
      <c r="F92" s="45">
        <f>IF(F2&gt;=Assumptions!$B$49,(F65+F67*Assumptions!$B$137)*Assumptions!$B$136*F7/12,0)</f>
        <v/>
      </c>
      <c r="G92" s="45">
        <f>IF(G2&gt;=Assumptions!$B$49,(G65+G67*Assumptions!$B$137)*Assumptions!$B$136*G7/12,0)</f>
        <v/>
      </c>
      <c r="H92" s="45">
        <f>IF(H2&gt;=Assumptions!$B$49,(H65+H67*Assumptions!$B$137)*Assumptions!$B$136*H7/12,0)</f>
        <v/>
      </c>
      <c r="I92" s="45">
        <f>IF(I2&gt;=Assumptions!$B$49,(I65+I67*Assumptions!$B$137)*Assumptions!$B$136*I7/12,0)</f>
        <v/>
      </c>
      <c r="J92" s="45">
        <f>IF(J2&gt;=Assumptions!$B$49,(J65+J67*Assumptions!$B$137)*Assumptions!$B$136*J7/12,0)</f>
        <v/>
      </c>
      <c r="K92" s="45">
        <f>IF(K2&gt;=Assumptions!$B$49,(K65+K67*Assumptions!$B$137)*Assumptions!$B$136*K7/12,0)</f>
        <v/>
      </c>
      <c r="L92" s="45">
        <f>IF(L2&gt;=Assumptions!$B$49,(L65+L67*Assumptions!$B$137)*Assumptions!$B$136*L7/12,0)</f>
        <v/>
      </c>
      <c r="M92" s="45">
        <f>IF(M2&gt;=Assumptions!$B$49,(M65+M67*Assumptions!$B$137)*Assumptions!$B$136*M7/12,0)</f>
        <v/>
      </c>
      <c r="N92" s="45">
        <f>IF(N2&gt;=Assumptions!$B$49,(N65+N67*Assumptions!$B$137)*Assumptions!$B$136*N7/12,0)</f>
        <v/>
      </c>
      <c r="O92" s="45">
        <f>IF(O2&gt;=Assumptions!$B$49,(O65+O67*Assumptions!$B$137)*Assumptions!$B$136*O7/12,0)</f>
        <v/>
      </c>
      <c r="P92" s="45">
        <f>IF(P2&gt;=Assumptions!$B$49,(P65+P67*Assumptions!$B$137)*Assumptions!$B$136*P7/12,0)</f>
        <v/>
      </c>
      <c r="Q92" s="45">
        <f>IF(Q2&gt;=Assumptions!$B$49,(Q65+Q67*Assumptions!$B$137)*Assumptions!$B$136*Q7/12,0)</f>
        <v/>
      </c>
      <c r="R92" s="45">
        <f>IF(R2&gt;=Assumptions!$B$49,(R65+R67*Assumptions!$B$137)*Assumptions!$B$136*R7/12,0)</f>
        <v/>
      </c>
      <c r="S92" s="45">
        <f>IF(S2&gt;=Assumptions!$B$49,(S65+S67*Assumptions!$B$137)*Assumptions!$B$136*S7/12,0)</f>
        <v/>
      </c>
      <c r="T92" s="45">
        <f>IF(T2&gt;=Assumptions!$B$49,(T65+T67*Assumptions!$B$137)*Assumptions!$B$136*T7/12,0)</f>
        <v/>
      </c>
      <c r="U92" s="45">
        <f>IF(U2&gt;=Assumptions!$B$49,(U65+U67*Assumptions!$B$137)*Assumptions!$B$136*U7/12,0)</f>
        <v/>
      </c>
      <c r="V92" s="45">
        <f>IF(V2&gt;=Assumptions!$B$49,(V65+V67*Assumptions!$B$137)*Assumptions!$B$136*V7/12,0)</f>
        <v/>
      </c>
      <c r="W92" s="45">
        <f>IF(W2&gt;=Assumptions!$B$49,(W65+W67*Assumptions!$B$137)*Assumptions!$B$136*W7/12,0)</f>
        <v/>
      </c>
      <c r="X92" s="45">
        <f>IF(X2&gt;=Assumptions!$B$49,(X65+X67*Assumptions!$B$137)*Assumptions!$B$136*X7/12,0)</f>
        <v/>
      </c>
      <c r="Y92" s="45">
        <f>IF(Y2&gt;=Assumptions!$B$49,(Y65+Y67*Assumptions!$B$137)*Assumptions!$B$136*Y7/12,0)</f>
        <v/>
      </c>
      <c r="Z92" s="45">
        <f>IF(Z2&gt;=Assumptions!$B$49,(Z65+Z67*Assumptions!$B$137)*Assumptions!$B$136*Z7/12,0)</f>
        <v/>
      </c>
      <c r="AA92" s="45">
        <f>IF(AA2&gt;=Assumptions!$B$49,(AA65+AA67*Assumptions!$B$137)*Assumptions!$B$136*AA7/12,0)</f>
        <v/>
      </c>
      <c r="AB92" s="45">
        <f>IF(AB2&gt;=Assumptions!$B$49,(AB65+AB67*Assumptions!$B$137)*Assumptions!$B$136*AB7/12,0)</f>
        <v/>
      </c>
      <c r="AC92" s="45">
        <f>IF(AC2&gt;=Assumptions!$B$49,(AC65+AC67*Assumptions!$B$137)*Assumptions!$B$136*AC7/12,0)</f>
        <v/>
      </c>
      <c r="AD92" s="45">
        <f>IF(AD2&gt;=Assumptions!$B$49,(AD65+AD67*Assumptions!$B$137)*Assumptions!$B$136*AD7/12,0)</f>
        <v/>
      </c>
      <c r="AE92" s="45">
        <f>IF(AE2&gt;=Assumptions!$B$49,(AE65+AE67*Assumptions!$B$137)*Assumptions!$B$136*AE7/12,0)</f>
        <v/>
      </c>
    </row>
    <row r="93">
      <c r="A93" s="3" t="inlineStr">
        <is>
          <t xml:space="preserve">  SUBTOTAL - Oman and Bahrain</t>
        </is>
      </c>
      <c r="B93" s="23" t="inlineStr">
        <is>
          <t>USD</t>
        </is>
      </c>
      <c r="C93" s="57">
        <f>C85+C86+C87+C88+C89+C91</f>
        <v/>
      </c>
      <c r="D93" s="57">
        <f>D85+D86+D87+D88+D89+D91</f>
        <v/>
      </c>
      <c r="E93" s="57">
        <f>E85+E86+E87+E88+E89+E91</f>
        <v/>
      </c>
      <c r="F93" s="57">
        <f>F85+F86+F87+F88+F89+F91</f>
        <v/>
      </c>
      <c r="G93" s="57">
        <f>G85+G86+G87+G88+G89+G91</f>
        <v/>
      </c>
      <c r="H93" s="57">
        <f>H85+H86+H87+H88+H89+H91</f>
        <v/>
      </c>
      <c r="I93" s="57">
        <f>I85+I86+I87+I88+I89+I91</f>
        <v/>
      </c>
      <c r="J93" s="57">
        <f>J85+J86+J87+J88+J89+J91</f>
        <v/>
      </c>
      <c r="K93" s="57">
        <f>K85+K86+K87+K88+K89+K91</f>
        <v/>
      </c>
      <c r="L93" s="57">
        <f>L85+L86+L87+L88+L89+L91</f>
        <v/>
      </c>
      <c r="M93" s="57">
        <f>M85+M86+M87+M88+M89+M91</f>
        <v/>
      </c>
      <c r="N93" s="57">
        <f>N85+N86+N87+N88+N89+N91</f>
        <v/>
      </c>
      <c r="O93" s="57">
        <f>O85+O86+O87+O88+O89+O91</f>
        <v/>
      </c>
      <c r="P93" s="57">
        <f>P85+P86+P87+P88+P89+P91</f>
        <v/>
      </c>
      <c r="Q93" s="57">
        <f>Q85+Q86+Q87+Q88+Q89+Q91</f>
        <v/>
      </c>
      <c r="R93" s="57">
        <f>R85+R86+R87+R88+R89+R91</f>
        <v/>
      </c>
      <c r="S93" s="57">
        <f>S85+S86+S87+S88+S89+S91</f>
        <v/>
      </c>
      <c r="T93" s="57">
        <f>T85+T86+T87+T88+T89+T91</f>
        <v/>
      </c>
      <c r="U93" s="57">
        <f>U85+U86+U87+U88+U89+U91</f>
        <v/>
      </c>
      <c r="V93" s="57">
        <f>V85+V86+V87+V88+V89+V91</f>
        <v/>
      </c>
      <c r="W93" s="57">
        <f>W85+W86+W87+W88+W89+W91</f>
        <v/>
      </c>
      <c r="X93" s="57">
        <f>X85+X86+X87+X88+X89+X91</f>
        <v/>
      </c>
      <c r="Y93" s="57">
        <f>Y85+Y86+Y87+Y88+Y89+Y91</f>
        <v/>
      </c>
      <c r="Z93" s="57">
        <f>Z85+Z86+Z87+Z88+Z89+Z91</f>
        <v/>
      </c>
      <c r="AA93" s="57">
        <f>AA85+AA86+AA87+AA88+AA89+AA91</f>
        <v/>
      </c>
      <c r="AB93" s="57">
        <f>AB85+AB86+AB87+AB88+AB89+AB91</f>
        <v/>
      </c>
      <c r="AC93" s="57">
        <f>AC85+AC86+AC87+AC88+AC89+AC91</f>
        <v/>
      </c>
      <c r="AD93" s="57">
        <f>AD85+AD86+AD87+AD88+AD89+AD91</f>
        <v/>
      </c>
      <c r="AE93" s="57">
        <f>AE85+AE86+AE87+AE88+AE89+AE91</f>
        <v/>
      </c>
    </row>
    <row r="95">
      <c r="A95" s="46" t="inlineStr">
        <is>
          <t>REGION: INDIA</t>
        </is>
      </c>
      <c r="B95" s="47" t="n"/>
      <c r="C95" s="47" t="n"/>
      <c r="D95" s="47" t="n"/>
      <c r="E95" s="47" t="n"/>
      <c r="F95" s="47" t="n"/>
      <c r="G95" s="47" t="n"/>
      <c r="H95" s="47" t="n"/>
      <c r="I95" s="47" t="n"/>
      <c r="J95" s="47" t="n"/>
      <c r="K95" s="47" t="n"/>
      <c r="L95" s="47" t="n"/>
      <c r="M95" s="47" t="n"/>
      <c r="N95" s="47" t="n"/>
      <c r="O95" s="47" t="n"/>
      <c r="P95" s="47" t="n"/>
      <c r="Q95" s="47" t="n"/>
      <c r="R95" s="47" t="n"/>
      <c r="S95" s="47" t="n"/>
      <c r="T95" s="47" t="n"/>
      <c r="U95" s="47" t="n"/>
      <c r="V95" s="47" t="n"/>
      <c r="W95" s="47" t="n"/>
      <c r="X95" s="47" t="n"/>
      <c r="Y95" s="47" t="n"/>
      <c r="Z95" s="47" t="n"/>
      <c r="AA95" s="47" t="n"/>
      <c r="AB95" s="47" t="n"/>
      <c r="AC95" s="47" t="n"/>
      <c r="AD95" s="47" t="n"/>
      <c r="AE95" s="47" t="n"/>
    </row>
    <row r="96">
      <c r="A96" s="6" t="inlineStr">
        <is>
          <t xml:space="preserve">  Direct-driven (this market's budget at its own CAC)</t>
        </is>
      </c>
      <c r="B96" s="23" t="inlineStr">
        <is>
          <t>accounts</t>
        </is>
      </c>
      <c r="C96" s="53">
        <f>INDEX(Assumptions!$B$100:$B$106,C5)*Assumptions!$B$128/12*C7/Assumptions!$B$125*(1+Assumptions!$B$131)*IF(C2&gt;=Assumptions!$B$57,1,0)</f>
        <v/>
      </c>
      <c r="D96" s="53">
        <f>INDEX(Assumptions!$B$100:$B$106,D5)*Assumptions!$B$128/12*D7/Assumptions!$B$125*(1+Assumptions!$B$131)*IF(D2&gt;=Assumptions!$B$57,1,0)</f>
        <v/>
      </c>
      <c r="E96" s="53">
        <f>INDEX(Assumptions!$B$100:$B$106,E5)*Assumptions!$B$128/12*E7/Assumptions!$B$125*(1+Assumptions!$B$131)*IF(E2&gt;=Assumptions!$B$57,1,0)</f>
        <v/>
      </c>
      <c r="F96" s="53">
        <f>INDEX(Assumptions!$B$100:$B$106,F5)*Assumptions!$B$128/12*F7/Assumptions!$B$125*(1+Assumptions!$B$131)*IF(F2&gt;=Assumptions!$B$57,1,0)</f>
        <v/>
      </c>
      <c r="G96" s="53">
        <f>INDEX(Assumptions!$B$100:$B$106,G5)*Assumptions!$B$128/12*G7/Assumptions!$B$125*(1+Assumptions!$B$131)*IF(G2&gt;=Assumptions!$B$57,1,0)</f>
        <v/>
      </c>
      <c r="H96" s="53">
        <f>INDEX(Assumptions!$B$100:$B$106,H5)*Assumptions!$B$128/12*H7/Assumptions!$B$125*(1+Assumptions!$B$131)*IF(H2&gt;=Assumptions!$B$57,1,0)</f>
        <v/>
      </c>
      <c r="I96" s="53">
        <f>INDEX(Assumptions!$B$100:$B$106,I5)*Assumptions!$B$128/12*I7/Assumptions!$B$125*(1+Assumptions!$B$131)*IF(I2&gt;=Assumptions!$B$57,1,0)</f>
        <v/>
      </c>
      <c r="J96" s="53">
        <f>INDEX(Assumptions!$B$100:$B$106,J5)*Assumptions!$B$128/12*J7/Assumptions!$B$125*(1+Assumptions!$B$131)*IF(J2&gt;=Assumptions!$B$57,1,0)</f>
        <v/>
      </c>
      <c r="K96" s="53">
        <f>INDEX(Assumptions!$B$100:$B$106,K5)*Assumptions!$B$128/12*K7/Assumptions!$B$125*(1+Assumptions!$B$131)*IF(K2&gt;=Assumptions!$B$57,1,0)</f>
        <v/>
      </c>
      <c r="L96" s="53">
        <f>INDEX(Assumptions!$B$100:$B$106,L5)*Assumptions!$B$128/12*L7/Assumptions!$B$125*(1+Assumptions!$B$131)*IF(L2&gt;=Assumptions!$B$57,1,0)</f>
        <v/>
      </c>
      <c r="M96" s="53">
        <f>INDEX(Assumptions!$B$100:$B$106,M5)*Assumptions!$B$128/12*M7/Assumptions!$B$125*(1+Assumptions!$B$131)*IF(M2&gt;=Assumptions!$B$57,1,0)</f>
        <v/>
      </c>
      <c r="N96" s="53">
        <f>INDEX(Assumptions!$B$100:$B$106,N5)*Assumptions!$B$128/12*N7/Assumptions!$B$125*(1+Assumptions!$B$131)*IF(N2&gt;=Assumptions!$B$57,1,0)</f>
        <v/>
      </c>
      <c r="O96" s="53">
        <f>INDEX(Assumptions!$B$100:$B$106,O5)*Assumptions!$B$128/12*O7/Assumptions!$B$125*(1+Assumptions!$B$131)*IF(O2&gt;=Assumptions!$B$57,1,0)</f>
        <v/>
      </c>
      <c r="P96" s="53">
        <f>INDEX(Assumptions!$B$100:$B$106,P5)*Assumptions!$B$128/12*P7/Assumptions!$B$125*(1+Assumptions!$B$131)*IF(P2&gt;=Assumptions!$B$57,1,0)</f>
        <v/>
      </c>
      <c r="Q96" s="53">
        <f>INDEX(Assumptions!$B$100:$B$106,Q5)*Assumptions!$B$128/12*Q7/Assumptions!$B$125*(1+Assumptions!$B$131)*IF(Q2&gt;=Assumptions!$B$57,1,0)</f>
        <v/>
      </c>
      <c r="R96" s="53">
        <f>INDEX(Assumptions!$B$100:$B$106,R5)*Assumptions!$B$128/12*R7/Assumptions!$B$125*(1+Assumptions!$B$131)*IF(R2&gt;=Assumptions!$B$57,1,0)</f>
        <v/>
      </c>
      <c r="S96" s="53">
        <f>INDEX(Assumptions!$B$100:$B$106,S5)*Assumptions!$B$128/12*S7/Assumptions!$B$125*(1+Assumptions!$B$131)*IF(S2&gt;=Assumptions!$B$57,1,0)</f>
        <v/>
      </c>
      <c r="T96" s="53">
        <f>INDEX(Assumptions!$B$100:$B$106,T5)*Assumptions!$B$128/12*T7/Assumptions!$B$125*(1+Assumptions!$B$131)*IF(T2&gt;=Assumptions!$B$57,1,0)</f>
        <v/>
      </c>
      <c r="U96" s="53">
        <f>INDEX(Assumptions!$B$100:$B$106,U5)*Assumptions!$B$128/12*U7/Assumptions!$B$125*(1+Assumptions!$B$131)*IF(U2&gt;=Assumptions!$B$57,1,0)</f>
        <v/>
      </c>
      <c r="V96" s="53">
        <f>INDEX(Assumptions!$B$100:$B$106,V5)*Assumptions!$B$128/12*V7/Assumptions!$B$125*(1+Assumptions!$B$131)*IF(V2&gt;=Assumptions!$B$57,1,0)</f>
        <v/>
      </c>
      <c r="W96" s="53">
        <f>INDEX(Assumptions!$B$100:$B$106,W5)*Assumptions!$B$128/12*W7/Assumptions!$B$125*(1+Assumptions!$B$131)*IF(W2&gt;=Assumptions!$B$57,1,0)</f>
        <v/>
      </c>
      <c r="X96" s="53">
        <f>INDEX(Assumptions!$B$100:$B$106,X5)*Assumptions!$B$128/12*X7/Assumptions!$B$125*(1+Assumptions!$B$131)*IF(X2&gt;=Assumptions!$B$57,1,0)</f>
        <v/>
      </c>
      <c r="Y96" s="53">
        <f>INDEX(Assumptions!$B$100:$B$106,Y5)*Assumptions!$B$128/12*Y7/Assumptions!$B$125*(1+Assumptions!$B$131)*IF(Y2&gt;=Assumptions!$B$57,1,0)</f>
        <v/>
      </c>
      <c r="Z96" s="53">
        <f>INDEX(Assumptions!$B$100:$B$106,Z5)*Assumptions!$B$128/12*Z7/Assumptions!$B$125*(1+Assumptions!$B$131)*IF(Z2&gt;=Assumptions!$B$57,1,0)</f>
        <v/>
      </c>
      <c r="AA96" s="53">
        <f>INDEX(Assumptions!$B$100:$B$106,AA5)*Assumptions!$B$128/12*AA7/Assumptions!$B$125*(1+Assumptions!$B$131)*IF(AA2&gt;=Assumptions!$B$57,1,0)</f>
        <v/>
      </c>
      <c r="AB96" s="53">
        <f>INDEX(Assumptions!$B$100:$B$106,AB5)*Assumptions!$B$128/12*AB7/Assumptions!$B$125*(1+Assumptions!$B$131)*IF(AB2&gt;=Assumptions!$B$57,1,0)</f>
        <v/>
      </c>
      <c r="AC96" s="53">
        <f>INDEX(Assumptions!$B$100:$B$106,AC5)*Assumptions!$B$128/12*AC7/Assumptions!$B$125*(1+Assumptions!$B$131)*IF(AC2&gt;=Assumptions!$B$57,1,0)</f>
        <v/>
      </c>
      <c r="AD96" s="53">
        <f>INDEX(Assumptions!$B$100:$B$106,AD5)*Assumptions!$B$128/12*AD7/Assumptions!$B$125*(1+Assumptions!$B$131)*IF(AD2&gt;=Assumptions!$B$57,1,0)</f>
        <v/>
      </c>
      <c r="AE96" s="53">
        <f>INDEX(Assumptions!$B$100:$B$106,AE5)*Assumptions!$B$128/12*AE7/Assumptions!$B$125*(1+Assumptions!$B$131)*IF(AE2&gt;=Assumptions!$B$57,1,0)</f>
        <v/>
      </c>
    </row>
    <row r="97">
      <c r="A97" s="6" t="inlineStr">
        <is>
          <t xml:space="preserve">  Referral-driven (from this market's own base)</t>
        </is>
      </c>
      <c r="B97" s="23" t="inlineStr">
        <is>
          <t>accounts</t>
        </is>
      </c>
      <c r="C97" s="54" t="n">
        <v>0</v>
      </c>
      <c r="D97" s="54">
        <f>IF(D2&gt;=Assumptions!$B$55,C101*Assumptions!$B$129/12*Assumptions!$B$130*D7,0)</f>
        <v/>
      </c>
      <c r="E97" s="54">
        <f>IF(E2&gt;=Assumptions!$B$55,D101*Assumptions!$B$129/12*Assumptions!$B$130*E7,0)</f>
        <v/>
      </c>
      <c r="F97" s="54">
        <f>IF(F2&gt;=Assumptions!$B$55,E101*Assumptions!$B$129/12*Assumptions!$B$130*F7,0)</f>
        <v/>
      </c>
      <c r="G97" s="54">
        <f>IF(G2&gt;=Assumptions!$B$55,F101*Assumptions!$B$129/12*Assumptions!$B$130*G7,0)</f>
        <v/>
      </c>
      <c r="H97" s="54">
        <f>IF(H2&gt;=Assumptions!$B$55,G101*Assumptions!$B$129/12*Assumptions!$B$130*H7,0)</f>
        <v/>
      </c>
      <c r="I97" s="54">
        <f>IF(I2&gt;=Assumptions!$B$55,H101*Assumptions!$B$129/12*Assumptions!$B$130*I7,0)</f>
        <v/>
      </c>
      <c r="J97" s="54">
        <f>IF(J2&gt;=Assumptions!$B$55,I101*Assumptions!$B$129/12*Assumptions!$B$130*J7,0)</f>
        <v/>
      </c>
      <c r="K97" s="54">
        <f>IF(K2&gt;=Assumptions!$B$55,J101*Assumptions!$B$129/12*Assumptions!$B$130*K7,0)</f>
        <v/>
      </c>
      <c r="L97" s="54">
        <f>IF(L2&gt;=Assumptions!$B$55,K101*Assumptions!$B$129/12*Assumptions!$B$130*L7,0)</f>
        <v/>
      </c>
      <c r="M97" s="54">
        <f>IF(M2&gt;=Assumptions!$B$55,L101*Assumptions!$B$129/12*Assumptions!$B$130*M7,0)</f>
        <v/>
      </c>
      <c r="N97" s="54">
        <f>IF(N2&gt;=Assumptions!$B$55,M101*Assumptions!$B$129/12*Assumptions!$B$130*N7,0)</f>
        <v/>
      </c>
      <c r="O97" s="54">
        <f>IF(O2&gt;=Assumptions!$B$55,N101*Assumptions!$B$129/12*Assumptions!$B$130*O7,0)</f>
        <v/>
      </c>
      <c r="P97" s="54">
        <f>IF(P2&gt;=Assumptions!$B$55,O101*Assumptions!$B$129/12*Assumptions!$B$130*P7,0)</f>
        <v/>
      </c>
      <c r="Q97" s="54">
        <f>IF(Q2&gt;=Assumptions!$B$55,P101*Assumptions!$B$129/12*Assumptions!$B$130*Q7,0)</f>
        <v/>
      </c>
      <c r="R97" s="54">
        <f>IF(R2&gt;=Assumptions!$B$55,Q101*Assumptions!$B$129/12*Assumptions!$B$130*R7,0)</f>
        <v/>
      </c>
      <c r="S97" s="54">
        <f>IF(S2&gt;=Assumptions!$B$55,R101*Assumptions!$B$129/12*Assumptions!$B$130*S7,0)</f>
        <v/>
      </c>
      <c r="T97" s="54">
        <f>IF(T2&gt;=Assumptions!$B$55,S101*Assumptions!$B$129/12*Assumptions!$B$130*T7,0)</f>
        <v/>
      </c>
      <c r="U97" s="54">
        <f>IF(U2&gt;=Assumptions!$B$55,T101*Assumptions!$B$129/12*Assumptions!$B$130*U7,0)</f>
        <v/>
      </c>
      <c r="V97" s="54">
        <f>IF(V2&gt;=Assumptions!$B$55,U101*Assumptions!$B$129/12*Assumptions!$B$130*V7,0)</f>
        <v/>
      </c>
      <c r="W97" s="54">
        <f>IF(W2&gt;=Assumptions!$B$55,V101*Assumptions!$B$129/12*Assumptions!$B$130*W7,0)</f>
        <v/>
      </c>
      <c r="X97" s="54">
        <f>IF(X2&gt;=Assumptions!$B$55,W101*Assumptions!$B$129/12*Assumptions!$B$130*X7,0)</f>
        <v/>
      </c>
      <c r="Y97" s="54">
        <f>IF(Y2&gt;=Assumptions!$B$55,X101*Assumptions!$B$129/12*Assumptions!$B$130*Y7,0)</f>
        <v/>
      </c>
      <c r="Z97" s="54">
        <f>IF(Z2&gt;=Assumptions!$B$55,Y101*Assumptions!$B$129/12*Assumptions!$B$130*Z7,0)</f>
        <v/>
      </c>
      <c r="AA97" s="54">
        <f>IF(AA2&gt;=Assumptions!$B$55,Z101*Assumptions!$B$129/12*Assumptions!$B$130*AA7,0)</f>
        <v/>
      </c>
      <c r="AB97" s="54">
        <f>IF(AB2&gt;=Assumptions!$B$55,AA101*Assumptions!$B$129/12*Assumptions!$B$130*AB7,0)</f>
        <v/>
      </c>
      <c r="AC97" s="54">
        <f>IF(AC2&gt;=Assumptions!$B$55,AB101*Assumptions!$B$129/12*Assumptions!$B$130*AC7,0)</f>
        <v/>
      </c>
      <c r="AD97" s="54">
        <f>IF(AD2&gt;=Assumptions!$B$55,AC101*Assumptions!$B$129/12*Assumptions!$B$130*AD7,0)</f>
        <v/>
      </c>
      <c r="AE97" s="54">
        <f>IF(AE2&gt;=Assumptions!$B$55,AD101*Assumptions!$B$129/12*Assumptions!$B$130*AE7,0)</f>
        <v/>
      </c>
    </row>
    <row r="98">
      <c r="A98" s="6" t="inlineStr">
        <is>
          <t xml:space="preserve">  Raw demand</t>
        </is>
      </c>
      <c r="B98" s="23" t="inlineStr">
        <is>
          <t>accounts</t>
        </is>
      </c>
      <c r="C98" s="54">
        <f>C96+C97+IF(C21=0,0,C20*Assumptions!$B$116/C21*IF(C2&gt;=Assumptions!$B$57,1,0))</f>
        <v/>
      </c>
      <c r="D98" s="54">
        <f>D96+D97+IF(D21=0,0,D20*Assumptions!$B$116/D21*IF(D2&gt;=Assumptions!$B$57,1,0))</f>
        <v/>
      </c>
      <c r="E98" s="54">
        <f>E96+E97+IF(E21=0,0,E20*Assumptions!$B$116/E21*IF(E2&gt;=Assumptions!$B$57,1,0))</f>
        <v/>
      </c>
      <c r="F98" s="54">
        <f>F96+F97+IF(F21=0,0,F20*Assumptions!$B$116/F21*IF(F2&gt;=Assumptions!$B$57,1,0))</f>
        <v/>
      </c>
      <c r="G98" s="54">
        <f>G96+G97+IF(G21=0,0,G20*Assumptions!$B$116/G21*IF(G2&gt;=Assumptions!$B$57,1,0))</f>
        <v/>
      </c>
      <c r="H98" s="54">
        <f>H96+H97+IF(H21=0,0,H20*Assumptions!$B$116/H21*IF(H2&gt;=Assumptions!$B$57,1,0))</f>
        <v/>
      </c>
      <c r="I98" s="54">
        <f>I96+I97+IF(I21=0,0,I20*Assumptions!$B$116/I21*IF(I2&gt;=Assumptions!$B$57,1,0))</f>
        <v/>
      </c>
      <c r="J98" s="54">
        <f>J96+J97+IF(J21=0,0,J20*Assumptions!$B$116/J21*IF(J2&gt;=Assumptions!$B$57,1,0))</f>
        <v/>
      </c>
      <c r="K98" s="54">
        <f>K96+K97+IF(K21=0,0,K20*Assumptions!$B$116/K21*IF(K2&gt;=Assumptions!$B$57,1,0))</f>
        <v/>
      </c>
      <c r="L98" s="54">
        <f>L96+L97+IF(L21=0,0,L20*Assumptions!$B$116/L21*IF(L2&gt;=Assumptions!$B$57,1,0))</f>
        <v/>
      </c>
      <c r="M98" s="54">
        <f>M96+M97+IF(M21=0,0,M20*Assumptions!$B$116/M21*IF(M2&gt;=Assumptions!$B$57,1,0))</f>
        <v/>
      </c>
      <c r="N98" s="54">
        <f>N96+N97+IF(N21=0,0,N20*Assumptions!$B$116/N21*IF(N2&gt;=Assumptions!$B$57,1,0))</f>
        <v/>
      </c>
      <c r="O98" s="54">
        <f>O96+O97+IF(O21=0,0,O20*Assumptions!$B$116/O21*IF(O2&gt;=Assumptions!$B$57,1,0))</f>
        <v/>
      </c>
      <c r="P98" s="54">
        <f>P96+P97+IF(P21=0,0,P20*Assumptions!$B$116/P21*IF(P2&gt;=Assumptions!$B$57,1,0))</f>
        <v/>
      </c>
      <c r="Q98" s="54">
        <f>Q96+Q97+IF(Q21=0,0,Q20*Assumptions!$B$116/Q21*IF(Q2&gt;=Assumptions!$B$57,1,0))</f>
        <v/>
      </c>
      <c r="R98" s="54">
        <f>R96+R97+IF(R21=0,0,R20*Assumptions!$B$116/R21*IF(R2&gt;=Assumptions!$B$57,1,0))</f>
        <v/>
      </c>
      <c r="S98" s="54">
        <f>S96+S97+IF(S21=0,0,S20*Assumptions!$B$116/S21*IF(S2&gt;=Assumptions!$B$57,1,0))</f>
        <v/>
      </c>
      <c r="T98" s="54">
        <f>T96+T97+IF(T21=0,0,T20*Assumptions!$B$116/T21*IF(T2&gt;=Assumptions!$B$57,1,0))</f>
        <v/>
      </c>
      <c r="U98" s="54">
        <f>U96+U97+IF(U21=0,0,U20*Assumptions!$B$116/U21*IF(U2&gt;=Assumptions!$B$57,1,0))</f>
        <v/>
      </c>
      <c r="V98" s="54">
        <f>V96+V97+IF(V21=0,0,V20*Assumptions!$B$116/V21*IF(V2&gt;=Assumptions!$B$57,1,0))</f>
        <v/>
      </c>
      <c r="W98" s="54">
        <f>W96+W97+IF(W21=0,0,W20*Assumptions!$B$116/W21*IF(W2&gt;=Assumptions!$B$57,1,0))</f>
        <v/>
      </c>
      <c r="X98" s="54">
        <f>X96+X97+IF(X21=0,0,X20*Assumptions!$B$116/X21*IF(X2&gt;=Assumptions!$B$57,1,0))</f>
        <v/>
      </c>
      <c r="Y98" s="54">
        <f>Y96+Y97+IF(Y21=0,0,Y20*Assumptions!$B$116/Y21*IF(Y2&gt;=Assumptions!$B$57,1,0))</f>
        <v/>
      </c>
      <c r="Z98" s="54">
        <f>Z96+Z97+IF(Z21=0,0,Z20*Assumptions!$B$116/Z21*IF(Z2&gt;=Assumptions!$B$57,1,0))</f>
        <v/>
      </c>
      <c r="AA98" s="54">
        <f>AA96+AA97+IF(AA21=0,0,AA20*Assumptions!$B$116/AA21*IF(AA2&gt;=Assumptions!$B$57,1,0))</f>
        <v/>
      </c>
      <c r="AB98" s="54">
        <f>AB96+AB97+IF(AB21=0,0,AB20*Assumptions!$B$116/AB21*IF(AB2&gt;=Assumptions!$B$57,1,0))</f>
        <v/>
      </c>
      <c r="AC98" s="54">
        <f>AC96+AC97+IF(AC21=0,0,AC20*Assumptions!$B$116/AC21*IF(AC2&gt;=Assumptions!$B$57,1,0))</f>
        <v/>
      </c>
      <c r="AD98" s="54">
        <f>AD96+AD97+IF(AD21=0,0,AD20*Assumptions!$B$116/AD21*IF(AD2&gt;=Assumptions!$B$57,1,0))</f>
        <v/>
      </c>
      <c r="AE98" s="54">
        <f>AE96+AE97+IF(AE21=0,0,AE20*Assumptions!$B$116/AE21*IF(AE2&gt;=Assumptions!$B$57,1,0))</f>
        <v/>
      </c>
    </row>
    <row r="99">
      <c r="A99" s="6" t="inlineStr">
        <is>
          <t xml:space="preserve">  Saturation (this region's own headroom)</t>
        </is>
      </c>
      <c r="B99" s="23" t="inlineStr">
        <is>
          <t>x</t>
        </is>
      </c>
      <c r="C99" s="51" t="n">
        <v>1</v>
      </c>
      <c r="D99" s="51">
        <f>MAX(0,1-C104/Assumptions!$B$86)</f>
        <v/>
      </c>
      <c r="E99" s="51">
        <f>MAX(0,1-D104/Assumptions!$B$86)</f>
        <v/>
      </c>
      <c r="F99" s="51">
        <f>MAX(0,1-E104/Assumptions!$B$86)</f>
        <v/>
      </c>
      <c r="G99" s="51">
        <f>MAX(0,1-F104/Assumptions!$B$86)</f>
        <v/>
      </c>
      <c r="H99" s="51">
        <f>MAX(0,1-G104/Assumptions!$B$86)</f>
        <v/>
      </c>
      <c r="I99" s="51">
        <f>MAX(0,1-H104/Assumptions!$B$86)</f>
        <v/>
      </c>
      <c r="J99" s="51">
        <f>MAX(0,1-I104/Assumptions!$B$86)</f>
        <v/>
      </c>
      <c r="K99" s="51">
        <f>MAX(0,1-J104/Assumptions!$B$86)</f>
        <v/>
      </c>
      <c r="L99" s="51">
        <f>MAX(0,1-K104/Assumptions!$B$86)</f>
        <v/>
      </c>
      <c r="M99" s="51">
        <f>MAX(0,1-L104/Assumptions!$B$86)</f>
        <v/>
      </c>
      <c r="N99" s="51">
        <f>MAX(0,1-M104/Assumptions!$B$86)</f>
        <v/>
      </c>
      <c r="O99" s="51">
        <f>MAX(0,1-N104/Assumptions!$B$86)</f>
        <v/>
      </c>
      <c r="P99" s="51">
        <f>MAX(0,1-O104/Assumptions!$B$86)</f>
        <v/>
      </c>
      <c r="Q99" s="51">
        <f>MAX(0,1-P104/Assumptions!$B$86)</f>
        <v/>
      </c>
      <c r="R99" s="51">
        <f>MAX(0,1-Q104/Assumptions!$B$86)</f>
        <v/>
      </c>
      <c r="S99" s="51">
        <f>MAX(0,1-R104/Assumptions!$B$86)</f>
        <v/>
      </c>
      <c r="T99" s="51">
        <f>MAX(0,1-S104/Assumptions!$B$86)</f>
        <v/>
      </c>
      <c r="U99" s="51">
        <f>MAX(0,1-T104/Assumptions!$B$86)</f>
        <v/>
      </c>
      <c r="V99" s="51">
        <f>MAX(0,1-U104/Assumptions!$B$86)</f>
        <v/>
      </c>
      <c r="W99" s="51">
        <f>MAX(0,1-V104/Assumptions!$B$86)</f>
        <v/>
      </c>
      <c r="X99" s="51">
        <f>MAX(0,1-W104/Assumptions!$B$86)</f>
        <v/>
      </c>
      <c r="Y99" s="51">
        <f>MAX(0,1-X104/Assumptions!$B$86)</f>
        <v/>
      </c>
      <c r="Z99" s="51">
        <f>MAX(0,1-Y104/Assumptions!$B$86)</f>
        <v/>
      </c>
      <c r="AA99" s="51">
        <f>MAX(0,1-Z104/Assumptions!$B$86)</f>
        <v/>
      </c>
      <c r="AB99" s="51">
        <f>MAX(0,1-AA104/Assumptions!$B$86)</f>
        <v/>
      </c>
      <c r="AC99" s="51">
        <f>MAX(0,1-AB104/Assumptions!$B$86)</f>
        <v/>
      </c>
      <c r="AD99" s="51">
        <f>MAX(0,1-AC104/Assumptions!$B$86)</f>
        <v/>
      </c>
      <c r="AE99" s="51">
        <f>MAX(0,1-AD104/Assumptions!$B$86)</f>
        <v/>
      </c>
    </row>
    <row r="100">
      <c r="A100" s="6" t="inlineStr">
        <is>
          <t xml:space="preserve">  New customers</t>
        </is>
      </c>
      <c r="B100" s="23" t="inlineStr">
        <is>
          <t>accounts</t>
        </is>
      </c>
      <c r="C100" s="54">
        <f>C98*C99*C15</f>
        <v/>
      </c>
      <c r="D100" s="54">
        <f>D98*D99*D15</f>
        <v/>
      </c>
      <c r="E100" s="54">
        <f>E98*E99*E15</f>
        <v/>
      </c>
      <c r="F100" s="54">
        <f>F98*F99*F15</f>
        <v/>
      </c>
      <c r="G100" s="54">
        <f>G98*G99*G15</f>
        <v/>
      </c>
      <c r="H100" s="54">
        <f>H98*H99*H15</f>
        <v/>
      </c>
      <c r="I100" s="54">
        <f>I98*I99*I15</f>
        <v/>
      </c>
      <c r="J100" s="54">
        <f>J98*J99*J15</f>
        <v/>
      </c>
      <c r="K100" s="54">
        <f>K98*K99*K15</f>
        <v/>
      </c>
      <c r="L100" s="54">
        <f>L98*L99*L15</f>
        <v/>
      </c>
      <c r="M100" s="54">
        <f>M98*M99*M15</f>
        <v/>
      </c>
      <c r="N100" s="54">
        <f>N98*N99*N15</f>
        <v/>
      </c>
      <c r="O100" s="54">
        <f>O98*O99*O15</f>
        <v/>
      </c>
      <c r="P100" s="54">
        <f>P98*P99*P15</f>
        <v/>
      </c>
      <c r="Q100" s="54">
        <f>Q98*Q99*Q15</f>
        <v/>
      </c>
      <c r="R100" s="54">
        <f>R98*R99*R15</f>
        <v/>
      </c>
      <c r="S100" s="54">
        <f>S98*S99*S15</f>
        <v/>
      </c>
      <c r="T100" s="54">
        <f>T98*T99*T15</f>
        <v/>
      </c>
      <c r="U100" s="54">
        <f>U98*U99*U15</f>
        <v/>
      </c>
      <c r="V100" s="54">
        <f>V98*V99*V15</f>
        <v/>
      </c>
      <c r="W100" s="54">
        <f>W98*W99*W15</f>
        <v/>
      </c>
      <c r="X100" s="54">
        <f>X98*X99*X15</f>
        <v/>
      </c>
      <c r="Y100" s="54">
        <f>Y98*Y99*Y15</f>
        <v/>
      </c>
      <c r="Z100" s="54">
        <f>Z98*Z99*Z15</f>
        <v/>
      </c>
      <c r="AA100" s="54">
        <f>AA98*AA99*AA15</f>
        <v/>
      </c>
      <c r="AB100" s="54">
        <f>AB98*AB99*AB15</f>
        <v/>
      </c>
      <c r="AC100" s="54">
        <f>AC98*AC99*AC15</f>
        <v/>
      </c>
      <c r="AD100" s="54">
        <f>AD98*AD99*AD15</f>
        <v/>
      </c>
      <c r="AE100" s="54">
        <f>AE98*AE99*AE15</f>
        <v/>
      </c>
    </row>
    <row r="101">
      <c r="A101" s="6" t="inlineStr">
        <is>
          <t xml:space="preserve">  Paying customers</t>
        </is>
      </c>
      <c r="B101" s="23" t="inlineStr">
        <is>
          <t>accounts</t>
        </is>
      </c>
      <c r="C101" s="28">
        <f>C100*(1-Assumptions!$B$121)^(C7/2)</f>
        <v/>
      </c>
      <c r="D101" s="28">
        <f>C101*(1-Assumptions!$B$121)^D7+D100*(1-Assumptions!$B$121)^(D7/2)</f>
        <v/>
      </c>
      <c r="E101" s="28">
        <f>D101*(1-Assumptions!$B$121)^E7+E100*(1-Assumptions!$B$121)^(E7/2)</f>
        <v/>
      </c>
      <c r="F101" s="28">
        <f>E101*(1-Assumptions!$B$121)^F7+F100*(1-Assumptions!$B$121)^(F7/2)</f>
        <v/>
      </c>
      <c r="G101" s="28">
        <f>F101*(1-Assumptions!$B$121)^G7+G100*(1-Assumptions!$B$121)^(G7/2)</f>
        <v/>
      </c>
      <c r="H101" s="28">
        <f>G101*(1-Assumptions!$B$121)^H7+H100*(1-Assumptions!$B$121)^(H7/2)</f>
        <v/>
      </c>
      <c r="I101" s="28">
        <f>H101*(1-Assumptions!$B$121)^I7+I100*(1-Assumptions!$B$121)^(I7/2)</f>
        <v/>
      </c>
      <c r="J101" s="28">
        <f>I101*(1-Assumptions!$B$121)^J7+J100*(1-Assumptions!$B$121)^(J7/2)</f>
        <v/>
      </c>
      <c r="K101" s="28">
        <f>J101*(1-Assumptions!$B$121)^K7+K100*(1-Assumptions!$B$121)^(K7/2)</f>
        <v/>
      </c>
      <c r="L101" s="28">
        <f>K101*(1-Assumptions!$B$121)^L7+L100*(1-Assumptions!$B$121)^(L7/2)</f>
        <v/>
      </c>
      <c r="M101" s="28">
        <f>L101*(1-Assumptions!$B$121)^M7+M100*(1-Assumptions!$B$121)^(M7/2)</f>
        <v/>
      </c>
      <c r="N101" s="28">
        <f>M101*(1-Assumptions!$B$121)^N7+N100*(1-Assumptions!$B$121)^(N7/2)</f>
        <v/>
      </c>
      <c r="O101" s="28">
        <f>N101*(1-Assumptions!$B$121)^O7+O100*(1-Assumptions!$B$121)^(O7/2)</f>
        <v/>
      </c>
      <c r="P101" s="28">
        <f>O101*(1-Assumptions!$B$121)^P7+P100*(1-Assumptions!$B$121)^(P7/2)</f>
        <v/>
      </c>
      <c r="Q101" s="28">
        <f>P101*(1-Assumptions!$B$121)^Q7+Q100*(1-Assumptions!$B$121)^(Q7/2)</f>
        <v/>
      </c>
      <c r="R101" s="28">
        <f>Q101*(1-Assumptions!$B$121)^R7+R100*(1-Assumptions!$B$121)^(R7/2)</f>
        <v/>
      </c>
      <c r="S101" s="28">
        <f>R101*(1-Assumptions!$B$121)^S7+S100*(1-Assumptions!$B$121)^(S7/2)</f>
        <v/>
      </c>
      <c r="T101" s="28">
        <f>S101*(1-Assumptions!$B$121)^T7+T100*(1-Assumptions!$B$121)^(T7/2)</f>
        <v/>
      </c>
      <c r="U101" s="28">
        <f>T101*(1-Assumptions!$B$121)^U7+U100*(1-Assumptions!$B$121)^(U7/2)</f>
        <v/>
      </c>
      <c r="V101" s="28">
        <f>U101*(1-Assumptions!$B$121)^V7+V100*(1-Assumptions!$B$121)^(V7/2)</f>
        <v/>
      </c>
      <c r="W101" s="28">
        <f>V101*(1-Assumptions!$B$121)^W7+W100*(1-Assumptions!$B$121)^(W7/2)</f>
        <v/>
      </c>
      <c r="X101" s="28">
        <f>W101*(1-Assumptions!$B$121)^X7+X100*(1-Assumptions!$B$121)^(X7/2)</f>
        <v/>
      </c>
      <c r="Y101" s="28">
        <f>X101*(1-Assumptions!$B$121)^Y7+Y100*(1-Assumptions!$B$121)^(Y7/2)</f>
        <v/>
      </c>
      <c r="Z101" s="28">
        <f>Y101*(1-Assumptions!$B$121)^Z7+Z100*(1-Assumptions!$B$121)^(Z7/2)</f>
        <v/>
      </c>
      <c r="AA101" s="28">
        <f>Z101*(1-Assumptions!$B$121)^AA7+AA100*(1-Assumptions!$B$121)^(AA7/2)</f>
        <v/>
      </c>
      <c r="AB101" s="28">
        <f>AA101*(1-Assumptions!$B$121)^AB7+AB100*(1-Assumptions!$B$121)^(AB7/2)</f>
        <v/>
      </c>
      <c r="AC101" s="28">
        <f>AB101*(1-Assumptions!$B$121)^AC7+AC100*(1-Assumptions!$B$121)^(AC7/2)</f>
        <v/>
      </c>
      <c r="AD101" s="28">
        <f>AC101*(1-Assumptions!$B$121)^AD7+AD100*(1-Assumptions!$B$121)^(AD7/2)</f>
        <v/>
      </c>
      <c r="AE101" s="28">
        <f>AD101*(1-Assumptions!$B$121)^AE7+AE100*(1-Assumptions!$B$121)^(AE7/2)</f>
        <v/>
      </c>
    </row>
    <row r="102">
      <c r="A102" s="6" t="inlineStr">
        <is>
          <t xml:space="preserve">  Churned this period</t>
        </is>
      </c>
      <c r="B102" s="23" t="inlineStr">
        <is>
          <t>accounts</t>
        </is>
      </c>
      <c r="C102" s="54">
        <f>C100-C101</f>
        <v/>
      </c>
      <c r="D102" s="54">
        <f>C101+D100-D101</f>
        <v/>
      </c>
      <c r="E102" s="54">
        <f>D101+E100-E101</f>
        <v/>
      </c>
      <c r="F102" s="54">
        <f>E101+F100-F101</f>
        <v/>
      </c>
      <c r="G102" s="54">
        <f>F101+G100-G101</f>
        <v/>
      </c>
      <c r="H102" s="54">
        <f>G101+H100-H101</f>
        <v/>
      </c>
      <c r="I102" s="54">
        <f>H101+I100-I101</f>
        <v/>
      </c>
      <c r="J102" s="54">
        <f>I101+J100-J101</f>
        <v/>
      </c>
      <c r="K102" s="54">
        <f>J101+K100-K101</f>
        <v/>
      </c>
      <c r="L102" s="54">
        <f>K101+L100-L101</f>
        <v/>
      </c>
      <c r="M102" s="54">
        <f>L101+M100-M101</f>
        <v/>
      </c>
      <c r="N102" s="54">
        <f>M101+N100-N101</f>
        <v/>
      </c>
      <c r="O102" s="54">
        <f>N101+O100-O101</f>
        <v/>
      </c>
      <c r="P102" s="54">
        <f>O101+P100-P101</f>
        <v/>
      </c>
      <c r="Q102" s="54">
        <f>P101+Q100-Q101</f>
        <v/>
      </c>
      <c r="R102" s="54">
        <f>Q101+R100-R101</f>
        <v/>
      </c>
      <c r="S102" s="54">
        <f>R101+S100-S101</f>
        <v/>
      </c>
      <c r="T102" s="54">
        <f>S101+T100-T101</f>
        <v/>
      </c>
      <c r="U102" s="54">
        <f>T101+U100-U101</f>
        <v/>
      </c>
      <c r="V102" s="54">
        <f>U101+V100-V101</f>
        <v/>
      </c>
      <c r="W102" s="54">
        <f>V101+W100-W101</f>
        <v/>
      </c>
      <c r="X102" s="54">
        <f>W101+X100-X101</f>
        <v/>
      </c>
      <c r="Y102" s="54">
        <f>X101+Y100-Y101</f>
        <v/>
      </c>
      <c r="Z102" s="54">
        <f>Y101+Z100-Z101</f>
        <v/>
      </c>
      <c r="AA102" s="54">
        <f>Z101+AA100-AA101</f>
        <v/>
      </c>
      <c r="AB102" s="54">
        <f>AA101+AB100-AB101</f>
        <v/>
      </c>
      <c r="AC102" s="54">
        <f>AB101+AC100-AC101</f>
        <v/>
      </c>
      <c r="AD102" s="54">
        <f>AC101+AD100-AD101</f>
        <v/>
      </c>
      <c r="AE102" s="54">
        <f>AD101+AE100-AE101</f>
        <v/>
      </c>
    </row>
    <row r="103">
      <c r="A103" s="6" t="inlineStr">
        <is>
          <t xml:space="preserve">  Holders (stopped paying, still hold gold)</t>
        </is>
      </c>
      <c r="B103" s="23" t="inlineStr">
        <is>
          <t>accounts</t>
        </is>
      </c>
      <c r="C103" s="45">
        <f>C102</f>
        <v/>
      </c>
      <c r="D103" s="45">
        <f>C103+D102</f>
        <v/>
      </c>
      <c r="E103" s="45">
        <f>D103+E102</f>
        <v/>
      </c>
      <c r="F103" s="45">
        <f>E103+F102</f>
        <v/>
      </c>
      <c r="G103" s="45">
        <f>F103+G102</f>
        <v/>
      </c>
      <c r="H103" s="45">
        <f>G103+H102</f>
        <v/>
      </c>
      <c r="I103" s="45">
        <f>H103+I102</f>
        <v/>
      </c>
      <c r="J103" s="45">
        <f>I103+J102</f>
        <v/>
      </c>
      <c r="K103" s="45">
        <f>J103+K102</f>
        <v/>
      </c>
      <c r="L103" s="45">
        <f>K103+L102</f>
        <v/>
      </c>
      <c r="M103" s="45">
        <f>L103+M102</f>
        <v/>
      </c>
      <c r="N103" s="45">
        <f>M103+N102</f>
        <v/>
      </c>
      <c r="O103" s="45">
        <f>N103+O102</f>
        <v/>
      </c>
      <c r="P103" s="45">
        <f>O103+P102</f>
        <v/>
      </c>
      <c r="Q103" s="45">
        <f>P103+Q102</f>
        <v/>
      </c>
      <c r="R103" s="45">
        <f>Q103+R102</f>
        <v/>
      </c>
      <c r="S103" s="45">
        <f>R103+S102</f>
        <v/>
      </c>
      <c r="T103" s="45">
        <f>S103+T102</f>
        <v/>
      </c>
      <c r="U103" s="45">
        <f>T103+U102</f>
        <v/>
      </c>
      <c r="V103" s="45">
        <f>U103+V102</f>
        <v/>
      </c>
      <c r="W103" s="45">
        <f>V103+W102</f>
        <v/>
      </c>
      <c r="X103" s="45">
        <f>W103+X102</f>
        <v/>
      </c>
      <c r="Y103" s="45">
        <f>X103+Y102</f>
        <v/>
      </c>
      <c r="Z103" s="45">
        <f>Y103+Z102</f>
        <v/>
      </c>
      <c r="AA103" s="45">
        <f>Z103+AA102</f>
        <v/>
      </c>
      <c r="AB103" s="45">
        <f>AA103+AB102</f>
        <v/>
      </c>
      <c r="AC103" s="45">
        <f>AB103+AC102</f>
        <v/>
      </c>
      <c r="AD103" s="45">
        <f>AC103+AD102</f>
        <v/>
      </c>
      <c r="AE103" s="45">
        <f>AD103+AE102</f>
        <v/>
      </c>
    </row>
    <row r="104">
      <c r="A104" s="6" t="inlineStr">
        <is>
          <t xml:space="preserve">  Cumulative ever acquired</t>
        </is>
      </c>
      <c r="B104" s="23" t="inlineStr">
        <is>
          <t>accounts</t>
        </is>
      </c>
      <c r="C104" s="45">
        <f>C100</f>
        <v/>
      </c>
      <c r="D104" s="45">
        <f>C104+D100</f>
        <v/>
      </c>
      <c r="E104" s="45">
        <f>D104+E100</f>
        <v/>
      </c>
      <c r="F104" s="45">
        <f>E104+F100</f>
        <v/>
      </c>
      <c r="G104" s="45">
        <f>F104+G100</f>
        <v/>
      </c>
      <c r="H104" s="45">
        <f>G104+H100</f>
        <v/>
      </c>
      <c r="I104" s="45">
        <f>H104+I100</f>
        <v/>
      </c>
      <c r="J104" s="45">
        <f>I104+J100</f>
        <v/>
      </c>
      <c r="K104" s="45">
        <f>J104+K100</f>
        <v/>
      </c>
      <c r="L104" s="45">
        <f>K104+L100</f>
        <v/>
      </c>
      <c r="M104" s="45">
        <f>L104+M100</f>
        <v/>
      </c>
      <c r="N104" s="45">
        <f>M104+N100</f>
        <v/>
      </c>
      <c r="O104" s="45">
        <f>N104+O100</f>
        <v/>
      </c>
      <c r="P104" s="45">
        <f>O104+P100</f>
        <v/>
      </c>
      <c r="Q104" s="45">
        <f>P104+Q100</f>
        <v/>
      </c>
      <c r="R104" s="45">
        <f>Q104+R100</f>
        <v/>
      </c>
      <c r="S104" s="45">
        <f>R104+S100</f>
        <v/>
      </c>
      <c r="T104" s="45">
        <f>S104+T100</f>
        <v/>
      </c>
      <c r="U104" s="45">
        <f>T104+U100</f>
        <v/>
      </c>
      <c r="V104" s="45">
        <f>U104+V100</f>
        <v/>
      </c>
      <c r="W104" s="45">
        <f>V104+W100</f>
        <v/>
      </c>
      <c r="X104" s="45">
        <f>W104+X100</f>
        <v/>
      </c>
      <c r="Y104" s="45">
        <f>X104+Y100</f>
        <v/>
      </c>
      <c r="Z104" s="45">
        <f>Y104+Z100</f>
        <v/>
      </c>
      <c r="AA104" s="45">
        <f>Z104+AA100</f>
        <v/>
      </c>
      <c r="AB104" s="45">
        <f>AA104+AB100</f>
        <v/>
      </c>
      <c r="AC104" s="45">
        <f>AB104+AC100</f>
        <v/>
      </c>
      <c r="AD104" s="45">
        <f>AC104+AD100</f>
        <v/>
      </c>
      <c r="AE104" s="45">
        <f>AD104+AE100</f>
        <v/>
      </c>
    </row>
    <row r="105">
      <c r="A105" s="6" t="inlineStr">
        <is>
          <t xml:space="preserve">  SIP contributions</t>
        </is>
      </c>
      <c r="B105" s="23" t="inlineStr">
        <is>
          <t>USD</t>
        </is>
      </c>
      <c r="C105" s="55">
        <f>IF(C2&gt;=Assumptions!$B$47,C101*Assumptions!$B$169*C7,0)</f>
        <v/>
      </c>
      <c r="D105" s="55">
        <f>IF(D2&gt;=Assumptions!$B$47,D101*Assumptions!$B$169*D7,0)</f>
        <v/>
      </c>
      <c r="E105" s="55">
        <f>IF(E2&gt;=Assumptions!$B$47,E101*Assumptions!$B$169*E7,0)</f>
        <v/>
      </c>
      <c r="F105" s="55">
        <f>IF(F2&gt;=Assumptions!$B$47,F101*Assumptions!$B$169*F7,0)</f>
        <v/>
      </c>
      <c r="G105" s="55">
        <f>IF(G2&gt;=Assumptions!$B$47,G101*Assumptions!$B$169*G7,0)</f>
        <v/>
      </c>
      <c r="H105" s="55">
        <f>IF(H2&gt;=Assumptions!$B$47,H101*Assumptions!$B$169*H7,0)</f>
        <v/>
      </c>
      <c r="I105" s="55">
        <f>IF(I2&gt;=Assumptions!$B$47,I101*Assumptions!$B$169*I7,0)</f>
        <v/>
      </c>
      <c r="J105" s="55">
        <f>IF(J2&gt;=Assumptions!$B$47,J101*Assumptions!$B$169*J7,0)</f>
        <v/>
      </c>
      <c r="K105" s="55">
        <f>IF(K2&gt;=Assumptions!$B$47,K101*Assumptions!$B$169*K7,0)</f>
        <v/>
      </c>
      <c r="L105" s="55">
        <f>IF(L2&gt;=Assumptions!$B$47,L101*Assumptions!$B$169*L7,0)</f>
        <v/>
      </c>
      <c r="M105" s="55">
        <f>IF(M2&gt;=Assumptions!$B$47,M101*Assumptions!$B$169*M7,0)</f>
        <v/>
      </c>
      <c r="N105" s="55">
        <f>IF(N2&gt;=Assumptions!$B$47,N101*Assumptions!$B$169*N7,0)</f>
        <v/>
      </c>
      <c r="O105" s="55">
        <f>IF(O2&gt;=Assumptions!$B$47,O101*Assumptions!$B$169*O7,0)</f>
        <v/>
      </c>
      <c r="P105" s="55">
        <f>IF(P2&gt;=Assumptions!$B$47,P101*Assumptions!$B$169*P7,0)</f>
        <v/>
      </c>
      <c r="Q105" s="55">
        <f>IF(Q2&gt;=Assumptions!$B$47,Q101*Assumptions!$B$169*Q7,0)</f>
        <v/>
      </c>
      <c r="R105" s="55">
        <f>IF(R2&gt;=Assumptions!$B$47,R101*Assumptions!$B$169*R7,0)</f>
        <v/>
      </c>
      <c r="S105" s="55">
        <f>IF(S2&gt;=Assumptions!$B$47,S101*Assumptions!$B$169*S7,0)</f>
        <v/>
      </c>
      <c r="T105" s="55">
        <f>IF(T2&gt;=Assumptions!$B$47,T101*Assumptions!$B$169*T7,0)</f>
        <v/>
      </c>
      <c r="U105" s="55">
        <f>IF(U2&gt;=Assumptions!$B$47,U101*Assumptions!$B$169*U7,0)</f>
        <v/>
      </c>
      <c r="V105" s="55">
        <f>IF(V2&gt;=Assumptions!$B$47,V101*Assumptions!$B$169*V7,0)</f>
        <v/>
      </c>
      <c r="W105" s="55">
        <f>IF(W2&gt;=Assumptions!$B$47,W101*Assumptions!$B$169*W7,0)</f>
        <v/>
      </c>
      <c r="X105" s="55">
        <f>IF(X2&gt;=Assumptions!$B$47,X101*Assumptions!$B$169*X7,0)</f>
        <v/>
      </c>
      <c r="Y105" s="55">
        <f>IF(Y2&gt;=Assumptions!$B$47,Y101*Assumptions!$B$169*Y7,0)</f>
        <v/>
      </c>
      <c r="Z105" s="55">
        <f>IF(Z2&gt;=Assumptions!$B$47,Z101*Assumptions!$B$169*Z7,0)</f>
        <v/>
      </c>
      <c r="AA105" s="55">
        <f>IF(AA2&gt;=Assumptions!$B$47,AA101*Assumptions!$B$169*AA7,0)</f>
        <v/>
      </c>
      <c r="AB105" s="55">
        <f>IF(AB2&gt;=Assumptions!$B$47,AB101*Assumptions!$B$169*AB7,0)</f>
        <v/>
      </c>
      <c r="AC105" s="55">
        <f>IF(AC2&gt;=Assumptions!$B$47,AC101*Assumptions!$B$169*AC7,0)</f>
        <v/>
      </c>
      <c r="AD105" s="55">
        <f>IF(AD2&gt;=Assumptions!$B$47,AD101*Assumptions!$B$169*AD7,0)</f>
        <v/>
      </c>
      <c r="AE105" s="55">
        <f>IF(AE2&gt;=Assumptions!$B$47,AE101*Assumptions!$B$169*AE7,0)</f>
        <v/>
      </c>
    </row>
    <row r="106">
      <c r="A106" s="6" t="inlineStr">
        <is>
          <t xml:space="preserve">  Spot purchase volume</t>
        </is>
      </c>
      <c r="B106" s="23" t="inlineStr">
        <is>
          <t>USD</t>
        </is>
      </c>
      <c r="C106" s="55">
        <f>IF(C2&gt;=Assumptions!$B$48,C101*Assumptions!$B$37*Assumptions!$B$138*Assumptions!$B$140*Assumptions!$B$34*Assumptions!$B$139/12*C7,0)</f>
        <v/>
      </c>
      <c r="D106" s="55">
        <f>IF(D2&gt;=Assumptions!$B$48,D101*Assumptions!$B$37*Assumptions!$B$138*Assumptions!$B$140*Assumptions!$B$34*Assumptions!$B$139/12*D7,0)</f>
        <v/>
      </c>
      <c r="E106" s="55">
        <f>IF(E2&gt;=Assumptions!$B$48,E101*Assumptions!$B$37*Assumptions!$B$138*Assumptions!$B$140*Assumptions!$B$34*Assumptions!$B$139/12*E7,0)</f>
        <v/>
      </c>
      <c r="F106" s="55">
        <f>IF(F2&gt;=Assumptions!$B$48,F101*Assumptions!$B$37*Assumptions!$B$138*Assumptions!$B$140*Assumptions!$B$34*Assumptions!$B$139/12*F7,0)</f>
        <v/>
      </c>
      <c r="G106" s="55">
        <f>IF(G2&gt;=Assumptions!$B$48,G101*Assumptions!$B$37*Assumptions!$B$138*Assumptions!$B$140*Assumptions!$B$34*Assumptions!$B$139/12*G7,0)</f>
        <v/>
      </c>
      <c r="H106" s="55">
        <f>IF(H2&gt;=Assumptions!$B$48,H101*Assumptions!$B$37*Assumptions!$B$138*Assumptions!$B$140*Assumptions!$B$34*Assumptions!$B$139/12*H7,0)</f>
        <v/>
      </c>
      <c r="I106" s="55">
        <f>IF(I2&gt;=Assumptions!$B$48,I101*Assumptions!$B$37*Assumptions!$B$138*Assumptions!$B$140*Assumptions!$B$34*Assumptions!$B$139/12*I7,0)</f>
        <v/>
      </c>
      <c r="J106" s="55">
        <f>IF(J2&gt;=Assumptions!$B$48,J101*Assumptions!$B$37*Assumptions!$B$138*Assumptions!$B$140*Assumptions!$B$34*Assumptions!$B$139/12*J7,0)</f>
        <v/>
      </c>
      <c r="K106" s="55">
        <f>IF(K2&gt;=Assumptions!$B$48,K101*Assumptions!$B$37*Assumptions!$B$138*Assumptions!$B$140*Assumptions!$B$34*Assumptions!$B$139/12*K7,0)</f>
        <v/>
      </c>
      <c r="L106" s="55">
        <f>IF(L2&gt;=Assumptions!$B$48,L101*Assumptions!$B$37*Assumptions!$B$138*Assumptions!$B$140*Assumptions!$B$34*Assumptions!$B$139/12*L7,0)</f>
        <v/>
      </c>
      <c r="M106" s="55">
        <f>IF(M2&gt;=Assumptions!$B$48,M101*Assumptions!$B$37*Assumptions!$B$138*Assumptions!$B$140*Assumptions!$B$34*Assumptions!$B$139/12*M7,0)</f>
        <v/>
      </c>
      <c r="N106" s="55">
        <f>IF(N2&gt;=Assumptions!$B$48,N101*Assumptions!$B$37*Assumptions!$B$138*Assumptions!$B$140*Assumptions!$B$34*Assumptions!$B$139/12*N7,0)</f>
        <v/>
      </c>
      <c r="O106" s="55">
        <f>IF(O2&gt;=Assumptions!$B$48,O101*Assumptions!$B$37*Assumptions!$B$138*Assumptions!$B$140*Assumptions!$B$34*Assumptions!$B$139/12*O7,0)</f>
        <v/>
      </c>
      <c r="P106" s="55">
        <f>IF(P2&gt;=Assumptions!$B$48,P101*Assumptions!$B$37*Assumptions!$B$138*Assumptions!$B$140*Assumptions!$B$34*Assumptions!$B$139/12*P7,0)</f>
        <v/>
      </c>
      <c r="Q106" s="55">
        <f>IF(Q2&gt;=Assumptions!$B$48,Q101*Assumptions!$B$37*Assumptions!$B$138*Assumptions!$B$140*Assumptions!$B$34*Assumptions!$B$139/12*Q7,0)</f>
        <v/>
      </c>
      <c r="R106" s="55">
        <f>IF(R2&gt;=Assumptions!$B$48,R101*Assumptions!$B$37*Assumptions!$B$138*Assumptions!$B$140*Assumptions!$B$34*Assumptions!$B$139/12*R7,0)</f>
        <v/>
      </c>
      <c r="S106" s="55">
        <f>IF(S2&gt;=Assumptions!$B$48,S101*Assumptions!$B$37*Assumptions!$B$138*Assumptions!$B$140*Assumptions!$B$34*Assumptions!$B$139/12*S7,0)</f>
        <v/>
      </c>
      <c r="T106" s="55">
        <f>IF(T2&gt;=Assumptions!$B$48,T101*Assumptions!$B$37*Assumptions!$B$138*Assumptions!$B$140*Assumptions!$B$34*Assumptions!$B$139/12*T7,0)</f>
        <v/>
      </c>
      <c r="U106" s="55">
        <f>IF(U2&gt;=Assumptions!$B$48,U101*Assumptions!$B$37*Assumptions!$B$138*Assumptions!$B$140*Assumptions!$B$34*Assumptions!$B$139/12*U7,0)</f>
        <v/>
      </c>
      <c r="V106" s="55">
        <f>IF(V2&gt;=Assumptions!$B$48,V101*Assumptions!$B$37*Assumptions!$B$138*Assumptions!$B$140*Assumptions!$B$34*Assumptions!$B$139/12*V7,0)</f>
        <v/>
      </c>
      <c r="W106" s="55">
        <f>IF(W2&gt;=Assumptions!$B$48,W101*Assumptions!$B$37*Assumptions!$B$138*Assumptions!$B$140*Assumptions!$B$34*Assumptions!$B$139/12*W7,0)</f>
        <v/>
      </c>
      <c r="X106" s="55">
        <f>IF(X2&gt;=Assumptions!$B$48,X101*Assumptions!$B$37*Assumptions!$B$138*Assumptions!$B$140*Assumptions!$B$34*Assumptions!$B$139/12*X7,0)</f>
        <v/>
      </c>
      <c r="Y106" s="55">
        <f>IF(Y2&gt;=Assumptions!$B$48,Y101*Assumptions!$B$37*Assumptions!$B$138*Assumptions!$B$140*Assumptions!$B$34*Assumptions!$B$139/12*Y7,0)</f>
        <v/>
      </c>
      <c r="Z106" s="55">
        <f>IF(Z2&gt;=Assumptions!$B$48,Z101*Assumptions!$B$37*Assumptions!$B$138*Assumptions!$B$140*Assumptions!$B$34*Assumptions!$B$139/12*Z7,0)</f>
        <v/>
      </c>
      <c r="AA106" s="55">
        <f>IF(AA2&gt;=Assumptions!$B$48,AA101*Assumptions!$B$37*Assumptions!$B$138*Assumptions!$B$140*Assumptions!$B$34*Assumptions!$B$139/12*AA7,0)</f>
        <v/>
      </c>
      <c r="AB106" s="55">
        <f>IF(AB2&gt;=Assumptions!$B$48,AB101*Assumptions!$B$37*Assumptions!$B$138*Assumptions!$B$140*Assumptions!$B$34*Assumptions!$B$139/12*AB7,0)</f>
        <v/>
      </c>
      <c r="AC106" s="55">
        <f>IF(AC2&gt;=Assumptions!$B$48,AC101*Assumptions!$B$37*Assumptions!$B$138*Assumptions!$B$140*Assumptions!$B$34*Assumptions!$B$139/12*AC7,0)</f>
        <v/>
      </c>
      <c r="AD106" s="55">
        <f>IF(AD2&gt;=Assumptions!$B$48,AD101*Assumptions!$B$37*Assumptions!$B$138*Assumptions!$B$140*Assumptions!$B$34*Assumptions!$B$139/12*AD7,0)</f>
        <v/>
      </c>
      <c r="AE106" s="55">
        <f>IF(AE2&gt;=Assumptions!$B$48,AE101*Assumptions!$B$37*Assumptions!$B$138*Assumptions!$B$140*Assumptions!$B$34*Assumptions!$B$139/12*AE7,0)</f>
        <v/>
      </c>
    </row>
    <row r="107">
      <c r="A107" s="6" t="inlineStr">
        <is>
          <t xml:space="preserve">  Grams purchased</t>
        </is>
      </c>
      <c r="B107" s="23" t="inlineStr">
        <is>
          <t>grams</t>
        </is>
      </c>
      <c r="C107" s="54">
        <f>(C105+C106)*(1-Assumptions!$B$8)/Assumptions!$B$6/(1+Assumptions!$B$9)</f>
        <v/>
      </c>
      <c r="D107" s="54">
        <f>(D105+D106)*(1-Assumptions!$B$8)/Assumptions!$B$6/(1+Assumptions!$B$9)</f>
        <v/>
      </c>
      <c r="E107" s="54">
        <f>(E105+E106)*(1-Assumptions!$B$8)/Assumptions!$B$6/(1+Assumptions!$B$9)</f>
        <v/>
      </c>
      <c r="F107" s="54">
        <f>(F105+F106)*(1-Assumptions!$B$8)/Assumptions!$B$6/(1+Assumptions!$B$9)</f>
        <v/>
      </c>
      <c r="G107" s="54">
        <f>(G105+G106)*(1-Assumptions!$B$8)/Assumptions!$B$6/(1+Assumptions!$B$9)</f>
        <v/>
      </c>
      <c r="H107" s="54">
        <f>(H105+H106)*(1-Assumptions!$B$8)/Assumptions!$B$6/(1+Assumptions!$B$9)</f>
        <v/>
      </c>
      <c r="I107" s="54">
        <f>(I105+I106)*(1-Assumptions!$B$8)/Assumptions!$B$6/(1+Assumptions!$B$9)</f>
        <v/>
      </c>
      <c r="J107" s="54">
        <f>(J105+J106)*(1-Assumptions!$B$8)/Assumptions!$B$6/(1+Assumptions!$B$9)</f>
        <v/>
      </c>
      <c r="K107" s="54">
        <f>(K105+K106)*(1-Assumptions!$B$8)/Assumptions!$B$6/(1+Assumptions!$B$9)</f>
        <v/>
      </c>
      <c r="L107" s="54">
        <f>(L105+L106)*(1-Assumptions!$B$8)/Assumptions!$B$6/(1+Assumptions!$B$9)</f>
        <v/>
      </c>
      <c r="M107" s="54">
        <f>(M105+M106)*(1-Assumptions!$B$8)/Assumptions!$B$6/(1+Assumptions!$B$9)</f>
        <v/>
      </c>
      <c r="N107" s="54">
        <f>(N105+N106)*(1-Assumptions!$B$8)/Assumptions!$B$6/(1+Assumptions!$B$9)</f>
        <v/>
      </c>
      <c r="O107" s="54">
        <f>(O105+O106)*(1-Assumptions!$B$8)/Assumptions!$B$6/(1+Assumptions!$B$9)</f>
        <v/>
      </c>
      <c r="P107" s="54">
        <f>(P105+P106)*(1-Assumptions!$B$8)/Assumptions!$B$6/(1+Assumptions!$B$9)</f>
        <v/>
      </c>
      <c r="Q107" s="54">
        <f>(Q105+Q106)*(1-Assumptions!$B$8)/Assumptions!$B$6/(1+Assumptions!$B$9)</f>
        <v/>
      </c>
      <c r="R107" s="54">
        <f>(R105+R106)*(1-Assumptions!$B$8)/Assumptions!$B$6/(1+Assumptions!$B$9)</f>
        <v/>
      </c>
      <c r="S107" s="54">
        <f>(S105+S106)*(1-Assumptions!$B$8)/Assumptions!$B$6/(1+Assumptions!$B$9)</f>
        <v/>
      </c>
      <c r="T107" s="54">
        <f>(T105+T106)*(1-Assumptions!$B$8)/Assumptions!$B$6/(1+Assumptions!$B$9)</f>
        <v/>
      </c>
      <c r="U107" s="54">
        <f>(U105+U106)*(1-Assumptions!$B$8)/Assumptions!$B$6/(1+Assumptions!$B$9)</f>
        <v/>
      </c>
      <c r="V107" s="54">
        <f>(V105+V106)*(1-Assumptions!$B$8)/Assumptions!$B$6/(1+Assumptions!$B$9)</f>
        <v/>
      </c>
      <c r="W107" s="54">
        <f>(W105+W106)*(1-Assumptions!$B$8)/Assumptions!$B$6/(1+Assumptions!$B$9)</f>
        <v/>
      </c>
      <c r="X107" s="54">
        <f>(X105+X106)*(1-Assumptions!$B$8)/Assumptions!$B$6/(1+Assumptions!$B$9)</f>
        <v/>
      </c>
      <c r="Y107" s="54">
        <f>(Y105+Y106)*(1-Assumptions!$B$8)/Assumptions!$B$6/(1+Assumptions!$B$9)</f>
        <v/>
      </c>
      <c r="Z107" s="54">
        <f>(Z105+Z106)*(1-Assumptions!$B$8)/Assumptions!$B$6/(1+Assumptions!$B$9)</f>
        <v/>
      </c>
      <c r="AA107" s="54">
        <f>(AA105+AA106)*(1-Assumptions!$B$8)/Assumptions!$B$6/(1+Assumptions!$B$9)</f>
        <v/>
      </c>
      <c r="AB107" s="54">
        <f>(AB105+AB106)*(1-Assumptions!$B$8)/Assumptions!$B$6/(1+Assumptions!$B$9)</f>
        <v/>
      </c>
      <c r="AC107" s="54">
        <f>(AC105+AC106)*(1-Assumptions!$B$8)/Assumptions!$B$6/(1+Assumptions!$B$9)</f>
        <v/>
      </c>
      <c r="AD107" s="54">
        <f>(AD105+AD106)*(1-Assumptions!$B$8)/Assumptions!$B$6/(1+Assumptions!$B$9)</f>
        <v/>
      </c>
      <c r="AE107" s="54">
        <f>(AE105+AE106)*(1-Assumptions!$B$8)/Assumptions!$B$6/(1+Assumptions!$B$9)</f>
        <v/>
      </c>
    </row>
    <row r="108">
      <c r="A108" s="6" t="inlineStr">
        <is>
          <t xml:space="preserve">  Collateral-eligible AUM decay rate (holder-weighted)</t>
        </is>
      </c>
      <c r="B108" s="23" t="inlineStr">
        <is>
          <t>%/period</t>
        </is>
      </c>
      <c r="C108" s="56">
        <f>(Assumptions!$B$135+Assumptions!$B$136*IF(C101+C103=0,1,(C101+C103*Assumptions!$B$137)/(C101+C103)))*C7/12</f>
        <v/>
      </c>
      <c r="D108" s="56">
        <f>(Assumptions!$B$135+Assumptions!$B$136*IF(D101+D103=0,1,(D101+D103*Assumptions!$B$137)/(D101+D103)))*D7/12</f>
        <v/>
      </c>
      <c r="E108" s="56">
        <f>(Assumptions!$B$135+Assumptions!$B$136*IF(E101+E103=0,1,(E101+E103*Assumptions!$B$137)/(E101+E103)))*E7/12</f>
        <v/>
      </c>
      <c r="F108" s="56">
        <f>(Assumptions!$B$135+Assumptions!$B$136*IF(F101+F103=0,1,(F101+F103*Assumptions!$B$137)/(F101+F103)))*F7/12</f>
        <v/>
      </c>
      <c r="G108" s="56">
        <f>(Assumptions!$B$135+Assumptions!$B$136*IF(G101+G103=0,1,(G101+G103*Assumptions!$B$137)/(G101+G103)))*G7/12</f>
        <v/>
      </c>
      <c r="H108" s="56">
        <f>(Assumptions!$B$135+Assumptions!$B$136*IF(H101+H103=0,1,(H101+H103*Assumptions!$B$137)/(H101+H103)))*H7/12</f>
        <v/>
      </c>
      <c r="I108" s="56">
        <f>(Assumptions!$B$135+Assumptions!$B$136*IF(I101+I103=0,1,(I101+I103*Assumptions!$B$137)/(I101+I103)))*I7/12</f>
        <v/>
      </c>
      <c r="J108" s="56">
        <f>(Assumptions!$B$135+Assumptions!$B$136*IF(J101+J103=0,1,(J101+J103*Assumptions!$B$137)/(J101+J103)))*J7/12</f>
        <v/>
      </c>
      <c r="K108" s="56">
        <f>(Assumptions!$B$135+Assumptions!$B$136*IF(K101+K103=0,1,(K101+K103*Assumptions!$B$137)/(K101+K103)))*K7/12</f>
        <v/>
      </c>
      <c r="L108" s="56">
        <f>(Assumptions!$B$135+Assumptions!$B$136*IF(L101+L103=0,1,(L101+L103*Assumptions!$B$137)/(L101+L103)))*L7/12</f>
        <v/>
      </c>
      <c r="M108" s="56">
        <f>(Assumptions!$B$135+Assumptions!$B$136*IF(M101+M103=0,1,(M101+M103*Assumptions!$B$137)/(M101+M103)))*M7/12</f>
        <v/>
      </c>
      <c r="N108" s="56">
        <f>(Assumptions!$B$135+Assumptions!$B$136*IF(N101+N103=0,1,(N101+N103*Assumptions!$B$137)/(N101+N103)))*N7/12</f>
        <v/>
      </c>
      <c r="O108" s="56">
        <f>(Assumptions!$B$135+Assumptions!$B$136*IF(O101+O103=0,1,(O101+O103*Assumptions!$B$137)/(O101+O103)))*O7/12</f>
        <v/>
      </c>
      <c r="P108" s="56">
        <f>(Assumptions!$B$135+Assumptions!$B$136*IF(P101+P103=0,1,(P101+P103*Assumptions!$B$137)/(P101+P103)))*P7/12</f>
        <v/>
      </c>
      <c r="Q108" s="56">
        <f>(Assumptions!$B$135+Assumptions!$B$136*IF(Q101+Q103=0,1,(Q101+Q103*Assumptions!$B$137)/(Q101+Q103)))*Q7/12</f>
        <v/>
      </c>
      <c r="R108" s="56">
        <f>(Assumptions!$B$135+Assumptions!$B$136*IF(R101+R103=0,1,(R101+R103*Assumptions!$B$137)/(R101+R103)))*R7/12</f>
        <v/>
      </c>
      <c r="S108" s="56">
        <f>(Assumptions!$B$135+Assumptions!$B$136*IF(S101+S103=0,1,(S101+S103*Assumptions!$B$137)/(S101+S103)))*S7/12</f>
        <v/>
      </c>
      <c r="T108" s="56">
        <f>(Assumptions!$B$135+Assumptions!$B$136*IF(T101+T103=0,1,(T101+T103*Assumptions!$B$137)/(T101+T103)))*T7/12</f>
        <v/>
      </c>
      <c r="U108" s="56">
        <f>(Assumptions!$B$135+Assumptions!$B$136*IF(U101+U103=0,1,(U101+U103*Assumptions!$B$137)/(U101+U103)))*U7/12</f>
        <v/>
      </c>
      <c r="V108" s="56">
        <f>(Assumptions!$B$135+Assumptions!$B$136*IF(V101+V103=0,1,(V101+V103*Assumptions!$B$137)/(V101+V103)))*V7/12</f>
        <v/>
      </c>
      <c r="W108" s="56">
        <f>(Assumptions!$B$135+Assumptions!$B$136*IF(W101+W103=0,1,(W101+W103*Assumptions!$B$137)/(W101+W103)))*W7/12</f>
        <v/>
      </c>
      <c r="X108" s="56">
        <f>(Assumptions!$B$135+Assumptions!$B$136*IF(X101+X103=0,1,(X101+X103*Assumptions!$B$137)/(X101+X103)))*X7/12</f>
        <v/>
      </c>
      <c r="Y108" s="56">
        <f>(Assumptions!$B$135+Assumptions!$B$136*IF(Y101+Y103=0,1,(Y101+Y103*Assumptions!$B$137)/(Y101+Y103)))*Y7/12</f>
        <v/>
      </c>
      <c r="Z108" s="56">
        <f>(Assumptions!$B$135+Assumptions!$B$136*IF(Z101+Z103=0,1,(Z101+Z103*Assumptions!$B$137)/(Z101+Z103)))*Z7/12</f>
        <v/>
      </c>
      <c r="AA108" s="56">
        <f>(Assumptions!$B$135+Assumptions!$B$136*IF(AA101+AA103=0,1,(AA101+AA103*Assumptions!$B$137)/(AA101+AA103)))*AA7/12</f>
        <v/>
      </c>
      <c r="AB108" s="56">
        <f>(Assumptions!$B$135+Assumptions!$B$136*IF(AB101+AB103=0,1,(AB101+AB103*Assumptions!$B$137)/(AB101+AB103)))*AB7/12</f>
        <v/>
      </c>
      <c r="AC108" s="56">
        <f>(Assumptions!$B$135+Assumptions!$B$136*IF(AC101+AC103=0,1,(AC101+AC103*Assumptions!$B$137)/(AC101+AC103)))*AC7/12</f>
        <v/>
      </c>
      <c r="AD108" s="56">
        <f>(Assumptions!$B$135+Assumptions!$B$136*IF(AD101+AD103=0,1,(AD101+AD103*Assumptions!$B$137)/(AD101+AD103)))*AD7/12</f>
        <v/>
      </c>
      <c r="AE108" s="56">
        <f>(Assumptions!$B$135+Assumptions!$B$136*IF(AE101+AE103=0,1,(AE101+AE103*Assumptions!$B$137)/(AE101+AE103)))*AE7/12</f>
        <v/>
      </c>
    </row>
    <row r="109">
      <c r="A109" s="6" t="inlineStr">
        <is>
          <t xml:space="preserve">  Grams held</t>
        </is>
      </c>
      <c r="B109" s="23" t="inlineStr">
        <is>
          <t>grams</t>
        </is>
      </c>
      <c r="C109" s="45">
        <f>C107</f>
        <v/>
      </c>
      <c r="D109" s="45">
        <f>C109*(1-D108)+D107</f>
        <v/>
      </c>
      <c r="E109" s="45">
        <f>D109*(1-E108)+E107</f>
        <v/>
      </c>
      <c r="F109" s="45">
        <f>E109*(1-F108)+F107</f>
        <v/>
      </c>
      <c r="G109" s="45">
        <f>F109*(1-G108)+G107</f>
        <v/>
      </c>
      <c r="H109" s="45">
        <f>G109*(1-H108)+H107</f>
        <v/>
      </c>
      <c r="I109" s="45">
        <f>H109*(1-I108)+I107</f>
        <v/>
      </c>
      <c r="J109" s="45">
        <f>I109*(1-J108)+J107</f>
        <v/>
      </c>
      <c r="K109" s="45">
        <f>J109*(1-K108)+K107</f>
        <v/>
      </c>
      <c r="L109" s="45">
        <f>K109*(1-L108)+L107</f>
        <v/>
      </c>
      <c r="M109" s="45">
        <f>L109*(1-M108)+M107</f>
        <v/>
      </c>
      <c r="N109" s="45">
        <f>M109*(1-N108)+N107</f>
        <v/>
      </c>
      <c r="O109" s="45">
        <f>N109*(1-O108)+O107</f>
        <v/>
      </c>
      <c r="P109" s="45">
        <f>O109*(1-P108)+P107</f>
        <v/>
      </c>
      <c r="Q109" s="45">
        <f>P109*(1-Q108)+Q107</f>
        <v/>
      </c>
      <c r="R109" s="45">
        <f>Q109*(1-R108)+R107</f>
        <v/>
      </c>
      <c r="S109" s="45">
        <f>R109*(1-S108)+S107</f>
        <v/>
      </c>
      <c r="T109" s="45">
        <f>S109*(1-T108)+T107</f>
        <v/>
      </c>
      <c r="U109" s="45">
        <f>T109*(1-U108)+U107</f>
        <v/>
      </c>
      <c r="V109" s="45">
        <f>U109*(1-V108)+V107</f>
        <v/>
      </c>
      <c r="W109" s="45">
        <f>V109*(1-W108)+W107</f>
        <v/>
      </c>
      <c r="X109" s="45">
        <f>W109*(1-X108)+X107</f>
        <v/>
      </c>
      <c r="Y109" s="45">
        <f>X109*(1-Y108)+Y107</f>
        <v/>
      </c>
      <c r="Z109" s="45">
        <f>Y109*(1-Z108)+Z107</f>
        <v/>
      </c>
      <c r="AA109" s="45">
        <f>Z109*(1-AA108)+AA107</f>
        <v/>
      </c>
      <c r="AB109" s="45">
        <f>AA109*(1-AB108)+AB107</f>
        <v/>
      </c>
      <c r="AC109" s="45">
        <f>AB109*(1-AC108)+AC107</f>
        <v/>
      </c>
      <c r="AD109" s="45">
        <f>AC109*(1-AD108)+AD107</f>
        <v/>
      </c>
      <c r="AE109" s="45">
        <f>AD109*(1-AE108)+AE107</f>
        <v/>
      </c>
    </row>
    <row r="110">
      <c r="A110" s="6" t="inlineStr">
        <is>
          <t xml:space="preserve">  AUM</t>
        </is>
      </c>
      <c r="B110" s="23" t="inlineStr">
        <is>
          <t>USD</t>
        </is>
      </c>
      <c r="C110" s="57">
        <f>C109*Assumptions!$B$6</f>
        <v/>
      </c>
      <c r="D110" s="57">
        <f>D109*Assumptions!$B$6</f>
        <v/>
      </c>
      <c r="E110" s="57">
        <f>E109*Assumptions!$B$6</f>
        <v/>
      </c>
      <c r="F110" s="57">
        <f>F109*Assumptions!$B$6</f>
        <v/>
      </c>
      <c r="G110" s="57">
        <f>G109*Assumptions!$B$6</f>
        <v/>
      </c>
      <c r="H110" s="57">
        <f>H109*Assumptions!$B$6</f>
        <v/>
      </c>
      <c r="I110" s="57">
        <f>I109*Assumptions!$B$6</f>
        <v/>
      </c>
      <c r="J110" s="57">
        <f>J109*Assumptions!$B$6</f>
        <v/>
      </c>
      <c r="K110" s="57">
        <f>K109*Assumptions!$B$6</f>
        <v/>
      </c>
      <c r="L110" s="57">
        <f>L109*Assumptions!$B$6</f>
        <v/>
      </c>
      <c r="M110" s="57">
        <f>M109*Assumptions!$B$6</f>
        <v/>
      </c>
      <c r="N110" s="57">
        <f>N109*Assumptions!$B$6</f>
        <v/>
      </c>
      <c r="O110" s="57">
        <f>O109*Assumptions!$B$6</f>
        <v/>
      </c>
      <c r="P110" s="57">
        <f>P109*Assumptions!$B$6</f>
        <v/>
      </c>
      <c r="Q110" s="57">
        <f>Q109*Assumptions!$B$6</f>
        <v/>
      </c>
      <c r="R110" s="57">
        <f>R109*Assumptions!$B$6</f>
        <v/>
      </c>
      <c r="S110" s="57">
        <f>S109*Assumptions!$B$6</f>
        <v/>
      </c>
      <c r="T110" s="57">
        <f>T109*Assumptions!$B$6</f>
        <v/>
      </c>
      <c r="U110" s="57">
        <f>U109*Assumptions!$B$6</f>
        <v/>
      </c>
      <c r="V110" s="57">
        <f>V109*Assumptions!$B$6</f>
        <v/>
      </c>
      <c r="W110" s="57">
        <f>W109*Assumptions!$B$6</f>
        <v/>
      </c>
      <c r="X110" s="57">
        <f>X109*Assumptions!$B$6</f>
        <v/>
      </c>
      <c r="Y110" s="57">
        <f>Y109*Assumptions!$B$6</f>
        <v/>
      </c>
      <c r="Z110" s="57">
        <f>Z109*Assumptions!$B$6</f>
        <v/>
      </c>
      <c r="AA110" s="57">
        <f>AA109*Assumptions!$B$6</f>
        <v/>
      </c>
      <c r="AB110" s="57">
        <f>AB109*Assumptions!$B$6</f>
        <v/>
      </c>
      <c r="AC110" s="57">
        <f>AC109*Assumptions!$B$6</f>
        <v/>
      </c>
      <c r="AD110" s="57">
        <f>AD109*Assumptions!$B$6</f>
        <v/>
      </c>
      <c r="AE110" s="57">
        <f>AE109*Assumptions!$B$6</f>
        <v/>
      </c>
    </row>
    <row r="111">
      <c r="A111" s="6" t="inlineStr">
        <is>
          <t xml:space="preserve">  Card-eligible base</t>
        </is>
      </c>
      <c r="B111" s="23" t="inlineStr">
        <is>
          <t>accounts</t>
        </is>
      </c>
      <c r="C111" s="54">
        <f>C101+C103*Assumptions!$B$171</f>
        <v/>
      </c>
      <c r="D111" s="54">
        <f>D101+D103*Assumptions!$B$171</f>
        <v/>
      </c>
      <c r="E111" s="54">
        <f>E101+E103*Assumptions!$B$171</f>
        <v/>
      </c>
      <c r="F111" s="54">
        <f>F101+F103*Assumptions!$B$171</f>
        <v/>
      </c>
      <c r="G111" s="54">
        <f>G101+G103*Assumptions!$B$171</f>
        <v/>
      </c>
      <c r="H111" s="54">
        <f>H101+H103*Assumptions!$B$171</f>
        <v/>
      </c>
      <c r="I111" s="54">
        <f>I101+I103*Assumptions!$B$171</f>
        <v/>
      </c>
      <c r="J111" s="54">
        <f>J101+J103*Assumptions!$B$171</f>
        <v/>
      </c>
      <c r="K111" s="54">
        <f>K101+K103*Assumptions!$B$171</f>
        <v/>
      </c>
      <c r="L111" s="54">
        <f>L101+L103*Assumptions!$B$171</f>
        <v/>
      </c>
      <c r="M111" s="54">
        <f>M101+M103*Assumptions!$B$171</f>
        <v/>
      </c>
      <c r="N111" s="54">
        <f>N101+N103*Assumptions!$B$171</f>
        <v/>
      </c>
      <c r="O111" s="54">
        <f>O101+O103*Assumptions!$B$171</f>
        <v/>
      </c>
      <c r="P111" s="54">
        <f>P101+P103*Assumptions!$B$171</f>
        <v/>
      </c>
      <c r="Q111" s="54">
        <f>Q101+Q103*Assumptions!$B$171</f>
        <v/>
      </c>
      <c r="R111" s="54">
        <f>R101+R103*Assumptions!$B$171</f>
        <v/>
      </c>
      <c r="S111" s="54">
        <f>S101+S103*Assumptions!$B$171</f>
        <v/>
      </c>
      <c r="T111" s="54">
        <f>T101+T103*Assumptions!$B$171</f>
        <v/>
      </c>
      <c r="U111" s="54">
        <f>U101+U103*Assumptions!$B$171</f>
        <v/>
      </c>
      <c r="V111" s="54">
        <f>V101+V103*Assumptions!$B$171</f>
        <v/>
      </c>
      <c r="W111" s="54">
        <f>W101+W103*Assumptions!$B$171</f>
        <v/>
      </c>
      <c r="X111" s="54">
        <f>X101+X103*Assumptions!$B$171</f>
        <v/>
      </c>
      <c r="Y111" s="54">
        <f>Y101+Y103*Assumptions!$B$171</f>
        <v/>
      </c>
      <c r="Z111" s="54">
        <f>Z101+Z103*Assumptions!$B$171</f>
        <v/>
      </c>
      <c r="AA111" s="54">
        <f>AA101+AA103*Assumptions!$B$171</f>
        <v/>
      </c>
      <c r="AB111" s="54">
        <f>AB101+AB103*Assumptions!$B$171</f>
        <v/>
      </c>
      <c r="AC111" s="54">
        <f>AC101+AC103*Assumptions!$B$171</f>
        <v/>
      </c>
      <c r="AD111" s="54">
        <f>AD101+AD103*Assumptions!$B$171</f>
        <v/>
      </c>
      <c r="AE111" s="54">
        <f>AE101+AE103*Assumptions!$B$171</f>
        <v/>
      </c>
    </row>
    <row r="112">
      <c r="A112" s="6" t="inlineStr">
        <is>
          <t xml:space="preserve">  Cleared the six-payment gate</t>
        </is>
      </c>
      <c r="B112" s="23" t="inlineStr">
        <is>
          <t>accounts</t>
        </is>
      </c>
      <c r="C112" s="45">
        <f>IF(C7&gt;1,C111*Assumptions!$B$133,IF(C2&gt;Assumptions!$B$134,INDEX($C$111:$AE$111,1,C2-Assumptions!$B$134)*Assumptions!$B$133,0))</f>
        <v/>
      </c>
      <c r="D112" s="45">
        <f>IF(D7&gt;1,D111*Assumptions!$B$133,IF(D2&gt;Assumptions!$B$134,INDEX($C$111:$AE$111,1,D2-Assumptions!$B$134)*Assumptions!$B$133,0))</f>
        <v/>
      </c>
      <c r="E112" s="45">
        <f>IF(E7&gt;1,E111*Assumptions!$B$133,IF(E2&gt;Assumptions!$B$134,INDEX($C$111:$AE$111,1,E2-Assumptions!$B$134)*Assumptions!$B$133,0))</f>
        <v/>
      </c>
      <c r="F112" s="45">
        <f>IF(F7&gt;1,F111*Assumptions!$B$133,IF(F2&gt;Assumptions!$B$134,INDEX($C$111:$AE$111,1,F2-Assumptions!$B$134)*Assumptions!$B$133,0))</f>
        <v/>
      </c>
      <c r="G112" s="45">
        <f>IF(G7&gt;1,G111*Assumptions!$B$133,IF(G2&gt;Assumptions!$B$134,INDEX($C$111:$AE$111,1,G2-Assumptions!$B$134)*Assumptions!$B$133,0))</f>
        <v/>
      </c>
      <c r="H112" s="45">
        <f>IF(H7&gt;1,H111*Assumptions!$B$133,IF(H2&gt;Assumptions!$B$134,INDEX($C$111:$AE$111,1,H2-Assumptions!$B$134)*Assumptions!$B$133,0))</f>
        <v/>
      </c>
      <c r="I112" s="45">
        <f>IF(I7&gt;1,I111*Assumptions!$B$133,IF(I2&gt;Assumptions!$B$134,INDEX($C$111:$AE$111,1,I2-Assumptions!$B$134)*Assumptions!$B$133,0))</f>
        <v/>
      </c>
      <c r="J112" s="45">
        <f>IF(J7&gt;1,J111*Assumptions!$B$133,IF(J2&gt;Assumptions!$B$134,INDEX($C$111:$AE$111,1,J2-Assumptions!$B$134)*Assumptions!$B$133,0))</f>
        <v/>
      </c>
      <c r="K112" s="45">
        <f>IF(K7&gt;1,K111*Assumptions!$B$133,IF(K2&gt;Assumptions!$B$134,INDEX($C$111:$AE$111,1,K2-Assumptions!$B$134)*Assumptions!$B$133,0))</f>
        <v/>
      </c>
      <c r="L112" s="45">
        <f>IF(L7&gt;1,L111*Assumptions!$B$133,IF(L2&gt;Assumptions!$B$134,INDEX($C$111:$AE$111,1,L2-Assumptions!$B$134)*Assumptions!$B$133,0))</f>
        <v/>
      </c>
      <c r="M112" s="45">
        <f>IF(M7&gt;1,M111*Assumptions!$B$133,IF(M2&gt;Assumptions!$B$134,INDEX($C$111:$AE$111,1,M2-Assumptions!$B$134)*Assumptions!$B$133,0))</f>
        <v/>
      </c>
      <c r="N112" s="45">
        <f>IF(N7&gt;1,N111*Assumptions!$B$133,IF(N2&gt;Assumptions!$B$134,INDEX($C$111:$AE$111,1,N2-Assumptions!$B$134)*Assumptions!$B$133,0))</f>
        <v/>
      </c>
      <c r="O112" s="45">
        <f>IF(O7&gt;1,O111*Assumptions!$B$133,IF(O2&gt;Assumptions!$B$134,INDEX($C$111:$AE$111,1,O2-Assumptions!$B$134)*Assumptions!$B$133,0))</f>
        <v/>
      </c>
      <c r="P112" s="45">
        <f>IF(P7&gt;1,P111*Assumptions!$B$133,IF(P2&gt;Assumptions!$B$134,INDEX($C$111:$AE$111,1,P2-Assumptions!$B$134)*Assumptions!$B$133,0))</f>
        <v/>
      </c>
      <c r="Q112" s="45">
        <f>IF(Q7&gt;1,Q111*Assumptions!$B$133,IF(Q2&gt;Assumptions!$B$134,INDEX($C$111:$AE$111,1,Q2-Assumptions!$B$134)*Assumptions!$B$133,0))</f>
        <v/>
      </c>
      <c r="R112" s="45">
        <f>IF(R7&gt;1,R111*Assumptions!$B$133,IF(R2&gt;Assumptions!$B$134,INDEX($C$111:$AE$111,1,R2-Assumptions!$B$134)*Assumptions!$B$133,0))</f>
        <v/>
      </c>
      <c r="S112" s="45">
        <f>IF(S7&gt;1,S111*Assumptions!$B$133,IF(S2&gt;Assumptions!$B$134,INDEX($C$111:$AE$111,1,S2-Assumptions!$B$134)*Assumptions!$B$133,0))</f>
        <v/>
      </c>
      <c r="T112" s="45">
        <f>IF(T7&gt;1,T111*Assumptions!$B$133,IF(T2&gt;Assumptions!$B$134,INDEX($C$111:$AE$111,1,T2-Assumptions!$B$134)*Assumptions!$B$133,0))</f>
        <v/>
      </c>
      <c r="U112" s="45">
        <f>IF(U7&gt;1,U111*Assumptions!$B$133,IF(U2&gt;Assumptions!$B$134,INDEX($C$111:$AE$111,1,U2-Assumptions!$B$134)*Assumptions!$B$133,0))</f>
        <v/>
      </c>
      <c r="V112" s="45">
        <f>IF(V7&gt;1,V111*Assumptions!$B$133,IF(V2&gt;Assumptions!$B$134,INDEX($C$111:$AE$111,1,V2-Assumptions!$B$134)*Assumptions!$B$133,0))</f>
        <v/>
      </c>
      <c r="W112" s="45">
        <f>IF(W7&gt;1,W111*Assumptions!$B$133,IF(W2&gt;Assumptions!$B$134,INDEX($C$111:$AE$111,1,W2-Assumptions!$B$134)*Assumptions!$B$133,0))</f>
        <v/>
      </c>
      <c r="X112" s="45">
        <f>IF(X7&gt;1,X111*Assumptions!$B$133,IF(X2&gt;Assumptions!$B$134,INDEX($C$111:$AE$111,1,X2-Assumptions!$B$134)*Assumptions!$B$133,0))</f>
        <v/>
      </c>
      <c r="Y112" s="45">
        <f>IF(Y7&gt;1,Y111*Assumptions!$B$133,IF(Y2&gt;Assumptions!$B$134,INDEX($C$111:$AE$111,1,Y2-Assumptions!$B$134)*Assumptions!$B$133,0))</f>
        <v/>
      </c>
      <c r="Z112" s="45">
        <f>IF(Z7&gt;1,Z111*Assumptions!$B$133,IF(Z2&gt;Assumptions!$B$134,INDEX($C$111:$AE$111,1,Z2-Assumptions!$B$134)*Assumptions!$B$133,0))</f>
        <v/>
      </c>
      <c r="AA112" s="45">
        <f>IF(AA7&gt;1,AA111*Assumptions!$B$133,IF(AA2&gt;Assumptions!$B$134,INDEX($C$111:$AE$111,1,AA2-Assumptions!$B$134)*Assumptions!$B$133,0))</f>
        <v/>
      </c>
      <c r="AB112" s="45">
        <f>IF(AB7&gt;1,AB111*Assumptions!$B$133,IF(AB2&gt;Assumptions!$B$134,INDEX($C$111:$AE$111,1,AB2-Assumptions!$B$134)*Assumptions!$B$133,0))</f>
        <v/>
      </c>
      <c r="AC112" s="45">
        <f>IF(AC7&gt;1,AC111*Assumptions!$B$133,IF(AC2&gt;Assumptions!$B$134,INDEX($C$111:$AE$111,1,AC2-Assumptions!$B$134)*Assumptions!$B$133,0))</f>
        <v/>
      </c>
      <c r="AD112" s="45">
        <f>IF(AD7&gt;1,AD111*Assumptions!$B$133,IF(AD2&gt;Assumptions!$B$134,INDEX($C$111:$AE$111,1,AD2-Assumptions!$B$134)*Assumptions!$B$133,0))</f>
        <v/>
      </c>
      <c r="AE112" s="45">
        <f>IF(AE7&gt;1,AE111*Assumptions!$B$133,IF(AE2&gt;Assumptions!$B$134,INDEX($C$111:$AE$111,1,AE2-Assumptions!$B$134)*Assumptions!$B$133,0))</f>
        <v/>
      </c>
    </row>
    <row r="113">
      <c r="A113" s="6" t="inlineStr">
        <is>
          <t xml:space="preserve">  Active cards</t>
        </is>
      </c>
      <c r="B113" s="23" t="inlineStr">
        <is>
          <t>cards</t>
        </is>
      </c>
      <c r="C113" s="28">
        <f>IF(C2&gt;=Assumptions!$B$51,C112*Assumptions!$B$142,0)</f>
        <v/>
      </c>
      <c r="D113" s="28">
        <f>IF(D2&gt;=Assumptions!$B$51,D112*Assumptions!$B$142,0)</f>
        <v/>
      </c>
      <c r="E113" s="28">
        <f>IF(E2&gt;=Assumptions!$B$51,E112*Assumptions!$B$142,0)</f>
        <v/>
      </c>
      <c r="F113" s="28">
        <f>IF(F2&gt;=Assumptions!$B$51,F112*Assumptions!$B$142,0)</f>
        <v/>
      </c>
      <c r="G113" s="28">
        <f>IF(G2&gt;=Assumptions!$B$51,G112*Assumptions!$B$142,0)</f>
        <v/>
      </c>
      <c r="H113" s="28">
        <f>IF(H2&gt;=Assumptions!$B$51,H112*Assumptions!$B$142,0)</f>
        <v/>
      </c>
      <c r="I113" s="28">
        <f>IF(I2&gt;=Assumptions!$B$51,I112*Assumptions!$B$142,0)</f>
        <v/>
      </c>
      <c r="J113" s="28">
        <f>IF(J2&gt;=Assumptions!$B$51,J112*Assumptions!$B$142,0)</f>
        <v/>
      </c>
      <c r="K113" s="28">
        <f>IF(K2&gt;=Assumptions!$B$51,K112*Assumptions!$B$142,0)</f>
        <v/>
      </c>
      <c r="L113" s="28">
        <f>IF(L2&gt;=Assumptions!$B$51,L112*Assumptions!$B$142,0)</f>
        <v/>
      </c>
      <c r="M113" s="28">
        <f>IF(M2&gt;=Assumptions!$B$51,M112*Assumptions!$B$142,0)</f>
        <v/>
      </c>
      <c r="N113" s="28">
        <f>IF(N2&gt;=Assumptions!$B$51,N112*Assumptions!$B$142,0)</f>
        <v/>
      </c>
      <c r="O113" s="28">
        <f>IF(O2&gt;=Assumptions!$B$51,O112*Assumptions!$B$142,0)</f>
        <v/>
      </c>
      <c r="P113" s="28">
        <f>IF(P2&gt;=Assumptions!$B$51,P112*Assumptions!$B$142,0)</f>
        <v/>
      </c>
      <c r="Q113" s="28">
        <f>IF(Q2&gt;=Assumptions!$B$51,Q112*Assumptions!$B$142,0)</f>
        <v/>
      </c>
      <c r="R113" s="28">
        <f>IF(R2&gt;=Assumptions!$B$51,R112*Assumptions!$B$142,0)</f>
        <v/>
      </c>
      <c r="S113" s="28">
        <f>IF(S2&gt;=Assumptions!$B$51,S112*Assumptions!$B$142,0)</f>
        <v/>
      </c>
      <c r="T113" s="28">
        <f>IF(T2&gt;=Assumptions!$B$51,T112*Assumptions!$B$142,0)</f>
        <v/>
      </c>
      <c r="U113" s="28">
        <f>IF(U2&gt;=Assumptions!$B$51,U112*Assumptions!$B$142,0)</f>
        <v/>
      </c>
      <c r="V113" s="28">
        <f>IF(V2&gt;=Assumptions!$B$51,V112*Assumptions!$B$142,0)</f>
        <v/>
      </c>
      <c r="W113" s="28">
        <f>IF(W2&gt;=Assumptions!$B$51,W112*Assumptions!$B$142,0)</f>
        <v/>
      </c>
      <c r="X113" s="28">
        <f>IF(X2&gt;=Assumptions!$B$51,X112*Assumptions!$B$142,0)</f>
        <v/>
      </c>
      <c r="Y113" s="28">
        <f>IF(Y2&gt;=Assumptions!$B$51,Y112*Assumptions!$B$142,0)</f>
        <v/>
      </c>
      <c r="Z113" s="28">
        <f>IF(Z2&gt;=Assumptions!$B$51,Z112*Assumptions!$B$142,0)</f>
        <v/>
      </c>
      <c r="AA113" s="28">
        <f>IF(AA2&gt;=Assumptions!$B$51,AA112*Assumptions!$B$142,0)</f>
        <v/>
      </c>
      <c r="AB113" s="28">
        <f>IF(AB2&gt;=Assumptions!$B$51,AB112*Assumptions!$B$142,0)</f>
        <v/>
      </c>
      <c r="AC113" s="28">
        <f>IF(AC2&gt;=Assumptions!$B$51,AC112*Assumptions!$B$142,0)</f>
        <v/>
      </c>
      <c r="AD113" s="28">
        <f>IF(AD2&gt;=Assumptions!$B$51,AD112*Assumptions!$B$142,0)</f>
        <v/>
      </c>
      <c r="AE113" s="28">
        <f>IF(AE2&gt;=Assumptions!$B$51,AE112*Assumptions!$B$142,0)</f>
        <v/>
      </c>
    </row>
    <row r="114">
      <c r="A114" s="6" t="inlineStr">
        <is>
          <t xml:space="preserve">  Credit limit per customer (gold x LTV)</t>
        </is>
      </c>
      <c r="B114" s="23" t="inlineStr">
        <is>
          <t>USD</t>
        </is>
      </c>
      <c r="C114" s="55">
        <f>IF(C101=0,0,C110/C101*Assumptions!$B$31)</f>
        <v/>
      </c>
      <c r="D114" s="55">
        <f>IF(D101=0,0,D110/D101*Assumptions!$B$31)</f>
        <v/>
      </c>
      <c r="E114" s="55">
        <f>IF(E101=0,0,E110/E101*Assumptions!$B$31)</f>
        <v/>
      </c>
      <c r="F114" s="55">
        <f>IF(F101=0,0,F110/F101*Assumptions!$B$31)</f>
        <v/>
      </c>
      <c r="G114" s="55">
        <f>IF(G101=0,0,G110/G101*Assumptions!$B$31)</f>
        <v/>
      </c>
      <c r="H114" s="55">
        <f>IF(H101=0,0,H110/H101*Assumptions!$B$31)</f>
        <v/>
      </c>
      <c r="I114" s="55">
        <f>IF(I101=0,0,I110/I101*Assumptions!$B$31)</f>
        <v/>
      </c>
      <c r="J114" s="55">
        <f>IF(J101=0,0,J110/J101*Assumptions!$B$31)</f>
        <v/>
      </c>
      <c r="K114" s="55">
        <f>IF(K101=0,0,K110/K101*Assumptions!$B$31)</f>
        <v/>
      </c>
      <c r="L114" s="55">
        <f>IF(L101=0,0,L110/L101*Assumptions!$B$31)</f>
        <v/>
      </c>
      <c r="M114" s="55">
        <f>IF(M101=0,0,M110/M101*Assumptions!$B$31)</f>
        <v/>
      </c>
      <c r="N114" s="55">
        <f>IF(N101=0,0,N110/N101*Assumptions!$B$31)</f>
        <v/>
      </c>
      <c r="O114" s="55">
        <f>IF(O101=0,0,O110/O101*Assumptions!$B$31)</f>
        <v/>
      </c>
      <c r="P114" s="55">
        <f>IF(P101=0,0,P110/P101*Assumptions!$B$31)</f>
        <v/>
      </c>
      <c r="Q114" s="55">
        <f>IF(Q101=0,0,Q110/Q101*Assumptions!$B$31)</f>
        <v/>
      </c>
      <c r="R114" s="55">
        <f>IF(R101=0,0,R110/R101*Assumptions!$B$31)</f>
        <v/>
      </c>
      <c r="S114" s="55">
        <f>IF(S101=0,0,S110/S101*Assumptions!$B$31)</f>
        <v/>
      </c>
      <c r="T114" s="55">
        <f>IF(T101=0,0,T110/T101*Assumptions!$B$31)</f>
        <v/>
      </c>
      <c r="U114" s="55">
        <f>IF(U101=0,0,U110/U101*Assumptions!$B$31)</f>
        <v/>
      </c>
      <c r="V114" s="55">
        <f>IF(V101=0,0,V110/V101*Assumptions!$B$31)</f>
        <v/>
      </c>
      <c r="W114" s="55">
        <f>IF(W101=0,0,W110/W101*Assumptions!$B$31)</f>
        <v/>
      </c>
      <c r="X114" s="55">
        <f>IF(X101=0,0,X110/X101*Assumptions!$B$31)</f>
        <v/>
      </c>
      <c r="Y114" s="55">
        <f>IF(Y101=0,0,Y110/Y101*Assumptions!$B$31)</f>
        <v/>
      </c>
      <c r="Z114" s="55">
        <f>IF(Z101=0,0,Z110/Z101*Assumptions!$B$31)</f>
        <v/>
      </c>
      <c r="AA114" s="55">
        <f>IF(AA101=0,0,AA110/AA101*Assumptions!$B$31)</f>
        <v/>
      </c>
      <c r="AB114" s="55">
        <f>IF(AB101=0,0,AB110/AB101*Assumptions!$B$31)</f>
        <v/>
      </c>
      <c r="AC114" s="55">
        <f>IF(AC101=0,0,AC110/AC101*Assumptions!$B$31)</f>
        <v/>
      </c>
      <c r="AD114" s="55">
        <f>IF(AD101=0,0,AD110/AD101*Assumptions!$B$31)</f>
        <v/>
      </c>
      <c r="AE114" s="55">
        <f>IF(AE101=0,0,AE110/AE101*Assumptions!$B$31)</f>
        <v/>
      </c>
    </row>
    <row r="115">
      <c r="A115" s="6" t="inlineStr">
        <is>
          <t xml:space="preserve">  Annual drawdown per card (limit x drawn x draws)</t>
        </is>
      </c>
      <c r="B115" s="23" t="inlineStr">
        <is>
          <t>USD/yr</t>
        </is>
      </c>
      <c r="C115" s="55">
        <f>C114*Assumptions!$B$155*Assumptions!$B$157</f>
        <v/>
      </c>
      <c r="D115" s="55">
        <f>D114*Assumptions!$B$155*Assumptions!$B$157</f>
        <v/>
      </c>
      <c r="E115" s="55">
        <f>E114*Assumptions!$B$155*Assumptions!$B$157</f>
        <v/>
      </c>
      <c r="F115" s="55">
        <f>F114*Assumptions!$B$155*Assumptions!$B$157</f>
        <v/>
      </c>
      <c r="G115" s="55">
        <f>G114*Assumptions!$B$155*Assumptions!$B$157</f>
        <v/>
      </c>
      <c r="H115" s="55">
        <f>H114*Assumptions!$B$155*Assumptions!$B$157</f>
        <v/>
      </c>
      <c r="I115" s="55">
        <f>I114*Assumptions!$B$155*Assumptions!$B$157</f>
        <v/>
      </c>
      <c r="J115" s="55">
        <f>J114*Assumptions!$B$155*Assumptions!$B$157</f>
        <v/>
      </c>
      <c r="K115" s="55">
        <f>K114*Assumptions!$B$155*Assumptions!$B$157</f>
        <v/>
      </c>
      <c r="L115" s="55">
        <f>L114*Assumptions!$B$155*Assumptions!$B$157</f>
        <v/>
      </c>
      <c r="M115" s="55">
        <f>M114*Assumptions!$B$155*Assumptions!$B$157</f>
        <v/>
      </c>
      <c r="N115" s="55">
        <f>N114*Assumptions!$B$155*Assumptions!$B$157</f>
        <v/>
      </c>
      <c r="O115" s="55">
        <f>O114*Assumptions!$B$155*Assumptions!$B$157</f>
        <v/>
      </c>
      <c r="P115" s="55">
        <f>P114*Assumptions!$B$155*Assumptions!$B$157</f>
        <v/>
      </c>
      <c r="Q115" s="55">
        <f>Q114*Assumptions!$B$155*Assumptions!$B$157</f>
        <v/>
      </c>
      <c r="R115" s="55">
        <f>R114*Assumptions!$B$155*Assumptions!$B$157</f>
        <v/>
      </c>
      <c r="S115" s="55">
        <f>S114*Assumptions!$B$155*Assumptions!$B$157</f>
        <v/>
      </c>
      <c r="T115" s="55">
        <f>T114*Assumptions!$B$155*Assumptions!$B$157</f>
        <v/>
      </c>
      <c r="U115" s="55">
        <f>U114*Assumptions!$B$155*Assumptions!$B$157</f>
        <v/>
      </c>
      <c r="V115" s="55">
        <f>V114*Assumptions!$B$155*Assumptions!$B$157</f>
        <v/>
      </c>
      <c r="W115" s="55">
        <f>W114*Assumptions!$B$155*Assumptions!$B$157</f>
        <v/>
      </c>
      <c r="X115" s="55">
        <f>X114*Assumptions!$B$155*Assumptions!$B$157</f>
        <v/>
      </c>
      <c r="Y115" s="55">
        <f>Y114*Assumptions!$B$155*Assumptions!$B$157</f>
        <v/>
      </c>
      <c r="Z115" s="55">
        <f>Z114*Assumptions!$B$155*Assumptions!$B$157</f>
        <v/>
      </c>
      <c r="AA115" s="55">
        <f>AA114*Assumptions!$B$155*Assumptions!$B$157</f>
        <v/>
      </c>
      <c r="AB115" s="55">
        <f>AB114*Assumptions!$B$155*Assumptions!$B$157</f>
        <v/>
      </c>
      <c r="AC115" s="55">
        <f>AC114*Assumptions!$B$155*Assumptions!$B$157</f>
        <v/>
      </c>
      <c r="AD115" s="55">
        <f>AD114*Assumptions!$B$155*Assumptions!$B$157</f>
        <v/>
      </c>
      <c r="AE115" s="55">
        <f>AE114*Assumptions!$B$155*Assumptions!$B$157</f>
        <v/>
      </c>
    </row>
    <row r="116">
      <c r="A116" s="6" t="inlineStr">
        <is>
          <t xml:space="preserve">  Card spend per card per month</t>
        </is>
      </c>
      <c r="B116" s="23" t="inlineStr">
        <is>
          <t>USD</t>
        </is>
      </c>
      <c r="C116" s="55">
        <f>C115/12*C16</f>
        <v/>
      </c>
      <c r="D116" s="55">
        <f>D115/12*D16</f>
        <v/>
      </c>
      <c r="E116" s="55">
        <f>E115/12*E16</f>
        <v/>
      </c>
      <c r="F116" s="55">
        <f>F115/12*F16</f>
        <v/>
      </c>
      <c r="G116" s="55">
        <f>G115/12*G16</f>
        <v/>
      </c>
      <c r="H116" s="55">
        <f>H115/12*H16</f>
        <v/>
      </c>
      <c r="I116" s="55">
        <f>I115/12*I16</f>
        <v/>
      </c>
      <c r="J116" s="55">
        <f>J115/12*J16</f>
        <v/>
      </c>
      <c r="K116" s="55">
        <f>K115/12*K16</f>
        <v/>
      </c>
      <c r="L116" s="55">
        <f>L115/12*L16</f>
        <v/>
      </c>
      <c r="M116" s="55">
        <f>M115/12*M16</f>
        <v/>
      </c>
      <c r="N116" s="55">
        <f>N115/12*N16</f>
        <v/>
      </c>
      <c r="O116" s="55">
        <f>O115/12*O16</f>
        <v/>
      </c>
      <c r="P116" s="55">
        <f>P115/12*P16</f>
        <v/>
      </c>
      <c r="Q116" s="55">
        <f>Q115/12*Q16</f>
        <v/>
      </c>
      <c r="R116" s="55">
        <f>R115/12*R16</f>
        <v/>
      </c>
      <c r="S116" s="55">
        <f>S115/12*S16</f>
        <v/>
      </c>
      <c r="T116" s="55">
        <f>T115/12*T16</f>
        <v/>
      </c>
      <c r="U116" s="55">
        <f>U115/12*U16</f>
        <v/>
      </c>
      <c r="V116" s="55">
        <f>V115/12*V16</f>
        <v/>
      </c>
      <c r="W116" s="55">
        <f>W115/12*W16</f>
        <v/>
      </c>
      <c r="X116" s="55">
        <f>X115/12*X16</f>
        <v/>
      </c>
      <c r="Y116" s="55">
        <f>Y115/12*Y16</f>
        <v/>
      </c>
      <c r="Z116" s="55">
        <f>Z115/12*Z16</f>
        <v/>
      </c>
      <c r="AA116" s="55">
        <f>AA115/12*AA16</f>
        <v/>
      </c>
      <c r="AB116" s="55">
        <f>AB115/12*AB16</f>
        <v/>
      </c>
      <c r="AC116" s="55">
        <f>AC115/12*AC16</f>
        <v/>
      </c>
      <c r="AD116" s="55">
        <f>AD115/12*AD16</f>
        <v/>
      </c>
      <c r="AE116" s="55">
        <f>AE115/12*AE16</f>
        <v/>
      </c>
    </row>
    <row r="117">
      <c r="A117" s="6" t="inlineStr">
        <is>
          <t xml:space="preserve">  Card spend</t>
        </is>
      </c>
      <c r="B117" s="23" t="inlineStr">
        <is>
          <t>AED</t>
        </is>
      </c>
      <c r="C117" s="45">
        <f>C113*C116*Assumptions!$B$7*C7</f>
        <v/>
      </c>
      <c r="D117" s="45">
        <f>D113*D116*Assumptions!$B$7*D7</f>
        <v/>
      </c>
      <c r="E117" s="45">
        <f>E113*E116*Assumptions!$B$7*E7</f>
        <v/>
      </c>
      <c r="F117" s="45">
        <f>F113*F116*Assumptions!$B$7*F7</f>
        <v/>
      </c>
      <c r="G117" s="45">
        <f>G113*G116*Assumptions!$B$7*G7</f>
        <v/>
      </c>
      <c r="H117" s="45">
        <f>H113*H116*Assumptions!$B$7*H7</f>
        <v/>
      </c>
      <c r="I117" s="45">
        <f>I113*I116*Assumptions!$B$7*I7</f>
        <v/>
      </c>
      <c r="J117" s="45">
        <f>J113*J116*Assumptions!$B$7*J7</f>
        <v/>
      </c>
      <c r="K117" s="45">
        <f>K113*K116*Assumptions!$B$7*K7</f>
        <v/>
      </c>
      <c r="L117" s="45">
        <f>L113*L116*Assumptions!$B$7*L7</f>
        <v/>
      </c>
      <c r="M117" s="45">
        <f>M113*M116*Assumptions!$B$7*M7</f>
        <v/>
      </c>
      <c r="N117" s="45">
        <f>N113*N116*Assumptions!$B$7*N7</f>
        <v/>
      </c>
      <c r="O117" s="45">
        <f>O113*O116*Assumptions!$B$7*O7</f>
        <v/>
      </c>
      <c r="P117" s="45">
        <f>P113*P116*Assumptions!$B$7*P7</f>
        <v/>
      </c>
      <c r="Q117" s="45">
        <f>Q113*Q116*Assumptions!$B$7*Q7</f>
        <v/>
      </c>
      <c r="R117" s="45">
        <f>R113*R116*Assumptions!$B$7*R7</f>
        <v/>
      </c>
      <c r="S117" s="45">
        <f>S113*S116*Assumptions!$B$7*S7</f>
        <v/>
      </c>
      <c r="T117" s="45">
        <f>T113*T116*Assumptions!$B$7*T7</f>
        <v/>
      </c>
      <c r="U117" s="45">
        <f>U113*U116*Assumptions!$B$7*U7</f>
        <v/>
      </c>
      <c r="V117" s="45">
        <f>V113*V116*Assumptions!$B$7*V7</f>
        <v/>
      </c>
      <c r="W117" s="45">
        <f>W113*W116*Assumptions!$B$7*W7</f>
        <v/>
      </c>
      <c r="X117" s="45">
        <f>X113*X116*Assumptions!$B$7*X7</f>
        <v/>
      </c>
      <c r="Y117" s="45">
        <f>Y113*Y116*Assumptions!$B$7*Y7</f>
        <v/>
      </c>
      <c r="Z117" s="45">
        <f>Z113*Z116*Assumptions!$B$7*Z7</f>
        <v/>
      </c>
      <c r="AA117" s="45">
        <f>AA113*AA116*Assumptions!$B$7*AA7</f>
        <v/>
      </c>
      <c r="AB117" s="45">
        <f>AB113*AB116*Assumptions!$B$7*AB7</f>
        <v/>
      </c>
      <c r="AC117" s="45">
        <f>AC113*AC116*Assumptions!$B$7*AC7</f>
        <v/>
      </c>
      <c r="AD117" s="45">
        <f>AD113*AD116*Assumptions!$B$7*AD7</f>
        <v/>
      </c>
      <c r="AE117" s="45">
        <f>AE113*AE116*Assumptions!$B$7*AE7</f>
        <v/>
      </c>
    </row>
    <row r="118">
      <c r="A118" s="6" t="inlineStr">
        <is>
          <t xml:space="preserve">  Card spend</t>
        </is>
      </c>
      <c r="B118" s="23" t="inlineStr">
        <is>
          <t>USD</t>
        </is>
      </c>
      <c r="C118" s="55">
        <f>C117/Assumptions!$B$7</f>
        <v/>
      </c>
      <c r="D118" s="55">
        <f>D117/Assumptions!$B$7</f>
        <v/>
      </c>
      <c r="E118" s="55">
        <f>E117/Assumptions!$B$7</f>
        <v/>
      </c>
      <c r="F118" s="55">
        <f>F117/Assumptions!$B$7</f>
        <v/>
      </c>
      <c r="G118" s="55">
        <f>G117/Assumptions!$B$7</f>
        <v/>
      </c>
      <c r="H118" s="55">
        <f>H117/Assumptions!$B$7</f>
        <v/>
      </c>
      <c r="I118" s="55">
        <f>I117/Assumptions!$B$7</f>
        <v/>
      </c>
      <c r="J118" s="55">
        <f>J117/Assumptions!$B$7</f>
        <v/>
      </c>
      <c r="K118" s="55">
        <f>K117/Assumptions!$B$7</f>
        <v/>
      </c>
      <c r="L118" s="55">
        <f>L117/Assumptions!$B$7</f>
        <v/>
      </c>
      <c r="M118" s="55">
        <f>M117/Assumptions!$B$7</f>
        <v/>
      </c>
      <c r="N118" s="55">
        <f>N117/Assumptions!$B$7</f>
        <v/>
      </c>
      <c r="O118" s="55">
        <f>O117/Assumptions!$B$7</f>
        <v/>
      </c>
      <c r="P118" s="55">
        <f>P117/Assumptions!$B$7</f>
        <v/>
      </c>
      <c r="Q118" s="55">
        <f>Q117/Assumptions!$B$7</f>
        <v/>
      </c>
      <c r="R118" s="55">
        <f>R117/Assumptions!$B$7</f>
        <v/>
      </c>
      <c r="S118" s="55">
        <f>S117/Assumptions!$B$7</f>
        <v/>
      </c>
      <c r="T118" s="55">
        <f>T117/Assumptions!$B$7</f>
        <v/>
      </c>
      <c r="U118" s="55">
        <f>U117/Assumptions!$B$7</f>
        <v/>
      </c>
      <c r="V118" s="55">
        <f>V117/Assumptions!$B$7</f>
        <v/>
      </c>
      <c r="W118" s="55">
        <f>W117/Assumptions!$B$7</f>
        <v/>
      </c>
      <c r="X118" s="55">
        <f>X117/Assumptions!$B$7</f>
        <v/>
      </c>
      <c r="Y118" s="55">
        <f>Y117/Assumptions!$B$7</f>
        <v/>
      </c>
      <c r="Z118" s="55">
        <f>Z117/Assumptions!$B$7</f>
        <v/>
      </c>
      <c r="AA118" s="55">
        <f>AA117/Assumptions!$B$7</f>
        <v/>
      </c>
      <c r="AB118" s="55">
        <f>AB117/Assumptions!$B$7</f>
        <v/>
      </c>
      <c r="AC118" s="55">
        <f>AC117/Assumptions!$B$7</f>
        <v/>
      </c>
      <c r="AD118" s="55">
        <f>AD117/Assumptions!$B$7</f>
        <v/>
      </c>
      <c r="AE118" s="55">
        <f>AE117/Assumptions!$B$7</f>
        <v/>
      </c>
    </row>
    <row r="119">
      <c r="A119" s="6" t="inlineStr">
        <is>
          <t xml:space="preserve">  Average transaction size (derived)</t>
        </is>
      </c>
      <c r="B119" s="23" t="inlineStr">
        <is>
          <t>AED</t>
        </is>
      </c>
      <c r="C119" s="45">
        <f>IF(Assumptions!$B$143=0,0,C114*Assumptions!$B$155*Assumptions!$B$7/Assumptions!$B$143)</f>
        <v/>
      </c>
      <c r="D119" s="45">
        <f>IF(Assumptions!$B$143=0,0,D114*Assumptions!$B$155*Assumptions!$B$7/Assumptions!$B$143)</f>
        <v/>
      </c>
      <c r="E119" s="45">
        <f>IF(Assumptions!$B$143=0,0,E114*Assumptions!$B$155*Assumptions!$B$7/Assumptions!$B$143)</f>
        <v/>
      </c>
      <c r="F119" s="45">
        <f>IF(Assumptions!$B$143=0,0,F114*Assumptions!$B$155*Assumptions!$B$7/Assumptions!$B$143)</f>
        <v/>
      </c>
      <c r="G119" s="45">
        <f>IF(Assumptions!$B$143=0,0,G114*Assumptions!$B$155*Assumptions!$B$7/Assumptions!$B$143)</f>
        <v/>
      </c>
      <c r="H119" s="45">
        <f>IF(Assumptions!$B$143=0,0,H114*Assumptions!$B$155*Assumptions!$B$7/Assumptions!$B$143)</f>
        <v/>
      </c>
      <c r="I119" s="45">
        <f>IF(Assumptions!$B$143=0,0,I114*Assumptions!$B$155*Assumptions!$B$7/Assumptions!$B$143)</f>
        <v/>
      </c>
      <c r="J119" s="45">
        <f>IF(Assumptions!$B$143=0,0,J114*Assumptions!$B$155*Assumptions!$B$7/Assumptions!$B$143)</f>
        <v/>
      </c>
      <c r="K119" s="45">
        <f>IF(Assumptions!$B$143=0,0,K114*Assumptions!$B$155*Assumptions!$B$7/Assumptions!$B$143)</f>
        <v/>
      </c>
      <c r="L119" s="45">
        <f>IF(Assumptions!$B$143=0,0,L114*Assumptions!$B$155*Assumptions!$B$7/Assumptions!$B$143)</f>
        <v/>
      </c>
      <c r="M119" s="45">
        <f>IF(Assumptions!$B$143=0,0,M114*Assumptions!$B$155*Assumptions!$B$7/Assumptions!$B$143)</f>
        <v/>
      </c>
      <c r="N119" s="45">
        <f>IF(Assumptions!$B$143=0,0,N114*Assumptions!$B$155*Assumptions!$B$7/Assumptions!$B$143)</f>
        <v/>
      </c>
      <c r="O119" s="45">
        <f>IF(Assumptions!$B$143=0,0,O114*Assumptions!$B$155*Assumptions!$B$7/Assumptions!$B$143)</f>
        <v/>
      </c>
      <c r="P119" s="45">
        <f>IF(Assumptions!$B$143=0,0,P114*Assumptions!$B$155*Assumptions!$B$7/Assumptions!$B$143)</f>
        <v/>
      </c>
      <c r="Q119" s="45">
        <f>IF(Assumptions!$B$143=0,0,Q114*Assumptions!$B$155*Assumptions!$B$7/Assumptions!$B$143)</f>
        <v/>
      </c>
      <c r="R119" s="45">
        <f>IF(Assumptions!$B$143=0,0,R114*Assumptions!$B$155*Assumptions!$B$7/Assumptions!$B$143)</f>
        <v/>
      </c>
      <c r="S119" s="45">
        <f>IF(Assumptions!$B$143=0,0,S114*Assumptions!$B$155*Assumptions!$B$7/Assumptions!$B$143)</f>
        <v/>
      </c>
      <c r="T119" s="45">
        <f>IF(Assumptions!$B$143=0,0,T114*Assumptions!$B$155*Assumptions!$B$7/Assumptions!$B$143)</f>
        <v/>
      </c>
      <c r="U119" s="45">
        <f>IF(Assumptions!$B$143=0,0,U114*Assumptions!$B$155*Assumptions!$B$7/Assumptions!$B$143)</f>
        <v/>
      </c>
      <c r="V119" s="45">
        <f>IF(Assumptions!$B$143=0,0,V114*Assumptions!$B$155*Assumptions!$B$7/Assumptions!$B$143)</f>
        <v/>
      </c>
      <c r="W119" s="45">
        <f>IF(Assumptions!$B$143=0,0,W114*Assumptions!$B$155*Assumptions!$B$7/Assumptions!$B$143)</f>
        <v/>
      </c>
      <c r="X119" s="45">
        <f>IF(Assumptions!$B$143=0,0,X114*Assumptions!$B$155*Assumptions!$B$7/Assumptions!$B$143)</f>
        <v/>
      </c>
      <c r="Y119" s="45">
        <f>IF(Assumptions!$B$143=0,0,Y114*Assumptions!$B$155*Assumptions!$B$7/Assumptions!$B$143)</f>
        <v/>
      </c>
      <c r="Z119" s="45">
        <f>IF(Assumptions!$B$143=0,0,Z114*Assumptions!$B$155*Assumptions!$B$7/Assumptions!$B$143)</f>
        <v/>
      </c>
      <c r="AA119" s="45">
        <f>IF(Assumptions!$B$143=0,0,AA114*Assumptions!$B$155*Assumptions!$B$7/Assumptions!$B$143)</f>
        <v/>
      </c>
      <c r="AB119" s="45">
        <f>IF(Assumptions!$B$143=0,0,AB114*Assumptions!$B$155*Assumptions!$B$7/Assumptions!$B$143)</f>
        <v/>
      </c>
      <c r="AC119" s="45">
        <f>IF(Assumptions!$B$143=0,0,AC114*Assumptions!$B$155*Assumptions!$B$7/Assumptions!$B$143)</f>
        <v/>
      </c>
      <c r="AD119" s="45">
        <f>IF(Assumptions!$B$143=0,0,AD114*Assumptions!$B$155*Assumptions!$B$7/Assumptions!$B$143)</f>
        <v/>
      </c>
      <c r="AE119" s="45">
        <f>IF(Assumptions!$B$143=0,0,AE114*Assumptions!$B$155*Assumptions!$B$7/Assumptions!$B$143)</f>
        <v/>
      </c>
    </row>
    <row r="120">
      <c r="A120" s="6" t="inlineStr">
        <is>
          <t xml:space="preserve">  Card authorisations (memo - drives cost, not revenue)</t>
        </is>
      </c>
      <c r="B120" s="23" t="inlineStr">
        <is>
          <t>auths</t>
        </is>
      </c>
      <c r="C120" s="45">
        <f>C113*Assumptions!$B$157*Assumptions!$B$143*C7/12*(1+Assumptions!$B$16)</f>
        <v/>
      </c>
      <c r="D120" s="45">
        <f>D113*Assumptions!$B$157*Assumptions!$B$143*D7/12*(1+Assumptions!$B$16)</f>
        <v/>
      </c>
      <c r="E120" s="45">
        <f>E113*Assumptions!$B$157*Assumptions!$B$143*E7/12*(1+Assumptions!$B$16)</f>
        <v/>
      </c>
      <c r="F120" s="45">
        <f>F113*Assumptions!$B$157*Assumptions!$B$143*F7/12*(1+Assumptions!$B$16)</f>
        <v/>
      </c>
      <c r="G120" s="45">
        <f>G113*Assumptions!$B$157*Assumptions!$B$143*G7/12*(1+Assumptions!$B$16)</f>
        <v/>
      </c>
      <c r="H120" s="45">
        <f>H113*Assumptions!$B$157*Assumptions!$B$143*H7/12*(1+Assumptions!$B$16)</f>
        <v/>
      </c>
      <c r="I120" s="45">
        <f>I113*Assumptions!$B$157*Assumptions!$B$143*I7/12*(1+Assumptions!$B$16)</f>
        <v/>
      </c>
      <c r="J120" s="45">
        <f>J113*Assumptions!$B$157*Assumptions!$B$143*J7/12*(1+Assumptions!$B$16)</f>
        <v/>
      </c>
      <c r="K120" s="45">
        <f>K113*Assumptions!$B$157*Assumptions!$B$143*K7/12*(1+Assumptions!$B$16)</f>
        <v/>
      </c>
      <c r="L120" s="45">
        <f>L113*Assumptions!$B$157*Assumptions!$B$143*L7/12*(1+Assumptions!$B$16)</f>
        <v/>
      </c>
      <c r="M120" s="45">
        <f>M113*Assumptions!$B$157*Assumptions!$B$143*M7/12*(1+Assumptions!$B$16)</f>
        <v/>
      </c>
      <c r="N120" s="45">
        <f>N113*Assumptions!$B$157*Assumptions!$B$143*N7/12*(1+Assumptions!$B$16)</f>
        <v/>
      </c>
      <c r="O120" s="45">
        <f>O113*Assumptions!$B$157*Assumptions!$B$143*O7/12*(1+Assumptions!$B$16)</f>
        <v/>
      </c>
      <c r="P120" s="45">
        <f>P113*Assumptions!$B$157*Assumptions!$B$143*P7/12*(1+Assumptions!$B$16)</f>
        <v/>
      </c>
      <c r="Q120" s="45">
        <f>Q113*Assumptions!$B$157*Assumptions!$B$143*Q7/12*(1+Assumptions!$B$16)</f>
        <v/>
      </c>
      <c r="R120" s="45">
        <f>R113*Assumptions!$B$157*Assumptions!$B$143*R7/12*(1+Assumptions!$B$16)</f>
        <v/>
      </c>
      <c r="S120" s="45">
        <f>S113*Assumptions!$B$157*Assumptions!$B$143*S7/12*(1+Assumptions!$B$16)</f>
        <v/>
      </c>
      <c r="T120" s="45">
        <f>T113*Assumptions!$B$157*Assumptions!$B$143*T7/12*(1+Assumptions!$B$16)</f>
        <v/>
      </c>
      <c r="U120" s="45">
        <f>U113*Assumptions!$B$157*Assumptions!$B$143*U7/12*(1+Assumptions!$B$16)</f>
        <v/>
      </c>
      <c r="V120" s="45">
        <f>V113*Assumptions!$B$157*Assumptions!$B$143*V7/12*(1+Assumptions!$B$16)</f>
        <v/>
      </c>
      <c r="W120" s="45">
        <f>W113*Assumptions!$B$157*Assumptions!$B$143*W7/12*(1+Assumptions!$B$16)</f>
        <v/>
      </c>
      <c r="X120" s="45">
        <f>X113*Assumptions!$B$157*Assumptions!$B$143*X7/12*(1+Assumptions!$B$16)</f>
        <v/>
      </c>
      <c r="Y120" s="45">
        <f>Y113*Assumptions!$B$157*Assumptions!$B$143*Y7/12*(1+Assumptions!$B$16)</f>
        <v/>
      </c>
      <c r="Z120" s="45">
        <f>Z113*Assumptions!$B$157*Assumptions!$B$143*Z7/12*(1+Assumptions!$B$16)</f>
        <v/>
      </c>
      <c r="AA120" s="45">
        <f>AA113*Assumptions!$B$157*Assumptions!$B$143*AA7/12*(1+Assumptions!$B$16)</f>
        <v/>
      </c>
      <c r="AB120" s="45">
        <f>AB113*Assumptions!$B$157*Assumptions!$B$143*AB7/12*(1+Assumptions!$B$16)</f>
        <v/>
      </c>
      <c r="AC120" s="45">
        <f>AC113*Assumptions!$B$157*Assumptions!$B$143*AC7/12*(1+Assumptions!$B$16)</f>
        <v/>
      </c>
      <c r="AD120" s="45">
        <f>AD113*Assumptions!$B$157*Assumptions!$B$143*AD7/12*(1+Assumptions!$B$16)</f>
        <v/>
      </c>
      <c r="AE120" s="45">
        <f>AE113*Assumptions!$B$157*Assumptions!$B$143*AE7/12*(1+Assumptions!$B$16)</f>
        <v/>
      </c>
    </row>
    <row r="121">
      <c r="A121" s="6" t="inlineStr">
        <is>
          <t xml:space="preserve">  Stream 1a - Entry fee, SIP</t>
        </is>
      </c>
      <c r="B121" s="23" t="inlineStr">
        <is>
          <t>USD</t>
        </is>
      </c>
      <c r="C121" s="55">
        <f>C105*Assumptions!$B$8</f>
        <v/>
      </c>
      <c r="D121" s="55">
        <f>D105*Assumptions!$B$8</f>
        <v/>
      </c>
      <c r="E121" s="55">
        <f>E105*Assumptions!$B$8</f>
        <v/>
      </c>
      <c r="F121" s="55">
        <f>F105*Assumptions!$B$8</f>
        <v/>
      </c>
      <c r="G121" s="55">
        <f>G105*Assumptions!$B$8</f>
        <v/>
      </c>
      <c r="H121" s="55">
        <f>H105*Assumptions!$B$8</f>
        <v/>
      </c>
      <c r="I121" s="55">
        <f>I105*Assumptions!$B$8</f>
        <v/>
      </c>
      <c r="J121" s="55">
        <f>J105*Assumptions!$B$8</f>
        <v/>
      </c>
      <c r="K121" s="55">
        <f>K105*Assumptions!$B$8</f>
        <v/>
      </c>
      <c r="L121" s="55">
        <f>L105*Assumptions!$B$8</f>
        <v/>
      </c>
      <c r="M121" s="55">
        <f>M105*Assumptions!$B$8</f>
        <v/>
      </c>
      <c r="N121" s="55">
        <f>N105*Assumptions!$B$8</f>
        <v/>
      </c>
      <c r="O121" s="55">
        <f>O105*Assumptions!$B$8</f>
        <v/>
      </c>
      <c r="P121" s="55">
        <f>P105*Assumptions!$B$8</f>
        <v/>
      </c>
      <c r="Q121" s="55">
        <f>Q105*Assumptions!$B$8</f>
        <v/>
      </c>
      <c r="R121" s="55">
        <f>R105*Assumptions!$B$8</f>
        <v/>
      </c>
      <c r="S121" s="55">
        <f>S105*Assumptions!$B$8</f>
        <v/>
      </c>
      <c r="T121" s="55">
        <f>T105*Assumptions!$B$8</f>
        <v/>
      </c>
      <c r="U121" s="55">
        <f>U105*Assumptions!$B$8</f>
        <v/>
      </c>
      <c r="V121" s="55">
        <f>V105*Assumptions!$B$8</f>
        <v/>
      </c>
      <c r="W121" s="55">
        <f>W105*Assumptions!$B$8</f>
        <v/>
      </c>
      <c r="X121" s="55">
        <f>X105*Assumptions!$B$8</f>
        <v/>
      </c>
      <c r="Y121" s="55">
        <f>Y105*Assumptions!$B$8</f>
        <v/>
      </c>
      <c r="Z121" s="55">
        <f>Z105*Assumptions!$B$8</f>
        <v/>
      </c>
      <c r="AA121" s="55">
        <f>AA105*Assumptions!$B$8</f>
        <v/>
      </c>
      <c r="AB121" s="55">
        <f>AB105*Assumptions!$B$8</f>
        <v/>
      </c>
      <c r="AC121" s="55">
        <f>AC105*Assumptions!$B$8</f>
        <v/>
      </c>
      <c r="AD121" s="55">
        <f>AD105*Assumptions!$B$8</f>
        <v/>
      </c>
      <c r="AE121" s="55">
        <f>AE105*Assumptions!$B$8</f>
        <v/>
      </c>
    </row>
    <row r="122">
      <c r="A122" s="6" t="inlineStr">
        <is>
          <t xml:space="preserve">  Stream 1b - Entry fee, SPOT</t>
        </is>
      </c>
      <c r="B122" s="23" t="inlineStr">
        <is>
          <t>USD</t>
        </is>
      </c>
      <c r="C122" s="55">
        <f>C106*Assumptions!$B$8</f>
        <v/>
      </c>
      <c r="D122" s="55">
        <f>D106*Assumptions!$B$8</f>
        <v/>
      </c>
      <c r="E122" s="55">
        <f>E106*Assumptions!$B$8</f>
        <v/>
      </c>
      <c r="F122" s="55">
        <f>F106*Assumptions!$B$8</f>
        <v/>
      </c>
      <c r="G122" s="55">
        <f>G106*Assumptions!$B$8</f>
        <v/>
      </c>
      <c r="H122" s="55">
        <f>H106*Assumptions!$B$8</f>
        <v/>
      </c>
      <c r="I122" s="55">
        <f>I106*Assumptions!$B$8</f>
        <v/>
      </c>
      <c r="J122" s="55">
        <f>J106*Assumptions!$B$8</f>
        <v/>
      </c>
      <c r="K122" s="55">
        <f>K106*Assumptions!$B$8</f>
        <v/>
      </c>
      <c r="L122" s="55">
        <f>L106*Assumptions!$B$8</f>
        <v/>
      </c>
      <c r="M122" s="55">
        <f>M106*Assumptions!$B$8</f>
        <v/>
      </c>
      <c r="N122" s="55">
        <f>N106*Assumptions!$B$8</f>
        <v/>
      </c>
      <c r="O122" s="55">
        <f>O106*Assumptions!$B$8</f>
        <v/>
      </c>
      <c r="P122" s="55">
        <f>P106*Assumptions!$B$8</f>
        <v/>
      </c>
      <c r="Q122" s="55">
        <f>Q106*Assumptions!$B$8</f>
        <v/>
      </c>
      <c r="R122" s="55">
        <f>R106*Assumptions!$B$8</f>
        <v/>
      </c>
      <c r="S122" s="55">
        <f>S106*Assumptions!$B$8</f>
        <v/>
      </c>
      <c r="T122" s="55">
        <f>T106*Assumptions!$B$8</f>
        <v/>
      </c>
      <c r="U122" s="55">
        <f>U106*Assumptions!$B$8</f>
        <v/>
      </c>
      <c r="V122" s="55">
        <f>V106*Assumptions!$B$8</f>
        <v/>
      </c>
      <c r="W122" s="55">
        <f>W106*Assumptions!$B$8</f>
        <v/>
      </c>
      <c r="X122" s="55">
        <f>X106*Assumptions!$B$8</f>
        <v/>
      </c>
      <c r="Y122" s="55">
        <f>Y106*Assumptions!$B$8</f>
        <v/>
      </c>
      <c r="Z122" s="55">
        <f>Z106*Assumptions!$B$8</f>
        <v/>
      </c>
      <c r="AA122" s="55">
        <f>AA106*Assumptions!$B$8</f>
        <v/>
      </c>
      <c r="AB122" s="55">
        <f>AB106*Assumptions!$B$8</f>
        <v/>
      </c>
      <c r="AC122" s="55">
        <f>AC106*Assumptions!$B$8</f>
        <v/>
      </c>
      <c r="AD122" s="55">
        <f>AD106*Assumptions!$B$8</f>
        <v/>
      </c>
      <c r="AE122" s="55">
        <f>AE106*Assumptions!$B$8</f>
        <v/>
      </c>
    </row>
    <row r="123">
      <c r="A123" s="6" t="inlineStr">
        <is>
          <t xml:space="preserve">  Stream 2 - Card interchange</t>
        </is>
      </c>
      <c r="B123" s="23" t="inlineStr">
        <is>
          <t>USD</t>
        </is>
      </c>
      <c r="C123" s="55">
        <f>C118*IF(Assumptions!$B$170=1,MIN(Assumptions!$B$14,1%),Assumptions!$B$14)*(1-Assumptions!$B$141)</f>
        <v/>
      </c>
      <c r="D123" s="55">
        <f>D118*IF(Assumptions!$B$170=1,MIN(Assumptions!$B$14,1%),Assumptions!$B$14)*(1-Assumptions!$B$141)</f>
        <v/>
      </c>
      <c r="E123" s="55">
        <f>E118*IF(Assumptions!$B$170=1,MIN(Assumptions!$B$14,1%),Assumptions!$B$14)*(1-Assumptions!$B$141)</f>
        <v/>
      </c>
      <c r="F123" s="55">
        <f>F118*IF(Assumptions!$B$170=1,MIN(Assumptions!$B$14,1%),Assumptions!$B$14)*(1-Assumptions!$B$141)</f>
        <v/>
      </c>
      <c r="G123" s="55">
        <f>G118*IF(Assumptions!$B$170=1,MIN(Assumptions!$B$14,1%),Assumptions!$B$14)*(1-Assumptions!$B$141)</f>
        <v/>
      </c>
      <c r="H123" s="55">
        <f>H118*IF(Assumptions!$B$170=1,MIN(Assumptions!$B$14,1%),Assumptions!$B$14)*(1-Assumptions!$B$141)</f>
        <v/>
      </c>
      <c r="I123" s="55">
        <f>I118*IF(Assumptions!$B$170=1,MIN(Assumptions!$B$14,1%),Assumptions!$B$14)*(1-Assumptions!$B$141)</f>
        <v/>
      </c>
      <c r="J123" s="55">
        <f>J118*IF(Assumptions!$B$170=1,MIN(Assumptions!$B$14,1%),Assumptions!$B$14)*(1-Assumptions!$B$141)</f>
        <v/>
      </c>
      <c r="K123" s="55">
        <f>K118*IF(Assumptions!$B$170=1,MIN(Assumptions!$B$14,1%),Assumptions!$B$14)*(1-Assumptions!$B$141)</f>
        <v/>
      </c>
      <c r="L123" s="55">
        <f>L118*IF(Assumptions!$B$170=1,MIN(Assumptions!$B$14,1%),Assumptions!$B$14)*(1-Assumptions!$B$141)</f>
        <v/>
      </c>
      <c r="M123" s="55">
        <f>M118*IF(Assumptions!$B$170=1,MIN(Assumptions!$B$14,1%),Assumptions!$B$14)*(1-Assumptions!$B$141)</f>
        <v/>
      </c>
      <c r="N123" s="55">
        <f>N118*IF(Assumptions!$B$170=1,MIN(Assumptions!$B$14,1%),Assumptions!$B$14)*(1-Assumptions!$B$141)</f>
        <v/>
      </c>
      <c r="O123" s="55">
        <f>O118*IF(Assumptions!$B$170=1,MIN(Assumptions!$B$14,1%),Assumptions!$B$14)*(1-Assumptions!$B$141)</f>
        <v/>
      </c>
      <c r="P123" s="55">
        <f>P118*IF(Assumptions!$B$170=1,MIN(Assumptions!$B$14,1%),Assumptions!$B$14)*(1-Assumptions!$B$141)</f>
        <v/>
      </c>
      <c r="Q123" s="55">
        <f>Q118*IF(Assumptions!$B$170=1,MIN(Assumptions!$B$14,1%),Assumptions!$B$14)*(1-Assumptions!$B$141)</f>
        <v/>
      </c>
      <c r="R123" s="55">
        <f>R118*IF(Assumptions!$B$170=1,MIN(Assumptions!$B$14,1%),Assumptions!$B$14)*(1-Assumptions!$B$141)</f>
        <v/>
      </c>
      <c r="S123" s="55">
        <f>S118*IF(Assumptions!$B$170=1,MIN(Assumptions!$B$14,1%),Assumptions!$B$14)*(1-Assumptions!$B$141)</f>
        <v/>
      </c>
      <c r="T123" s="55">
        <f>T118*IF(Assumptions!$B$170=1,MIN(Assumptions!$B$14,1%),Assumptions!$B$14)*(1-Assumptions!$B$141)</f>
        <v/>
      </c>
      <c r="U123" s="55">
        <f>U118*IF(Assumptions!$B$170=1,MIN(Assumptions!$B$14,1%),Assumptions!$B$14)*(1-Assumptions!$B$141)</f>
        <v/>
      </c>
      <c r="V123" s="55">
        <f>V118*IF(Assumptions!$B$170=1,MIN(Assumptions!$B$14,1%),Assumptions!$B$14)*(1-Assumptions!$B$141)</f>
        <v/>
      </c>
      <c r="W123" s="55">
        <f>W118*IF(Assumptions!$B$170=1,MIN(Assumptions!$B$14,1%),Assumptions!$B$14)*(1-Assumptions!$B$141)</f>
        <v/>
      </c>
      <c r="X123" s="55">
        <f>X118*IF(Assumptions!$B$170=1,MIN(Assumptions!$B$14,1%),Assumptions!$B$14)*(1-Assumptions!$B$141)</f>
        <v/>
      </c>
      <c r="Y123" s="55">
        <f>Y118*IF(Assumptions!$B$170=1,MIN(Assumptions!$B$14,1%),Assumptions!$B$14)*(1-Assumptions!$B$141)</f>
        <v/>
      </c>
      <c r="Z123" s="55">
        <f>Z118*IF(Assumptions!$B$170=1,MIN(Assumptions!$B$14,1%),Assumptions!$B$14)*(1-Assumptions!$B$141)</f>
        <v/>
      </c>
      <c r="AA123" s="55">
        <f>AA118*IF(Assumptions!$B$170=1,MIN(Assumptions!$B$14,1%),Assumptions!$B$14)*(1-Assumptions!$B$141)</f>
        <v/>
      </c>
      <c r="AB123" s="55">
        <f>AB118*IF(Assumptions!$B$170=1,MIN(Assumptions!$B$14,1%),Assumptions!$B$14)*(1-Assumptions!$B$141)</f>
        <v/>
      </c>
      <c r="AC123" s="55">
        <f>AC118*IF(Assumptions!$B$170=1,MIN(Assumptions!$B$14,1%),Assumptions!$B$14)*(1-Assumptions!$B$141)</f>
        <v/>
      </c>
      <c r="AD123" s="55">
        <f>AD118*IF(Assumptions!$B$170=1,MIN(Assumptions!$B$14,1%),Assumptions!$B$14)*(1-Assumptions!$B$141)</f>
        <v/>
      </c>
      <c r="AE123" s="55">
        <f>AE118*IF(Assumptions!$B$170=1,MIN(Assumptions!$B$14,1%),Assumptions!$B$14)*(1-Assumptions!$B$141)</f>
        <v/>
      </c>
    </row>
    <row r="124">
      <c r="A124" s="6" t="inlineStr">
        <is>
          <t xml:space="preserve">  Stream 3 - Family plan and Digital Will</t>
        </is>
      </c>
      <c r="B124" s="23" t="inlineStr">
        <is>
          <t>USD</t>
        </is>
      </c>
      <c r="C124" s="55">
        <f>IF(C2&gt;=Assumptions!$B$50,C101*Assumptions!$B$158*Assumptions!$B$25/12*C7,0)</f>
        <v/>
      </c>
      <c r="D124" s="55">
        <f>IF(D2&gt;=Assumptions!$B$50,D101*Assumptions!$B$158*Assumptions!$B$25/12*D7,0)</f>
        <v/>
      </c>
      <c r="E124" s="55">
        <f>IF(E2&gt;=Assumptions!$B$50,E101*Assumptions!$B$158*Assumptions!$B$25/12*E7,0)</f>
        <v/>
      </c>
      <c r="F124" s="55">
        <f>IF(F2&gt;=Assumptions!$B$50,F101*Assumptions!$B$158*Assumptions!$B$25/12*F7,0)</f>
        <v/>
      </c>
      <c r="G124" s="55">
        <f>IF(G2&gt;=Assumptions!$B$50,G101*Assumptions!$B$158*Assumptions!$B$25/12*G7,0)</f>
        <v/>
      </c>
      <c r="H124" s="55">
        <f>IF(H2&gt;=Assumptions!$B$50,H101*Assumptions!$B$158*Assumptions!$B$25/12*H7,0)</f>
        <v/>
      </c>
      <c r="I124" s="55">
        <f>IF(I2&gt;=Assumptions!$B$50,I101*Assumptions!$B$158*Assumptions!$B$25/12*I7,0)</f>
        <v/>
      </c>
      <c r="J124" s="55">
        <f>IF(J2&gt;=Assumptions!$B$50,J101*Assumptions!$B$158*Assumptions!$B$25/12*J7,0)</f>
        <v/>
      </c>
      <c r="K124" s="55">
        <f>IF(K2&gt;=Assumptions!$B$50,K101*Assumptions!$B$158*Assumptions!$B$25/12*K7,0)</f>
        <v/>
      </c>
      <c r="L124" s="55">
        <f>IF(L2&gt;=Assumptions!$B$50,L101*Assumptions!$B$158*Assumptions!$B$25/12*L7,0)</f>
        <v/>
      </c>
      <c r="M124" s="55">
        <f>IF(M2&gt;=Assumptions!$B$50,M101*Assumptions!$B$158*Assumptions!$B$25/12*M7,0)</f>
        <v/>
      </c>
      <c r="N124" s="55">
        <f>IF(N2&gt;=Assumptions!$B$50,N101*Assumptions!$B$158*Assumptions!$B$25/12*N7,0)</f>
        <v/>
      </c>
      <c r="O124" s="55">
        <f>IF(O2&gt;=Assumptions!$B$50,O101*Assumptions!$B$158*Assumptions!$B$25/12*O7,0)</f>
        <v/>
      </c>
      <c r="P124" s="55">
        <f>IF(P2&gt;=Assumptions!$B$50,P101*Assumptions!$B$158*Assumptions!$B$25/12*P7,0)</f>
        <v/>
      </c>
      <c r="Q124" s="55">
        <f>IF(Q2&gt;=Assumptions!$B$50,Q101*Assumptions!$B$158*Assumptions!$B$25/12*Q7,0)</f>
        <v/>
      </c>
      <c r="R124" s="55">
        <f>IF(R2&gt;=Assumptions!$B$50,R101*Assumptions!$B$158*Assumptions!$B$25/12*R7,0)</f>
        <v/>
      </c>
      <c r="S124" s="55">
        <f>IF(S2&gt;=Assumptions!$B$50,S101*Assumptions!$B$158*Assumptions!$B$25/12*S7,0)</f>
        <v/>
      </c>
      <c r="T124" s="55">
        <f>IF(T2&gt;=Assumptions!$B$50,T101*Assumptions!$B$158*Assumptions!$B$25/12*T7,0)</f>
        <v/>
      </c>
      <c r="U124" s="55">
        <f>IF(U2&gt;=Assumptions!$B$50,U101*Assumptions!$B$158*Assumptions!$B$25/12*U7,0)</f>
        <v/>
      </c>
      <c r="V124" s="55">
        <f>IF(V2&gt;=Assumptions!$B$50,V101*Assumptions!$B$158*Assumptions!$B$25/12*V7,0)</f>
        <v/>
      </c>
      <c r="W124" s="55">
        <f>IF(W2&gt;=Assumptions!$B$50,W101*Assumptions!$B$158*Assumptions!$B$25/12*W7,0)</f>
        <v/>
      </c>
      <c r="X124" s="55">
        <f>IF(X2&gt;=Assumptions!$B$50,X101*Assumptions!$B$158*Assumptions!$B$25/12*X7,0)</f>
        <v/>
      </c>
      <c r="Y124" s="55">
        <f>IF(Y2&gt;=Assumptions!$B$50,Y101*Assumptions!$B$158*Assumptions!$B$25/12*Y7,0)</f>
        <v/>
      </c>
      <c r="Z124" s="55">
        <f>IF(Z2&gt;=Assumptions!$B$50,Z101*Assumptions!$B$158*Assumptions!$B$25/12*Z7,0)</f>
        <v/>
      </c>
      <c r="AA124" s="55">
        <f>IF(AA2&gt;=Assumptions!$B$50,AA101*Assumptions!$B$158*Assumptions!$B$25/12*AA7,0)</f>
        <v/>
      </c>
      <c r="AB124" s="55">
        <f>IF(AB2&gt;=Assumptions!$B$50,AB101*Assumptions!$B$158*Assumptions!$B$25/12*AB7,0)</f>
        <v/>
      </c>
      <c r="AC124" s="55">
        <f>IF(AC2&gt;=Assumptions!$B$50,AC101*Assumptions!$B$158*Assumptions!$B$25/12*AC7,0)</f>
        <v/>
      </c>
      <c r="AD124" s="55">
        <f>IF(AD2&gt;=Assumptions!$B$50,AD101*Assumptions!$B$158*Assumptions!$B$25/12*AD7,0)</f>
        <v/>
      </c>
      <c r="AE124" s="55">
        <f>IF(AE2&gt;=Assumptions!$B$50,AE101*Assumptions!$B$158*Assumptions!$B$25/12*AE7,0)</f>
        <v/>
      </c>
    </row>
    <row r="125">
      <c r="A125" s="6" t="inlineStr">
        <is>
          <t xml:space="preserve">  Stream 4 - Cardholder fees (FX, ATM, events)</t>
        </is>
      </c>
      <c r="B125" s="23" t="inlineStr">
        <is>
          <t>USD</t>
        </is>
      </c>
      <c r="C125" s="55">
        <f>IF(C2&gt;=Assumptions!$B$52,C118*C17*Assumptions!$B$17+C113*(Assumptions!$B$147*MAX(0,Assumptions!$B$151-Assumptions!$B$18)+Assumptions!$B$148*MAX(0,Assumptions!$B$152-Assumptions!$B$18)+Assumptions!$B$149*MAX(0,Assumptions!$B$153-Assumptions!$B$18)+Assumptions!$B$150*MAX(0,Assumptions!$B$154-Assumptions!$B$18))*Assumptions!$B$19/Assumptions!$B$7*C7+C113*(Assumptions!$B$145*Assumptions!$B$20+Assumptions!$B$146*Assumptions!$B$21)/12/Assumptions!$B$7*C7,0)</f>
        <v/>
      </c>
      <c r="D125" s="55">
        <f>IF(D2&gt;=Assumptions!$B$52,D118*D17*Assumptions!$B$17+D113*(Assumptions!$B$147*MAX(0,Assumptions!$B$151-Assumptions!$B$18)+Assumptions!$B$148*MAX(0,Assumptions!$B$152-Assumptions!$B$18)+Assumptions!$B$149*MAX(0,Assumptions!$B$153-Assumptions!$B$18)+Assumptions!$B$150*MAX(0,Assumptions!$B$154-Assumptions!$B$18))*Assumptions!$B$19/Assumptions!$B$7*D7+D113*(Assumptions!$B$145*Assumptions!$B$20+Assumptions!$B$146*Assumptions!$B$21)/12/Assumptions!$B$7*D7,0)</f>
        <v/>
      </c>
      <c r="E125" s="55">
        <f>IF(E2&gt;=Assumptions!$B$52,E118*E17*Assumptions!$B$17+E113*(Assumptions!$B$147*MAX(0,Assumptions!$B$151-Assumptions!$B$18)+Assumptions!$B$148*MAX(0,Assumptions!$B$152-Assumptions!$B$18)+Assumptions!$B$149*MAX(0,Assumptions!$B$153-Assumptions!$B$18)+Assumptions!$B$150*MAX(0,Assumptions!$B$154-Assumptions!$B$18))*Assumptions!$B$19/Assumptions!$B$7*E7+E113*(Assumptions!$B$145*Assumptions!$B$20+Assumptions!$B$146*Assumptions!$B$21)/12/Assumptions!$B$7*E7,0)</f>
        <v/>
      </c>
      <c r="F125" s="55">
        <f>IF(F2&gt;=Assumptions!$B$52,F118*F17*Assumptions!$B$17+F113*(Assumptions!$B$147*MAX(0,Assumptions!$B$151-Assumptions!$B$18)+Assumptions!$B$148*MAX(0,Assumptions!$B$152-Assumptions!$B$18)+Assumptions!$B$149*MAX(0,Assumptions!$B$153-Assumptions!$B$18)+Assumptions!$B$150*MAX(0,Assumptions!$B$154-Assumptions!$B$18))*Assumptions!$B$19/Assumptions!$B$7*F7+F113*(Assumptions!$B$145*Assumptions!$B$20+Assumptions!$B$146*Assumptions!$B$21)/12/Assumptions!$B$7*F7,0)</f>
        <v/>
      </c>
      <c r="G125" s="55">
        <f>IF(G2&gt;=Assumptions!$B$52,G118*G17*Assumptions!$B$17+G113*(Assumptions!$B$147*MAX(0,Assumptions!$B$151-Assumptions!$B$18)+Assumptions!$B$148*MAX(0,Assumptions!$B$152-Assumptions!$B$18)+Assumptions!$B$149*MAX(0,Assumptions!$B$153-Assumptions!$B$18)+Assumptions!$B$150*MAX(0,Assumptions!$B$154-Assumptions!$B$18))*Assumptions!$B$19/Assumptions!$B$7*G7+G113*(Assumptions!$B$145*Assumptions!$B$20+Assumptions!$B$146*Assumptions!$B$21)/12/Assumptions!$B$7*G7,0)</f>
        <v/>
      </c>
      <c r="H125" s="55">
        <f>IF(H2&gt;=Assumptions!$B$52,H118*H17*Assumptions!$B$17+H113*(Assumptions!$B$147*MAX(0,Assumptions!$B$151-Assumptions!$B$18)+Assumptions!$B$148*MAX(0,Assumptions!$B$152-Assumptions!$B$18)+Assumptions!$B$149*MAX(0,Assumptions!$B$153-Assumptions!$B$18)+Assumptions!$B$150*MAX(0,Assumptions!$B$154-Assumptions!$B$18))*Assumptions!$B$19/Assumptions!$B$7*H7+H113*(Assumptions!$B$145*Assumptions!$B$20+Assumptions!$B$146*Assumptions!$B$21)/12/Assumptions!$B$7*H7,0)</f>
        <v/>
      </c>
      <c r="I125" s="55">
        <f>IF(I2&gt;=Assumptions!$B$52,I118*I17*Assumptions!$B$17+I113*(Assumptions!$B$147*MAX(0,Assumptions!$B$151-Assumptions!$B$18)+Assumptions!$B$148*MAX(0,Assumptions!$B$152-Assumptions!$B$18)+Assumptions!$B$149*MAX(0,Assumptions!$B$153-Assumptions!$B$18)+Assumptions!$B$150*MAX(0,Assumptions!$B$154-Assumptions!$B$18))*Assumptions!$B$19/Assumptions!$B$7*I7+I113*(Assumptions!$B$145*Assumptions!$B$20+Assumptions!$B$146*Assumptions!$B$21)/12/Assumptions!$B$7*I7,0)</f>
        <v/>
      </c>
      <c r="J125" s="55">
        <f>IF(J2&gt;=Assumptions!$B$52,J118*J17*Assumptions!$B$17+J113*(Assumptions!$B$147*MAX(0,Assumptions!$B$151-Assumptions!$B$18)+Assumptions!$B$148*MAX(0,Assumptions!$B$152-Assumptions!$B$18)+Assumptions!$B$149*MAX(0,Assumptions!$B$153-Assumptions!$B$18)+Assumptions!$B$150*MAX(0,Assumptions!$B$154-Assumptions!$B$18))*Assumptions!$B$19/Assumptions!$B$7*J7+J113*(Assumptions!$B$145*Assumptions!$B$20+Assumptions!$B$146*Assumptions!$B$21)/12/Assumptions!$B$7*J7,0)</f>
        <v/>
      </c>
      <c r="K125" s="55">
        <f>IF(K2&gt;=Assumptions!$B$52,K118*K17*Assumptions!$B$17+K113*(Assumptions!$B$147*MAX(0,Assumptions!$B$151-Assumptions!$B$18)+Assumptions!$B$148*MAX(0,Assumptions!$B$152-Assumptions!$B$18)+Assumptions!$B$149*MAX(0,Assumptions!$B$153-Assumptions!$B$18)+Assumptions!$B$150*MAX(0,Assumptions!$B$154-Assumptions!$B$18))*Assumptions!$B$19/Assumptions!$B$7*K7+K113*(Assumptions!$B$145*Assumptions!$B$20+Assumptions!$B$146*Assumptions!$B$21)/12/Assumptions!$B$7*K7,0)</f>
        <v/>
      </c>
      <c r="L125" s="55">
        <f>IF(L2&gt;=Assumptions!$B$52,L118*L17*Assumptions!$B$17+L113*(Assumptions!$B$147*MAX(0,Assumptions!$B$151-Assumptions!$B$18)+Assumptions!$B$148*MAX(0,Assumptions!$B$152-Assumptions!$B$18)+Assumptions!$B$149*MAX(0,Assumptions!$B$153-Assumptions!$B$18)+Assumptions!$B$150*MAX(0,Assumptions!$B$154-Assumptions!$B$18))*Assumptions!$B$19/Assumptions!$B$7*L7+L113*(Assumptions!$B$145*Assumptions!$B$20+Assumptions!$B$146*Assumptions!$B$21)/12/Assumptions!$B$7*L7,0)</f>
        <v/>
      </c>
      <c r="M125" s="55">
        <f>IF(M2&gt;=Assumptions!$B$52,M118*M17*Assumptions!$B$17+M113*(Assumptions!$B$147*MAX(0,Assumptions!$B$151-Assumptions!$B$18)+Assumptions!$B$148*MAX(0,Assumptions!$B$152-Assumptions!$B$18)+Assumptions!$B$149*MAX(0,Assumptions!$B$153-Assumptions!$B$18)+Assumptions!$B$150*MAX(0,Assumptions!$B$154-Assumptions!$B$18))*Assumptions!$B$19/Assumptions!$B$7*M7+M113*(Assumptions!$B$145*Assumptions!$B$20+Assumptions!$B$146*Assumptions!$B$21)/12/Assumptions!$B$7*M7,0)</f>
        <v/>
      </c>
      <c r="N125" s="55">
        <f>IF(N2&gt;=Assumptions!$B$52,N118*N17*Assumptions!$B$17+N113*(Assumptions!$B$147*MAX(0,Assumptions!$B$151-Assumptions!$B$18)+Assumptions!$B$148*MAX(0,Assumptions!$B$152-Assumptions!$B$18)+Assumptions!$B$149*MAX(0,Assumptions!$B$153-Assumptions!$B$18)+Assumptions!$B$150*MAX(0,Assumptions!$B$154-Assumptions!$B$18))*Assumptions!$B$19/Assumptions!$B$7*N7+N113*(Assumptions!$B$145*Assumptions!$B$20+Assumptions!$B$146*Assumptions!$B$21)/12/Assumptions!$B$7*N7,0)</f>
        <v/>
      </c>
      <c r="O125" s="55">
        <f>IF(O2&gt;=Assumptions!$B$52,O118*O17*Assumptions!$B$17+O113*(Assumptions!$B$147*MAX(0,Assumptions!$B$151-Assumptions!$B$18)+Assumptions!$B$148*MAX(0,Assumptions!$B$152-Assumptions!$B$18)+Assumptions!$B$149*MAX(0,Assumptions!$B$153-Assumptions!$B$18)+Assumptions!$B$150*MAX(0,Assumptions!$B$154-Assumptions!$B$18))*Assumptions!$B$19/Assumptions!$B$7*O7+O113*(Assumptions!$B$145*Assumptions!$B$20+Assumptions!$B$146*Assumptions!$B$21)/12/Assumptions!$B$7*O7,0)</f>
        <v/>
      </c>
      <c r="P125" s="55">
        <f>IF(P2&gt;=Assumptions!$B$52,P118*P17*Assumptions!$B$17+P113*(Assumptions!$B$147*MAX(0,Assumptions!$B$151-Assumptions!$B$18)+Assumptions!$B$148*MAX(0,Assumptions!$B$152-Assumptions!$B$18)+Assumptions!$B$149*MAX(0,Assumptions!$B$153-Assumptions!$B$18)+Assumptions!$B$150*MAX(0,Assumptions!$B$154-Assumptions!$B$18))*Assumptions!$B$19/Assumptions!$B$7*P7+P113*(Assumptions!$B$145*Assumptions!$B$20+Assumptions!$B$146*Assumptions!$B$21)/12/Assumptions!$B$7*P7,0)</f>
        <v/>
      </c>
      <c r="Q125" s="55">
        <f>IF(Q2&gt;=Assumptions!$B$52,Q118*Q17*Assumptions!$B$17+Q113*(Assumptions!$B$147*MAX(0,Assumptions!$B$151-Assumptions!$B$18)+Assumptions!$B$148*MAX(0,Assumptions!$B$152-Assumptions!$B$18)+Assumptions!$B$149*MAX(0,Assumptions!$B$153-Assumptions!$B$18)+Assumptions!$B$150*MAX(0,Assumptions!$B$154-Assumptions!$B$18))*Assumptions!$B$19/Assumptions!$B$7*Q7+Q113*(Assumptions!$B$145*Assumptions!$B$20+Assumptions!$B$146*Assumptions!$B$21)/12/Assumptions!$B$7*Q7,0)</f>
        <v/>
      </c>
      <c r="R125" s="55">
        <f>IF(R2&gt;=Assumptions!$B$52,R118*R17*Assumptions!$B$17+R113*(Assumptions!$B$147*MAX(0,Assumptions!$B$151-Assumptions!$B$18)+Assumptions!$B$148*MAX(0,Assumptions!$B$152-Assumptions!$B$18)+Assumptions!$B$149*MAX(0,Assumptions!$B$153-Assumptions!$B$18)+Assumptions!$B$150*MAX(0,Assumptions!$B$154-Assumptions!$B$18))*Assumptions!$B$19/Assumptions!$B$7*R7+R113*(Assumptions!$B$145*Assumptions!$B$20+Assumptions!$B$146*Assumptions!$B$21)/12/Assumptions!$B$7*R7,0)</f>
        <v/>
      </c>
      <c r="S125" s="55">
        <f>IF(S2&gt;=Assumptions!$B$52,S118*S17*Assumptions!$B$17+S113*(Assumptions!$B$147*MAX(0,Assumptions!$B$151-Assumptions!$B$18)+Assumptions!$B$148*MAX(0,Assumptions!$B$152-Assumptions!$B$18)+Assumptions!$B$149*MAX(0,Assumptions!$B$153-Assumptions!$B$18)+Assumptions!$B$150*MAX(0,Assumptions!$B$154-Assumptions!$B$18))*Assumptions!$B$19/Assumptions!$B$7*S7+S113*(Assumptions!$B$145*Assumptions!$B$20+Assumptions!$B$146*Assumptions!$B$21)/12/Assumptions!$B$7*S7,0)</f>
        <v/>
      </c>
      <c r="T125" s="55">
        <f>IF(T2&gt;=Assumptions!$B$52,T118*T17*Assumptions!$B$17+T113*(Assumptions!$B$147*MAX(0,Assumptions!$B$151-Assumptions!$B$18)+Assumptions!$B$148*MAX(0,Assumptions!$B$152-Assumptions!$B$18)+Assumptions!$B$149*MAX(0,Assumptions!$B$153-Assumptions!$B$18)+Assumptions!$B$150*MAX(0,Assumptions!$B$154-Assumptions!$B$18))*Assumptions!$B$19/Assumptions!$B$7*T7+T113*(Assumptions!$B$145*Assumptions!$B$20+Assumptions!$B$146*Assumptions!$B$21)/12/Assumptions!$B$7*T7,0)</f>
        <v/>
      </c>
      <c r="U125" s="55">
        <f>IF(U2&gt;=Assumptions!$B$52,U118*U17*Assumptions!$B$17+U113*(Assumptions!$B$147*MAX(0,Assumptions!$B$151-Assumptions!$B$18)+Assumptions!$B$148*MAX(0,Assumptions!$B$152-Assumptions!$B$18)+Assumptions!$B$149*MAX(0,Assumptions!$B$153-Assumptions!$B$18)+Assumptions!$B$150*MAX(0,Assumptions!$B$154-Assumptions!$B$18))*Assumptions!$B$19/Assumptions!$B$7*U7+U113*(Assumptions!$B$145*Assumptions!$B$20+Assumptions!$B$146*Assumptions!$B$21)/12/Assumptions!$B$7*U7,0)</f>
        <v/>
      </c>
      <c r="V125" s="55">
        <f>IF(V2&gt;=Assumptions!$B$52,V118*V17*Assumptions!$B$17+V113*(Assumptions!$B$147*MAX(0,Assumptions!$B$151-Assumptions!$B$18)+Assumptions!$B$148*MAX(0,Assumptions!$B$152-Assumptions!$B$18)+Assumptions!$B$149*MAX(0,Assumptions!$B$153-Assumptions!$B$18)+Assumptions!$B$150*MAX(0,Assumptions!$B$154-Assumptions!$B$18))*Assumptions!$B$19/Assumptions!$B$7*V7+V113*(Assumptions!$B$145*Assumptions!$B$20+Assumptions!$B$146*Assumptions!$B$21)/12/Assumptions!$B$7*V7,0)</f>
        <v/>
      </c>
      <c r="W125" s="55">
        <f>IF(W2&gt;=Assumptions!$B$52,W118*W17*Assumptions!$B$17+W113*(Assumptions!$B$147*MAX(0,Assumptions!$B$151-Assumptions!$B$18)+Assumptions!$B$148*MAX(0,Assumptions!$B$152-Assumptions!$B$18)+Assumptions!$B$149*MAX(0,Assumptions!$B$153-Assumptions!$B$18)+Assumptions!$B$150*MAX(0,Assumptions!$B$154-Assumptions!$B$18))*Assumptions!$B$19/Assumptions!$B$7*W7+W113*(Assumptions!$B$145*Assumptions!$B$20+Assumptions!$B$146*Assumptions!$B$21)/12/Assumptions!$B$7*W7,0)</f>
        <v/>
      </c>
      <c r="X125" s="55">
        <f>IF(X2&gt;=Assumptions!$B$52,X118*X17*Assumptions!$B$17+X113*(Assumptions!$B$147*MAX(0,Assumptions!$B$151-Assumptions!$B$18)+Assumptions!$B$148*MAX(0,Assumptions!$B$152-Assumptions!$B$18)+Assumptions!$B$149*MAX(0,Assumptions!$B$153-Assumptions!$B$18)+Assumptions!$B$150*MAX(0,Assumptions!$B$154-Assumptions!$B$18))*Assumptions!$B$19/Assumptions!$B$7*X7+X113*(Assumptions!$B$145*Assumptions!$B$20+Assumptions!$B$146*Assumptions!$B$21)/12/Assumptions!$B$7*X7,0)</f>
        <v/>
      </c>
      <c r="Y125" s="55">
        <f>IF(Y2&gt;=Assumptions!$B$52,Y118*Y17*Assumptions!$B$17+Y113*(Assumptions!$B$147*MAX(0,Assumptions!$B$151-Assumptions!$B$18)+Assumptions!$B$148*MAX(0,Assumptions!$B$152-Assumptions!$B$18)+Assumptions!$B$149*MAX(0,Assumptions!$B$153-Assumptions!$B$18)+Assumptions!$B$150*MAX(0,Assumptions!$B$154-Assumptions!$B$18))*Assumptions!$B$19/Assumptions!$B$7*Y7+Y113*(Assumptions!$B$145*Assumptions!$B$20+Assumptions!$B$146*Assumptions!$B$21)/12/Assumptions!$B$7*Y7,0)</f>
        <v/>
      </c>
      <c r="Z125" s="55">
        <f>IF(Z2&gt;=Assumptions!$B$52,Z118*Z17*Assumptions!$B$17+Z113*(Assumptions!$B$147*MAX(0,Assumptions!$B$151-Assumptions!$B$18)+Assumptions!$B$148*MAX(0,Assumptions!$B$152-Assumptions!$B$18)+Assumptions!$B$149*MAX(0,Assumptions!$B$153-Assumptions!$B$18)+Assumptions!$B$150*MAX(0,Assumptions!$B$154-Assumptions!$B$18))*Assumptions!$B$19/Assumptions!$B$7*Z7+Z113*(Assumptions!$B$145*Assumptions!$B$20+Assumptions!$B$146*Assumptions!$B$21)/12/Assumptions!$B$7*Z7,0)</f>
        <v/>
      </c>
      <c r="AA125" s="55">
        <f>IF(AA2&gt;=Assumptions!$B$52,AA118*AA17*Assumptions!$B$17+AA113*(Assumptions!$B$147*MAX(0,Assumptions!$B$151-Assumptions!$B$18)+Assumptions!$B$148*MAX(0,Assumptions!$B$152-Assumptions!$B$18)+Assumptions!$B$149*MAX(0,Assumptions!$B$153-Assumptions!$B$18)+Assumptions!$B$150*MAX(0,Assumptions!$B$154-Assumptions!$B$18))*Assumptions!$B$19/Assumptions!$B$7*AA7+AA113*(Assumptions!$B$145*Assumptions!$B$20+Assumptions!$B$146*Assumptions!$B$21)/12/Assumptions!$B$7*AA7,0)</f>
        <v/>
      </c>
      <c r="AB125" s="55">
        <f>IF(AB2&gt;=Assumptions!$B$52,AB118*AB17*Assumptions!$B$17+AB113*(Assumptions!$B$147*MAX(0,Assumptions!$B$151-Assumptions!$B$18)+Assumptions!$B$148*MAX(0,Assumptions!$B$152-Assumptions!$B$18)+Assumptions!$B$149*MAX(0,Assumptions!$B$153-Assumptions!$B$18)+Assumptions!$B$150*MAX(0,Assumptions!$B$154-Assumptions!$B$18))*Assumptions!$B$19/Assumptions!$B$7*AB7+AB113*(Assumptions!$B$145*Assumptions!$B$20+Assumptions!$B$146*Assumptions!$B$21)/12/Assumptions!$B$7*AB7,0)</f>
        <v/>
      </c>
      <c r="AC125" s="55">
        <f>IF(AC2&gt;=Assumptions!$B$52,AC118*AC17*Assumptions!$B$17+AC113*(Assumptions!$B$147*MAX(0,Assumptions!$B$151-Assumptions!$B$18)+Assumptions!$B$148*MAX(0,Assumptions!$B$152-Assumptions!$B$18)+Assumptions!$B$149*MAX(0,Assumptions!$B$153-Assumptions!$B$18)+Assumptions!$B$150*MAX(0,Assumptions!$B$154-Assumptions!$B$18))*Assumptions!$B$19/Assumptions!$B$7*AC7+AC113*(Assumptions!$B$145*Assumptions!$B$20+Assumptions!$B$146*Assumptions!$B$21)/12/Assumptions!$B$7*AC7,0)</f>
        <v/>
      </c>
      <c r="AD125" s="55">
        <f>IF(AD2&gt;=Assumptions!$B$52,AD118*AD17*Assumptions!$B$17+AD113*(Assumptions!$B$147*MAX(0,Assumptions!$B$151-Assumptions!$B$18)+Assumptions!$B$148*MAX(0,Assumptions!$B$152-Assumptions!$B$18)+Assumptions!$B$149*MAX(0,Assumptions!$B$153-Assumptions!$B$18)+Assumptions!$B$150*MAX(0,Assumptions!$B$154-Assumptions!$B$18))*Assumptions!$B$19/Assumptions!$B$7*AD7+AD113*(Assumptions!$B$145*Assumptions!$B$20+Assumptions!$B$146*Assumptions!$B$21)/12/Assumptions!$B$7*AD7,0)</f>
        <v/>
      </c>
      <c r="AE125" s="55">
        <f>IF(AE2&gt;=Assumptions!$B$52,AE118*AE17*Assumptions!$B$17+AE113*(Assumptions!$B$147*MAX(0,Assumptions!$B$151-Assumptions!$B$18)+Assumptions!$B$148*MAX(0,Assumptions!$B$152-Assumptions!$B$18)+Assumptions!$B$149*MAX(0,Assumptions!$B$153-Assumptions!$B$18)+Assumptions!$B$150*MAX(0,Assumptions!$B$154-Assumptions!$B$18))*Assumptions!$B$19/Assumptions!$B$7*AE7+AE113*(Assumptions!$B$145*Assumptions!$B$20+Assumptions!$B$146*Assumptions!$B$21)/12/Assumptions!$B$7*AE7,0)</f>
        <v/>
      </c>
    </row>
    <row r="126">
      <c r="A126" s="6" t="inlineStr">
        <is>
          <t xml:space="preserve">  Average drawn balance outstanding</t>
        </is>
      </c>
      <c r="B126" s="23" t="inlineStr">
        <is>
          <t>USD</t>
        </is>
      </c>
      <c r="C126" s="55">
        <f>IF(C2&gt;=Assumptions!$B$53,C113*C114*(1-Assumptions!$B$170)*Assumptions!$B$155*Assumptions!$B$156,0)</f>
        <v/>
      </c>
      <c r="D126" s="55">
        <f>IF(D2&gt;=Assumptions!$B$53,D113*D114*(1-Assumptions!$B$170)*Assumptions!$B$155*Assumptions!$B$156,0)</f>
        <v/>
      </c>
      <c r="E126" s="55">
        <f>IF(E2&gt;=Assumptions!$B$53,E113*E114*(1-Assumptions!$B$170)*Assumptions!$B$155*Assumptions!$B$156,0)</f>
        <v/>
      </c>
      <c r="F126" s="55">
        <f>IF(F2&gt;=Assumptions!$B$53,F113*F114*(1-Assumptions!$B$170)*Assumptions!$B$155*Assumptions!$B$156,0)</f>
        <v/>
      </c>
      <c r="G126" s="55">
        <f>IF(G2&gt;=Assumptions!$B$53,G113*G114*(1-Assumptions!$B$170)*Assumptions!$B$155*Assumptions!$B$156,0)</f>
        <v/>
      </c>
      <c r="H126" s="55">
        <f>IF(H2&gt;=Assumptions!$B$53,H113*H114*(1-Assumptions!$B$170)*Assumptions!$B$155*Assumptions!$B$156,0)</f>
        <v/>
      </c>
      <c r="I126" s="55">
        <f>IF(I2&gt;=Assumptions!$B$53,I113*I114*(1-Assumptions!$B$170)*Assumptions!$B$155*Assumptions!$B$156,0)</f>
        <v/>
      </c>
      <c r="J126" s="55">
        <f>IF(J2&gt;=Assumptions!$B$53,J113*J114*(1-Assumptions!$B$170)*Assumptions!$B$155*Assumptions!$B$156,0)</f>
        <v/>
      </c>
      <c r="K126" s="55">
        <f>IF(K2&gt;=Assumptions!$B$53,K113*K114*(1-Assumptions!$B$170)*Assumptions!$B$155*Assumptions!$B$156,0)</f>
        <v/>
      </c>
      <c r="L126" s="55">
        <f>IF(L2&gt;=Assumptions!$B$53,L113*L114*(1-Assumptions!$B$170)*Assumptions!$B$155*Assumptions!$B$156,0)</f>
        <v/>
      </c>
      <c r="M126" s="55">
        <f>IF(M2&gt;=Assumptions!$B$53,M113*M114*(1-Assumptions!$B$170)*Assumptions!$B$155*Assumptions!$B$156,0)</f>
        <v/>
      </c>
      <c r="N126" s="55">
        <f>IF(N2&gt;=Assumptions!$B$53,N113*N114*(1-Assumptions!$B$170)*Assumptions!$B$155*Assumptions!$B$156,0)</f>
        <v/>
      </c>
      <c r="O126" s="55">
        <f>IF(O2&gt;=Assumptions!$B$53,O113*O114*(1-Assumptions!$B$170)*Assumptions!$B$155*Assumptions!$B$156,0)</f>
        <v/>
      </c>
      <c r="P126" s="55">
        <f>IF(P2&gt;=Assumptions!$B$53,P113*P114*(1-Assumptions!$B$170)*Assumptions!$B$155*Assumptions!$B$156,0)</f>
        <v/>
      </c>
      <c r="Q126" s="55">
        <f>IF(Q2&gt;=Assumptions!$B$53,Q113*Q114*(1-Assumptions!$B$170)*Assumptions!$B$155*Assumptions!$B$156,0)</f>
        <v/>
      </c>
      <c r="R126" s="55">
        <f>IF(R2&gt;=Assumptions!$B$53,R113*R114*(1-Assumptions!$B$170)*Assumptions!$B$155*Assumptions!$B$156,0)</f>
        <v/>
      </c>
      <c r="S126" s="55">
        <f>IF(S2&gt;=Assumptions!$B$53,S113*S114*(1-Assumptions!$B$170)*Assumptions!$B$155*Assumptions!$B$156,0)</f>
        <v/>
      </c>
      <c r="T126" s="55">
        <f>IF(T2&gt;=Assumptions!$B$53,T113*T114*(1-Assumptions!$B$170)*Assumptions!$B$155*Assumptions!$B$156,0)</f>
        <v/>
      </c>
      <c r="U126" s="55">
        <f>IF(U2&gt;=Assumptions!$B$53,U113*U114*(1-Assumptions!$B$170)*Assumptions!$B$155*Assumptions!$B$156,0)</f>
        <v/>
      </c>
      <c r="V126" s="55">
        <f>IF(V2&gt;=Assumptions!$B$53,V113*V114*(1-Assumptions!$B$170)*Assumptions!$B$155*Assumptions!$B$156,0)</f>
        <v/>
      </c>
      <c r="W126" s="55">
        <f>IF(W2&gt;=Assumptions!$B$53,W113*W114*(1-Assumptions!$B$170)*Assumptions!$B$155*Assumptions!$B$156,0)</f>
        <v/>
      </c>
      <c r="X126" s="55">
        <f>IF(X2&gt;=Assumptions!$B$53,X113*X114*(1-Assumptions!$B$170)*Assumptions!$B$155*Assumptions!$B$156,0)</f>
        <v/>
      </c>
      <c r="Y126" s="55">
        <f>IF(Y2&gt;=Assumptions!$B$53,Y113*Y114*(1-Assumptions!$B$170)*Assumptions!$B$155*Assumptions!$B$156,0)</f>
        <v/>
      </c>
      <c r="Z126" s="55">
        <f>IF(Z2&gt;=Assumptions!$B$53,Z113*Z114*(1-Assumptions!$B$170)*Assumptions!$B$155*Assumptions!$B$156,0)</f>
        <v/>
      </c>
      <c r="AA126" s="55">
        <f>IF(AA2&gt;=Assumptions!$B$53,AA113*AA114*(1-Assumptions!$B$170)*Assumptions!$B$155*Assumptions!$B$156,0)</f>
        <v/>
      </c>
      <c r="AB126" s="55">
        <f>IF(AB2&gt;=Assumptions!$B$53,AB113*AB114*(1-Assumptions!$B$170)*Assumptions!$B$155*Assumptions!$B$156,0)</f>
        <v/>
      </c>
      <c r="AC126" s="55">
        <f>IF(AC2&gt;=Assumptions!$B$53,AC113*AC114*(1-Assumptions!$B$170)*Assumptions!$B$155*Assumptions!$B$156,0)</f>
        <v/>
      </c>
      <c r="AD126" s="55">
        <f>IF(AD2&gt;=Assumptions!$B$53,AD113*AD114*(1-Assumptions!$B$170)*Assumptions!$B$155*Assumptions!$B$156,0)</f>
        <v/>
      </c>
      <c r="AE126" s="55">
        <f>IF(AE2&gt;=Assumptions!$B$53,AE113*AE114*(1-Assumptions!$B$170)*Assumptions!$B$155*Assumptions!$B$156,0)</f>
        <v/>
      </c>
    </row>
    <row r="127">
      <c r="A127" s="6" t="inlineStr">
        <is>
          <t xml:space="preserve">  Stream 5 - Lending revenue share</t>
        </is>
      </c>
      <c r="B127" s="23" t="inlineStr">
        <is>
          <t>USD</t>
        </is>
      </c>
      <c r="C127" s="55">
        <f>IF(C2&gt;=Assumptions!$B$53,(C126*Assumptions!$B$29*Assumptions!$B$30+C113*C115*(1-Assumptions!$B$170)*Assumptions!$B$27*Assumptions!$B$28)*C7/12,0)</f>
        <v/>
      </c>
      <c r="D127" s="55">
        <f>IF(D2&gt;=Assumptions!$B$53,(D126*Assumptions!$B$29*Assumptions!$B$30+D113*D115*(1-Assumptions!$B$170)*Assumptions!$B$27*Assumptions!$B$28)*D7/12,0)</f>
        <v/>
      </c>
      <c r="E127" s="55">
        <f>IF(E2&gt;=Assumptions!$B$53,(E126*Assumptions!$B$29*Assumptions!$B$30+E113*E115*(1-Assumptions!$B$170)*Assumptions!$B$27*Assumptions!$B$28)*E7/12,0)</f>
        <v/>
      </c>
      <c r="F127" s="55">
        <f>IF(F2&gt;=Assumptions!$B$53,(F126*Assumptions!$B$29*Assumptions!$B$30+F113*F115*(1-Assumptions!$B$170)*Assumptions!$B$27*Assumptions!$B$28)*F7/12,0)</f>
        <v/>
      </c>
      <c r="G127" s="55">
        <f>IF(G2&gt;=Assumptions!$B$53,(G126*Assumptions!$B$29*Assumptions!$B$30+G113*G115*(1-Assumptions!$B$170)*Assumptions!$B$27*Assumptions!$B$28)*G7/12,0)</f>
        <v/>
      </c>
      <c r="H127" s="55">
        <f>IF(H2&gt;=Assumptions!$B$53,(H126*Assumptions!$B$29*Assumptions!$B$30+H113*H115*(1-Assumptions!$B$170)*Assumptions!$B$27*Assumptions!$B$28)*H7/12,0)</f>
        <v/>
      </c>
      <c r="I127" s="55">
        <f>IF(I2&gt;=Assumptions!$B$53,(I126*Assumptions!$B$29*Assumptions!$B$30+I113*I115*(1-Assumptions!$B$170)*Assumptions!$B$27*Assumptions!$B$28)*I7/12,0)</f>
        <v/>
      </c>
      <c r="J127" s="55">
        <f>IF(J2&gt;=Assumptions!$B$53,(J126*Assumptions!$B$29*Assumptions!$B$30+J113*J115*(1-Assumptions!$B$170)*Assumptions!$B$27*Assumptions!$B$28)*J7/12,0)</f>
        <v/>
      </c>
      <c r="K127" s="55">
        <f>IF(K2&gt;=Assumptions!$B$53,(K126*Assumptions!$B$29*Assumptions!$B$30+K113*K115*(1-Assumptions!$B$170)*Assumptions!$B$27*Assumptions!$B$28)*K7/12,0)</f>
        <v/>
      </c>
      <c r="L127" s="55">
        <f>IF(L2&gt;=Assumptions!$B$53,(L126*Assumptions!$B$29*Assumptions!$B$30+L113*L115*(1-Assumptions!$B$170)*Assumptions!$B$27*Assumptions!$B$28)*L7/12,0)</f>
        <v/>
      </c>
      <c r="M127" s="55">
        <f>IF(M2&gt;=Assumptions!$B$53,(M126*Assumptions!$B$29*Assumptions!$B$30+M113*M115*(1-Assumptions!$B$170)*Assumptions!$B$27*Assumptions!$B$28)*M7/12,0)</f>
        <v/>
      </c>
      <c r="N127" s="55">
        <f>IF(N2&gt;=Assumptions!$B$53,(N126*Assumptions!$B$29*Assumptions!$B$30+N113*N115*(1-Assumptions!$B$170)*Assumptions!$B$27*Assumptions!$B$28)*N7/12,0)</f>
        <v/>
      </c>
      <c r="O127" s="55">
        <f>IF(O2&gt;=Assumptions!$B$53,(O126*Assumptions!$B$29*Assumptions!$B$30+O113*O115*(1-Assumptions!$B$170)*Assumptions!$B$27*Assumptions!$B$28)*O7/12,0)</f>
        <v/>
      </c>
      <c r="P127" s="55">
        <f>IF(P2&gt;=Assumptions!$B$53,(P126*Assumptions!$B$29*Assumptions!$B$30+P113*P115*(1-Assumptions!$B$170)*Assumptions!$B$27*Assumptions!$B$28)*P7/12,0)</f>
        <v/>
      </c>
      <c r="Q127" s="55">
        <f>IF(Q2&gt;=Assumptions!$B$53,(Q126*Assumptions!$B$29*Assumptions!$B$30+Q113*Q115*(1-Assumptions!$B$170)*Assumptions!$B$27*Assumptions!$B$28)*Q7/12,0)</f>
        <v/>
      </c>
      <c r="R127" s="55">
        <f>IF(R2&gt;=Assumptions!$B$53,(R126*Assumptions!$B$29*Assumptions!$B$30+R113*R115*(1-Assumptions!$B$170)*Assumptions!$B$27*Assumptions!$B$28)*R7/12,0)</f>
        <v/>
      </c>
      <c r="S127" s="55">
        <f>IF(S2&gt;=Assumptions!$B$53,(S126*Assumptions!$B$29*Assumptions!$B$30+S113*S115*(1-Assumptions!$B$170)*Assumptions!$B$27*Assumptions!$B$28)*S7/12,0)</f>
        <v/>
      </c>
      <c r="T127" s="55">
        <f>IF(T2&gt;=Assumptions!$B$53,(T126*Assumptions!$B$29*Assumptions!$B$30+T113*T115*(1-Assumptions!$B$170)*Assumptions!$B$27*Assumptions!$B$28)*T7/12,0)</f>
        <v/>
      </c>
      <c r="U127" s="55">
        <f>IF(U2&gt;=Assumptions!$B$53,(U126*Assumptions!$B$29*Assumptions!$B$30+U113*U115*(1-Assumptions!$B$170)*Assumptions!$B$27*Assumptions!$B$28)*U7/12,0)</f>
        <v/>
      </c>
      <c r="V127" s="55">
        <f>IF(V2&gt;=Assumptions!$B$53,(V126*Assumptions!$B$29*Assumptions!$B$30+V113*V115*(1-Assumptions!$B$170)*Assumptions!$B$27*Assumptions!$B$28)*V7/12,0)</f>
        <v/>
      </c>
      <c r="W127" s="55">
        <f>IF(W2&gt;=Assumptions!$B$53,(W126*Assumptions!$B$29*Assumptions!$B$30+W113*W115*(1-Assumptions!$B$170)*Assumptions!$B$27*Assumptions!$B$28)*W7/12,0)</f>
        <v/>
      </c>
      <c r="X127" s="55">
        <f>IF(X2&gt;=Assumptions!$B$53,(X126*Assumptions!$B$29*Assumptions!$B$30+X113*X115*(1-Assumptions!$B$170)*Assumptions!$B$27*Assumptions!$B$28)*X7/12,0)</f>
        <v/>
      </c>
      <c r="Y127" s="55">
        <f>IF(Y2&gt;=Assumptions!$B$53,(Y126*Assumptions!$B$29*Assumptions!$B$30+Y113*Y115*(1-Assumptions!$B$170)*Assumptions!$B$27*Assumptions!$B$28)*Y7/12,0)</f>
        <v/>
      </c>
      <c r="Z127" s="55">
        <f>IF(Z2&gt;=Assumptions!$B$53,(Z126*Assumptions!$B$29*Assumptions!$B$30+Z113*Z115*(1-Assumptions!$B$170)*Assumptions!$B$27*Assumptions!$B$28)*Z7/12,0)</f>
        <v/>
      </c>
      <c r="AA127" s="55">
        <f>IF(AA2&gt;=Assumptions!$B$53,(AA126*Assumptions!$B$29*Assumptions!$B$30+AA113*AA115*(1-Assumptions!$B$170)*Assumptions!$B$27*Assumptions!$B$28)*AA7/12,0)</f>
        <v/>
      </c>
      <c r="AB127" s="55">
        <f>IF(AB2&gt;=Assumptions!$B$53,(AB126*Assumptions!$B$29*Assumptions!$B$30+AB113*AB115*(1-Assumptions!$B$170)*Assumptions!$B$27*Assumptions!$B$28)*AB7/12,0)</f>
        <v/>
      </c>
      <c r="AC127" s="55">
        <f>IF(AC2&gt;=Assumptions!$B$53,(AC126*Assumptions!$B$29*Assumptions!$B$30+AC113*AC115*(1-Assumptions!$B$170)*Assumptions!$B$27*Assumptions!$B$28)*AC7/12,0)</f>
        <v/>
      </c>
      <c r="AD127" s="55">
        <f>IF(AD2&gt;=Assumptions!$B$53,(AD126*Assumptions!$B$29*Assumptions!$B$30+AD113*AD115*(1-Assumptions!$B$170)*Assumptions!$B$27*Assumptions!$B$28)*AD7/12,0)</f>
        <v/>
      </c>
      <c r="AE127" s="55">
        <f>IF(AE2&gt;=Assumptions!$B$53,(AE126*Assumptions!$B$29*Assumptions!$B$30+AE113*AE115*(1-Assumptions!$B$170)*Assumptions!$B$27*Assumptions!$B$28)*AE7/12,0)</f>
        <v/>
      </c>
    </row>
    <row r="128">
      <c r="A128" s="6" t="inlineStr">
        <is>
          <t xml:space="preserve">  Redemption events (memo - drives cost, not revenue)</t>
        </is>
      </c>
      <c r="B128" s="23" t="inlineStr">
        <is>
          <t>events</t>
        </is>
      </c>
      <c r="C128" s="45">
        <f>IF(C2&gt;=Assumptions!$B$49,(C101+C103*Assumptions!$B$137)*Assumptions!$B$136*C7/12,0)</f>
        <v/>
      </c>
      <c r="D128" s="45">
        <f>IF(D2&gt;=Assumptions!$B$49,(D101+D103*Assumptions!$B$137)*Assumptions!$B$136*D7/12,0)</f>
        <v/>
      </c>
      <c r="E128" s="45">
        <f>IF(E2&gt;=Assumptions!$B$49,(E101+E103*Assumptions!$B$137)*Assumptions!$B$136*E7/12,0)</f>
        <v/>
      </c>
      <c r="F128" s="45">
        <f>IF(F2&gt;=Assumptions!$B$49,(F101+F103*Assumptions!$B$137)*Assumptions!$B$136*F7/12,0)</f>
        <v/>
      </c>
      <c r="G128" s="45">
        <f>IF(G2&gt;=Assumptions!$B$49,(G101+G103*Assumptions!$B$137)*Assumptions!$B$136*G7/12,0)</f>
        <v/>
      </c>
      <c r="H128" s="45">
        <f>IF(H2&gt;=Assumptions!$B$49,(H101+H103*Assumptions!$B$137)*Assumptions!$B$136*H7/12,0)</f>
        <v/>
      </c>
      <c r="I128" s="45">
        <f>IF(I2&gt;=Assumptions!$B$49,(I101+I103*Assumptions!$B$137)*Assumptions!$B$136*I7/12,0)</f>
        <v/>
      </c>
      <c r="J128" s="45">
        <f>IF(J2&gt;=Assumptions!$B$49,(J101+J103*Assumptions!$B$137)*Assumptions!$B$136*J7/12,0)</f>
        <v/>
      </c>
      <c r="K128" s="45">
        <f>IF(K2&gt;=Assumptions!$B$49,(K101+K103*Assumptions!$B$137)*Assumptions!$B$136*K7/12,0)</f>
        <v/>
      </c>
      <c r="L128" s="45">
        <f>IF(L2&gt;=Assumptions!$B$49,(L101+L103*Assumptions!$B$137)*Assumptions!$B$136*L7/12,0)</f>
        <v/>
      </c>
      <c r="M128" s="45">
        <f>IF(M2&gt;=Assumptions!$B$49,(M101+M103*Assumptions!$B$137)*Assumptions!$B$136*M7/12,0)</f>
        <v/>
      </c>
      <c r="N128" s="45">
        <f>IF(N2&gt;=Assumptions!$B$49,(N101+N103*Assumptions!$B$137)*Assumptions!$B$136*N7/12,0)</f>
        <v/>
      </c>
      <c r="O128" s="45">
        <f>IF(O2&gt;=Assumptions!$B$49,(O101+O103*Assumptions!$B$137)*Assumptions!$B$136*O7/12,0)</f>
        <v/>
      </c>
      <c r="P128" s="45">
        <f>IF(P2&gt;=Assumptions!$B$49,(P101+P103*Assumptions!$B$137)*Assumptions!$B$136*P7/12,0)</f>
        <v/>
      </c>
      <c r="Q128" s="45">
        <f>IF(Q2&gt;=Assumptions!$B$49,(Q101+Q103*Assumptions!$B$137)*Assumptions!$B$136*Q7/12,0)</f>
        <v/>
      </c>
      <c r="R128" s="45">
        <f>IF(R2&gt;=Assumptions!$B$49,(R101+R103*Assumptions!$B$137)*Assumptions!$B$136*R7/12,0)</f>
        <v/>
      </c>
      <c r="S128" s="45">
        <f>IF(S2&gt;=Assumptions!$B$49,(S101+S103*Assumptions!$B$137)*Assumptions!$B$136*S7/12,0)</f>
        <v/>
      </c>
      <c r="T128" s="45">
        <f>IF(T2&gt;=Assumptions!$B$49,(T101+T103*Assumptions!$B$137)*Assumptions!$B$136*T7/12,0)</f>
        <v/>
      </c>
      <c r="U128" s="45">
        <f>IF(U2&gt;=Assumptions!$B$49,(U101+U103*Assumptions!$B$137)*Assumptions!$B$136*U7/12,0)</f>
        <v/>
      </c>
      <c r="V128" s="45">
        <f>IF(V2&gt;=Assumptions!$B$49,(V101+V103*Assumptions!$B$137)*Assumptions!$B$136*V7/12,0)</f>
        <v/>
      </c>
      <c r="W128" s="45">
        <f>IF(W2&gt;=Assumptions!$B$49,(W101+W103*Assumptions!$B$137)*Assumptions!$B$136*W7/12,0)</f>
        <v/>
      </c>
      <c r="X128" s="45">
        <f>IF(X2&gt;=Assumptions!$B$49,(X101+X103*Assumptions!$B$137)*Assumptions!$B$136*X7/12,0)</f>
        <v/>
      </c>
      <c r="Y128" s="45">
        <f>IF(Y2&gt;=Assumptions!$B$49,(Y101+Y103*Assumptions!$B$137)*Assumptions!$B$136*Y7/12,0)</f>
        <v/>
      </c>
      <c r="Z128" s="45">
        <f>IF(Z2&gt;=Assumptions!$B$49,(Z101+Z103*Assumptions!$B$137)*Assumptions!$B$136*Z7/12,0)</f>
        <v/>
      </c>
      <c r="AA128" s="45">
        <f>IF(AA2&gt;=Assumptions!$B$49,(AA101+AA103*Assumptions!$B$137)*Assumptions!$B$136*AA7/12,0)</f>
        <v/>
      </c>
      <c r="AB128" s="45">
        <f>IF(AB2&gt;=Assumptions!$B$49,(AB101+AB103*Assumptions!$B$137)*Assumptions!$B$136*AB7/12,0)</f>
        <v/>
      </c>
      <c r="AC128" s="45">
        <f>IF(AC2&gt;=Assumptions!$B$49,(AC101+AC103*Assumptions!$B$137)*Assumptions!$B$136*AC7/12,0)</f>
        <v/>
      </c>
      <c r="AD128" s="45">
        <f>IF(AD2&gt;=Assumptions!$B$49,(AD101+AD103*Assumptions!$B$137)*Assumptions!$B$136*AD7/12,0)</f>
        <v/>
      </c>
      <c r="AE128" s="45">
        <f>IF(AE2&gt;=Assumptions!$B$49,(AE101+AE103*Assumptions!$B$137)*Assumptions!$B$136*AE7/12,0)</f>
        <v/>
      </c>
    </row>
    <row r="129">
      <c r="A129" s="3" t="inlineStr">
        <is>
          <t xml:space="preserve">  SUBTOTAL - India</t>
        </is>
      </c>
      <c r="B129" s="23" t="inlineStr">
        <is>
          <t>USD</t>
        </is>
      </c>
      <c r="C129" s="57">
        <f>C121+C122+C123+C124+C125+C127</f>
        <v/>
      </c>
      <c r="D129" s="57">
        <f>D121+D122+D123+D124+D125+D127</f>
        <v/>
      </c>
      <c r="E129" s="57">
        <f>E121+E122+E123+E124+E125+E127</f>
        <v/>
      </c>
      <c r="F129" s="57">
        <f>F121+F122+F123+F124+F125+F127</f>
        <v/>
      </c>
      <c r="G129" s="57">
        <f>G121+G122+G123+G124+G125+G127</f>
        <v/>
      </c>
      <c r="H129" s="57">
        <f>H121+H122+H123+H124+H125+H127</f>
        <v/>
      </c>
      <c r="I129" s="57">
        <f>I121+I122+I123+I124+I125+I127</f>
        <v/>
      </c>
      <c r="J129" s="57">
        <f>J121+J122+J123+J124+J125+J127</f>
        <v/>
      </c>
      <c r="K129" s="57">
        <f>K121+K122+K123+K124+K125+K127</f>
        <v/>
      </c>
      <c r="L129" s="57">
        <f>L121+L122+L123+L124+L125+L127</f>
        <v/>
      </c>
      <c r="M129" s="57">
        <f>M121+M122+M123+M124+M125+M127</f>
        <v/>
      </c>
      <c r="N129" s="57">
        <f>N121+N122+N123+N124+N125+N127</f>
        <v/>
      </c>
      <c r="O129" s="57">
        <f>O121+O122+O123+O124+O125+O127</f>
        <v/>
      </c>
      <c r="P129" s="57">
        <f>P121+P122+P123+P124+P125+P127</f>
        <v/>
      </c>
      <c r="Q129" s="57">
        <f>Q121+Q122+Q123+Q124+Q125+Q127</f>
        <v/>
      </c>
      <c r="R129" s="57">
        <f>R121+R122+R123+R124+R125+R127</f>
        <v/>
      </c>
      <c r="S129" s="57">
        <f>S121+S122+S123+S124+S125+S127</f>
        <v/>
      </c>
      <c r="T129" s="57">
        <f>T121+T122+T123+T124+T125+T127</f>
        <v/>
      </c>
      <c r="U129" s="57">
        <f>U121+U122+U123+U124+U125+U127</f>
        <v/>
      </c>
      <c r="V129" s="57">
        <f>V121+V122+V123+V124+V125+V127</f>
        <v/>
      </c>
      <c r="W129" s="57">
        <f>W121+W122+W123+W124+W125+W127</f>
        <v/>
      </c>
      <c r="X129" s="57">
        <f>X121+X122+X123+X124+X125+X127</f>
        <v/>
      </c>
      <c r="Y129" s="57">
        <f>Y121+Y122+Y123+Y124+Y125+Y127</f>
        <v/>
      </c>
      <c r="Z129" s="57">
        <f>Z121+Z122+Z123+Z124+Z125+Z127</f>
        <v/>
      </c>
      <c r="AA129" s="57">
        <f>AA121+AA122+AA123+AA124+AA125+AA127</f>
        <v/>
      </c>
      <c r="AB129" s="57">
        <f>AB121+AB122+AB123+AB124+AB125+AB127</f>
        <v/>
      </c>
      <c r="AC129" s="57">
        <f>AC121+AC122+AC123+AC124+AC125+AC127</f>
        <v/>
      </c>
      <c r="AD129" s="57">
        <f>AD121+AD122+AD123+AD124+AD125+AD127</f>
        <v/>
      </c>
      <c r="AE129" s="57">
        <f>AE121+AE122+AE123+AE124+AE125+AE127</f>
        <v/>
      </c>
    </row>
    <row r="131">
      <c r="A131" s="46" t="inlineStr">
        <is>
          <t>NON-REGIONAL</t>
        </is>
      </c>
      <c r="B131" s="47" t="n"/>
      <c r="C131" s="47" t="n"/>
      <c r="D131" s="47" t="n"/>
      <c r="E131" s="47" t="n"/>
      <c r="F131" s="47" t="n"/>
      <c r="G131" s="47" t="n"/>
      <c r="H131" s="47" t="n"/>
      <c r="I131" s="47" t="n"/>
      <c r="J131" s="47" t="n"/>
      <c r="K131" s="47" t="n"/>
      <c r="L131" s="47" t="n"/>
      <c r="M131" s="47" t="n"/>
      <c r="N131" s="47" t="n"/>
      <c r="O131" s="47" t="n"/>
      <c r="P131" s="47" t="n"/>
      <c r="Q131" s="47" t="n"/>
      <c r="R131" s="47" t="n"/>
      <c r="S131" s="47" t="n"/>
      <c r="T131" s="47" t="n"/>
      <c r="U131" s="47" t="n"/>
      <c r="V131" s="47" t="n"/>
      <c r="W131" s="47" t="n"/>
      <c r="X131" s="47" t="n"/>
      <c r="Y131" s="47" t="n"/>
      <c r="Z131" s="47" t="n"/>
      <c r="AA131" s="47" t="n"/>
      <c r="AB131" s="47" t="n"/>
      <c r="AC131" s="47" t="n"/>
      <c r="AD131" s="47" t="n"/>
      <c r="AE131" s="47" t="n"/>
    </row>
    <row r="132">
      <c r="A132" s="6" t="inlineStr">
        <is>
          <t xml:space="preserve">  Partner AUM</t>
        </is>
      </c>
      <c r="B132" s="23" t="inlineStr">
        <is>
          <t>USD</t>
        </is>
      </c>
      <c r="C132" s="58">
        <f>IF(C2&gt;=Assumptions!$B$54,INDEX(Assumptions!$B$159:$B$165,C5)*Assumptions!$B$166,0)</f>
        <v/>
      </c>
      <c r="D132" s="58">
        <f>IF(D2&gt;=Assumptions!$B$54,INDEX(Assumptions!$B$159:$B$165,D5)*Assumptions!$B$166,0)</f>
        <v/>
      </c>
      <c r="E132" s="58">
        <f>IF(E2&gt;=Assumptions!$B$54,INDEX(Assumptions!$B$159:$B$165,E5)*Assumptions!$B$166,0)</f>
        <v/>
      </c>
      <c r="F132" s="58">
        <f>IF(F2&gt;=Assumptions!$B$54,INDEX(Assumptions!$B$159:$B$165,F5)*Assumptions!$B$166,0)</f>
        <v/>
      </c>
      <c r="G132" s="58">
        <f>IF(G2&gt;=Assumptions!$B$54,INDEX(Assumptions!$B$159:$B$165,G5)*Assumptions!$B$166,0)</f>
        <v/>
      </c>
      <c r="H132" s="58">
        <f>IF(H2&gt;=Assumptions!$B$54,INDEX(Assumptions!$B$159:$B$165,H5)*Assumptions!$B$166,0)</f>
        <v/>
      </c>
      <c r="I132" s="58">
        <f>IF(I2&gt;=Assumptions!$B$54,INDEX(Assumptions!$B$159:$B$165,I5)*Assumptions!$B$166,0)</f>
        <v/>
      </c>
      <c r="J132" s="58">
        <f>IF(J2&gt;=Assumptions!$B$54,INDEX(Assumptions!$B$159:$B$165,J5)*Assumptions!$B$166,0)</f>
        <v/>
      </c>
      <c r="K132" s="58">
        <f>IF(K2&gt;=Assumptions!$B$54,INDEX(Assumptions!$B$159:$B$165,K5)*Assumptions!$B$166,0)</f>
        <v/>
      </c>
      <c r="L132" s="58">
        <f>IF(L2&gt;=Assumptions!$B$54,INDEX(Assumptions!$B$159:$B$165,L5)*Assumptions!$B$166,0)</f>
        <v/>
      </c>
      <c r="M132" s="58">
        <f>IF(M2&gt;=Assumptions!$B$54,INDEX(Assumptions!$B$159:$B$165,M5)*Assumptions!$B$166,0)</f>
        <v/>
      </c>
      <c r="N132" s="58">
        <f>IF(N2&gt;=Assumptions!$B$54,INDEX(Assumptions!$B$159:$B$165,N5)*Assumptions!$B$166,0)</f>
        <v/>
      </c>
      <c r="O132" s="58">
        <f>IF(O2&gt;=Assumptions!$B$54,INDEX(Assumptions!$B$159:$B$165,O5)*Assumptions!$B$166,0)</f>
        <v/>
      </c>
      <c r="P132" s="58">
        <f>IF(P2&gt;=Assumptions!$B$54,INDEX(Assumptions!$B$159:$B$165,P5)*Assumptions!$B$166,0)</f>
        <v/>
      </c>
      <c r="Q132" s="58">
        <f>IF(Q2&gt;=Assumptions!$B$54,INDEX(Assumptions!$B$159:$B$165,Q5)*Assumptions!$B$166,0)</f>
        <v/>
      </c>
      <c r="R132" s="58">
        <f>IF(R2&gt;=Assumptions!$B$54,INDEX(Assumptions!$B$159:$B$165,R5)*Assumptions!$B$166,0)</f>
        <v/>
      </c>
      <c r="S132" s="58">
        <f>IF(S2&gt;=Assumptions!$B$54,INDEX(Assumptions!$B$159:$B$165,S5)*Assumptions!$B$166,0)</f>
        <v/>
      </c>
      <c r="T132" s="58">
        <f>IF(T2&gt;=Assumptions!$B$54,INDEX(Assumptions!$B$159:$B$165,T5)*Assumptions!$B$166,0)</f>
        <v/>
      </c>
      <c r="U132" s="58">
        <f>IF(U2&gt;=Assumptions!$B$54,INDEX(Assumptions!$B$159:$B$165,U5)*Assumptions!$B$166,0)</f>
        <v/>
      </c>
      <c r="V132" s="58">
        <f>IF(V2&gt;=Assumptions!$B$54,INDEX(Assumptions!$B$159:$B$165,V5)*Assumptions!$B$166,0)</f>
        <v/>
      </c>
      <c r="W132" s="58">
        <f>IF(W2&gt;=Assumptions!$B$54,INDEX(Assumptions!$B$159:$B$165,W5)*Assumptions!$B$166,0)</f>
        <v/>
      </c>
      <c r="X132" s="58">
        <f>IF(X2&gt;=Assumptions!$B$54,INDEX(Assumptions!$B$159:$B$165,X5)*Assumptions!$B$166,0)</f>
        <v/>
      </c>
      <c r="Y132" s="58">
        <f>IF(Y2&gt;=Assumptions!$B$54,INDEX(Assumptions!$B$159:$B$165,Y5)*Assumptions!$B$166,0)</f>
        <v/>
      </c>
      <c r="Z132" s="58">
        <f>IF(Z2&gt;=Assumptions!$B$54,INDEX(Assumptions!$B$159:$B$165,Z5)*Assumptions!$B$166,0)</f>
        <v/>
      </c>
      <c r="AA132" s="58">
        <f>IF(AA2&gt;=Assumptions!$B$54,INDEX(Assumptions!$B$159:$B$165,AA5)*Assumptions!$B$166,0)</f>
        <v/>
      </c>
      <c r="AB132" s="58">
        <f>IF(AB2&gt;=Assumptions!$B$54,INDEX(Assumptions!$B$159:$B$165,AB5)*Assumptions!$B$166,0)</f>
        <v/>
      </c>
      <c r="AC132" s="58">
        <f>IF(AC2&gt;=Assumptions!$B$54,INDEX(Assumptions!$B$159:$B$165,AC5)*Assumptions!$B$166,0)</f>
        <v/>
      </c>
      <c r="AD132" s="58">
        <f>IF(AD2&gt;=Assumptions!$B$54,INDEX(Assumptions!$B$159:$B$165,AD5)*Assumptions!$B$166,0)</f>
        <v/>
      </c>
      <c r="AE132" s="58">
        <f>IF(AE2&gt;=Assumptions!$B$54,INDEX(Assumptions!$B$159:$B$165,AE5)*Assumptions!$B$166,0)</f>
        <v/>
      </c>
    </row>
    <row r="133">
      <c r="A133" s="6" t="inlineStr">
        <is>
          <t>Stream 6 - B2B platform fee</t>
        </is>
      </c>
      <c r="B133" s="23" t="inlineStr">
        <is>
          <t>USD</t>
        </is>
      </c>
      <c r="C133" s="57">
        <f>C132*Assumptions!$B$26*C7/12</f>
        <v/>
      </c>
      <c r="D133" s="57">
        <f>D132*Assumptions!$B$26*D7/12</f>
        <v/>
      </c>
      <c r="E133" s="57">
        <f>E132*Assumptions!$B$26*E7/12</f>
        <v/>
      </c>
      <c r="F133" s="57">
        <f>F132*Assumptions!$B$26*F7/12</f>
        <v/>
      </c>
      <c r="G133" s="57">
        <f>G132*Assumptions!$B$26*G7/12</f>
        <v/>
      </c>
      <c r="H133" s="57">
        <f>H132*Assumptions!$B$26*H7/12</f>
        <v/>
      </c>
      <c r="I133" s="57">
        <f>I132*Assumptions!$B$26*I7/12</f>
        <v/>
      </c>
      <c r="J133" s="57">
        <f>J132*Assumptions!$B$26*J7/12</f>
        <v/>
      </c>
      <c r="K133" s="57">
        <f>K132*Assumptions!$B$26*K7/12</f>
        <v/>
      </c>
      <c r="L133" s="57">
        <f>L132*Assumptions!$B$26*L7/12</f>
        <v/>
      </c>
      <c r="M133" s="57">
        <f>M132*Assumptions!$B$26*M7/12</f>
        <v/>
      </c>
      <c r="N133" s="57">
        <f>N132*Assumptions!$B$26*N7/12</f>
        <v/>
      </c>
      <c r="O133" s="57">
        <f>O132*Assumptions!$B$26*O7/12</f>
        <v/>
      </c>
      <c r="P133" s="57">
        <f>P132*Assumptions!$B$26*P7/12</f>
        <v/>
      </c>
      <c r="Q133" s="57">
        <f>Q132*Assumptions!$B$26*Q7/12</f>
        <v/>
      </c>
      <c r="R133" s="57">
        <f>R132*Assumptions!$B$26*R7/12</f>
        <v/>
      </c>
      <c r="S133" s="57">
        <f>S132*Assumptions!$B$26*S7/12</f>
        <v/>
      </c>
      <c r="T133" s="57">
        <f>T132*Assumptions!$B$26*T7/12</f>
        <v/>
      </c>
      <c r="U133" s="57">
        <f>U132*Assumptions!$B$26*U7/12</f>
        <v/>
      </c>
      <c r="V133" s="57">
        <f>V132*Assumptions!$B$26*V7/12</f>
        <v/>
      </c>
      <c r="W133" s="57">
        <f>W132*Assumptions!$B$26*W7/12</f>
        <v/>
      </c>
      <c r="X133" s="57">
        <f>X132*Assumptions!$B$26*X7/12</f>
        <v/>
      </c>
      <c r="Y133" s="57">
        <f>Y132*Assumptions!$B$26*Y7/12</f>
        <v/>
      </c>
      <c r="Z133" s="57">
        <f>Z132*Assumptions!$B$26*Z7/12</f>
        <v/>
      </c>
      <c r="AA133" s="57">
        <f>AA132*Assumptions!$B$26*AA7/12</f>
        <v/>
      </c>
      <c r="AB133" s="57">
        <f>AB132*Assumptions!$B$26*AB7/12</f>
        <v/>
      </c>
      <c r="AC133" s="57">
        <f>AC132*Assumptions!$B$26*AC7/12</f>
        <v/>
      </c>
      <c r="AD133" s="57">
        <f>AD132*Assumptions!$B$26*AD7/12</f>
        <v/>
      </c>
      <c r="AE133" s="57">
        <f>AE132*Assumptions!$B$26*AE7/12</f>
        <v/>
      </c>
    </row>
    <row r="134">
      <c r="A134" s="9" t="inlineStr">
        <is>
          <t>Stream 6 is NOT regional: partners are institutions with their own customer books, not retail customers of a region. It is reported separately rather than allocated, because any allocation would be invented.</t>
        </is>
      </c>
    </row>
    <row r="136">
      <c r="A136" s="46" t="inlineStr">
        <is>
          <t>WHOLE-BOOK TOTALS</t>
        </is>
      </c>
      <c r="B136" s="47" t="n"/>
      <c r="C136" s="47" t="n"/>
      <c r="D136" s="47" t="n"/>
      <c r="E136" s="47" t="n"/>
      <c r="F136" s="47" t="n"/>
      <c r="G136" s="47" t="n"/>
      <c r="H136" s="47" t="n"/>
      <c r="I136" s="47" t="n"/>
      <c r="J136" s="47" t="n"/>
      <c r="K136" s="47" t="n"/>
      <c r="L136" s="47" t="n"/>
      <c r="M136" s="47" t="n"/>
      <c r="N136" s="47" t="n"/>
      <c r="O136" s="47" t="n"/>
      <c r="P136" s="47" t="n"/>
      <c r="Q136" s="47" t="n"/>
      <c r="R136" s="47" t="n"/>
      <c r="S136" s="47" t="n"/>
      <c r="T136" s="47" t="n"/>
      <c r="U136" s="47" t="n"/>
      <c r="V136" s="47" t="n"/>
      <c r="W136" s="47" t="n"/>
      <c r="X136" s="47" t="n"/>
      <c r="Y136" s="47" t="n"/>
      <c r="Z136" s="47" t="n"/>
      <c r="AA136" s="47" t="n"/>
      <c r="AB136" s="47" t="n"/>
      <c r="AC136" s="47" t="n"/>
      <c r="AD136" s="47" t="n"/>
      <c r="AE136" s="47" t="n"/>
    </row>
    <row r="137">
      <c r="A137" s="3" t="inlineStr">
        <is>
          <t>PAYING CUSTOMERS</t>
        </is>
      </c>
      <c r="B137" s="23" t="inlineStr">
        <is>
          <t>-</t>
        </is>
      </c>
      <c r="C137" s="45">
        <f>C29+C65+C101</f>
        <v/>
      </c>
      <c r="D137" s="45">
        <f>D29+D65+D101</f>
        <v/>
      </c>
      <c r="E137" s="45">
        <f>E29+E65+E101</f>
        <v/>
      </c>
      <c r="F137" s="45">
        <f>F29+F65+F101</f>
        <v/>
      </c>
      <c r="G137" s="45">
        <f>G29+G65+G101</f>
        <v/>
      </c>
      <c r="H137" s="45">
        <f>H29+H65+H101</f>
        <v/>
      </c>
      <c r="I137" s="45">
        <f>I29+I65+I101</f>
        <v/>
      </c>
      <c r="J137" s="45">
        <f>J29+J65+J101</f>
        <v/>
      </c>
      <c r="K137" s="45">
        <f>K29+K65+K101</f>
        <v/>
      </c>
      <c r="L137" s="45">
        <f>L29+L65+L101</f>
        <v/>
      </c>
      <c r="M137" s="45">
        <f>M29+M65+M101</f>
        <v/>
      </c>
      <c r="N137" s="45">
        <f>N29+N65+N101</f>
        <v/>
      </c>
      <c r="O137" s="45">
        <f>O29+O65+O101</f>
        <v/>
      </c>
      <c r="P137" s="45">
        <f>P29+P65+P101</f>
        <v/>
      </c>
      <c r="Q137" s="45">
        <f>Q29+Q65+Q101</f>
        <v/>
      </c>
      <c r="R137" s="45">
        <f>R29+R65+R101</f>
        <v/>
      </c>
      <c r="S137" s="45">
        <f>S29+S65+S101</f>
        <v/>
      </c>
      <c r="T137" s="45">
        <f>T29+T65+T101</f>
        <v/>
      </c>
      <c r="U137" s="45">
        <f>U29+U65+U101</f>
        <v/>
      </c>
      <c r="V137" s="45">
        <f>V29+V65+V101</f>
        <v/>
      </c>
      <c r="W137" s="45">
        <f>W29+W65+W101</f>
        <v/>
      </c>
      <c r="X137" s="45">
        <f>X29+X65+X101</f>
        <v/>
      </c>
      <c r="Y137" s="45">
        <f>Y29+Y65+Y101</f>
        <v/>
      </c>
      <c r="Z137" s="45">
        <f>Z29+Z65+Z101</f>
        <v/>
      </c>
      <c r="AA137" s="45">
        <f>AA29+AA65+AA101</f>
        <v/>
      </c>
      <c r="AB137" s="45">
        <f>AB29+AB65+AB101</f>
        <v/>
      </c>
      <c r="AC137" s="45">
        <f>AC29+AC65+AC101</f>
        <v/>
      </c>
      <c r="AD137" s="45">
        <f>AD29+AD65+AD101</f>
        <v/>
      </c>
      <c r="AE137" s="45">
        <f>AE29+AE65+AE101</f>
        <v/>
      </c>
    </row>
    <row r="138">
      <c r="A138" s="3" t="inlineStr">
        <is>
          <t>HOLDERS (stopped paying, still hold gold)</t>
        </is>
      </c>
      <c r="B138" s="23" t="inlineStr">
        <is>
          <t>-</t>
        </is>
      </c>
      <c r="C138" s="45">
        <f>C31+C67+C103</f>
        <v/>
      </c>
      <c r="D138" s="45">
        <f>D31+D67+D103</f>
        <v/>
      </c>
      <c r="E138" s="45">
        <f>E31+E67+E103</f>
        <v/>
      </c>
      <c r="F138" s="45">
        <f>F31+F67+F103</f>
        <v/>
      </c>
      <c r="G138" s="45">
        <f>G31+G67+G103</f>
        <v/>
      </c>
      <c r="H138" s="45">
        <f>H31+H67+H103</f>
        <v/>
      </c>
      <c r="I138" s="45">
        <f>I31+I67+I103</f>
        <v/>
      </c>
      <c r="J138" s="45">
        <f>J31+J67+J103</f>
        <v/>
      </c>
      <c r="K138" s="45">
        <f>K31+K67+K103</f>
        <v/>
      </c>
      <c r="L138" s="45">
        <f>L31+L67+L103</f>
        <v/>
      </c>
      <c r="M138" s="45">
        <f>M31+M67+M103</f>
        <v/>
      </c>
      <c r="N138" s="45">
        <f>N31+N67+N103</f>
        <v/>
      </c>
      <c r="O138" s="45">
        <f>O31+O67+O103</f>
        <v/>
      </c>
      <c r="P138" s="45">
        <f>P31+P67+P103</f>
        <v/>
      </c>
      <c r="Q138" s="45">
        <f>Q31+Q67+Q103</f>
        <v/>
      </c>
      <c r="R138" s="45">
        <f>R31+R67+R103</f>
        <v/>
      </c>
      <c r="S138" s="45">
        <f>S31+S67+S103</f>
        <v/>
      </c>
      <c r="T138" s="45">
        <f>T31+T67+T103</f>
        <v/>
      </c>
      <c r="U138" s="45">
        <f>U31+U67+U103</f>
        <v/>
      </c>
      <c r="V138" s="45">
        <f>V31+V67+V103</f>
        <v/>
      </c>
      <c r="W138" s="45">
        <f>W31+W67+W103</f>
        <v/>
      </c>
      <c r="X138" s="45">
        <f>X31+X67+X103</f>
        <v/>
      </c>
      <c r="Y138" s="45">
        <f>Y31+Y67+Y103</f>
        <v/>
      </c>
      <c r="Z138" s="45">
        <f>Z31+Z67+Z103</f>
        <v/>
      </c>
      <c r="AA138" s="45">
        <f>AA31+AA67+AA103</f>
        <v/>
      </c>
      <c r="AB138" s="45">
        <f>AB31+AB67+AB103</f>
        <v/>
      </c>
      <c r="AC138" s="45">
        <f>AC31+AC67+AC103</f>
        <v/>
      </c>
      <c r="AD138" s="45">
        <f>AD31+AD67+AD103</f>
        <v/>
      </c>
      <c r="AE138" s="45">
        <f>AE31+AE67+AE103</f>
        <v/>
      </c>
    </row>
    <row r="139">
      <c r="A139" s="6" t="inlineStr">
        <is>
          <t>Cumulative ever acquired</t>
        </is>
      </c>
      <c r="B139" s="23" t="inlineStr">
        <is>
          <t>-</t>
        </is>
      </c>
      <c r="C139" s="45">
        <f>C32+C68+C104</f>
        <v/>
      </c>
      <c r="D139" s="45">
        <f>D32+D68+D104</f>
        <v/>
      </c>
      <c r="E139" s="45">
        <f>E32+E68+E104</f>
        <v/>
      </c>
      <c r="F139" s="45">
        <f>F32+F68+F104</f>
        <v/>
      </c>
      <c r="G139" s="45">
        <f>G32+G68+G104</f>
        <v/>
      </c>
      <c r="H139" s="45">
        <f>H32+H68+H104</f>
        <v/>
      </c>
      <c r="I139" s="45">
        <f>I32+I68+I104</f>
        <v/>
      </c>
      <c r="J139" s="45">
        <f>J32+J68+J104</f>
        <v/>
      </c>
      <c r="K139" s="45">
        <f>K32+K68+K104</f>
        <v/>
      </c>
      <c r="L139" s="45">
        <f>L32+L68+L104</f>
        <v/>
      </c>
      <c r="M139" s="45">
        <f>M32+M68+M104</f>
        <v/>
      </c>
      <c r="N139" s="45">
        <f>N32+N68+N104</f>
        <v/>
      </c>
      <c r="O139" s="45">
        <f>O32+O68+O104</f>
        <v/>
      </c>
      <c r="P139" s="45">
        <f>P32+P68+P104</f>
        <v/>
      </c>
      <c r="Q139" s="45">
        <f>Q32+Q68+Q104</f>
        <v/>
      </c>
      <c r="R139" s="45">
        <f>R32+R68+R104</f>
        <v/>
      </c>
      <c r="S139" s="45">
        <f>S32+S68+S104</f>
        <v/>
      </c>
      <c r="T139" s="45">
        <f>T32+T68+T104</f>
        <v/>
      </c>
      <c r="U139" s="45">
        <f>U32+U68+U104</f>
        <v/>
      </c>
      <c r="V139" s="45">
        <f>V32+V68+V104</f>
        <v/>
      </c>
      <c r="W139" s="45">
        <f>W32+W68+W104</f>
        <v/>
      </c>
      <c r="X139" s="45">
        <f>X32+X68+X104</f>
        <v/>
      </c>
      <c r="Y139" s="45">
        <f>Y32+Y68+Y104</f>
        <v/>
      </c>
      <c r="Z139" s="45">
        <f>Z32+Z68+Z104</f>
        <v/>
      </c>
      <c r="AA139" s="45">
        <f>AA32+AA68+AA104</f>
        <v/>
      </c>
      <c r="AB139" s="45">
        <f>AB32+AB68+AB104</f>
        <v/>
      </c>
      <c r="AC139" s="45">
        <f>AC32+AC68+AC104</f>
        <v/>
      </c>
      <c r="AD139" s="45">
        <f>AD32+AD68+AD104</f>
        <v/>
      </c>
      <c r="AE139" s="45">
        <f>AE32+AE68+AE104</f>
        <v/>
      </c>
    </row>
    <row r="140">
      <c r="A140" s="3" t="inlineStr">
        <is>
          <t>NEW CUSTOMERS</t>
        </is>
      </c>
      <c r="B140" s="23" t="inlineStr">
        <is>
          <t>-</t>
        </is>
      </c>
      <c r="C140" s="45">
        <f>C28+C64+C100</f>
        <v/>
      </c>
      <c r="D140" s="45">
        <f>D28+D64+D100</f>
        <v/>
      </c>
      <c r="E140" s="45">
        <f>E28+E64+E100</f>
        <v/>
      </c>
      <c r="F140" s="45">
        <f>F28+F64+F100</f>
        <v/>
      </c>
      <c r="G140" s="45">
        <f>G28+G64+G100</f>
        <v/>
      </c>
      <c r="H140" s="45">
        <f>H28+H64+H100</f>
        <v/>
      </c>
      <c r="I140" s="45">
        <f>I28+I64+I100</f>
        <v/>
      </c>
      <c r="J140" s="45">
        <f>J28+J64+J100</f>
        <v/>
      </c>
      <c r="K140" s="45">
        <f>K28+K64+K100</f>
        <v/>
      </c>
      <c r="L140" s="45">
        <f>L28+L64+L100</f>
        <v/>
      </c>
      <c r="M140" s="45">
        <f>M28+M64+M100</f>
        <v/>
      </c>
      <c r="N140" s="45">
        <f>N28+N64+N100</f>
        <v/>
      </c>
      <c r="O140" s="45">
        <f>O28+O64+O100</f>
        <v/>
      </c>
      <c r="P140" s="45">
        <f>P28+P64+P100</f>
        <v/>
      </c>
      <c r="Q140" s="45">
        <f>Q28+Q64+Q100</f>
        <v/>
      </c>
      <c r="R140" s="45">
        <f>R28+R64+R100</f>
        <v/>
      </c>
      <c r="S140" s="45">
        <f>S28+S64+S100</f>
        <v/>
      </c>
      <c r="T140" s="45">
        <f>T28+T64+T100</f>
        <v/>
      </c>
      <c r="U140" s="45">
        <f>U28+U64+U100</f>
        <v/>
      </c>
      <c r="V140" s="45">
        <f>V28+V64+V100</f>
        <v/>
      </c>
      <c r="W140" s="45">
        <f>W28+W64+W100</f>
        <v/>
      </c>
      <c r="X140" s="45">
        <f>X28+X64+X100</f>
        <v/>
      </c>
      <c r="Y140" s="45">
        <f>Y28+Y64+Y100</f>
        <v/>
      </c>
      <c r="Z140" s="45">
        <f>Z28+Z64+Z100</f>
        <v/>
      </c>
      <c r="AA140" s="45">
        <f>AA28+AA64+AA100</f>
        <v/>
      </c>
      <c r="AB140" s="45">
        <f>AB28+AB64+AB100</f>
        <v/>
      </c>
      <c r="AC140" s="45">
        <f>AC28+AC64+AC100</f>
        <v/>
      </c>
      <c r="AD140" s="45">
        <f>AD28+AD64+AD100</f>
        <v/>
      </c>
      <c r="AE140" s="45">
        <f>AE28+AE64+AE100</f>
        <v/>
      </c>
    </row>
    <row r="141">
      <c r="A141" s="3" t="inlineStr">
        <is>
          <t>ACTIVE CARDS</t>
        </is>
      </c>
      <c r="B141" s="23" t="inlineStr">
        <is>
          <t>-</t>
        </is>
      </c>
      <c r="C141" s="45">
        <f>C41+C77+C113</f>
        <v/>
      </c>
      <c r="D141" s="45">
        <f>D41+D77+D113</f>
        <v/>
      </c>
      <c r="E141" s="45">
        <f>E41+E77+E113</f>
        <v/>
      </c>
      <c r="F141" s="45">
        <f>F41+F77+F113</f>
        <v/>
      </c>
      <c r="G141" s="45">
        <f>G41+G77+G113</f>
        <v/>
      </c>
      <c r="H141" s="45">
        <f>H41+H77+H113</f>
        <v/>
      </c>
      <c r="I141" s="45">
        <f>I41+I77+I113</f>
        <v/>
      </c>
      <c r="J141" s="45">
        <f>J41+J77+J113</f>
        <v/>
      </c>
      <c r="K141" s="45">
        <f>K41+K77+K113</f>
        <v/>
      </c>
      <c r="L141" s="45">
        <f>L41+L77+L113</f>
        <v/>
      </c>
      <c r="M141" s="45">
        <f>M41+M77+M113</f>
        <v/>
      </c>
      <c r="N141" s="45">
        <f>N41+N77+N113</f>
        <v/>
      </c>
      <c r="O141" s="45">
        <f>O41+O77+O113</f>
        <v/>
      </c>
      <c r="P141" s="45">
        <f>P41+P77+P113</f>
        <v/>
      </c>
      <c r="Q141" s="45">
        <f>Q41+Q77+Q113</f>
        <v/>
      </c>
      <c r="R141" s="45">
        <f>R41+R77+R113</f>
        <v/>
      </c>
      <c r="S141" s="45">
        <f>S41+S77+S113</f>
        <v/>
      </c>
      <c r="T141" s="45">
        <f>T41+T77+T113</f>
        <v/>
      </c>
      <c r="U141" s="45">
        <f>U41+U77+U113</f>
        <v/>
      </c>
      <c r="V141" s="45">
        <f>V41+V77+V113</f>
        <v/>
      </c>
      <c r="W141" s="45">
        <f>W41+W77+W113</f>
        <v/>
      </c>
      <c r="X141" s="45">
        <f>X41+X77+X113</f>
        <v/>
      </c>
      <c r="Y141" s="45">
        <f>Y41+Y77+Y113</f>
        <v/>
      </c>
      <c r="Z141" s="45">
        <f>Z41+Z77+Z113</f>
        <v/>
      </c>
      <c r="AA141" s="45">
        <f>AA41+AA77+AA113</f>
        <v/>
      </c>
      <c r="AB141" s="45">
        <f>AB41+AB77+AB113</f>
        <v/>
      </c>
      <c r="AC141" s="45">
        <f>AC41+AC77+AC113</f>
        <v/>
      </c>
      <c r="AD141" s="45">
        <f>AD41+AD77+AD113</f>
        <v/>
      </c>
      <c r="AE141" s="45">
        <f>AE41+AE77+AE113</f>
        <v/>
      </c>
    </row>
    <row r="142">
      <c r="A142" s="6" t="inlineStr">
        <is>
          <t>GRAMS HELD</t>
        </is>
      </c>
      <c r="B142" s="23" t="inlineStr">
        <is>
          <t>-</t>
        </is>
      </c>
      <c r="C142" s="45">
        <f>C37+C73+C109</f>
        <v/>
      </c>
      <c r="D142" s="45">
        <f>D37+D73+D109</f>
        <v/>
      </c>
      <c r="E142" s="45">
        <f>E37+E73+E109</f>
        <v/>
      </c>
      <c r="F142" s="45">
        <f>F37+F73+F109</f>
        <v/>
      </c>
      <c r="G142" s="45">
        <f>G37+G73+G109</f>
        <v/>
      </c>
      <c r="H142" s="45">
        <f>H37+H73+H109</f>
        <v/>
      </c>
      <c r="I142" s="45">
        <f>I37+I73+I109</f>
        <v/>
      </c>
      <c r="J142" s="45">
        <f>J37+J73+J109</f>
        <v/>
      </c>
      <c r="K142" s="45">
        <f>K37+K73+K109</f>
        <v/>
      </c>
      <c r="L142" s="45">
        <f>L37+L73+L109</f>
        <v/>
      </c>
      <c r="M142" s="45">
        <f>M37+M73+M109</f>
        <v/>
      </c>
      <c r="N142" s="45">
        <f>N37+N73+N109</f>
        <v/>
      </c>
      <c r="O142" s="45">
        <f>O37+O73+O109</f>
        <v/>
      </c>
      <c r="P142" s="45">
        <f>P37+P73+P109</f>
        <v/>
      </c>
      <c r="Q142" s="45">
        <f>Q37+Q73+Q109</f>
        <v/>
      </c>
      <c r="R142" s="45">
        <f>R37+R73+R109</f>
        <v/>
      </c>
      <c r="S142" s="45">
        <f>S37+S73+S109</f>
        <v/>
      </c>
      <c r="T142" s="45">
        <f>T37+T73+T109</f>
        <v/>
      </c>
      <c r="U142" s="45">
        <f>U37+U73+U109</f>
        <v/>
      </c>
      <c r="V142" s="45">
        <f>V37+V73+V109</f>
        <v/>
      </c>
      <c r="W142" s="45">
        <f>W37+W73+W109</f>
        <v/>
      </c>
      <c r="X142" s="45">
        <f>X37+X73+X109</f>
        <v/>
      </c>
      <c r="Y142" s="45">
        <f>Y37+Y73+Y109</f>
        <v/>
      </c>
      <c r="Z142" s="45">
        <f>Z37+Z73+Z109</f>
        <v/>
      </c>
      <c r="AA142" s="45">
        <f>AA37+AA73+AA109</f>
        <v/>
      </c>
      <c r="AB142" s="45">
        <f>AB37+AB73+AB109</f>
        <v/>
      </c>
      <c r="AC142" s="45">
        <f>AC37+AC73+AC109</f>
        <v/>
      </c>
      <c r="AD142" s="45">
        <f>AD37+AD73+AD109</f>
        <v/>
      </c>
      <c r="AE142" s="45">
        <f>AE37+AE73+AE109</f>
        <v/>
      </c>
    </row>
    <row r="143">
      <c r="A143" s="6" t="inlineStr">
        <is>
          <t>Grams purchased</t>
        </is>
      </c>
      <c r="B143" s="23" t="inlineStr">
        <is>
          <t>-</t>
        </is>
      </c>
      <c r="C143" s="54">
        <f>C35+C71+C107</f>
        <v/>
      </c>
      <c r="D143" s="54">
        <f>D35+D71+D107</f>
        <v/>
      </c>
      <c r="E143" s="54">
        <f>E35+E71+E107</f>
        <v/>
      </c>
      <c r="F143" s="54">
        <f>F35+F71+F107</f>
        <v/>
      </c>
      <c r="G143" s="54">
        <f>G35+G71+G107</f>
        <v/>
      </c>
      <c r="H143" s="54">
        <f>H35+H71+H107</f>
        <v/>
      </c>
      <c r="I143" s="54">
        <f>I35+I71+I107</f>
        <v/>
      </c>
      <c r="J143" s="54">
        <f>J35+J71+J107</f>
        <v/>
      </c>
      <c r="K143" s="54">
        <f>K35+K71+K107</f>
        <v/>
      </c>
      <c r="L143" s="54">
        <f>L35+L71+L107</f>
        <v/>
      </c>
      <c r="M143" s="54">
        <f>M35+M71+M107</f>
        <v/>
      </c>
      <c r="N143" s="54">
        <f>N35+N71+N107</f>
        <v/>
      </c>
      <c r="O143" s="54">
        <f>O35+O71+O107</f>
        <v/>
      </c>
      <c r="P143" s="54">
        <f>P35+P71+P107</f>
        <v/>
      </c>
      <c r="Q143" s="54">
        <f>Q35+Q71+Q107</f>
        <v/>
      </c>
      <c r="R143" s="54">
        <f>R35+R71+R107</f>
        <v/>
      </c>
      <c r="S143" s="54">
        <f>S35+S71+S107</f>
        <v/>
      </c>
      <c r="T143" s="54">
        <f>T35+T71+T107</f>
        <v/>
      </c>
      <c r="U143" s="54">
        <f>U35+U71+U107</f>
        <v/>
      </c>
      <c r="V143" s="54">
        <f>V35+V71+V107</f>
        <v/>
      </c>
      <c r="W143" s="54">
        <f>W35+W71+W107</f>
        <v/>
      </c>
      <c r="X143" s="54">
        <f>X35+X71+X107</f>
        <v/>
      </c>
      <c r="Y143" s="54">
        <f>Y35+Y71+Y107</f>
        <v/>
      </c>
      <c r="Z143" s="54">
        <f>Z35+Z71+Z107</f>
        <v/>
      </c>
      <c r="AA143" s="54">
        <f>AA35+AA71+AA107</f>
        <v/>
      </c>
      <c r="AB143" s="54">
        <f>AB35+AB71+AB107</f>
        <v/>
      </c>
      <c r="AC143" s="54">
        <f>AC35+AC71+AC107</f>
        <v/>
      </c>
      <c r="AD143" s="54">
        <f>AD35+AD71+AD107</f>
        <v/>
      </c>
      <c r="AE143" s="54">
        <f>AE35+AE71+AE107</f>
        <v/>
      </c>
    </row>
    <row r="144">
      <c r="A144" s="3" t="inlineStr">
        <is>
          <t>COLLATERAL-ELIGIBLE AUM</t>
        </is>
      </c>
      <c r="B144" s="23" t="inlineStr">
        <is>
          <t>-</t>
        </is>
      </c>
      <c r="C144" s="55">
        <f>C38+C74+C110</f>
        <v/>
      </c>
      <c r="D144" s="55">
        <f>D38+D74+D110</f>
        <v/>
      </c>
      <c r="E144" s="55">
        <f>E38+E74+E110</f>
        <v/>
      </c>
      <c r="F144" s="55">
        <f>F38+F74+F110</f>
        <v/>
      </c>
      <c r="G144" s="55">
        <f>G38+G74+G110</f>
        <v/>
      </c>
      <c r="H144" s="55">
        <f>H38+H74+H110</f>
        <v/>
      </c>
      <c r="I144" s="55">
        <f>I38+I74+I110</f>
        <v/>
      </c>
      <c r="J144" s="55">
        <f>J38+J74+J110</f>
        <v/>
      </c>
      <c r="K144" s="55">
        <f>K38+K74+K110</f>
        <v/>
      </c>
      <c r="L144" s="55">
        <f>L38+L74+L110</f>
        <v/>
      </c>
      <c r="M144" s="55">
        <f>M38+M74+M110</f>
        <v/>
      </c>
      <c r="N144" s="55">
        <f>N38+N74+N110</f>
        <v/>
      </c>
      <c r="O144" s="55">
        <f>O38+O74+O110</f>
        <v/>
      </c>
      <c r="P144" s="55">
        <f>P38+P74+P110</f>
        <v/>
      </c>
      <c r="Q144" s="55">
        <f>Q38+Q74+Q110</f>
        <v/>
      </c>
      <c r="R144" s="55">
        <f>R38+R74+R110</f>
        <v/>
      </c>
      <c r="S144" s="55">
        <f>S38+S74+S110</f>
        <v/>
      </c>
      <c r="T144" s="55">
        <f>T38+T74+T110</f>
        <v/>
      </c>
      <c r="U144" s="55">
        <f>U38+U74+U110</f>
        <v/>
      </c>
      <c r="V144" s="55">
        <f>V38+V74+V110</f>
        <v/>
      </c>
      <c r="W144" s="55">
        <f>W38+W74+W110</f>
        <v/>
      </c>
      <c r="X144" s="55">
        <f>X38+X74+X110</f>
        <v/>
      </c>
      <c r="Y144" s="55">
        <f>Y38+Y74+Y110</f>
        <v/>
      </c>
      <c r="Z144" s="55">
        <f>Z38+Z74+Z110</f>
        <v/>
      </c>
      <c r="AA144" s="55">
        <f>AA38+AA74+AA110</f>
        <v/>
      </c>
      <c r="AB144" s="55">
        <f>AB38+AB74+AB110</f>
        <v/>
      </c>
      <c r="AC144" s="55">
        <f>AC38+AC74+AC110</f>
        <v/>
      </c>
      <c r="AD144" s="55">
        <f>AD38+AD74+AD110</f>
        <v/>
      </c>
      <c r="AE144" s="55">
        <f>AE38+AE74+AE110</f>
        <v/>
      </c>
    </row>
    <row r="145">
      <c r="A145" s="6" t="inlineStr">
        <is>
          <t>Cleared the six-payment gate</t>
        </is>
      </c>
      <c r="B145" s="23" t="inlineStr">
        <is>
          <t>-</t>
        </is>
      </c>
      <c r="C145" s="45">
        <f>C40+C76+C112</f>
        <v/>
      </c>
      <c r="D145" s="45">
        <f>D40+D76+D112</f>
        <v/>
      </c>
      <c r="E145" s="45">
        <f>E40+E76+E112</f>
        <v/>
      </c>
      <c r="F145" s="45">
        <f>F40+F76+F112</f>
        <v/>
      </c>
      <c r="G145" s="45">
        <f>G40+G76+G112</f>
        <v/>
      </c>
      <c r="H145" s="45">
        <f>H40+H76+H112</f>
        <v/>
      </c>
      <c r="I145" s="45">
        <f>I40+I76+I112</f>
        <v/>
      </c>
      <c r="J145" s="45">
        <f>J40+J76+J112</f>
        <v/>
      </c>
      <c r="K145" s="45">
        <f>K40+K76+K112</f>
        <v/>
      </c>
      <c r="L145" s="45">
        <f>L40+L76+L112</f>
        <v/>
      </c>
      <c r="M145" s="45">
        <f>M40+M76+M112</f>
        <v/>
      </c>
      <c r="N145" s="45">
        <f>N40+N76+N112</f>
        <v/>
      </c>
      <c r="O145" s="45">
        <f>O40+O76+O112</f>
        <v/>
      </c>
      <c r="P145" s="45">
        <f>P40+P76+P112</f>
        <v/>
      </c>
      <c r="Q145" s="45">
        <f>Q40+Q76+Q112</f>
        <v/>
      </c>
      <c r="R145" s="45">
        <f>R40+R76+R112</f>
        <v/>
      </c>
      <c r="S145" s="45">
        <f>S40+S76+S112</f>
        <v/>
      </c>
      <c r="T145" s="45">
        <f>T40+T76+T112</f>
        <v/>
      </c>
      <c r="U145" s="45">
        <f>U40+U76+U112</f>
        <v/>
      </c>
      <c r="V145" s="45">
        <f>V40+V76+V112</f>
        <v/>
      </c>
      <c r="W145" s="45">
        <f>W40+W76+W112</f>
        <v/>
      </c>
      <c r="X145" s="45">
        <f>X40+X76+X112</f>
        <v/>
      </c>
      <c r="Y145" s="45">
        <f>Y40+Y76+Y112</f>
        <v/>
      </c>
      <c r="Z145" s="45">
        <f>Z40+Z76+Z112</f>
        <v/>
      </c>
      <c r="AA145" s="45">
        <f>AA40+AA76+AA112</f>
        <v/>
      </c>
      <c r="AB145" s="45">
        <f>AB40+AB76+AB112</f>
        <v/>
      </c>
      <c r="AC145" s="45">
        <f>AC40+AC76+AC112</f>
        <v/>
      </c>
      <c r="AD145" s="45">
        <f>AD40+AD76+AD112</f>
        <v/>
      </c>
      <c r="AE145" s="45">
        <f>AE40+AE76+AE112</f>
        <v/>
      </c>
    </row>
    <row r="146">
      <c r="A146" s="6" t="inlineStr">
        <is>
          <t>SIP contributions</t>
        </is>
      </c>
      <c r="B146" s="23" t="inlineStr">
        <is>
          <t>-</t>
        </is>
      </c>
      <c r="C146" s="55">
        <f>C33+C69+C105</f>
        <v/>
      </c>
      <c r="D146" s="55">
        <f>D33+D69+D105</f>
        <v/>
      </c>
      <c r="E146" s="55">
        <f>E33+E69+E105</f>
        <v/>
      </c>
      <c r="F146" s="55">
        <f>F33+F69+F105</f>
        <v/>
      </c>
      <c r="G146" s="55">
        <f>G33+G69+G105</f>
        <v/>
      </c>
      <c r="H146" s="55">
        <f>H33+H69+H105</f>
        <v/>
      </c>
      <c r="I146" s="55">
        <f>I33+I69+I105</f>
        <v/>
      </c>
      <c r="J146" s="55">
        <f>J33+J69+J105</f>
        <v/>
      </c>
      <c r="K146" s="55">
        <f>K33+K69+K105</f>
        <v/>
      </c>
      <c r="L146" s="55">
        <f>L33+L69+L105</f>
        <v/>
      </c>
      <c r="M146" s="55">
        <f>M33+M69+M105</f>
        <v/>
      </c>
      <c r="N146" s="55">
        <f>N33+N69+N105</f>
        <v/>
      </c>
      <c r="O146" s="55">
        <f>O33+O69+O105</f>
        <v/>
      </c>
      <c r="P146" s="55">
        <f>P33+P69+P105</f>
        <v/>
      </c>
      <c r="Q146" s="55">
        <f>Q33+Q69+Q105</f>
        <v/>
      </c>
      <c r="R146" s="55">
        <f>R33+R69+R105</f>
        <v/>
      </c>
      <c r="S146" s="55">
        <f>S33+S69+S105</f>
        <v/>
      </c>
      <c r="T146" s="55">
        <f>T33+T69+T105</f>
        <v/>
      </c>
      <c r="U146" s="55">
        <f>U33+U69+U105</f>
        <v/>
      </c>
      <c r="V146" s="55">
        <f>V33+V69+V105</f>
        <v/>
      </c>
      <c r="W146" s="55">
        <f>W33+W69+W105</f>
        <v/>
      </c>
      <c r="X146" s="55">
        <f>X33+X69+X105</f>
        <v/>
      </c>
      <c r="Y146" s="55">
        <f>Y33+Y69+Y105</f>
        <v/>
      </c>
      <c r="Z146" s="55">
        <f>Z33+Z69+Z105</f>
        <v/>
      </c>
      <c r="AA146" s="55">
        <f>AA33+AA69+AA105</f>
        <v/>
      </c>
      <c r="AB146" s="55">
        <f>AB33+AB69+AB105</f>
        <v/>
      </c>
      <c r="AC146" s="55">
        <f>AC33+AC69+AC105</f>
        <v/>
      </c>
      <c r="AD146" s="55">
        <f>AD33+AD69+AD105</f>
        <v/>
      </c>
      <c r="AE146" s="55">
        <f>AE33+AE69+AE105</f>
        <v/>
      </c>
    </row>
    <row r="147">
      <c r="A147" s="6" t="inlineStr">
        <is>
          <t>Spot purchase volume</t>
        </is>
      </c>
      <c r="B147" s="23" t="inlineStr">
        <is>
          <t>-</t>
        </is>
      </c>
      <c r="C147" s="55">
        <f>C34+C70+C106</f>
        <v/>
      </c>
      <c r="D147" s="55">
        <f>D34+D70+D106</f>
        <v/>
      </c>
      <c r="E147" s="55">
        <f>E34+E70+E106</f>
        <v/>
      </c>
      <c r="F147" s="55">
        <f>F34+F70+F106</f>
        <v/>
      </c>
      <c r="G147" s="55">
        <f>G34+G70+G106</f>
        <v/>
      </c>
      <c r="H147" s="55">
        <f>H34+H70+H106</f>
        <v/>
      </c>
      <c r="I147" s="55">
        <f>I34+I70+I106</f>
        <v/>
      </c>
      <c r="J147" s="55">
        <f>J34+J70+J106</f>
        <v/>
      </c>
      <c r="K147" s="55">
        <f>K34+K70+K106</f>
        <v/>
      </c>
      <c r="L147" s="55">
        <f>L34+L70+L106</f>
        <v/>
      </c>
      <c r="M147" s="55">
        <f>M34+M70+M106</f>
        <v/>
      </c>
      <c r="N147" s="55">
        <f>N34+N70+N106</f>
        <v/>
      </c>
      <c r="O147" s="55">
        <f>O34+O70+O106</f>
        <v/>
      </c>
      <c r="P147" s="55">
        <f>P34+P70+P106</f>
        <v/>
      </c>
      <c r="Q147" s="55">
        <f>Q34+Q70+Q106</f>
        <v/>
      </c>
      <c r="R147" s="55">
        <f>R34+R70+R106</f>
        <v/>
      </c>
      <c r="S147" s="55">
        <f>S34+S70+S106</f>
        <v/>
      </c>
      <c r="T147" s="55">
        <f>T34+T70+T106</f>
        <v/>
      </c>
      <c r="U147" s="55">
        <f>U34+U70+U106</f>
        <v/>
      </c>
      <c r="V147" s="55">
        <f>V34+V70+V106</f>
        <v/>
      </c>
      <c r="W147" s="55">
        <f>W34+W70+W106</f>
        <v/>
      </c>
      <c r="X147" s="55">
        <f>X34+X70+X106</f>
        <v/>
      </c>
      <c r="Y147" s="55">
        <f>Y34+Y70+Y106</f>
        <v/>
      </c>
      <c r="Z147" s="55">
        <f>Z34+Z70+Z106</f>
        <v/>
      </c>
      <c r="AA147" s="55">
        <f>AA34+AA70+AA106</f>
        <v/>
      </c>
      <c r="AB147" s="55">
        <f>AB34+AB70+AB106</f>
        <v/>
      </c>
      <c r="AC147" s="55">
        <f>AC34+AC70+AC106</f>
        <v/>
      </c>
      <c r="AD147" s="55">
        <f>AD34+AD70+AD106</f>
        <v/>
      </c>
      <c r="AE147" s="55">
        <f>AE34+AE70+AE106</f>
        <v/>
      </c>
    </row>
    <row r="148">
      <c r="A148" s="6" t="inlineStr">
        <is>
          <t>Card spend</t>
        </is>
      </c>
      <c r="B148" s="23" t="inlineStr">
        <is>
          <t>-</t>
        </is>
      </c>
      <c r="C148" s="55">
        <f>C46+C82+C118</f>
        <v/>
      </c>
      <c r="D148" s="55">
        <f>D46+D82+D118</f>
        <v/>
      </c>
      <c r="E148" s="55">
        <f>E46+E82+E118</f>
        <v/>
      </c>
      <c r="F148" s="55">
        <f>F46+F82+F118</f>
        <v/>
      </c>
      <c r="G148" s="55">
        <f>G46+G82+G118</f>
        <v/>
      </c>
      <c r="H148" s="55">
        <f>H46+H82+H118</f>
        <v/>
      </c>
      <c r="I148" s="55">
        <f>I46+I82+I118</f>
        <v/>
      </c>
      <c r="J148" s="55">
        <f>J46+J82+J118</f>
        <v/>
      </c>
      <c r="K148" s="55">
        <f>K46+K82+K118</f>
        <v/>
      </c>
      <c r="L148" s="55">
        <f>L46+L82+L118</f>
        <v/>
      </c>
      <c r="M148" s="55">
        <f>M46+M82+M118</f>
        <v/>
      </c>
      <c r="N148" s="55">
        <f>N46+N82+N118</f>
        <v/>
      </c>
      <c r="O148" s="55">
        <f>O46+O82+O118</f>
        <v/>
      </c>
      <c r="P148" s="55">
        <f>P46+P82+P118</f>
        <v/>
      </c>
      <c r="Q148" s="55">
        <f>Q46+Q82+Q118</f>
        <v/>
      </c>
      <c r="R148" s="55">
        <f>R46+R82+R118</f>
        <v/>
      </c>
      <c r="S148" s="55">
        <f>S46+S82+S118</f>
        <v/>
      </c>
      <c r="T148" s="55">
        <f>T46+T82+T118</f>
        <v/>
      </c>
      <c r="U148" s="55">
        <f>U46+U82+U118</f>
        <v/>
      </c>
      <c r="V148" s="55">
        <f>V46+V82+V118</f>
        <v/>
      </c>
      <c r="W148" s="55">
        <f>W46+W82+W118</f>
        <v/>
      </c>
      <c r="X148" s="55">
        <f>X46+X82+X118</f>
        <v/>
      </c>
      <c r="Y148" s="55">
        <f>Y46+Y82+Y118</f>
        <v/>
      </c>
      <c r="Z148" s="55">
        <f>Z46+Z82+Z118</f>
        <v/>
      </c>
      <c r="AA148" s="55">
        <f>AA46+AA82+AA118</f>
        <v/>
      </c>
      <c r="AB148" s="55">
        <f>AB46+AB82+AB118</f>
        <v/>
      </c>
      <c r="AC148" s="55">
        <f>AC46+AC82+AC118</f>
        <v/>
      </c>
      <c r="AD148" s="55">
        <f>AD46+AD82+AD118</f>
        <v/>
      </c>
      <c r="AE148" s="55">
        <f>AE46+AE82+AE118</f>
        <v/>
      </c>
    </row>
    <row r="149">
      <c r="A149" s="6" t="inlineStr">
        <is>
          <t>CHECK: paying + holders = cumulative ever acquired</t>
        </is>
      </c>
      <c r="B149" s="23" t="inlineStr">
        <is>
          <t>delta</t>
        </is>
      </c>
      <c r="C149" s="59">
        <f>C137+C138-C139</f>
        <v/>
      </c>
      <c r="D149" s="59">
        <f>D137+D138-D139</f>
        <v/>
      </c>
      <c r="E149" s="59">
        <f>E137+E138-E139</f>
        <v/>
      </c>
      <c r="F149" s="59">
        <f>F137+F138-F139</f>
        <v/>
      </c>
      <c r="G149" s="59">
        <f>G137+G138-G139</f>
        <v/>
      </c>
      <c r="H149" s="59">
        <f>H137+H138-H139</f>
        <v/>
      </c>
      <c r="I149" s="59">
        <f>I137+I138-I139</f>
        <v/>
      </c>
      <c r="J149" s="59">
        <f>J137+J138-J139</f>
        <v/>
      </c>
      <c r="K149" s="59">
        <f>K137+K138-K139</f>
        <v/>
      </c>
      <c r="L149" s="59">
        <f>L137+L138-L139</f>
        <v/>
      </c>
      <c r="M149" s="59">
        <f>M137+M138-M139</f>
        <v/>
      </c>
      <c r="N149" s="59">
        <f>N137+N138-N139</f>
        <v/>
      </c>
      <c r="O149" s="59">
        <f>O137+O138-O139</f>
        <v/>
      </c>
      <c r="P149" s="59">
        <f>P137+P138-P139</f>
        <v/>
      </c>
      <c r="Q149" s="59">
        <f>Q137+Q138-Q139</f>
        <v/>
      </c>
      <c r="R149" s="59">
        <f>R137+R138-R139</f>
        <v/>
      </c>
      <c r="S149" s="59">
        <f>S137+S138-S139</f>
        <v/>
      </c>
      <c r="T149" s="59">
        <f>T137+T138-T139</f>
        <v/>
      </c>
      <c r="U149" s="59">
        <f>U137+U138-U139</f>
        <v/>
      </c>
      <c r="V149" s="59">
        <f>V137+V138-V139</f>
        <v/>
      </c>
      <c r="W149" s="59">
        <f>W137+W138-W139</f>
        <v/>
      </c>
      <c r="X149" s="59">
        <f>X137+X138-X139</f>
        <v/>
      </c>
      <c r="Y149" s="59">
        <f>Y137+Y138-Y139</f>
        <v/>
      </c>
      <c r="Z149" s="59">
        <f>Z137+Z138-Z139</f>
        <v/>
      </c>
      <c r="AA149" s="59">
        <f>AA137+AA138-AA139</f>
        <v/>
      </c>
      <c r="AB149" s="59">
        <f>AB137+AB138-AB139</f>
        <v/>
      </c>
      <c r="AC149" s="59">
        <f>AC137+AC138-AC139</f>
        <v/>
      </c>
      <c r="AD149" s="59">
        <f>AD137+AD138-AD139</f>
        <v/>
      </c>
      <c r="AE149" s="59">
        <f>AE137+AE138-AE139</f>
        <v/>
      </c>
    </row>
    <row r="150">
      <c r="A150" s="6" t="inlineStr">
        <is>
          <t xml:space="preserve">  Collateral-eligible AUM per paying customer (memo)</t>
        </is>
      </c>
      <c r="B150" s="23" t="inlineStr">
        <is>
          <t>USD</t>
        </is>
      </c>
      <c r="C150" s="55">
        <f>IF(C137=0,0,C144/C137)</f>
        <v/>
      </c>
      <c r="D150" s="55">
        <f>IF(D137=0,0,D144/D137)</f>
        <v/>
      </c>
      <c r="E150" s="55">
        <f>IF(E137=0,0,E144/E137)</f>
        <v/>
      </c>
      <c r="F150" s="55">
        <f>IF(F137=0,0,F144/F137)</f>
        <v/>
      </c>
      <c r="G150" s="55">
        <f>IF(G137=0,0,G144/G137)</f>
        <v/>
      </c>
      <c r="H150" s="55">
        <f>IF(H137=0,0,H144/H137)</f>
        <v/>
      </c>
      <c r="I150" s="55">
        <f>IF(I137=0,0,I144/I137)</f>
        <v/>
      </c>
      <c r="J150" s="55">
        <f>IF(J137=0,0,J144/J137)</f>
        <v/>
      </c>
      <c r="K150" s="55">
        <f>IF(K137=0,0,K144/K137)</f>
        <v/>
      </c>
      <c r="L150" s="55">
        <f>IF(L137=0,0,L144/L137)</f>
        <v/>
      </c>
      <c r="M150" s="55">
        <f>IF(M137=0,0,M144/M137)</f>
        <v/>
      </c>
      <c r="N150" s="55">
        <f>IF(N137=0,0,N144/N137)</f>
        <v/>
      </c>
      <c r="O150" s="55">
        <f>IF(O137=0,0,O144/O137)</f>
        <v/>
      </c>
      <c r="P150" s="55">
        <f>IF(P137=0,0,P144/P137)</f>
        <v/>
      </c>
      <c r="Q150" s="55">
        <f>IF(Q137=0,0,Q144/Q137)</f>
        <v/>
      </c>
      <c r="R150" s="55">
        <f>IF(R137=0,0,R144/R137)</f>
        <v/>
      </c>
      <c r="S150" s="55">
        <f>IF(S137=0,0,S144/S137)</f>
        <v/>
      </c>
      <c r="T150" s="55">
        <f>IF(T137=0,0,T144/T137)</f>
        <v/>
      </c>
      <c r="U150" s="55">
        <f>IF(U137=0,0,U144/U137)</f>
        <v/>
      </c>
      <c r="V150" s="55">
        <f>IF(V137=0,0,V144/V137)</f>
        <v/>
      </c>
      <c r="W150" s="55">
        <f>IF(W137=0,0,W144/W137)</f>
        <v/>
      </c>
      <c r="X150" s="55">
        <f>IF(X137=0,0,X144/X137)</f>
        <v/>
      </c>
      <c r="Y150" s="55">
        <f>IF(Y137=0,0,Y144/Y137)</f>
        <v/>
      </c>
      <c r="Z150" s="55">
        <f>IF(Z137=0,0,Z144/Z137)</f>
        <v/>
      </c>
      <c r="AA150" s="55">
        <f>IF(AA137=0,0,AA144/AA137)</f>
        <v/>
      </c>
      <c r="AB150" s="55">
        <f>IF(AB137=0,0,AB144/AB137)</f>
        <v/>
      </c>
      <c r="AC150" s="55">
        <f>IF(AC137=0,0,AC144/AC137)</f>
        <v/>
      </c>
      <c r="AD150" s="55">
        <f>IF(AD137=0,0,AD144/AD137)</f>
        <v/>
      </c>
      <c r="AE150" s="55">
        <f>IF(AE137=0,0,AE144/AE137)</f>
        <v/>
      </c>
    </row>
    <row r="151">
      <c r="A151" s="6" t="inlineStr">
        <is>
          <t xml:space="preserve">  Total credit capacity across cardholders (memo)</t>
        </is>
      </c>
      <c r="B151" s="23" t="inlineStr">
        <is>
          <t>USD</t>
        </is>
      </c>
      <c r="C151" s="55">
        <f>C41*C42+C77*C78+C113*C114</f>
        <v/>
      </c>
      <c r="D151" s="55">
        <f>D41*D42+D77*D78+D113*D114</f>
        <v/>
      </c>
      <c r="E151" s="55">
        <f>E41*E42+E77*E78+E113*E114</f>
        <v/>
      </c>
      <c r="F151" s="55">
        <f>F41*F42+F77*F78+F113*F114</f>
        <v/>
      </c>
      <c r="G151" s="55">
        <f>G41*G42+G77*G78+G113*G114</f>
        <v/>
      </c>
      <c r="H151" s="55">
        <f>H41*H42+H77*H78+H113*H114</f>
        <v/>
      </c>
      <c r="I151" s="55">
        <f>I41*I42+I77*I78+I113*I114</f>
        <v/>
      </c>
      <c r="J151" s="55">
        <f>J41*J42+J77*J78+J113*J114</f>
        <v/>
      </c>
      <c r="K151" s="55">
        <f>K41*K42+K77*K78+K113*K114</f>
        <v/>
      </c>
      <c r="L151" s="55">
        <f>L41*L42+L77*L78+L113*L114</f>
        <v/>
      </c>
      <c r="M151" s="55">
        <f>M41*M42+M77*M78+M113*M114</f>
        <v/>
      </c>
      <c r="N151" s="55">
        <f>N41*N42+N77*N78+N113*N114</f>
        <v/>
      </c>
      <c r="O151" s="55">
        <f>O41*O42+O77*O78+O113*O114</f>
        <v/>
      </c>
      <c r="P151" s="55">
        <f>P41*P42+P77*P78+P113*P114</f>
        <v/>
      </c>
      <c r="Q151" s="55">
        <f>Q41*Q42+Q77*Q78+Q113*Q114</f>
        <v/>
      </c>
      <c r="R151" s="55">
        <f>R41*R42+R77*R78+R113*R114</f>
        <v/>
      </c>
      <c r="S151" s="55">
        <f>S41*S42+S77*S78+S113*S114</f>
        <v/>
      </c>
      <c r="T151" s="55">
        <f>T41*T42+T77*T78+T113*T114</f>
        <v/>
      </c>
      <c r="U151" s="55">
        <f>U41*U42+U77*U78+U113*U114</f>
        <v/>
      </c>
      <c r="V151" s="55">
        <f>V41*V42+V77*V78+V113*V114</f>
        <v/>
      </c>
      <c r="W151" s="55">
        <f>W41*W42+W77*W78+W113*W114</f>
        <v/>
      </c>
      <c r="X151" s="55">
        <f>X41*X42+X77*X78+X113*X114</f>
        <v/>
      </c>
      <c r="Y151" s="55">
        <f>Y41*Y42+Y77*Y78+Y113*Y114</f>
        <v/>
      </c>
      <c r="Z151" s="55">
        <f>Z41*Z42+Z77*Z78+Z113*Z114</f>
        <v/>
      </c>
      <c r="AA151" s="55">
        <f>AA41*AA42+AA77*AA78+AA113*AA114</f>
        <v/>
      </c>
      <c r="AB151" s="55">
        <f>AB41*AB42+AB77*AB78+AB113*AB114</f>
        <v/>
      </c>
      <c r="AC151" s="55">
        <f>AC41*AC42+AC77*AC78+AC113*AC114</f>
        <v/>
      </c>
      <c r="AD151" s="55">
        <f>AD41*AD42+AD77*AD78+AD113*AD114</f>
        <v/>
      </c>
      <c r="AE151" s="55">
        <f>AE41*AE42+AE77*AE78+AE113*AE114</f>
        <v/>
      </c>
    </row>
    <row r="152">
      <c r="A152" s="6" t="inlineStr">
        <is>
          <t xml:space="preserve">  CHECK: card spend vs credit capacity (must be &lt;= 1.00)</t>
        </is>
      </c>
      <c r="B152" s="23" t="inlineStr">
        <is>
          <t>x</t>
        </is>
      </c>
      <c r="C152" s="60">
        <f>IF(C151=0,0,((C46+C82+C118)/C7)/C151)</f>
        <v/>
      </c>
      <c r="D152" s="60">
        <f>IF(D151=0,0,((D46+D82+D118)/D7)/D151)</f>
        <v/>
      </c>
      <c r="E152" s="60">
        <f>IF(E151=0,0,((E46+E82+E118)/E7)/E151)</f>
        <v/>
      </c>
      <c r="F152" s="60">
        <f>IF(F151=0,0,((F46+F82+F118)/F7)/F151)</f>
        <v/>
      </c>
      <c r="G152" s="60">
        <f>IF(G151=0,0,((G46+G82+G118)/G7)/G151)</f>
        <v/>
      </c>
      <c r="H152" s="60">
        <f>IF(H151=0,0,((H46+H82+H118)/H7)/H151)</f>
        <v/>
      </c>
      <c r="I152" s="60">
        <f>IF(I151=0,0,((I46+I82+I118)/I7)/I151)</f>
        <v/>
      </c>
      <c r="J152" s="60">
        <f>IF(J151=0,0,((J46+J82+J118)/J7)/J151)</f>
        <v/>
      </c>
      <c r="K152" s="60">
        <f>IF(K151=0,0,((K46+K82+K118)/K7)/K151)</f>
        <v/>
      </c>
      <c r="L152" s="60">
        <f>IF(L151=0,0,((L46+L82+L118)/L7)/L151)</f>
        <v/>
      </c>
      <c r="M152" s="60">
        <f>IF(M151=0,0,((M46+M82+M118)/M7)/M151)</f>
        <v/>
      </c>
      <c r="N152" s="60">
        <f>IF(N151=0,0,((N46+N82+N118)/N7)/N151)</f>
        <v/>
      </c>
      <c r="O152" s="60">
        <f>IF(O151=0,0,((O46+O82+O118)/O7)/O151)</f>
        <v/>
      </c>
      <c r="P152" s="60">
        <f>IF(P151=0,0,((P46+P82+P118)/P7)/P151)</f>
        <v/>
      </c>
      <c r="Q152" s="60">
        <f>IF(Q151=0,0,((Q46+Q82+Q118)/Q7)/Q151)</f>
        <v/>
      </c>
      <c r="R152" s="60">
        <f>IF(R151=0,0,((R46+R82+R118)/R7)/R151)</f>
        <v/>
      </c>
      <c r="S152" s="60">
        <f>IF(S151=0,0,((S46+S82+S118)/S7)/S151)</f>
        <v/>
      </c>
      <c r="T152" s="60">
        <f>IF(T151=0,0,((T46+T82+T118)/T7)/T151)</f>
        <v/>
      </c>
      <c r="U152" s="60">
        <f>IF(U151=0,0,((U46+U82+U118)/U7)/U151)</f>
        <v/>
      </c>
      <c r="V152" s="60">
        <f>IF(V151=0,0,((V46+V82+V118)/V7)/V151)</f>
        <v/>
      </c>
      <c r="W152" s="60">
        <f>IF(W151=0,0,((W46+W82+W118)/W7)/W151)</f>
        <v/>
      </c>
      <c r="X152" s="60">
        <f>IF(X151=0,0,((X46+X82+X118)/X7)/X151)</f>
        <v/>
      </c>
      <c r="Y152" s="60">
        <f>IF(Y151=0,0,((Y46+Y82+Y118)/Y7)/Y151)</f>
        <v/>
      </c>
      <c r="Z152" s="60">
        <f>IF(Z151=0,0,((Z46+Z82+Z118)/Z7)/Z151)</f>
        <v/>
      </c>
      <c r="AA152" s="60">
        <f>IF(AA151=0,0,((AA46+AA82+AA118)/AA7)/AA151)</f>
        <v/>
      </c>
      <c r="AB152" s="60">
        <f>IF(AB151=0,0,((AB46+AB82+AB118)/AB7)/AB151)</f>
        <v/>
      </c>
      <c r="AC152" s="60">
        <f>IF(AC151=0,0,((AC46+AC82+AC118)/AC7)/AC151)</f>
        <v/>
      </c>
      <c r="AD152" s="60">
        <f>IF(AD151=0,0,((AD46+AD82+AD118)/AD7)/AD151)</f>
        <v/>
      </c>
      <c r="AE152" s="60">
        <f>IF(AE151=0,0,((AE46+AE82+AE118)/AE7)/AE151)</f>
        <v/>
      </c>
    </row>
    <row r="154">
      <c r="A154" s="6" t="inlineStr">
        <is>
          <t>Stream 1a - Entry fee, SIP</t>
        </is>
      </c>
      <c r="B154" s="23" t="inlineStr">
        <is>
          <t>USD</t>
        </is>
      </c>
      <c r="C154" s="55">
        <f>C49+C85+C121</f>
        <v/>
      </c>
      <c r="D154" s="55">
        <f>D49+D85+D121</f>
        <v/>
      </c>
      <c r="E154" s="55">
        <f>E49+E85+E121</f>
        <v/>
      </c>
      <c r="F154" s="55">
        <f>F49+F85+F121</f>
        <v/>
      </c>
      <c r="G154" s="55">
        <f>G49+G85+G121</f>
        <v/>
      </c>
      <c r="H154" s="55">
        <f>H49+H85+H121</f>
        <v/>
      </c>
      <c r="I154" s="55">
        <f>I49+I85+I121</f>
        <v/>
      </c>
      <c r="J154" s="55">
        <f>J49+J85+J121</f>
        <v/>
      </c>
      <c r="K154" s="55">
        <f>K49+K85+K121</f>
        <v/>
      </c>
      <c r="L154" s="55">
        <f>L49+L85+L121</f>
        <v/>
      </c>
      <c r="M154" s="55">
        <f>M49+M85+M121</f>
        <v/>
      </c>
      <c r="N154" s="55">
        <f>N49+N85+N121</f>
        <v/>
      </c>
      <c r="O154" s="55">
        <f>O49+O85+O121</f>
        <v/>
      </c>
      <c r="P154" s="55">
        <f>P49+P85+P121</f>
        <v/>
      </c>
      <c r="Q154" s="55">
        <f>Q49+Q85+Q121</f>
        <v/>
      </c>
      <c r="R154" s="55">
        <f>R49+R85+R121</f>
        <v/>
      </c>
      <c r="S154" s="55">
        <f>S49+S85+S121</f>
        <v/>
      </c>
      <c r="T154" s="55">
        <f>T49+T85+T121</f>
        <v/>
      </c>
      <c r="U154" s="55">
        <f>U49+U85+U121</f>
        <v/>
      </c>
      <c r="V154" s="55">
        <f>V49+V85+V121</f>
        <v/>
      </c>
      <c r="W154" s="55">
        <f>W49+W85+W121</f>
        <v/>
      </c>
      <c r="X154" s="55">
        <f>X49+X85+X121</f>
        <v/>
      </c>
      <c r="Y154" s="55">
        <f>Y49+Y85+Y121</f>
        <v/>
      </c>
      <c r="Z154" s="55">
        <f>Z49+Z85+Z121</f>
        <v/>
      </c>
      <c r="AA154" s="55">
        <f>AA49+AA85+AA121</f>
        <v/>
      </c>
      <c r="AB154" s="55">
        <f>AB49+AB85+AB121</f>
        <v/>
      </c>
      <c r="AC154" s="55">
        <f>AC49+AC85+AC121</f>
        <v/>
      </c>
      <c r="AD154" s="55">
        <f>AD49+AD85+AD121</f>
        <v/>
      </c>
      <c r="AE154" s="55">
        <f>AE49+AE85+AE121</f>
        <v/>
      </c>
    </row>
    <row r="155">
      <c r="A155" s="6" t="inlineStr">
        <is>
          <t>Stream 1b - Entry fee, SPOT</t>
        </is>
      </c>
      <c r="B155" s="23" t="inlineStr">
        <is>
          <t>USD</t>
        </is>
      </c>
      <c r="C155" s="55">
        <f>C50+C86+C122</f>
        <v/>
      </c>
      <c r="D155" s="55">
        <f>D50+D86+D122</f>
        <v/>
      </c>
      <c r="E155" s="55">
        <f>E50+E86+E122</f>
        <v/>
      </c>
      <c r="F155" s="55">
        <f>F50+F86+F122</f>
        <v/>
      </c>
      <c r="G155" s="55">
        <f>G50+G86+G122</f>
        <v/>
      </c>
      <c r="H155" s="55">
        <f>H50+H86+H122</f>
        <v/>
      </c>
      <c r="I155" s="55">
        <f>I50+I86+I122</f>
        <v/>
      </c>
      <c r="J155" s="55">
        <f>J50+J86+J122</f>
        <v/>
      </c>
      <c r="K155" s="55">
        <f>K50+K86+K122</f>
        <v/>
      </c>
      <c r="L155" s="55">
        <f>L50+L86+L122</f>
        <v/>
      </c>
      <c r="M155" s="55">
        <f>M50+M86+M122</f>
        <v/>
      </c>
      <c r="N155" s="55">
        <f>N50+N86+N122</f>
        <v/>
      </c>
      <c r="O155" s="55">
        <f>O50+O86+O122</f>
        <v/>
      </c>
      <c r="P155" s="55">
        <f>P50+P86+P122</f>
        <v/>
      </c>
      <c r="Q155" s="55">
        <f>Q50+Q86+Q122</f>
        <v/>
      </c>
      <c r="R155" s="55">
        <f>R50+R86+R122</f>
        <v/>
      </c>
      <c r="S155" s="55">
        <f>S50+S86+S122</f>
        <v/>
      </c>
      <c r="T155" s="55">
        <f>T50+T86+T122</f>
        <v/>
      </c>
      <c r="U155" s="55">
        <f>U50+U86+U122</f>
        <v/>
      </c>
      <c r="V155" s="55">
        <f>V50+V86+V122</f>
        <v/>
      </c>
      <c r="W155" s="55">
        <f>W50+W86+W122</f>
        <v/>
      </c>
      <c r="X155" s="55">
        <f>X50+X86+X122</f>
        <v/>
      </c>
      <c r="Y155" s="55">
        <f>Y50+Y86+Y122</f>
        <v/>
      </c>
      <c r="Z155" s="55">
        <f>Z50+Z86+Z122</f>
        <v/>
      </c>
      <c r="AA155" s="55">
        <f>AA50+AA86+AA122</f>
        <v/>
      </c>
      <c r="AB155" s="55">
        <f>AB50+AB86+AB122</f>
        <v/>
      </c>
      <c r="AC155" s="55">
        <f>AC50+AC86+AC122</f>
        <v/>
      </c>
      <c r="AD155" s="55">
        <f>AD50+AD86+AD122</f>
        <v/>
      </c>
      <c r="AE155" s="55">
        <f>AE50+AE86+AE122</f>
        <v/>
      </c>
    </row>
    <row r="156">
      <c r="A156" s="6" t="inlineStr">
        <is>
          <t>Stream 2 - Card interchange</t>
        </is>
      </c>
      <c r="B156" s="23" t="inlineStr">
        <is>
          <t>USD</t>
        </is>
      </c>
      <c r="C156" s="55">
        <f>C51+C87+C123</f>
        <v/>
      </c>
      <c r="D156" s="55">
        <f>D51+D87+D123</f>
        <v/>
      </c>
      <c r="E156" s="55">
        <f>E51+E87+E123</f>
        <v/>
      </c>
      <c r="F156" s="55">
        <f>F51+F87+F123</f>
        <v/>
      </c>
      <c r="G156" s="55">
        <f>G51+G87+G123</f>
        <v/>
      </c>
      <c r="H156" s="55">
        <f>H51+H87+H123</f>
        <v/>
      </c>
      <c r="I156" s="55">
        <f>I51+I87+I123</f>
        <v/>
      </c>
      <c r="J156" s="55">
        <f>J51+J87+J123</f>
        <v/>
      </c>
      <c r="K156" s="55">
        <f>K51+K87+K123</f>
        <v/>
      </c>
      <c r="L156" s="55">
        <f>L51+L87+L123</f>
        <v/>
      </c>
      <c r="M156" s="55">
        <f>M51+M87+M123</f>
        <v/>
      </c>
      <c r="N156" s="55">
        <f>N51+N87+N123</f>
        <v/>
      </c>
      <c r="O156" s="55">
        <f>O51+O87+O123</f>
        <v/>
      </c>
      <c r="P156" s="55">
        <f>P51+P87+P123</f>
        <v/>
      </c>
      <c r="Q156" s="55">
        <f>Q51+Q87+Q123</f>
        <v/>
      </c>
      <c r="R156" s="55">
        <f>R51+R87+R123</f>
        <v/>
      </c>
      <c r="S156" s="55">
        <f>S51+S87+S123</f>
        <v/>
      </c>
      <c r="T156" s="55">
        <f>T51+T87+T123</f>
        <v/>
      </c>
      <c r="U156" s="55">
        <f>U51+U87+U123</f>
        <v/>
      </c>
      <c r="V156" s="55">
        <f>V51+V87+V123</f>
        <v/>
      </c>
      <c r="W156" s="55">
        <f>W51+W87+W123</f>
        <v/>
      </c>
      <c r="X156" s="55">
        <f>X51+X87+X123</f>
        <v/>
      </c>
      <c r="Y156" s="55">
        <f>Y51+Y87+Y123</f>
        <v/>
      </c>
      <c r="Z156" s="55">
        <f>Z51+Z87+Z123</f>
        <v/>
      </c>
      <c r="AA156" s="55">
        <f>AA51+AA87+AA123</f>
        <v/>
      </c>
      <c r="AB156" s="55">
        <f>AB51+AB87+AB123</f>
        <v/>
      </c>
      <c r="AC156" s="55">
        <f>AC51+AC87+AC123</f>
        <v/>
      </c>
      <c r="AD156" s="55">
        <f>AD51+AD87+AD123</f>
        <v/>
      </c>
      <c r="AE156" s="55">
        <f>AE51+AE87+AE123</f>
        <v/>
      </c>
    </row>
    <row r="157">
      <c r="A157" s="6" t="inlineStr">
        <is>
          <t>Stream 3 - Family plan and Digital Will</t>
        </is>
      </c>
      <c r="B157" s="23" t="inlineStr">
        <is>
          <t>USD</t>
        </is>
      </c>
      <c r="C157" s="55">
        <f>C52+C88+C124</f>
        <v/>
      </c>
      <c r="D157" s="55">
        <f>D52+D88+D124</f>
        <v/>
      </c>
      <c r="E157" s="55">
        <f>E52+E88+E124</f>
        <v/>
      </c>
      <c r="F157" s="55">
        <f>F52+F88+F124</f>
        <v/>
      </c>
      <c r="G157" s="55">
        <f>G52+G88+G124</f>
        <v/>
      </c>
      <c r="H157" s="55">
        <f>H52+H88+H124</f>
        <v/>
      </c>
      <c r="I157" s="55">
        <f>I52+I88+I124</f>
        <v/>
      </c>
      <c r="J157" s="55">
        <f>J52+J88+J124</f>
        <v/>
      </c>
      <c r="K157" s="55">
        <f>K52+K88+K124</f>
        <v/>
      </c>
      <c r="L157" s="55">
        <f>L52+L88+L124</f>
        <v/>
      </c>
      <c r="M157" s="55">
        <f>M52+M88+M124</f>
        <v/>
      </c>
      <c r="N157" s="55">
        <f>N52+N88+N124</f>
        <v/>
      </c>
      <c r="O157" s="55">
        <f>O52+O88+O124</f>
        <v/>
      </c>
      <c r="P157" s="55">
        <f>P52+P88+P124</f>
        <v/>
      </c>
      <c r="Q157" s="55">
        <f>Q52+Q88+Q124</f>
        <v/>
      </c>
      <c r="R157" s="55">
        <f>R52+R88+R124</f>
        <v/>
      </c>
      <c r="S157" s="55">
        <f>S52+S88+S124</f>
        <v/>
      </c>
      <c r="T157" s="55">
        <f>T52+T88+T124</f>
        <v/>
      </c>
      <c r="U157" s="55">
        <f>U52+U88+U124</f>
        <v/>
      </c>
      <c r="V157" s="55">
        <f>V52+V88+V124</f>
        <v/>
      </c>
      <c r="W157" s="55">
        <f>W52+W88+W124</f>
        <v/>
      </c>
      <c r="X157" s="55">
        <f>X52+X88+X124</f>
        <v/>
      </c>
      <c r="Y157" s="55">
        <f>Y52+Y88+Y124</f>
        <v/>
      </c>
      <c r="Z157" s="55">
        <f>Z52+Z88+Z124</f>
        <v/>
      </c>
      <c r="AA157" s="55">
        <f>AA52+AA88+AA124</f>
        <v/>
      </c>
      <c r="AB157" s="55">
        <f>AB52+AB88+AB124</f>
        <v/>
      </c>
      <c r="AC157" s="55">
        <f>AC52+AC88+AC124</f>
        <v/>
      </c>
      <c r="AD157" s="55">
        <f>AD52+AD88+AD124</f>
        <v/>
      </c>
      <c r="AE157" s="55">
        <f>AE52+AE88+AE124</f>
        <v/>
      </c>
    </row>
    <row r="158">
      <c r="A158" s="6" t="inlineStr">
        <is>
          <t>Stream 4 - Cardholder fees</t>
        </is>
      </c>
      <c r="B158" s="23" t="inlineStr">
        <is>
          <t>USD</t>
        </is>
      </c>
      <c r="C158" s="55">
        <f>C53+C89+C125</f>
        <v/>
      </c>
      <c r="D158" s="55">
        <f>D53+D89+D125</f>
        <v/>
      </c>
      <c r="E158" s="55">
        <f>E53+E89+E125</f>
        <v/>
      </c>
      <c r="F158" s="55">
        <f>F53+F89+F125</f>
        <v/>
      </c>
      <c r="G158" s="55">
        <f>G53+G89+G125</f>
        <v/>
      </c>
      <c r="H158" s="55">
        <f>H53+H89+H125</f>
        <v/>
      </c>
      <c r="I158" s="55">
        <f>I53+I89+I125</f>
        <v/>
      </c>
      <c r="J158" s="55">
        <f>J53+J89+J125</f>
        <v/>
      </c>
      <c r="K158" s="55">
        <f>K53+K89+K125</f>
        <v/>
      </c>
      <c r="L158" s="55">
        <f>L53+L89+L125</f>
        <v/>
      </c>
      <c r="M158" s="55">
        <f>M53+M89+M125</f>
        <v/>
      </c>
      <c r="N158" s="55">
        <f>N53+N89+N125</f>
        <v/>
      </c>
      <c r="O158" s="55">
        <f>O53+O89+O125</f>
        <v/>
      </c>
      <c r="P158" s="55">
        <f>P53+P89+P125</f>
        <v/>
      </c>
      <c r="Q158" s="55">
        <f>Q53+Q89+Q125</f>
        <v/>
      </c>
      <c r="R158" s="55">
        <f>R53+R89+R125</f>
        <v/>
      </c>
      <c r="S158" s="55">
        <f>S53+S89+S125</f>
        <v/>
      </c>
      <c r="T158" s="55">
        <f>T53+T89+T125</f>
        <v/>
      </c>
      <c r="U158" s="55">
        <f>U53+U89+U125</f>
        <v/>
      </c>
      <c r="V158" s="55">
        <f>V53+V89+V125</f>
        <v/>
      </c>
      <c r="W158" s="55">
        <f>W53+W89+W125</f>
        <v/>
      </c>
      <c r="X158" s="55">
        <f>X53+X89+X125</f>
        <v/>
      </c>
      <c r="Y158" s="55">
        <f>Y53+Y89+Y125</f>
        <v/>
      </c>
      <c r="Z158" s="55">
        <f>Z53+Z89+Z125</f>
        <v/>
      </c>
      <c r="AA158" s="55">
        <f>AA53+AA89+AA125</f>
        <v/>
      </c>
      <c r="AB158" s="55">
        <f>AB53+AB89+AB125</f>
        <v/>
      </c>
      <c r="AC158" s="55">
        <f>AC53+AC89+AC125</f>
        <v/>
      </c>
      <c r="AD158" s="55">
        <f>AD53+AD89+AD125</f>
        <v/>
      </c>
      <c r="AE158" s="55">
        <f>AE53+AE89+AE125</f>
        <v/>
      </c>
    </row>
    <row r="159">
      <c r="A159" s="6" t="inlineStr">
        <is>
          <t>Stream 5 - Lending revenue share</t>
        </is>
      </c>
      <c r="B159" s="23" t="inlineStr">
        <is>
          <t>USD</t>
        </is>
      </c>
      <c r="C159" s="55">
        <f>C55+C91+C127</f>
        <v/>
      </c>
      <c r="D159" s="55">
        <f>D55+D91+D127</f>
        <v/>
      </c>
      <c r="E159" s="55">
        <f>E55+E91+E127</f>
        <v/>
      </c>
      <c r="F159" s="55">
        <f>F55+F91+F127</f>
        <v/>
      </c>
      <c r="G159" s="55">
        <f>G55+G91+G127</f>
        <v/>
      </c>
      <c r="H159" s="55">
        <f>H55+H91+H127</f>
        <v/>
      </c>
      <c r="I159" s="55">
        <f>I55+I91+I127</f>
        <v/>
      </c>
      <c r="J159" s="55">
        <f>J55+J91+J127</f>
        <v/>
      </c>
      <c r="K159" s="55">
        <f>K55+K91+K127</f>
        <v/>
      </c>
      <c r="L159" s="55">
        <f>L55+L91+L127</f>
        <v/>
      </c>
      <c r="M159" s="55">
        <f>M55+M91+M127</f>
        <v/>
      </c>
      <c r="N159" s="55">
        <f>N55+N91+N127</f>
        <v/>
      </c>
      <c r="O159" s="55">
        <f>O55+O91+O127</f>
        <v/>
      </c>
      <c r="P159" s="55">
        <f>P55+P91+P127</f>
        <v/>
      </c>
      <c r="Q159" s="55">
        <f>Q55+Q91+Q127</f>
        <v/>
      </c>
      <c r="R159" s="55">
        <f>R55+R91+R127</f>
        <v/>
      </c>
      <c r="S159" s="55">
        <f>S55+S91+S127</f>
        <v/>
      </c>
      <c r="T159" s="55">
        <f>T55+T91+T127</f>
        <v/>
      </c>
      <c r="U159" s="55">
        <f>U55+U91+U127</f>
        <v/>
      </c>
      <c r="V159" s="55">
        <f>V55+V91+V127</f>
        <v/>
      </c>
      <c r="W159" s="55">
        <f>W55+W91+W127</f>
        <v/>
      </c>
      <c r="X159" s="55">
        <f>X55+X91+X127</f>
        <v/>
      </c>
      <c r="Y159" s="55">
        <f>Y55+Y91+Y127</f>
        <v/>
      </c>
      <c r="Z159" s="55">
        <f>Z55+Z91+Z127</f>
        <v/>
      </c>
      <c r="AA159" s="55">
        <f>AA55+AA91+AA127</f>
        <v/>
      </c>
      <c r="AB159" s="55">
        <f>AB55+AB91+AB127</f>
        <v/>
      </c>
      <c r="AC159" s="55">
        <f>AC55+AC91+AC127</f>
        <v/>
      </c>
      <c r="AD159" s="55">
        <f>AD55+AD91+AD127</f>
        <v/>
      </c>
      <c r="AE159" s="55">
        <f>AE55+AE91+AE127</f>
        <v/>
      </c>
    </row>
    <row r="160">
      <c r="A160" s="6" t="inlineStr">
        <is>
          <t>Redemption events (memo - drives cost, not revenue)</t>
        </is>
      </c>
      <c r="B160" s="23" t="inlineStr">
        <is>
          <t>events</t>
        </is>
      </c>
      <c r="C160" s="45">
        <f>C56+C92+C128</f>
        <v/>
      </c>
      <c r="D160" s="45">
        <f>D56+D92+D128</f>
        <v/>
      </c>
      <c r="E160" s="45">
        <f>E56+E92+E128</f>
        <v/>
      </c>
      <c r="F160" s="45">
        <f>F56+F92+F128</f>
        <v/>
      </c>
      <c r="G160" s="45">
        <f>G56+G92+G128</f>
        <v/>
      </c>
      <c r="H160" s="45">
        <f>H56+H92+H128</f>
        <v/>
      </c>
      <c r="I160" s="45">
        <f>I56+I92+I128</f>
        <v/>
      </c>
      <c r="J160" s="45">
        <f>J56+J92+J128</f>
        <v/>
      </c>
      <c r="K160" s="45">
        <f>K56+K92+K128</f>
        <v/>
      </c>
      <c r="L160" s="45">
        <f>L56+L92+L128</f>
        <v/>
      </c>
      <c r="M160" s="45">
        <f>M56+M92+M128</f>
        <v/>
      </c>
      <c r="N160" s="45">
        <f>N56+N92+N128</f>
        <v/>
      </c>
      <c r="O160" s="45">
        <f>O56+O92+O128</f>
        <v/>
      </c>
      <c r="P160" s="45">
        <f>P56+P92+P128</f>
        <v/>
      </c>
      <c r="Q160" s="45">
        <f>Q56+Q92+Q128</f>
        <v/>
      </c>
      <c r="R160" s="45">
        <f>R56+R92+R128</f>
        <v/>
      </c>
      <c r="S160" s="45">
        <f>S56+S92+S128</f>
        <v/>
      </c>
      <c r="T160" s="45">
        <f>T56+T92+T128</f>
        <v/>
      </c>
      <c r="U160" s="45">
        <f>U56+U92+U128</f>
        <v/>
      </c>
      <c r="V160" s="45">
        <f>V56+V92+V128</f>
        <v/>
      </c>
      <c r="W160" s="45">
        <f>W56+W92+W128</f>
        <v/>
      </c>
      <c r="X160" s="45">
        <f>X56+X92+X128</f>
        <v/>
      </c>
      <c r="Y160" s="45">
        <f>Y56+Y92+Y128</f>
        <v/>
      </c>
      <c r="Z160" s="45">
        <f>Z56+Z92+Z128</f>
        <v/>
      </c>
      <c r="AA160" s="45">
        <f>AA56+AA92+AA128</f>
        <v/>
      </c>
      <c r="AB160" s="45">
        <f>AB56+AB92+AB128</f>
        <v/>
      </c>
      <c r="AC160" s="45">
        <f>AC56+AC92+AC128</f>
        <v/>
      </c>
      <c r="AD160" s="45">
        <f>AD56+AD92+AD128</f>
        <v/>
      </c>
      <c r="AE160" s="45">
        <f>AE56+AE92+AE128</f>
        <v/>
      </c>
    </row>
    <row r="161">
      <c r="A161" s="6" t="inlineStr">
        <is>
          <t>Card authorisations (memo - drives cost, not revenue)</t>
        </is>
      </c>
      <c r="B161" s="23" t="inlineStr">
        <is>
          <t>events</t>
        </is>
      </c>
      <c r="C161" s="45">
        <f>C48+C84+C120</f>
        <v/>
      </c>
      <c r="D161" s="45">
        <f>D48+D84+D120</f>
        <v/>
      </c>
      <c r="E161" s="45">
        <f>E48+E84+E120</f>
        <v/>
      </c>
      <c r="F161" s="45">
        <f>F48+F84+F120</f>
        <v/>
      </c>
      <c r="G161" s="45">
        <f>G48+G84+G120</f>
        <v/>
      </c>
      <c r="H161" s="45">
        <f>H48+H84+H120</f>
        <v/>
      </c>
      <c r="I161" s="45">
        <f>I48+I84+I120</f>
        <v/>
      </c>
      <c r="J161" s="45">
        <f>J48+J84+J120</f>
        <v/>
      </c>
      <c r="K161" s="45">
        <f>K48+K84+K120</f>
        <v/>
      </c>
      <c r="L161" s="45">
        <f>L48+L84+L120</f>
        <v/>
      </c>
      <c r="M161" s="45">
        <f>M48+M84+M120</f>
        <v/>
      </c>
      <c r="N161" s="45">
        <f>N48+N84+N120</f>
        <v/>
      </c>
      <c r="O161" s="45">
        <f>O48+O84+O120</f>
        <v/>
      </c>
      <c r="P161" s="45">
        <f>P48+P84+P120</f>
        <v/>
      </c>
      <c r="Q161" s="45">
        <f>Q48+Q84+Q120</f>
        <v/>
      </c>
      <c r="R161" s="45">
        <f>R48+R84+R120</f>
        <v/>
      </c>
      <c r="S161" s="45">
        <f>S48+S84+S120</f>
        <v/>
      </c>
      <c r="T161" s="45">
        <f>T48+T84+T120</f>
        <v/>
      </c>
      <c r="U161" s="45">
        <f>U48+U84+U120</f>
        <v/>
      </c>
      <c r="V161" s="45">
        <f>V48+V84+V120</f>
        <v/>
      </c>
      <c r="W161" s="45">
        <f>W48+W84+W120</f>
        <v/>
      </c>
      <c r="X161" s="45">
        <f>X48+X84+X120</f>
        <v/>
      </c>
      <c r="Y161" s="45">
        <f>Y48+Y84+Y120</f>
        <v/>
      </c>
      <c r="Z161" s="45">
        <f>Z48+Z84+Z120</f>
        <v/>
      </c>
      <c r="AA161" s="45">
        <f>AA48+AA84+AA120</f>
        <v/>
      </c>
      <c r="AB161" s="45">
        <f>AB48+AB84+AB120</f>
        <v/>
      </c>
      <c r="AC161" s="45">
        <f>AC48+AC84+AC120</f>
        <v/>
      </c>
      <c r="AD161" s="45">
        <f>AD48+AD84+AD120</f>
        <v/>
      </c>
      <c r="AE161" s="45">
        <f>AE48+AE84+AE120</f>
        <v/>
      </c>
    </row>
    <row r="162">
      <c r="A162" s="3" t="inlineStr">
        <is>
          <t>TOTAL NET REVENUE</t>
        </is>
      </c>
      <c r="B162" s="23" t="inlineStr">
        <is>
          <t>USD</t>
        </is>
      </c>
      <c r="C162" s="57">
        <f>C57+C93+C129+C133</f>
        <v/>
      </c>
      <c r="D162" s="57">
        <f>D57+D93+D129+D133</f>
        <v/>
      </c>
      <c r="E162" s="57">
        <f>E57+E93+E129+E133</f>
        <v/>
      </c>
      <c r="F162" s="57">
        <f>F57+F93+F129+F133</f>
        <v/>
      </c>
      <c r="G162" s="57">
        <f>G57+G93+G129+G133</f>
        <v/>
      </c>
      <c r="H162" s="57">
        <f>H57+H93+H129+H133</f>
        <v/>
      </c>
      <c r="I162" s="57">
        <f>I57+I93+I129+I133</f>
        <v/>
      </c>
      <c r="J162" s="57">
        <f>J57+J93+J129+J133</f>
        <v/>
      </c>
      <c r="K162" s="57">
        <f>K57+K93+K129+K133</f>
        <v/>
      </c>
      <c r="L162" s="57">
        <f>L57+L93+L129+L133</f>
        <v/>
      </c>
      <c r="M162" s="57">
        <f>M57+M93+M129+M133</f>
        <v/>
      </c>
      <c r="N162" s="57">
        <f>N57+N93+N129+N133</f>
        <v/>
      </c>
      <c r="O162" s="57">
        <f>O57+O93+O129+O133</f>
        <v/>
      </c>
      <c r="P162" s="57">
        <f>P57+P93+P129+P133</f>
        <v/>
      </c>
      <c r="Q162" s="57">
        <f>Q57+Q93+Q129+Q133</f>
        <v/>
      </c>
      <c r="R162" s="57">
        <f>R57+R93+R129+R133</f>
        <v/>
      </c>
      <c r="S162" s="57">
        <f>S57+S93+S129+S133</f>
        <v/>
      </c>
      <c r="T162" s="57">
        <f>T57+T93+T129+T133</f>
        <v/>
      </c>
      <c r="U162" s="57">
        <f>U57+U93+U129+U133</f>
        <v/>
      </c>
      <c r="V162" s="57">
        <f>V57+V93+V129+V133</f>
        <v/>
      </c>
      <c r="W162" s="57">
        <f>W57+W93+W129+W133</f>
        <v/>
      </c>
      <c r="X162" s="57">
        <f>X57+X93+X129+X133</f>
        <v/>
      </c>
      <c r="Y162" s="57">
        <f>Y57+Y93+Y129+Y133</f>
        <v/>
      </c>
      <c r="Z162" s="57">
        <f>Z57+Z93+Z129+Z133</f>
        <v/>
      </c>
      <c r="AA162" s="57">
        <f>AA57+AA93+AA129+AA133</f>
        <v/>
      </c>
      <c r="AB162" s="57">
        <f>AB57+AB93+AB129+AB133</f>
        <v/>
      </c>
      <c r="AC162" s="57">
        <f>AC57+AC93+AC129+AC133</f>
        <v/>
      </c>
      <c r="AD162" s="57">
        <f>AD57+AD93+AD129+AD133</f>
        <v/>
      </c>
      <c r="AE162" s="57">
        <f>AE57+AE93+AE129+AE133</f>
        <v/>
      </c>
    </row>
    <row r="163">
      <c r="A163" s="6" t="inlineStr">
        <is>
          <t>Net revenue per paying customer (annualised)</t>
        </is>
      </c>
      <c r="B163" s="23" t="inlineStr">
        <is>
          <t>USD</t>
        </is>
      </c>
      <c r="C163" s="55">
        <f>IF(C137=0,0,C162/C137/C7*12)</f>
        <v/>
      </c>
      <c r="D163" s="55">
        <f>IF(D137=0,0,D162/D137/D7*12)</f>
        <v/>
      </c>
      <c r="E163" s="55">
        <f>IF(E137=0,0,E162/E137/E7*12)</f>
        <v/>
      </c>
      <c r="F163" s="55">
        <f>IF(F137=0,0,F162/F137/F7*12)</f>
        <v/>
      </c>
      <c r="G163" s="55">
        <f>IF(G137=0,0,G162/G137/G7*12)</f>
        <v/>
      </c>
      <c r="H163" s="55">
        <f>IF(H137=0,0,H162/H137/H7*12)</f>
        <v/>
      </c>
      <c r="I163" s="55">
        <f>IF(I137=0,0,I162/I137/I7*12)</f>
        <v/>
      </c>
      <c r="J163" s="55">
        <f>IF(J137=0,0,J162/J137/J7*12)</f>
        <v/>
      </c>
      <c r="K163" s="55">
        <f>IF(K137=0,0,K162/K137/K7*12)</f>
        <v/>
      </c>
      <c r="L163" s="55">
        <f>IF(L137=0,0,L162/L137/L7*12)</f>
        <v/>
      </c>
      <c r="M163" s="55">
        <f>IF(M137=0,0,M162/M137/M7*12)</f>
        <v/>
      </c>
      <c r="N163" s="55">
        <f>IF(N137=0,0,N162/N137/N7*12)</f>
        <v/>
      </c>
      <c r="O163" s="55">
        <f>IF(O137=0,0,O162/O137/O7*12)</f>
        <v/>
      </c>
      <c r="P163" s="55">
        <f>IF(P137=0,0,P162/P137/P7*12)</f>
        <v/>
      </c>
      <c r="Q163" s="55">
        <f>IF(Q137=0,0,Q162/Q137/Q7*12)</f>
        <v/>
      </c>
      <c r="R163" s="55">
        <f>IF(R137=0,0,R162/R137/R7*12)</f>
        <v/>
      </c>
      <c r="S163" s="55">
        <f>IF(S137=0,0,S162/S137/S7*12)</f>
        <v/>
      </c>
      <c r="T163" s="55">
        <f>IF(T137=0,0,T162/T137/T7*12)</f>
        <v/>
      </c>
      <c r="U163" s="55">
        <f>IF(U137=0,0,U162/U137/U7*12)</f>
        <v/>
      </c>
      <c r="V163" s="55">
        <f>IF(V137=0,0,V162/V137/V7*12)</f>
        <v/>
      </c>
      <c r="W163" s="55">
        <f>IF(W137=0,0,W162/W137/W7*12)</f>
        <v/>
      </c>
      <c r="X163" s="55">
        <f>IF(X137=0,0,X162/X137/X7*12)</f>
        <v/>
      </c>
      <c r="Y163" s="55">
        <f>IF(Y137=0,0,Y162/Y137/Y7*12)</f>
        <v/>
      </c>
      <c r="Z163" s="55">
        <f>IF(Z137=0,0,Z162/Z137/Z7*12)</f>
        <v/>
      </c>
      <c r="AA163" s="55">
        <f>IF(AA137=0,0,AA162/AA137/AA7*12)</f>
        <v/>
      </c>
      <c r="AB163" s="55">
        <f>IF(AB137=0,0,AB162/AB137/AB7*12)</f>
        <v/>
      </c>
      <c r="AC163" s="55">
        <f>IF(AC137=0,0,AC162/AC137/AC7*12)</f>
        <v/>
      </c>
      <c r="AD163" s="55">
        <f>IF(AD137=0,0,AD162/AD137/AD7*12)</f>
        <v/>
      </c>
      <c r="AE163" s="55">
        <f>IF(AE137=0,0,AE162/AE137/AE7*12)</f>
        <v/>
      </c>
    </row>
    <row r="164">
      <c r="A164" s="6" t="inlineStr">
        <is>
          <t>CHECK: regional subtotals + B2B = sum of streams</t>
        </is>
      </c>
      <c r="B164" s="23" t="inlineStr">
        <is>
          <t>delta</t>
        </is>
      </c>
      <c r="C164" s="59">
        <f>C162-(C154+C155+C156+C157+C158+C159+C133)</f>
        <v/>
      </c>
      <c r="D164" s="59">
        <f>D162-(D154+D155+D156+D157+D158+D159+D133)</f>
        <v/>
      </c>
      <c r="E164" s="59">
        <f>E162-(E154+E155+E156+E157+E158+E159+E133)</f>
        <v/>
      </c>
      <c r="F164" s="59">
        <f>F162-(F154+F155+F156+F157+F158+F159+F133)</f>
        <v/>
      </c>
      <c r="G164" s="59">
        <f>G162-(G154+G155+G156+G157+G158+G159+G133)</f>
        <v/>
      </c>
      <c r="H164" s="59">
        <f>H162-(H154+H155+H156+H157+H158+H159+H133)</f>
        <v/>
      </c>
      <c r="I164" s="59">
        <f>I162-(I154+I155+I156+I157+I158+I159+I133)</f>
        <v/>
      </c>
      <c r="J164" s="59">
        <f>J162-(J154+J155+J156+J157+J158+J159+J133)</f>
        <v/>
      </c>
      <c r="K164" s="59">
        <f>K162-(K154+K155+K156+K157+K158+K159+K133)</f>
        <v/>
      </c>
      <c r="L164" s="59">
        <f>L162-(L154+L155+L156+L157+L158+L159+L133)</f>
        <v/>
      </c>
      <c r="M164" s="59">
        <f>M162-(M154+M155+M156+M157+M158+M159+M133)</f>
        <v/>
      </c>
      <c r="N164" s="59">
        <f>N162-(N154+N155+N156+N157+N158+N159+N133)</f>
        <v/>
      </c>
      <c r="O164" s="59">
        <f>O162-(O154+O155+O156+O157+O158+O159+O133)</f>
        <v/>
      </c>
      <c r="P164" s="59">
        <f>P162-(P154+P155+P156+P157+P158+P159+P133)</f>
        <v/>
      </c>
      <c r="Q164" s="59">
        <f>Q162-(Q154+Q155+Q156+Q157+Q158+Q159+Q133)</f>
        <v/>
      </c>
      <c r="R164" s="59">
        <f>R162-(R154+R155+R156+R157+R158+R159+R133)</f>
        <v/>
      </c>
      <c r="S164" s="59">
        <f>S162-(S154+S155+S156+S157+S158+S159+S133)</f>
        <v/>
      </c>
      <c r="T164" s="59">
        <f>T162-(T154+T155+T156+T157+T158+T159+T133)</f>
        <v/>
      </c>
      <c r="U164" s="59">
        <f>U162-(U154+U155+U156+U157+U158+U159+U133)</f>
        <v/>
      </c>
      <c r="V164" s="59">
        <f>V162-(V154+V155+V156+V157+V158+V159+V133)</f>
        <v/>
      </c>
      <c r="W164" s="59">
        <f>W162-(W154+W155+W156+W157+W158+W159+W133)</f>
        <v/>
      </c>
      <c r="X164" s="59">
        <f>X162-(X154+X155+X156+X157+X158+X159+X133)</f>
        <v/>
      </c>
      <c r="Y164" s="59">
        <f>Y162-(Y154+Y155+Y156+Y157+Y158+Y159+Y133)</f>
        <v/>
      </c>
      <c r="Z164" s="59">
        <f>Z162-(Z154+Z155+Z156+Z157+Z158+Z159+Z133)</f>
        <v/>
      </c>
      <c r="AA164" s="59">
        <f>AA162-(AA154+AA155+AA156+AA157+AA158+AA159+AA133)</f>
        <v/>
      </c>
      <c r="AB164" s="59">
        <f>AB162-(AB154+AB155+AB156+AB157+AB158+AB159+AB133)</f>
        <v/>
      </c>
      <c r="AC164" s="59">
        <f>AC162-(AC154+AC155+AC156+AC157+AC158+AC159+AC133)</f>
        <v/>
      </c>
      <c r="AD164" s="59">
        <f>AD162-(AD154+AD155+AD156+AD157+AD158+AD159+AD133)</f>
        <v/>
      </c>
      <c r="AE164" s="59">
        <f>AE162-(AE154+AE155+AE156+AE157+AE158+AE159+AE133)</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K43"/>
  <sheetViews>
    <sheetView showGridLines="0" workbookViewId="0">
      <selection activeCell="A1" sqref="A1"/>
    </sheetView>
  </sheetViews>
  <sheetFormatPr baseColWidth="8" defaultRowHeight="15"/>
  <cols>
    <col width="46" customWidth="1" min="1" max="1"/>
    <col width="4" customWidth="1" min="2" max="2"/>
    <col width="16" customWidth="1" min="4" max="4"/>
    <col width="16" customWidth="1" min="5" max="5"/>
    <col width="16" customWidth="1" min="6" max="6"/>
    <col width="16" customWidth="1" min="7" max="7"/>
    <col width="16" customWidth="1" min="8" max="8"/>
    <col width="16" customWidth="1" min="9" max="9"/>
    <col width="16" customWidth="1" min="10" max="10"/>
  </cols>
  <sheetData>
    <row r="1">
      <c r="A1" s="10">
        <f>Cover!$B$2</f>
        <v/>
      </c>
    </row>
    <row r="2">
      <c r="A2" s="11" t="inlineStr">
        <is>
          <t>Summary</t>
        </is>
      </c>
    </row>
    <row r="4">
      <c r="D4" s="61" t="inlineStr">
        <is>
          <t>Y1</t>
        </is>
      </c>
      <c r="E4" s="61" t="inlineStr">
        <is>
          <t>Y2</t>
        </is>
      </c>
      <c r="F4" s="61" t="inlineStr">
        <is>
          <t>Y3</t>
        </is>
      </c>
      <c r="G4" s="61" t="inlineStr">
        <is>
          <t>Y4</t>
        </is>
      </c>
      <c r="H4" s="61" t="inlineStr">
        <is>
          <t>Y5</t>
        </is>
      </c>
      <c r="I4" s="61" t="inlineStr">
        <is>
          <t>Y6</t>
        </is>
      </c>
      <c r="J4" s="61" t="inlineStr">
        <is>
          <t>Y7</t>
        </is>
      </c>
    </row>
    <row r="6" ht="18" customHeight="1">
      <c r="A6" s="12" t="inlineStr">
        <is>
          <t>REVENUE BY REGION</t>
        </is>
      </c>
      <c r="B6" s="13" t="n"/>
      <c r="C6" s="13" t="n"/>
      <c r="D6" s="13" t="n"/>
      <c r="E6" s="13" t="n"/>
      <c r="F6" s="13" t="n"/>
      <c r="G6" s="13" t="n"/>
      <c r="H6" s="13" t="n"/>
      <c r="I6" s="13" t="n"/>
      <c r="J6" s="13" t="n"/>
      <c r="K6" s="13" t="n"/>
    </row>
    <row r="7">
      <c r="A7" s="6" t="inlineStr">
        <is>
          <t xml:space="preserve">  UAE</t>
        </is>
      </c>
      <c r="D7" s="36">
        <f>SUM(Model!C57:N57)</f>
        <v/>
      </c>
      <c r="E7" s="36">
        <f>SUM(Model!O57:Z57)</f>
        <v/>
      </c>
      <c r="F7" s="36">
        <f>Model!AA57</f>
        <v/>
      </c>
      <c r="G7" s="36">
        <f>Model!AB57</f>
        <v/>
      </c>
      <c r="H7" s="36">
        <f>Model!AC57</f>
        <v/>
      </c>
      <c r="I7" s="36">
        <f>Model!AD57</f>
        <v/>
      </c>
      <c r="J7" s="36">
        <f>Model!AE57</f>
        <v/>
      </c>
    </row>
    <row r="8">
      <c r="A8" s="6" t="inlineStr">
        <is>
          <t xml:space="preserve">  Oman and Bahrain</t>
        </is>
      </c>
      <c r="D8" s="36">
        <f>SUM(Model!C93:N93)</f>
        <v/>
      </c>
      <c r="E8" s="36">
        <f>SUM(Model!O93:Z93)</f>
        <v/>
      </c>
      <c r="F8" s="36">
        <f>Model!AA93</f>
        <v/>
      </c>
      <c r="G8" s="36">
        <f>Model!AB93</f>
        <v/>
      </c>
      <c r="H8" s="36">
        <f>Model!AC93</f>
        <v/>
      </c>
      <c r="I8" s="36">
        <f>Model!AD93</f>
        <v/>
      </c>
      <c r="J8" s="36">
        <f>Model!AE93</f>
        <v/>
      </c>
    </row>
    <row r="9">
      <c r="A9" s="6" t="inlineStr">
        <is>
          <t xml:space="preserve">  India</t>
        </is>
      </c>
      <c r="D9" s="36">
        <f>SUM(Model!C129:N129)</f>
        <v/>
      </c>
      <c r="E9" s="36">
        <f>SUM(Model!O129:Z129)</f>
        <v/>
      </c>
      <c r="F9" s="36">
        <f>Model!AA129</f>
        <v/>
      </c>
      <c r="G9" s="36">
        <f>Model!AB129</f>
        <v/>
      </c>
      <c r="H9" s="36">
        <f>Model!AC129</f>
        <v/>
      </c>
      <c r="I9" s="36">
        <f>Model!AD129</f>
        <v/>
      </c>
      <c r="J9" s="36">
        <f>Model!AE129</f>
        <v/>
      </c>
    </row>
    <row r="10">
      <c r="A10" s="6" t="inlineStr">
        <is>
          <t xml:space="preserve">  Non-regional: B2B platform fee</t>
        </is>
      </c>
      <c r="D10" s="36">
        <f>SUM(Model!C133:N133)</f>
        <v/>
      </c>
      <c r="E10" s="36">
        <f>SUM(Model!O133:Z133)</f>
        <v/>
      </c>
      <c r="F10" s="36">
        <f>Model!AA133</f>
        <v/>
      </c>
      <c r="G10" s="36">
        <f>Model!AB133</f>
        <v/>
      </c>
      <c r="H10" s="36">
        <f>Model!AC133</f>
        <v/>
      </c>
      <c r="I10" s="36">
        <f>Model!AD133</f>
        <v/>
      </c>
      <c r="J10" s="36">
        <f>Model!AE133</f>
        <v/>
      </c>
    </row>
    <row r="11">
      <c r="A11" s="3" t="inlineStr">
        <is>
          <t>TOTAL REVENUE</t>
        </is>
      </c>
      <c r="D11" s="62">
        <f>SUM(Model!C162:N162)</f>
        <v/>
      </c>
      <c r="E11" s="62">
        <f>SUM(Model!O162:Z162)</f>
        <v/>
      </c>
      <c r="F11" s="62">
        <f>Model!AA162</f>
        <v/>
      </c>
      <c r="G11" s="62">
        <f>Model!AB162</f>
        <v/>
      </c>
      <c r="H11" s="62">
        <f>Model!AC162</f>
        <v/>
      </c>
      <c r="I11" s="62">
        <f>Model!AD162</f>
        <v/>
      </c>
      <c r="J11" s="62">
        <f>Model!AE162</f>
        <v/>
      </c>
    </row>
    <row r="13" ht="18" customHeight="1">
      <c r="A13" s="12" t="inlineStr">
        <is>
          <t>REVENUE BY STREAM</t>
        </is>
      </c>
      <c r="B13" s="13" t="n"/>
      <c r="C13" s="13" t="n"/>
      <c r="D13" s="13" t="n"/>
      <c r="E13" s="13" t="n"/>
      <c r="F13" s="13" t="n"/>
      <c r="G13" s="13" t="n"/>
      <c r="H13" s="13" t="n"/>
      <c r="I13" s="13" t="n"/>
      <c r="J13" s="13" t="n"/>
      <c r="K13" s="13" t="n"/>
    </row>
    <row r="14">
      <c r="A14" s="6" t="inlineStr">
        <is>
          <t>Stream 1a: Entry fee - SIP</t>
        </is>
      </c>
      <c r="D14" s="36">
        <f>SUM(Model!C154:N154)</f>
        <v/>
      </c>
      <c r="E14" s="36">
        <f>SUM(Model!O154:Z154)</f>
        <v/>
      </c>
      <c r="F14" s="36">
        <f>Model!AA154</f>
        <v/>
      </c>
      <c r="G14" s="36">
        <f>Model!AB154</f>
        <v/>
      </c>
      <c r="H14" s="36">
        <f>Model!AC154</f>
        <v/>
      </c>
      <c r="I14" s="36">
        <f>Model!AD154</f>
        <v/>
      </c>
      <c r="J14" s="36">
        <f>Model!AE154</f>
        <v/>
      </c>
    </row>
    <row r="15">
      <c r="A15" s="6" t="inlineStr">
        <is>
          <t>Stream 1b: Entry fee - SPOT</t>
        </is>
      </c>
      <c r="D15" s="36">
        <f>SUM(Model!C155:N155)</f>
        <v/>
      </c>
      <c r="E15" s="36">
        <f>SUM(Model!O155:Z155)</f>
        <v/>
      </c>
      <c r="F15" s="36">
        <f>Model!AA155</f>
        <v/>
      </c>
      <c r="G15" s="36">
        <f>Model!AB155</f>
        <v/>
      </c>
      <c r="H15" s="36">
        <f>Model!AC155</f>
        <v/>
      </c>
      <c r="I15" s="36">
        <f>Model!AD155</f>
        <v/>
      </c>
      <c r="J15" s="36">
        <f>Model!AE155</f>
        <v/>
      </c>
    </row>
    <row r="16">
      <c r="A16" s="6" t="inlineStr">
        <is>
          <t>Stream 2: Card interchange</t>
        </is>
      </c>
      <c r="D16" s="36">
        <f>SUM(Model!C156:N156)</f>
        <v/>
      </c>
      <c r="E16" s="36">
        <f>SUM(Model!O156:Z156)</f>
        <v/>
      </c>
      <c r="F16" s="36">
        <f>Model!AA156</f>
        <v/>
      </c>
      <c r="G16" s="36">
        <f>Model!AB156</f>
        <v/>
      </c>
      <c r="H16" s="36">
        <f>Model!AC156</f>
        <v/>
      </c>
      <c r="I16" s="36">
        <f>Model!AD156</f>
        <v/>
      </c>
      <c r="J16" s="36">
        <f>Model!AE156</f>
        <v/>
      </c>
    </row>
    <row r="17">
      <c r="A17" s="6" t="inlineStr">
        <is>
          <t>Stream 3: Family plan and Digital Will</t>
        </is>
      </c>
      <c r="D17" s="36">
        <f>SUM(Model!C157:N157)</f>
        <v/>
      </c>
      <c r="E17" s="36">
        <f>SUM(Model!O157:Z157)</f>
        <v/>
      </c>
      <c r="F17" s="36">
        <f>Model!AA157</f>
        <v/>
      </c>
      <c r="G17" s="36">
        <f>Model!AB157</f>
        <v/>
      </c>
      <c r="H17" s="36">
        <f>Model!AC157</f>
        <v/>
      </c>
      <c r="I17" s="36">
        <f>Model!AD157</f>
        <v/>
      </c>
      <c r="J17" s="36">
        <f>Model!AE157</f>
        <v/>
      </c>
    </row>
    <row r="18">
      <c r="A18" s="6" t="inlineStr">
        <is>
          <t>Stream 4: Cardholder fees</t>
        </is>
      </c>
      <c r="D18" s="36">
        <f>SUM(Model!C158:N158)</f>
        <v/>
      </c>
      <c r="E18" s="36">
        <f>SUM(Model!O158:Z158)</f>
        <v/>
      </c>
      <c r="F18" s="36">
        <f>Model!AA158</f>
        <v/>
      </c>
      <c r="G18" s="36">
        <f>Model!AB158</f>
        <v/>
      </c>
      <c r="H18" s="36">
        <f>Model!AC158</f>
        <v/>
      </c>
      <c r="I18" s="36">
        <f>Model!AD158</f>
        <v/>
      </c>
      <c r="J18" s="36">
        <f>Model!AE158</f>
        <v/>
      </c>
    </row>
    <row r="19">
      <c r="A19" s="6" t="inlineStr">
        <is>
          <t>Stream 5: Lending revenue share</t>
        </is>
      </c>
      <c r="D19" s="36">
        <f>SUM(Model!C159:N159)</f>
        <v/>
      </c>
      <c r="E19" s="36">
        <f>SUM(Model!O159:Z159)</f>
        <v/>
      </c>
      <c r="F19" s="36">
        <f>Model!AA159</f>
        <v/>
      </c>
      <c r="G19" s="36">
        <f>Model!AB159</f>
        <v/>
      </c>
      <c r="H19" s="36">
        <f>Model!AC159</f>
        <v/>
      </c>
      <c r="I19" s="36">
        <f>Model!AD159</f>
        <v/>
      </c>
      <c r="J19" s="36">
        <f>Model!AE159</f>
        <v/>
      </c>
    </row>
    <row r="20">
      <c r="A20" s="6" t="inlineStr">
        <is>
          <t>Stream 6: B2B platform fee</t>
        </is>
      </c>
      <c r="D20" s="36">
        <f>SUM(Model!C133:N133)</f>
        <v/>
      </c>
      <c r="E20" s="36">
        <f>SUM(Model!O133:Z133)</f>
        <v/>
      </c>
      <c r="F20" s="36">
        <f>Model!AA133</f>
        <v/>
      </c>
      <c r="G20" s="36">
        <f>Model!AB133</f>
        <v/>
      </c>
      <c r="H20" s="36">
        <f>Model!AC133</f>
        <v/>
      </c>
      <c r="I20" s="36">
        <f>Model!AD133</f>
        <v/>
      </c>
      <c r="J20" s="36">
        <f>Model!AE133</f>
        <v/>
      </c>
    </row>
    <row r="21">
      <c r="A21" s="3" t="inlineStr">
        <is>
          <t>Total by stream (reconciles to the regional total above)</t>
        </is>
      </c>
      <c r="D21" s="62">
        <f>SUM(Model!C162:N162)</f>
        <v/>
      </c>
      <c r="E21" s="62">
        <f>SUM(Model!O162:Z162)</f>
        <v/>
      </c>
      <c r="F21" s="62">
        <f>Model!AA162</f>
        <v/>
      </c>
      <c r="G21" s="62">
        <f>Model!AB162</f>
        <v/>
      </c>
      <c r="H21" s="62">
        <f>Model!AC162</f>
        <v/>
      </c>
      <c r="I21" s="62">
        <f>Model!AD162</f>
        <v/>
      </c>
      <c r="J21" s="62">
        <f>Model!AE162</f>
        <v/>
      </c>
    </row>
    <row r="23" ht="18" customHeight="1">
      <c r="A23" s="12" t="inlineStr">
        <is>
          <t>REVENUE MIX (% of total)</t>
        </is>
      </c>
      <c r="B23" s="13" t="n"/>
      <c r="C23" s="13" t="n"/>
      <c r="D23" s="13" t="n"/>
      <c r="E23" s="13" t="n"/>
      <c r="F23" s="13" t="n"/>
      <c r="G23" s="13" t="n"/>
      <c r="H23" s="13" t="n"/>
      <c r="I23" s="13" t="n"/>
      <c r="J23" s="13" t="n"/>
      <c r="K23" s="13" t="n"/>
    </row>
    <row r="24">
      <c r="A24" t="inlineStr">
        <is>
          <t>Stream 1a: SIP entry fee - share</t>
        </is>
      </c>
      <c r="D24" s="63">
        <f>IF(D$11=0,0,D14/D$11)</f>
        <v/>
      </c>
      <c r="E24" s="63">
        <f>IF(E$11=0,0,E14/E$11)</f>
        <v/>
      </c>
      <c r="F24" s="63">
        <f>IF(F$11=0,0,F14/F$11)</f>
        <v/>
      </c>
      <c r="G24" s="63">
        <f>IF(G$11=0,0,G14/G$11)</f>
        <v/>
      </c>
      <c r="H24" s="63">
        <f>IF(H$11=0,0,H14/H$11)</f>
        <v/>
      </c>
      <c r="I24" s="63">
        <f>IF(I$11=0,0,I14/I$11)</f>
        <v/>
      </c>
      <c r="J24" s="63">
        <f>IF(J$11=0,0,J14/J$11)</f>
        <v/>
      </c>
    </row>
    <row r="25">
      <c r="A25" t="inlineStr">
        <is>
          <t>Stream 1b: Spot entry fee - share</t>
        </is>
      </c>
      <c r="D25" s="63">
        <f>IF(D$11=0,0,D15/D$11)</f>
        <v/>
      </c>
      <c r="E25" s="63">
        <f>IF(E$11=0,0,E15/E$11)</f>
        <v/>
      </c>
      <c r="F25" s="63">
        <f>IF(F$11=0,0,F15/F$11)</f>
        <v/>
      </c>
      <c r="G25" s="63">
        <f>IF(G$11=0,0,G15/G$11)</f>
        <v/>
      </c>
      <c r="H25" s="63">
        <f>IF(H$11=0,0,H15/H$11)</f>
        <v/>
      </c>
      <c r="I25" s="63">
        <f>IF(I$11=0,0,I15/I$11)</f>
        <v/>
      </c>
      <c r="J25" s="63">
        <f>IF(J$11=0,0,J15/J$11)</f>
        <v/>
      </c>
    </row>
    <row r="26">
      <c r="A26" t="inlineStr">
        <is>
          <t>Stream 2: Card interchange - share</t>
        </is>
      </c>
      <c r="D26" s="63">
        <f>IF(D$11=0,0,D16/D$11)</f>
        <v/>
      </c>
      <c r="E26" s="63">
        <f>IF(E$11=0,0,E16/E$11)</f>
        <v/>
      </c>
      <c r="F26" s="63">
        <f>IF(F$11=0,0,F16/F$11)</f>
        <v/>
      </c>
      <c r="G26" s="63">
        <f>IF(G$11=0,0,G16/G$11)</f>
        <v/>
      </c>
      <c r="H26" s="63">
        <f>IF(H$11=0,0,H16/H$11)</f>
        <v/>
      </c>
      <c r="I26" s="63">
        <f>IF(I$11=0,0,I16/I$11)</f>
        <v/>
      </c>
      <c r="J26" s="63">
        <f>IF(J$11=0,0,J16/J$11)</f>
        <v/>
      </c>
    </row>
    <row r="27">
      <c r="A27" t="inlineStr">
        <is>
          <t>Stream 3: Family and Will - share</t>
        </is>
      </c>
      <c r="D27" s="63">
        <f>IF(D$11=0,0,D17/D$11)</f>
        <v/>
      </c>
      <c r="E27" s="63">
        <f>IF(E$11=0,0,E17/E$11)</f>
        <v/>
      </c>
      <c r="F27" s="63">
        <f>IF(F$11=0,0,F17/F$11)</f>
        <v/>
      </c>
      <c r="G27" s="63">
        <f>IF(G$11=0,0,G17/G$11)</f>
        <v/>
      </c>
      <c r="H27" s="63">
        <f>IF(H$11=0,0,H17/H$11)</f>
        <v/>
      </c>
      <c r="I27" s="63">
        <f>IF(I$11=0,0,I17/I$11)</f>
        <v/>
      </c>
      <c r="J27" s="63">
        <f>IF(J$11=0,0,J17/J$11)</f>
        <v/>
      </c>
    </row>
    <row r="28">
      <c r="A28" t="inlineStr">
        <is>
          <t>Stream 4: Cardholder fees - share</t>
        </is>
      </c>
      <c r="D28" s="63">
        <f>IF(D$11=0,0,D18/D$11)</f>
        <v/>
      </c>
      <c r="E28" s="63">
        <f>IF(E$11=0,0,E18/E$11)</f>
        <v/>
      </c>
      <c r="F28" s="63">
        <f>IF(F$11=0,0,F18/F$11)</f>
        <v/>
      </c>
      <c r="G28" s="63">
        <f>IF(G$11=0,0,G18/G$11)</f>
        <v/>
      </c>
      <c r="H28" s="63">
        <f>IF(H$11=0,0,H18/H$11)</f>
        <v/>
      </c>
      <c r="I28" s="63">
        <f>IF(I$11=0,0,I18/I$11)</f>
        <v/>
      </c>
      <c r="J28" s="63">
        <f>IF(J$11=0,0,J18/J$11)</f>
        <v/>
      </c>
    </row>
    <row r="29">
      <c r="A29" t="inlineStr">
        <is>
          <t>Stream 5: Lending - share</t>
        </is>
      </c>
      <c r="D29" s="63">
        <f>IF(D$11=0,0,D19/D$11)</f>
        <v/>
      </c>
      <c r="E29" s="63">
        <f>IF(E$11=0,0,E19/E$11)</f>
        <v/>
      </c>
      <c r="F29" s="63">
        <f>IF(F$11=0,0,F19/F$11)</f>
        <v/>
      </c>
      <c r="G29" s="63">
        <f>IF(G$11=0,0,G19/G$11)</f>
        <v/>
      </c>
      <c r="H29" s="63">
        <f>IF(H$11=0,0,H19/H$11)</f>
        <v/>
      </c>
      <c r="I29" s="63">
        <f>IF(I$11=0,0,I19/I$11)</f>
        <v/>
      </c>
      <c r="J29" s="63">
        <f>IF(J$11=0,0,J19/J$11)</f>
        <v/>
      </c>
    </row>
    <row r="30">
      <c r="A30" t="inlineStr">
        <is>
          <t>Stream 6: B2B platform - share</t>
        </is>
      </c>
      <c r="D30" s="63">
        <f>IF(D$11=0,0,D20/D$11)</f>
        <v/>
      </c>
      <c r="E30" s="63">
        <f>IF(E$11=0,0,E20/E$11)</f>
        <v/>
      </c>
      <c r="F30" s="63">
        <f>IF(F$11=0,0,F20/F$11)</f>
        <v/>
      </c>
      <c r="G30" s="63">
        <f>IF(G$11=0,0,G20/G$11)</f>
        <v/>
      </c>
      <c r="H30" s="63">
        <f>IF(H$11=0,0,H20/H$11)</f>
        <v/>
      </c>
      <c r="I30" s="63">
        <f>IF(I$11=0,0,I20/I$11)</f>
        <v/>
      </c>
      <c r="J30" s="63">
        <f>IF(J$11=0,0,J20/J$11)</f>
        <v/>
      </c>
    </row>
    <row r="31">
      <c r="A31" s="3" t="inlineStr">
        <is>
          <t>CHECK: mix sums to 100%</t>
        </is>
      </c>
      <c r="D31" s="39">
        <f>SUM(D24:D30)</f>
        <v/>
      </c>
      <c r="E31" s="39">
        <f>SUM(E24:E30)</f>
        <v/>
      </c>
      <c r="F31" s="39">
        <f>SUM(F24:F30)</f>
        <v/>
      </c>
      <c r="G31" s="39">
        <f>SUM(G24:G30)</f>
        <v/>
      </c>
      <c r="H31" s="39">
        <f>SUM(H24:H30)</f>
        <v/>
      </c>
      <c r="I31" s="39">
        <f>SUM(I24:I30)</f>
        <v/>
      </c>
      <c r="J31" s="39">
        <f>SUM(J24:J30)</f>
        <v/>
      </c>
    </row>
    <row r="33" ht="18" customHeight="1">
      <c r="A33" s="12" t="inlineStr">
        <is>
          <t>CUSTOMERS AND AUM (year end)</t>
        </is>
      </c>
      <c r="B33" s="13" t="n"/>
      <c r="C33" s="13" t="n"/>
      <c r="D33" s="13" t="n"/>
      <c r="E33" s="13" t="n"/>
      <c r="F33" s="13" t="n"/>
      <c r="G33" s="13" t="n"/>
      <c r="H33" s="13" t="n"/>
      <c r="I33" s="13" t="n"/>
      <c r="J33" s="13" t="n"/>
      <c r="K33" s="13" t="n"/>
    </row>
    <row r="34">
      <c r="A34" s="6" t="inlineStr">
        <is>
          <t>New customers in year</t>
        </is>
      </c>
      <c r="D34" s="37">
        <f>SUM(Model!C140:N140)</f>
        <v/>
      </c>
      <c r="E34" s="37">
        <f>SUM(Model!O140:Z140)</f>
        <v/>
      </c>
      <c r="F34" s="37">
        <f>Model!AA140</f>
        <v/>
      </c>
      <c r="G34" s="37">
        <f>Model!AB140</f>
        <v/>
      </c>
      <c r="H34" s="37">
        <f>Model!AC140</f>
        <v/>
      </c>
      <c r="I34" s="37">
        <f>Model!AD140</f>
        <v/>
      </c>
      <c r="J34" s="37">
        <f>Model!AE140</f>
        <v/>
      </c>
    </row>
    <row r="35">
      <c r="A35" s="3" t="inlineStr">
        <is>
          <t>Paying customers</t>
        </is>
      </c>
      <c r="D35" s="64">
        <f>Model!N137</f>
        <v/>
      </c>
      <c r="E35" s="64">
        <f>Model!Z137</f>
        <v/>
      </c>
      <c r="F35" s="64">
        <f>Model!AA137</f>
        <v/>
      </c>
      <c r="G35" s="64">
        <f>Model!AB137</f>
        <v/>
      </c>
      <c r="H35" s="64">
        <f>Model!AC137</f>
        <v/>
      </c>
      <c r="I35" s="64">
        <f>Model!AD137</f>
        <v/>
      </c>
      <c r="J35" s="64">
        <f>Model!AE137</f>
        <v/>
      </c>
    </row>
    <row r="36">
      <c r="A36" s="6" t="inlineStr">
        <is>
          <t>Holders (stopped paying, still hold gold)</t>
        </is>
      </c>
      <c r="D36" s="37">
        <f>Model!N138</f>
        <v/>
      </c>
      <c r="E36" s="37">
        <f>Model!Z138</f>
        <v/>
      </c>
      <c r="F36" s="37">
        <f>Model!AA138</f>
        <v/>
      </c>
      <c r="G36" s="37">
        <f>Model!AB138</f>
        <v/>
      </c>
      <c r="H36" s="37">
        <f>Model!AC138</f>
        <v/>
      </c>
      <c r="I36" s="37">
        <f>Model!AD138</f>
        <v/>
      </c>
      <c r="J36" s="37">
        <f>Model!AE138</f>
        <v/>
      </c>
    </row>
    <row r="37">
      <c r="A37" s="6" t="inlineStr">
        <is>
          <t>Cumulative ever acquired</t>
        </is>
      </c>
      <c r="D37" s="37">
        <f>Model!N139</f>
        <v/>
      </c>
      <c r="E37" s="37">
        <f>Model!Z139</f>
        <v/>
      </c>
      <c r="F37" s="37">
        <f>Model!AA139</f>
        <v/>
      </c>
      <c r="G37" s="37">
        <f>Model!AB139</f>
        <v/>
      </c>
      <c r="H37" s="37">
        <f>Model!AC139</f>
        <v/>
      </c>
      <c r="I37" s="37">
        <f>Model!AD139</f>
        <v/>
      </c>
      <c r="J37" s="37">
        <f>Model!AE139</f>
        <v/>
      </c>
    </row>
    <row r="38">
      <c r="A38" s="6" t="inlineStr">
        <is>
          <t>Active cards</t>
        </is>
      </c>
      <c r="D38" s="37">
        <f>Model!N141</f>
        <v/>
      </c>
      <c r="E38" s="37">
        <f>Model!Z141</f>
        <v/>
      </c>
      <c r="F38" s="37">
        <f>Model!AA141</f>
        <v/>
      </c>
      <c r="G38" s="37">
        <f>Model!AB141</f>
        <v/>
      </c>
      <c r="H38" s="37">
        <f>Model!AC141</f>
        <v/>
      </c>
      <c r="I38" s="37">
        <f>Model!AD141</f>
        <v/>
      </c>
      <c r="J38" s="37">
        <f>Model!AE141</f>
        <v/>
      </c>
    </row>
    <row r="39">
      <c r="A39" s="6" t="inlineStr">
        <is>
          <t>Grams held</t>
        </is>
      </c>
      <c r="D39" s="37">
        <f>Model!N142</f>
        <v/>
      </c>
      <c r="E39" s="37">
        <f>Model!Z142</f>
        <v/>
      </c>
      <c r="F39" s="37">
        <f>Model!AA142</f>
        <v/>
      </c>
      <c r="G39" s="37">
        <f>Model!AB142</f>
        <v/>
      </c>
      <c r="H39" s="37">
        <f>Model!AC142</f>
        <v/>
      </c>
      <c r="I39" s="37">
        <f>Model!AD142</f>
        <v/>
      </c>
      <c r="J39" s="37">
        <f>Model!AE142</f>
        <v/>
      </c>
    </row>
    <row r="40">
      <c r="A40" s="3" t="inlineStr">
        <is>
          <t>Collateral-eligible AUM</t>
        </is>
      </c>
      <c r="D40" s="62">
        <f>Model!N144</f>
        <v/>
      </c>
      <c r="E40" s="62">
        <f>Model!Z144</f>
        <v/>
      </c>
      <c r="F40" s="62">
        <f>Model!AA144</f>
        <v/>
      </c>
      <c r="G40" s="62">
        <f>Model!AB144</f>
        <v/>
      </c>
      <c r="H40" s="62">
        <f>Model!AC144</f>
        <v/>
      </c>
      <c r="I40" s="62">
        <f>Model!AD144</f>
        <v/>
      </c>
      <c r="J40" s="62">
        <f>Model!AE144</f>
        <v/>
      </c>
    </row>
    <row r="41">
      <c r="A41" s="6" t="inlineStr">
        <is>
          <t>Net revenue per paying customer (annualised)</t>
        </is>
      </c>
      <c r="D41" s="36">
        <f>Model!N163</f>
        <v/>
      </c>
      <c r="E41" s="36">
        <f>Model!Z163</f>
        <v/>
      </c>
      <c r="F41" s="36">
        <f>Model!AA163</f>
        <v/>
      </c>
      <c r="G41" s="36">
        <f>Model!AB163</f>
        <v/>
      </c>
      <c r="H41" s="36">
        <f>Model!AC163</f>
        <v/>
      </c>
      <c r="I41" s="36">
        <f>Model!AD163</f>
        <v/>
      </c>
      <c r="J41" s="36">
        <f>Model!AE163</f>
        <v/>
      </c>
    </row>
    <row r="43">
      <c r="A43" s="9" t="inlineStr">
        <is>
          <t>REVENUE ONLY. Operating costs, tax, working capital, cash and funding are added in a later build, so there is no profit or break-even line here. Stream 1 IS reported net of the fabrication premium, because that is cost OF REVENUE rather than an operating cost - reporting it gross would read ~43% high.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2026-08-21T10:06:38Z</dcterms:created>
  <dcterms:modified xmlns:dcterms="http://purl.org/dc/terms/" xmlns:xsi="http://www.w3.org/2001/XMLSchema-instance" xsi:type="dcterms:W3CDTF">2026-08-21T10:06:38Z</dcterms:modified>
</cp:coreProperties>
</file>